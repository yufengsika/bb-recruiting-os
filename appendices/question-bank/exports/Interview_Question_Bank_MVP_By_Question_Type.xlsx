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1a414eb24b4aba" /></Relationships>
</file>

<file path=xl/workbook.xml><?xml version="1.0" encoding="utf-8"?>
<x:workbook xmlns:x="http://schemas.openxmlformats.org/spreadsheetml/2006/main">
  <x:sheets>
    <x:sheet xmlns:r="http://schemas.openxmlformats.org/officeDocument/2006/relationships" name="README" sheetId="1" r:id="R9bacbdad3df7466b"/>
    <x:sheet xmlns:r="http://schemas.openxmlformats.org/officeDocument/2006/relationships" name="Bank Summary" sheetId="2" r:id="R48846b28922e49be"/>
    <x:sheet xmlns:r="http://schemas.openxmlformats.org/officeDocument/2006/relationships" name="Type Summary" sheetId="3" r:id="Ree631c65344644e8"/>
    <x:sheet xmlns:r="http://schemas.openxmlformats.org/officeDocument/2006/relationships" name="All Questions" sheetId="4" r:id="R26769c9b88944d06"/>
    <x:sheet xmlns:r="http://schemas.openxmlformats.org/officeDocument/2006/relationships" name="Answer Bank" sheetId="5" r:id="Re88f66cf33dc4b77"/>
    <x:sheet xmlns:r="http://schemas.openxmlformats.org/officeDocument/2006/relationships" name="Canonical Index" sheetId="6" r:id="R5834d4e2a9764eb2"/>
    <x:sheet xmlns:r="http://schemas.openxmlformats.org/officeDocument/2006/relationships" name="Interview Notes" sheetId="7" r:id="Rb402ab1d8f094ae8"/>
    <x:sheet xmlns:r="http://schemas.openxmlformats.org/officeDocument/2006/relationships" name="Fit-Motivation" sheetId="8" r:id="R311baafc52334fb0"/>
    <x:sheet xmlns:r="http://schemas.openxmlformats.org/officeDocument/2006/relationships" name="Resume-Experience" sheetId="9" r:id="R3f4dc9a41a6a49a5"/>
    <x:sheet xmlns:r="http://schemas.openxmlformats.org/officeDocument/2006/relationships" name="Behavioral" sheetId="10" r:id="R97c307299a0649e9"/>
    <x:sheet xmlns:r="http://schemas.openxmlformats.org/officeDocument/2006/relationships" name="Accounting-3FS" sheetId="11" r:id="R06462b1481d74238"/>
    <x:sheet xmlns:r="http://schemas.openxmlformats.org/officeDocument/2006/relationships" name="Valuation" sheetId="12" r:id="R873f9292e5e140c4"/>
    <x:sheet xmlns:r="http://schemas.openxmlformats.org/officeDocument/2006/relationships" name="M&amp;A" sheetId="13" r:id="R6e811ba9e3bf41b0"/>
    <x:sheet xmlns:r="http://schemas.openxmlformats.org/officeDocument/2006/relationships" name="Capital Markets" sheetId="14" r:id="R6454ca9fa5464f0d"/>
    <x:sheet xmlns:r="http://schemas.openxmlformats.org/officeDocument/2006/relationships" name="Markets-Macro" sheetId="15" r:id="Rf1269344e5154ed2"/>
    <x:sheet xmlns:r="http://schemas.openxmlformats.org/officeDocument/2006/relationships" name="Company-Industry-Deals" sheetId="16" r:id="Rf7fec9c408024f14"/>
    <x:sheet xmlns:r="http://schemas.openxmlformats.org/officeDocument/2006/relationships" name="Investment Pitch" sheetId="17" r:id="R40cb7ff90d3547d9"/>
    <x:sheet xmlns:r="http://schemas.openxmlformats.org/officeDocument/2006/relationships" name="PE-LBO" sheetId="18" r:id="R44f402953664411a"/>
    <x:sheet xmlns:r="http://schemas.openxmlformats.org/officeDocument/2006/relationships" name="Sales-Trading" sheetId="19" r:id="R130041ba21ed423e"/>
    <x:sheet xmlns:r="http://schemas.openxmlformats.org/officeDocument/2006/relationships" name="Wealth-AM" sheetId="20" r:id="R4a1e1cf2b42644e8"/>
    <x:sheet xmlns:r="http://schemas.openxmlformats.org/officeDocument/2006/relationships" name="Consulting-Case" sheetId="21" r:id="R2106024e7c4f47c7"/>
    <x:sheet xmlns:r="http://schemas.openxmlformats.org/officeDocument/2006/relationships" name="Other Technical" sheetId="22" r:id="R22b4bdfecfbc4a76"/>
    <x:sheet xmlns:r="http://schemas.openxmlformats.org/officeDocument/2006/relationships" name="Other Questions" sheetId="23" r:id="R82f7e83beb5a4002"/>
    <x:sheet xmlns:r="http://schemas.openxmlformats.org/officeDocument/2006/relationships" name="Checks" sheetId="24" r:id="Rfc48afcfd8af4db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10">
    <x:font>
      <x:sz val="11"/>
      <x:name val="Carlito"/>
    </x:font>
    <x:font>
      <x:b/>
      <x:sz val="18"/>
      <x:color rgb="FFFFFFFF"/>
      <x:name val="Carlito"/>
    </x:font>
    <x:font>
      <x:i/>
      <x:sz val="10"/>
      <x:color rgb="FF526471"/>
      <x:name val="Carlito"/>
    </x:font>
    <x:font>
      <x:sz val="11"/>
      <x:color rgb="FF0000FF"/>
      <x:name val="Carlito"/>
    </x:font>
    <x:font>
      <x:b/>
      <x:sz val="10"/>
      <x:color rgb="FFFFFFFF"/>
      <x:name val="Carlito"/>
    </x:font>
    <x:font>
      <x:b/>
      <x:sz val="12"/>
      <x:color rgb="FFFFFFFF"/>
      <x:name val="Carlito"/>
    </x:font>
    <x:font>
      <x:sz val="11"/>
      <x:color rgb="FF111827"/>
      <x:name val="Carlito"/>
    </x:font>
    <x:font>
      <x:b/>
      <x:sz val="11"/>
      <x:color rgb="FFFFFFFF"/>
      <x:name val="Carlito"/>
    </x:font>
    <x:font>
      <x:b/>
      <x:sz val="12"/>
      <x:color rgb="FF15324B"/>
      <x:name val="Carlito"/>
    </x:font>
    <x:font>
      <x:sz val="10"/>
      <x:color rgb="FF526471"/>
      <x:name val="Carlito"/>
    </x:font>
  </x:fonts>
  <x:fills count="11">
    <x:fill>
      <x:patternFill patternType="none"/>
    </x:fill>
    <x:fill>
      <x:patternFill patternType="gray125"/>
    </x:fill>
    <x:fill>
      <x:patternFill patternType="solid">
        <x:fgColor rgb="FF15324B"/>
      </x:patternFill>
    </x:fill>
    <x:fill>
      <x:patternFill patternType="solid">
        <x:fgColor rgb="FFEDF1F3"/>
      </x:patternFill>
    </x:fill>
    <x:fill>
      <x:patternFill patternType="solid">
        <x:fgColor rgb="FFFFF7CC"/>
      </x:patternFill>
    </x:fill>
    <x:fill>
      <x:patternFill patternType="solid">
        <x:fgColor rgb="FF244B66"/>
      </x:patternFill>
    </x:fill>
    <x:fill>
      <x:patternFill patternType="solid">
        <x:fgColor rgb="FF0F766E"/>
      </x:patternFill>
    </x:fill>
    <x:fill>
      <x:patternFill patternType="solid">
        <x:fgColor rgb="FFDDF4F1"/>
      </x:patternFill>
    </x:fill>
    <x:fill>
      <x:patternFill patternType="solid">
        <x:fgColor rgb="FFF7F9FA"/>
      </x:patternFill>
    </x:fill>
    <x:fill>
      <x:patternFill patternType="solid">
        <x:fgColor rgb="FFE28A3B"/>
      </x:patternFill>
    </x:fill>
    <x:fill>
      <x:patternFill patternType="solid">
        <x:fgColor rgb="FFFCE9D7"/>
      </x:patternFill>
    </x:fill>
  </x:fills>
  <x:borders count="12">
    <x:border/>
    <x:border>
      <x:left style="thin">
        <x:color rgb="FF15324B"/>
      </x:left>
      <x:top style="thin">
        <x:color rgb="FF15324B"/>
      </x:top>
      <x:bottom style="thin">
        <x:color rgb="FF15324B"/>
      </x:bottom>
    </x:border>
    <x:border>
      <x:top style="thin">
        <x:color rgb="FF15324B"/>
      </x:top>
      <x:bottom style="thin">
        <x:color rgb="FF15324B"/>
      </x:bottom>
    </x:border>
    <x:border>
      <x:right style="thin">
        <x:color rgb="FF15324B"/>
      </x:right>
      <x:top style="thin">
        <x:color rgb="FF15324B"/>
      </x:top>
      <x:bottom style="thin">
        <x:color rgb="FF15324B"/>
      </x:bottom>
    </x:border>
    <x:border>
      <x:left style="thin">
        <x:color rgb="FFCBD5DC"/>
      </x:left>
      <x:top style="thin">
        <x:color rgb="FFCBD5DC"/>
      </x:top>
    </x:border>
    <x:border>
      <x:right style="thin">
        <x:color rgb="FFCBD5DC"/>
      </x:right>
      <x:top style="thin">
        <x:color rgb="FFCBD5DC"/>
      </x:top>
    </x:border>
    <x:border>
      <x:left style="thin">
        <x:color rgb="FFCBD5DC"/>
      </x:left>
    </x:border>
    <x:border>
      <x:right style="thin">
        <x:color rgb="FFCBD5DC"/>
      </x:right>
    </x:border>
    <x:border>
      <x:left style="thin">
        <x:color rgb="FFCBD5DC"/>
      </x:left>
      <x:bottom style="thin">
        <x:color rgb="FFCBD5DC"/>
      </x:bottom>
    </x:border>
    <x:border>
      <x:right style="thin">
        <x:color rgb="FFCBD5DC"/>
      </x:right>
      <x:bottom style="thin">
        <x:color rgb="FFCBD5DC"/>
      </x:bottom>
    </x:border>
    <x:border>
      <x:top style="thin">
        <x:color rgb="FFCBD5DC"/>
      </x:top>
    </x:border>
    <x:border>
      <x:bottom style="thin">
        <x:color rgb="FFCBD5DC"/>
      </x:bottom>
    </x:border>
  </x:borders>
  <x:cellStyleXfs count="1">
    <x:xf numFmtId="0" fontId="0" fillId="0" borderId="0"/>
  </x:cellStyleXfs>
  <x:cellXfs count="8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top"/>
    </x:xf>
    <x:xf numFmtId="200" fontId="3" fillId="4" borderId="0" xfId="0" applyNumberFormat="1" applyFont="1" applyFill="1" applyBorder="1" applyAlignment="1">
      <x:alignment vertical="top"/>
    </x:xf>
    <x:xf numFmtId="201" fontId="0" fillId="0"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0" fillId="8" borderId="7" xfId="0" applyNumberFormat="1" applyFont="1" applyFill="1" applyBorder="1"/>
    <x:xf numFmtId="0" fontId="0" fillId="8" borderId="9" xfId="0" applyNumberFormat="1" applyFont="1" applyFill="1" applyBorder="1"/>
    <x:xf numFmtId="0" fontId="8" fillId="8" borderId="7" xfId="0" applyNumberFormat="1" applyFont="1" applyFill="1" applyBorder="1"/>
    <x:xf numFmtId="0" fontId="8" fillId="8" borderId="9" xfId="0" applyNumberFormat="1" applyFont="1" applyFill="1" applyBorder="1"/>
    <x:xf numFmtId="201" fontId="8" fillId="8" borderId="7" xfId="0" applyNumberFormat="1" applyFont="1" applyFill="1" applyBorder="1"/>
    <x:xf numFmtId="201" fontId="8" fillId="8" borderId="9" xfId="0" applyNumberFormat="1" applyFont="1" applyFill="1" applyBorder="1"/>
    <x:xf numFmtId="0" fontId="0" fillId="9" borderId="0" xfId="0" applyNumberFormat="1" applyFont="1" applyFill="1" applyBorder="1"/>
    <x:xf numFmtId="0" fontId="7" fillId="9" borderId="0" xfId="0" applyNumberFormat="1" applyFont="1" applyFill="1" applyBorder="1"/>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vertical="center" wrapText="1"/>
    </x:xf>
    <x:xf numFmtId="0" fontId="7" fillId="5" borderId="0"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center" wrapText="1"/>
    </x:xf>
    <x:xf numFmtId="202" fontId="0" fillId="0" borderId="0" xfId="0" applyNumberFormat="1" applyFont="1" applyFill="1" applyBorder="1"/>
    <x:xf numFmtId="202" fontId="0" fillId="0" borderId="0" xfId="0" applyNumberFormat="1" applyFont="1" applyFill="1" applyBorder="1" applyAlignment="1">
      <x:alignment vertical="top"/>
    </x:xf>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5" fillId="2" borderId="0" xfId="0" applyNumberFormat="1" applyFont="1" applyFill="1" applyBorder="1"/>
    <x:xf numFmtId="0" fontId="0" fillId="0" borderId="10" xfId="0" applyNumberFormat="1" applyFont="1" applyFill="1" applyBorder="1"/>
    <x:xf numFmtId="0" fontId="0" fillId="0" borderId="0" xfId="0" applyNumberFormat="1" applyFont="1" applyFill="1" applyBorder="1"/>
    <x:xf numFmtId="0" fontId="0" fillId="0" borderId="11" xfId="0" applyNumberFormat="1" applyFont="1" applyFill="1" applyBorder="1"/>
    <x:xf numFmtId="0" fontId="0" fillId="5" borderId="10" xfId="0" applyNumberFormat="1" applyFont="1" applyFill="1" applyBorder="1"/>
    <x:xf numFmtId="0" fontId="4" fillId="5" borderId="4" xfId="0" applyNumberFormat="1" applyFont="1" applyFill="1" applyBorder="1"/>
    <x:xf numFmtId="0" fontId="4" fillId="5" borderId="10" xfId="0" applyNumberFormat="1" applyFont="1" applyFill="1" applyBorder="1"/>
    <x:xf numFmtId="0" fontId="4" fillId="5" borderId="5" xfId="0" applyNumberFormat="1" applyFont="1" applyFill="1" applyBorder="1"/>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11" xfId="0" applyNumberFormat="1" applyFont="1" applyFill="1" applyBorder="1" applyAlignment="1">
      <x:alignment vertical="top"/>
    </x:xf>
    <x:xf numFmtId="0" fontId="0" fillId="0" borderId="9" xfId="0" applyNumberFormat="1" applyFont="1" applyFill="1" applyBorder="1" applyAlignment="1">
      <x:alignment vertical="top"/>
    </x:xf>
  </x:cellXfs>
  <x:cellStyles count="1">
    <x:cellStyle name="Normal" xfId="0"/>
  </x:cellStyles>
  <x:dxfs count="29">
    <x:dxf>
      <x:font>
        <x:b/>
        <x:color rgb="FF2F855A"/>
      </x:font>
      <x:fill>
        <x:patternFill patternType="solid">
          <x:bgColor rgb="FFE4F4EA"/>
        </x:patternFill>
      </x:fill>
    </x:dxf>
    <x:dxf>
      <x:font>
        <x:b/>
        <x:color rgb="FF8A4B12"/>
      </x:font>
      <x:fill>
        <x:patternFill patternType="solid">
          <x:bgColor rgb="FFFCE9D7"/>
        </x:patternFill>
      </x:fill>
    </x:dxf>
    <x:dxf>
      <x:font>
        <x:b/>
        <x:color rgb="FF2F855A"/>
      </x:font>
      <x:fill>
        <x:patternFill patternType="solid">
          <x:bgColor rgb="FFE4F4EA"/>
        </x:patternFill>
      </x:fill>
    </x:dxf>
    <x:dxf>
      <x:font>
        <x:b/>
        <x:color rgb="FF2F855A"/>
      </x:font>
      <x:fill>
        <x:patternFill patternType="solid">
          <x:bgColor rgb="FFE4F4EA"/>
        </x:patternFill>
      </x:fill>
    </x:dxf>
    <x:dxf>
      <x:font>
        <x:b/>
        <x:color rgb="FFB42318"/>
      </x:font>
      <x:fill>
        <x:patternFill patternType="solid">
          <x:bgColor rgb="FFFDE8E7"/>
        </x:patternFill>
      </x:fill>
    </x:dxf>
    <x:dxf>
      <x:font>
        <x:b/>
        <x:color rgb="FF8A4B12"/>
      </x:font>
      <x:fill>
        <x:patternFill patternType="solid">
          <x:bgColor rgb="FFFCE9D7"/>
        </x:patternFill>
      </x:fill>
    </x:dxf>
    <x:dxf>
      <x:font>
        <x:b/>
        <x:color rgb="FF0F766E"/>
      </x:font>
      <x:fill>
        <x:patternFill patternType="solid">
          <x:bgColor rgb="FFDDF4F1"/>
        </x:patternFill>
      </x:fill>
    </x:dxf>
    <x:dxf>
      <x:font>
        <x:b/>
        <x:color rgb="FF2F855A"/>
      </x:font>
      <x:fill>
        <x:patternFill patternType="solid">
          <x:bgColor rgb="FFE4F4EA"/>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2F855A"/>
      </x:font>
      <x:fill>
        <x:patternFill patternType="solid">
          <x:bgColor rgb="FFE4F4EA"/>
        </x:patternFill>
      </x:fill>
    </x:dxf>
    <x:dxf>
      <x:font>
        <x:b/>
        <x:color rgb="FFB42318"/>
      </x:font>
      <x:fill>
        <x:patternFill patternType="solid">
          <x:bgColor rgb="FFFDE8E7"/>
        </x:patternFill>
      </x:fill>
    </x:dxf>
    <x:dxf>
      <x:font>
        <x:b/>
        <x:color rgb="FF2F855A"/>
      </x:font>
      <x:fill>
        <x:patternFill patternType="solid">
          <x:bgColor rgb="FFE4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a812a3b3444c45" /><Relationship Type="http://schemas.openxmlformats.org/officeDocument/2006/relationships/theme" Target="/xl/theme/theme1.xml" Id="R2b840069ae3e440c" /><Relationship Type="http://schemas.openxmlformats.org/officeDocument/2006/relationships/sharedStrings" Target="/xl/sharedStrings.xml" Id="R5c38f914392d44f4" /><Relationship Type="http://schemas.openxmlformats.org/officeDocument/2006/relationships/worksheet" Target="/xl/worksheets/sheet1.xml" Id="R9bacbdad3df7466b" /><Relationship Type="http://schemas.openxmlformats.org/officeDocument/2006/relationships/worksheet" Target="/xl/worksheets/sheet2.xml" Id="R48846b28922e49be" /><Relationship Type="http://schemas.openxmlformats.org/officeDocument/2006/relationships/worksheet" Target="/xl/worksheets/sheet3.xml" Id="Ree631c65344644e8" /><Relationship Type="http://schemas.openxmlformats.org/officeDocument/2006/relationships/worksheet" Target="/xl/worksheets/sheet4.xml" Id="R26769c9b88944d06" /><Relationship Type="http://schemas.openxmlformats.org/officeDocument/2006/relationships/worksheet" Target="/xl/worksheets/sheet5.xml" Id="Re88f66cf33dc4b77" /><Relationship Type="http://schemas.openxmlformats.org/officeDocument/2006/relationships/worksheet" Target="/xl/worksheets/sheet6.xml" Id="R5834d4e2a9764eb2" /><Relationship Type="http://schemas.openxmlformats.org/officeDocument/2006/relationships/worksheet" Target="/xl/worksheets/sheet7.xml" Id="Rb402ab1d8f094ae8" /><Relationship Type="http://schemas.openxmlformats.org/officeDocument/2006/relationships/worksheet" Target="/xl/worksheets/sheet8.xml" Id="R311baafc52334fb0" /><Relationship Type="http://schemas.openxmlformats.org/officeDocument/2006/relationships/worksheet" Target="/xl/worksheets/sheet9.xml" Id="R3f4dc9a41a6a49a5" /><Relationship Type="http://schemas.openxmlformats.org/officeDocument/2006/relationships/worksheet" Target="/xl/worksheets/sheet10.xml" Id="R97c307299a0649e9" /><Relationship Type="http://schemas.openxmlformats.org/officeDocument/2006/relationships/worksheet" Target="/xl/worksheets/sheet11.xml" Id="R06462b1481d74238" /><Relationship Type="http://schemas.openxmlformats.org/officeDocument/2006/relationships/worksheet" Target="/xl/worksheets/sheet12.xml" Id="R873f9292e5e140c4" /><Relationship Type="http://schemas.openxmlformats.org/officeDocument/2006/relationships/worksheet" Target="/xl/worksheets/sheet13.xml" Id="R6e811ba9e3bf41b0" /><Relationship Type="http://schemas.openxmlformats.org/officeDocument/2006/relationships/worksheet" Target="/xl/worksheets/sheet14.xml" Id="R6454ca9fa5464f0d" /><Relationship Type="http://schemas.openxmlformats.org/officeDocument/2006/relationships/worksheet" Target="/xl/worksheets/sheet15.xml" Id="Rf1269344e5154ed2" /><Relationship Type="http://schemas.openxmlformats.org/officeDocument/2006/relationships/worksheet" Target="/xl/worksheets/sheet16.xml" Id="Rf7fec9c408024f14" /><Relationship Type="http://schemas.openxmlformats.org/officeDocument/2006/relationships/worksheet" Target="/xl/worksheets/sheet17.xml" Id="R40cb7ff90d3547d9" /><Relationship Type="http://schemas.openxmlformats.org/officeDocument/2006/relationships/worksheet" Target="/xl/worksheets/sheet18.xml" Id="R44f402953664411a" /><Relationship Type="http://schemas.openxmlformats.org/officeDocument/2006/relationships/worksheet" Target="/xl/worksheets/sheet19.xml" Id="R130041ba21ed423e" /><Relationship Type="http://schemas.openxmlformats.org/officeDocument/2006/relationships/worksheet" Target="/xl/worksheets/sheet20.xml" Id="R4a1e1cf2b42644e8" /><Relationship Type="http://schemas.openxmlformats.org/officeDocument/2006/relationships/worksheet" Target="/xl/worksheets/sheet21.xml" Id="R2106024e7c4f47c7" /><Relationship Type="http://schemas.openxmlformats.org/officeDocument/2006/relationships/worksheet" Target="/xl/worksheets/sheet22.xml" Id="R22b4bdfecfbc4a76" /><Relationship Type="http://schemas.openxmlformats.org/officeDocument/2006/relationships/worksheet" Target="/xl/worksheets/sheet23.xml" Id="R82f7e83beb5a4002" /><Relationship Type="http://schemas.openxmlformats.org/officeDocument/2006/relationships/worksheet" Target="/xl/worksheets/sheet24.xml" Id="Rfc48afcfd8af4db0" /></Relationships>
</file>

<file path=xl/tables/table1.xml><?xml version="1.0" encoding="utf-8"?>
<x:table xmlns:x="http://schemas.openxmlformats.org/spreadsheetml/2006/main" id="2" name="BankSummaryTable" displayName="BankSummaryTable" ref="A4:F58" headerRowCount="1" totalsRowCount="0" totalsRowShown="0">
  <x:tableColumns count="6">
    <x:tableColumn id="1" name="Source Bank / Team"/>
    <x:tableColumn id="2" name="Questions"/>
    <x:tableColumn id="3" name="Duplicate Occurrences"/>
    <x:tableColumn id="4" name="Notes / Metadata"/>
    <x:tableColumn id="5" name="Division"/>
    <x:tableColumn id="6" name="Coverage Status"/>
  </x:tableColumns>
  <x:tableStyleInfo name="TableStyleMedium2" showFirstColumn="0" showLastColumn="0" showRowStripes="1" showColumnStripes="0"/>
</x:table>
</file>

<file path=xl/tables/table2.xml><?xml version="1.0" encoding="utf-8"?>
<x:table xmlns:x="http://schemas.openxmlformats.org/spreadsheetml/2006/main" id="3" name="TypeSummaryTable" displayName="TypeSummaryTable" ref="A4:H20" headerRowCount="1" totalsRowCount="0" totalsRowShown="0">
  <x:tableColumns count="8">
    <x:tableColumn id="1" name="Primary Type"/>
    <x:tableColumn id="2" name="Questions"/>
    <x:tableColumn id="3" name="Canonical Clusters"/>
    <x:tableColumn id="4" name="Duplicate Occurrences"/>
    <x:tableColumn id="5" name="Share of Questions"/>
    <x:tableColumn id="6" name="Review Priority"/>
    <x:tableColumn id="7" name="Answers Started"/>
    <x:tableColumn id="8" name="Ready"/>
  </x:tableColumns>
  <x:tableStyleInfo name="TableStyleMedium2" showFirstColumn="0" showLastColumn="0" showRowStripes="1" showColumnStripes="0"/>
</x:table>
</file>

<file path=xl/tables/table3.xml><?xml version="1.0" encoding="utf-8"?>
<x:table xmlns:x="http://schemas.openxmlformats.org/spreadsheetml/2006/main" id="4" name="AllQuestionsTypeView" displayName="AllQuestionsTypeView" ref="A4:J1725"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4.xml><?xml version="1.0" encoding="utf-8"?>
<x:table xmlns:x="http://schemas.openxmlformats.org/spreadsheetml/2006/main" id="1" name="AnswerBankTypeView" displayName="AnswerBankTypeView" ref="A4:I1262" headerRowCount="1" totalsRowCount="0" totalsRowShown="0">
  <x:tableColumns count="9">
    <x:tableColumn id="1" name="Cluster ID"/>
    <x:tableColumn id="2" name="Primary Type"/>
    <x:tableColumn id="3" name="Canonical Question"/>
    <x:tableColumn id="4" name="Occurrences"/>
    <x:tableColumn id="5" name="My Answer"/>
    <x:tableColumn id="6" name="Answer Status"/>
    <x:tableColumn id="7" name="Last Updated"/>
    <x:tableColumn id="8" name="Website Ready"/>
    <x:tableColumn id="9" name="Answer Notes"/>
  </x:tableColumns>
  <x:tableStyleInfo name="TableStyleMedium2" showFirstColumn="0" showLastColumn="0" showRowStripes="1" showColumnStripes="0"/>
</x:table>
</file>

<file path=xl/tables/table5.xml><?xml version="1.0" encoding="utf-8"?>
<x:table xmlns:x="http://schemas.openxmlformats.org/spreadsheetml/2006/main" id="5" name="CanonicalQuestionIndex" displayName="CanonicalQuestionIndex" ref="A4:G1262" headerRowCount="1" totalsRowCount="0" totalsRowShown="0">
  <x:tableColumns count="7">
    <x:tableColumn id="1" name="Cluster ID"/>
    <x:tableColumn id="2" name="Canonical Question"/>
    <x:tableColumn id="3" name="Primary Type"/>
    <x:tableColumn id="4" name="Occurrences"/>
    <x:tableColumn id="5" name="Banks / Teams"/>
    <x:tableColumn id="6" name="Divisions"/>
    <x:tableColumn id="7" name="Example Variants"/>
  </x:tableColumns>
  <x:tableStyleInfo name="TableStyleMedium2" showFirstColumn="0" showLastColumn="0" showRowStripes="1" showColumnStripes="0"/>
</x:table>
</file>

<file path=xl/tables/table6.xml><?xml version="1.0" encoding="utf-8"?>
<x:table xmlns:x="http://schemas.openxmlformats.org/spreadsheetml/2006/main" id="6" name="InterviewNotesTypeView" displayName="InterviewNotesTypeView" ref="A4:F1287" headerRowCount="1" totalsRowCount="0" totalsRowShown="0">
  <x:tableColumns count="6">
    <x:tableColumn id="1" name="Source Bank / Team"/>
    <x:tableColumn id="2" name="Division"/>
    <x:tableColumn id="3" name="Record Type"/>
    <x:tableColumn id="4" name="Original Entry"/>
    <x:tableColumn id="5" name="Source Cell"/>
    <x:tableColumn id="6" name="Context"/>
  </x:tableColumns>
  <x:tableStyleInfo name="TableStyleMedium2" showFirstColumn="0" showLastColumn="0" showRowStripes="1" showColumnStripes="0"/>
</x:table>
</file>

<file path=xl/tables/table7.xml><?xml version="1.0" encoding="utf-8"?>
<x:table xmlns:x="http://schemas.openxmlformats.org/spreadsheetml/2006/main" id="7" name="QuestionType_1_Fit_Motivation" displayName="QuestionType_1_Fit_Motivation" ref="A4:J288"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8.xml><?xml version="1.0" encoding="utf-8"?>
<x:table xmlns:x="http://schemas.openxmlformats.org/spreadsheetml/2006/main" id="8" name="QuestionType_2_Resume_Experience" displayName="QuestionType_2_Resume_Experience" ref="A4:J302"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9.xml><?xml version="1.0" encoding="utf-8"?>
<x:table xmlns:x="http://schemas.openxmlformats.org/spreadsheetml/2006/main" id="9" name="QuestionType_3_Behavioral" displayName="QuestionType_3_Behavioral" ref="A4:J72"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0.xml><?xml version="1.0" encoding="utf-8"?>
<x:table xmlns:x="http://schemas.openxmlformats.org/spreadsheetml/2006/main" id="10" name="QuestionType_4_Accounting_3FS" displayName="QuestionType_4_Accounting_3FS" ref="A4:J218"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1.xml><?xml version="1.0" encoding="utf-8"?>
<x:table xmlns:x="http://schemas.openxmlformats.org/spreadsheetml/2006/main" id="11" name="QuestionType_5_Valuation" displayName="QuestionType_5_Valuation" ref="A4:J228"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2.xml><?xml version="1.0" encoding="utf-8"?>
<x:table xmlns:x="http://schemas.openxmlformats.org/spreadsheetml/2006/main" id="12" name="QuestionType_6_M_A" displayName="QuestionType_6_M_A" ref="A4:J17"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3.xml><?xml version="1.0" encoding="utf-8"?>
<x:table xmlns:x="http://schemas.openxmlformats.org/spreadsheetml/2006/main" id="13" name="QuestionType_7_Capital_Markets" displayName="QuestionType_7_Capital_Markets" ref="A4:J49"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4.xml><?xml version="1.0" encoding="utf-8"?>
<x:table xmlns:x="http://schemas.openxmlformats.org/spreadsheetml/2006/main" id="14" name="QuestionType_8_Markets_Macro" displayName="QuestionType_8_Markets_Macro" ref="A4:J42"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5.xml><?xml version="1.0" encoding="utf-8"?>
<x:table xmlns:x="http://schemas.openxmlformats.org/spreadsheetml/2006/main" id="15" name="QuestionType_9_Company_Industry_Deals" displayName="QuestionType_9_Company_Industry_Deals" ref="A4:J117"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6.xml><?xml version="1.0" encoding="utf-8"?>
<x:table xmlns:x="http://schemas.openxmlformats.org/spreadsheetml/2006/main" id="16" name="QuestionType_10_Investment_Pitch" displayName="QuestionType_10_Investment_Pitch" ref="A4:J25"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7.xml><?xml version="1.0" encoding="utf-8"?>
<x:table xmlns:x="http://schemas.openxmlformats.org/spreadsheetml/2006/main" id="17" name="QuestionType_11_PE_LBO" displayName="QuestionType_11_PE_LBO" ref="A4:J22"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8.xml><?xml version="1.0" encoding="utf-8"?>
<x:table xmlns:x="http://schemas.openxmlformats.org/spreadsheetml/2006/main" id="18" name="QuestionType_12_Sales_Trading" displayName="QuestionType_12_Sales_Trading" ref="A4:J12"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9.xml><?xml version="1.0" encoding="utf-8"?>
<x:table xmlns:x="http://schemas.openxmlformats.org/spreadsheetml/2006/main" id="19" name="QuestionType_13_Wealth_AM" displayName="QuestionType_13_Wealth_AM" ref="A4:J12"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20.xml><?xml version="1.0" encoding="utf-8"?>
<x:table xmlns:x="http://schemas.openxmlformats.org/spreadsheetml/2006/main" id="20" name="QuestionType_14_Consulting_Case" displayName="QuestionType_14_Consulting_Case" ref="A4:J31"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21.xml><?xml version="1.0" encoding="utf-8"?>
<x:table xmlns:x="http://schemas.openxmlformats.org/spreadsheetml/2006/main" id="21" name="QuestionType_15_Other_Technical" displayName="QuestionType_15_Other_Technical" ref="A4:J27"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22.xml><?xml version="1.0" encoding="utf-8"?>
<x:table xmlns:x="http://schemas.openxmlformats.org/spreadsheetml/2006/main" id="22" name="QuestionType_16_Other_Questions" displayName="QuestionType_16_Other_Questions" ref="A4:J323"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13ab42593a446d" /></Relationships>
</file>

<file path=xl/worksheets/_rels/sheet3.xml.rels>&#65279;<?xml version="1.0" encoding="utf-8"?><Relationships xmlns="http://schemas.openxmlformats.org/package/2006/relationships"><Relationship Type="http://schemas.openxmlformats.org/officeDocument/2006/relationships/table" Target="/xl/tables/table2.xml" Id="R64541390a1c44f64" /></Relationships>
</file>

<file path=xl/worksheets/_rels/sheet4.xml.rels>&#65279;<?xml version="1.0" encoding="utf-8"?><Relationships xmlns="http://schemas.openxmlformats.org/package/2006/relationships"><Relationship Type="http://schemas.openxmlformats.org/officeDocument/2006/relationships/table" Target="/xl/tables/table3.xml" Id="R0f5911b11cf3452b" /></Relationships>
</file>

<file path=xl/worksheets/_rels/sheet5.xml.rels>&#65279;<?xml version="1.0" encoding="utf-8"?><Relationships xmlns="http://schemas.openxmlformats.org/package/2006/relationships"><Relationship Type="http://schemas.openxmlformats.org/officeDocument/2006/relationships/table" Target="/xl/tables/table4.xml" Id="R7c79636b19ce46bc" /></Relationships>
</file>

<file path=xl/worksheets/_rels/sheet6.xml.rels>&#65279;<?xml version="1.0" encoding="utf-8"?><Relationships xmlns="http://schemas.openxmlformats.org/package/2006/relationships"><Relationship Type="http://schemas.openxmlformats.org/officeDocument/2006/relationships/table" Target="/xl/tables/table5.xml" Id="R1b78e3e6226a4e70" /></Relationships>
</file>

<file path=xl/worksheets/_rels/sheet7.xml.rels>&#65279;<?xml version="1.0" encoding="utf-8"?><Relationships xmlns="http://schemas.openxmlformats.org/package/2006/relationships"><Relationship Type="http://schemas.openxmlformats.org/officeDocument/2006/relationships/table" Target="/xl/tables/table6.xml" Id="Reff0374075064f16" /></Relationships>
</file>

<file path=xl/worksheets/_rels/sheet8.xml.rels>&#65279;<?xml version="1.0" encoding="utf-8"?><Relationships xmlns="http://schemas.openxmlformats.org/package/2006/relationships"><Relationship Type="http://schemas.openxmlformats.org/officeDocument/2006/relationships/table" Target="/xl/tables/table7.xml" Id="R2f269e1516e741f7" /></Relationships>
</file>

<file path=xl/worksheets/_rels/sheet9.xml.rels>&#65279;<?xml version="1.0" encoding="utf-8"?><Relationships xmlns="http://schemas.openxmlformats.org/package/2006/relationships"><Relationship Type="http://schemas.openxmlformats.org/officeDocument/2006/relationships/table" Target="/xl/tables/table8.xml" Id="R718f7e1c7b9f4a2c" /></Relationships>
</file>

<file path=xl/worksheets/_rels/sheet10.xml.rels>&#65279;<?xml version="1.0" encoding="utf-8"?><Relationships xmlns="http://schemas.openxmlformats.org/package/2006/relationships"><Relationship Type="http://schemas.openxmlformats.org/officeDocument/2006/relationships/table" Target="/xl/tables/table9.xml" Id="R3334f097c1ef4780" /></Relationships>
</file>

<file path=xl/worksheets/_rels/sheet11.xml.rels>&#65279;<?xml version="1.0" encoding="utf-8"?><Relationships xmlns="http://schemas.openxmlformats.org/package/2006/relationships"><Relationship Type="http://schemas.openxmlformats.org/officeDocument/2006/relationships/table" Target="/xl/tables/table10.xml" Id="Rc14b3ec0839e407d" /></Relationships>
</file>

<file path=xl/worksheets/_rels/sheet12.xml.rels>&#65279;<?xml version="1.0" encoding="utf-8"?><Relationships xmlns="http://schemas.openxmlformats.org/package/2006/relationships"><Relationship Type="http://schemas.openxmlformats.org/officeDocument/2006/relationships/table" Target="/xl/tables/table11.xml" Id="R548ed61d751942b6" /></Relationships>
</file>

<file path=xl/worksheets/_rels/sheet13.xml.rels>&#65279;<?xml version="1.0" encoding="utf-8"?><Relationships xmlns="http://schemas.openxmlformats.org/package/2006/relationships"><Relationship Type="http://schemas.openxmlformats.org/officeDocument/2006/relationships/table" Target="/xl/tables/table12.xml" Id="R72fe49df045c43a3" /></Relationships>
</file>

<file path=xl/worksheets/_rels/sheet14.xml.rels>&#65279;<?xml version="1.0" encoding="utf-8"?><Relationships xmlns="http://schemas.openxmlformats.org/package/2006/relationships"><Relationship Type="http://schemas.openxmlformats.org/officeDocument/2006/relationships/table" Target="/xl/tables/table13.xml" Id="R66b19856e336489c" /></Relationships>
</file>

<file path=xl/worksheets/_rels/sheet15.xml.rels>&#65279;<?xml version="1.0" encoding="utf-8"?><Relationships xmlns="http://schemas.openxmlformats.org/package/2006/relationships"><Relationship Type="http://schemas.openxmlformats.org/officeDocument/2006/relationships/table" Target="/xl/tables/table14.xml" Id="Rf6d65b5a18b4428b" /></Relationships>
</file>

<file path=xl/worksheets/_rels/sheet16.xml.rels>&#65279;<?xml version="1.0" encoding="utf-8"?><Relationships xmlns="http://schemas.openxmlformats.org/package/2006/relationships"><Relationship Type="http://schemas.openxmlformats.org/officeDocument/2006/relationships/table" Target="/xl/tables/table15.xml" Id="Rab99081d1afc4f86" /></Relationships>
</file>

<file path=xl/worksheets/_rels/sheet17.xml.rels>&#65279;<?xml version="1.0" encoding="utf-8"?><Relationships xmlns="http://schemas.openxmlformats.org/package/2006/relationships"><Relationship Type="http://schemas.openxmlformats.org/officeDocument/2006/relationships/table" Target="/xl/tables/table16.xml" Id="Rcd4a2d4f7c96479c" /></Relationships>
</file>

<file path=xl/worksheets/_rels/sheet18.xml.rels>&#65279;<?xml version="1.0" encoding="utf-8"?><Relationships xmlns="http://schemas.openxmlformats.org/package/2006/relationships"><Relationship Type="http://schemas.openxmlformats.org/officeDocument/2006/relationships/table" Target="/xl/tables/table17.xml" Id="R4507604d06e84b93" /></Relationships>
</file>

<file path=xl/worksheets/_rels/sheet19.xml.rels>&#65279;<?xml version="1.0" encoding="utf-8"?><Relationships xmlns="http://schemas.openxmlformats.org/package/2006/relationships"><Relationship Type="http://schemas.openxmlformats.org/officeDocument/2006/relationships/table" Target="/xl/tables/table18.xml" Id="R2cc13e5c33c84906" /></Relationships>
</file>

<file path=xl/worksheets/_rels/sheet20.xml.rels>&#65279;<?xml version="1.0" encoding="utf-8"?><Relationships xmlns="http://schemas.openxmlformats.org/package/2006/relationships"><Relationship Type="http://schemas.openxmlformats.org/officeDocument/2006/relationships/table" Target="/xl/tables/table19.xml" Id="R65674e190d6b4463" /></Relationships>
</file>

<file path=xl/worksheets/_rels/sheet21.xml.rels>&#65279;<?xml version="1.0" encoding="utf-8"?><Relationships xmlns="http://schemas.openxmlformats.org/package/2006/relationships"><Relationship Type="http://schemas.openxmlformats.org/officeDocument/2006/relationships/table" Target="/xl/tables/table20.xml" Id="Rc2c37299f5ac4ade" /></Relationships>
</file>

<file path=xl/worksheets/_rels/sheet22.xml.rels>&#65279;<?xml version="1.0" encoding="utf-8"?><Relationships xmlns="http://schemas.openxmlformats.org/package/2006/relationships"><Relationship Type="http://schemas.openxmlformats.org/officeDocument/2006/relationships/table" Target="/xl/tables/table21.xml" Id="R8a40c0b403ac493b" /></Relationships>
</file>

<file path=xl/worksheets/_rels/sheet23.xml.rels>&#65279;<?xml version="1.0" encoding="utf-8"?><Relationships xmlns="http://schemas.openxmlformats.org/package/2006/relationships"><Relationship Type="http://schemas.openxmlformats.org/officeDocument/2006/relationships/table" Target="/xl/tables/table22.xml" Id="Rb1c2eb74c79b45a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4"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Interview Question Bank - By Question Type</x:v>
      </x:c>
      <x:c r="B1" s="3"/>
      <x:c r="C1" s="3"/>
      <x:c r="D1" s="3"/>
      <x:c r="E1" s="3"/>
      <x:c r="F1" s="3"/>
      <x:c r="G1" s="3"/>
      <x:c r="H1" s="3"/>
    </x:row>
    <x:row r="2" ht="30" customHeight="1">
      <x:c r="A2" s="7" t="str">
        <x:v>Question-type version | MVP v1.1 answer-ready | Source: Interview Question Bank_Master .xlsx</x:v>
      </x:c>
      <x:c r="B2" s="7"/>
      <x:c r="C2" s="7"/>
      <x:c r="D2" s="7"/>
      <x:c r="E2" s="7"/>
      <x:c r="F2" s="7"/>
      <x:c r="G2" s="7"/>
      <x:c r="H2" s="7"/>
    </x:row>
    <x:row r="4">
      <x:c r="A4" s="34" t="str">
        <x:v>MVP scope</x:v>
      </x:c>
      <x:c r="B4" s="34"/>
      <x:c r="C4" s="34"/>
      <x:c r="D4" s="34"/>
      <x:c r="E4" s="34"/>
      <x:c r="F4" s="34"/>
      <x:c r="G4" s="34"/>
      <x:c r="H4" s="34"/>
    </x:row>
    <x:row r="5">
      <x:c r="A5" s="38" t="str">
        <x:v>All 54 source sheets were ingested. Original wording is preserved; similar questions are linked through a canonical question and cluster ID. Answer Bank is the editable source of truth for your responses and future website import.</x:v>
      </x:c>
      <x:c r="B5" s="38"/>
      <x:c r="C5" s="38"/>
      <x:c r="D5" s="38"/>
      <x:c r="E5" s="38"/>
      <x:c r="F5" s="38"/>
      <x:c r="G5" s="38"/>
      <x:c r="H5" s="38"/>
    </x:row>
    <x:row r="6">
      <x:c r="A6" s="38"/>
      <x:c r="B6" s="38"/>
      <x:c r="C6" s="38"/>
      <x:c r="D6" s="38"/>
      <x:c r="E6" s="38"/>
      <x:c r="F6" s="38"/>
      <x:c r="G6" s="38"/>
      <x:c r="H6" s="38"/>
    </x:row>
    <x:row r="7">
      <x:c r="A7" s="38"/>
      <x:c r="B7" s="38"/>
      <x:c r="C7" s="38"/>
      <x:c r="D7" s="38"/>
      <x:c r="E7" s="38"/>
      <x:c r="F7" s="38"/>
      <x:c r="G7" s="38"/>
      <x:c r="H7" s="38"/>
    </x:row>
    <x:row r="9">
      <x:c r="A9" s="47" t="str">
        <x:v>Metric</x:v>
      </x:c>
      <x:c r="B9" s="48" t="str">
        <x:v>Value</x:v>
      </x:c>
      <x:c r="D9" s="56" t="str">
        <x:v>How to use this MVP</x:v>
      </x:c>
      <x:c r="E9" s="56"/>
      <x:c r="F9" s="56"/>
      <x:c r="G9" s="56"/>
      <x:c r="H9" s="56"/>
    </x:row>
    <x:row r="10">
      <x:c r="A10" s="41" t="str">
        <x:v>Source sheets</x:v>
      </x:c>
      <x:c r="B10" s="53" t="n">
        <x:f>COUNTA('Bank Summary'!$A$5:$A$58)</x:f>
        <x:v>54</x:v>
      </x:c>
      <x:c r="D10" s="60" t="str">
        <x:v>Enter and maintain answers only in Answer Bank. Start with Type Summary or Canonical Index. Category tabs are preparation lists; use All Questions when you need every original variant and source.</x:v>
      </x:c>
      <x:c r="E10" s="60"/>
      <x:c r="F10" s="60"/>
      <x:c r="G10" s="60"/>
      <x:c r="H10" s="60"/>
    </x:row>
    <x:row r="11">
      <x:c r="A11" s="41" t="str">
        <x:v>Source entries after line split</x:v>
      </x:c>
      <x:c r="B11" s="53" t="n">
        <x:f>COUNTA('All Questions'!$A$5:$A$1725)+COUNTA('Interview Notes'!$A$5:$A$1287)</x:f>
        <x:v>3004</x:v>
      </x:c>
      <x:c r="D11" s="60"/>
      <x:c r="E11" s="60"/>
      <x:c r="F11" s="60"/>
      <x:c r="G11" s="60"/>
      <x:c r="H11" s="60"/>
    </x:row>
    <x:row r="12">
      <x:c r="A12" s="41" t="str">
        <x:v>Questions</x:v>
      </x:c>
      <x:c r="B12" s="53" t="n">
        <x:f>COUNTA('All Questions'!$A$5:$A$1725)</x:f>
        <x:v>1721</x:v>
      </x:c>
      <x:c r="D12" s="60"/>
      <x:c r="E12" s="60"/>
      <x:c r="F12" s="60"/>
      <x:c r="G12" s="60"/>
      <x:c r="H12" s="60"/>
    </x:row>
    <x:row r="13">
      <x:c r="A13" s="41" t="str">
        <x:v>Canonical question clusters</x:v>
      </x:c>
      <x:c r="B13" s="53" t="n">
        <x:f>COUNTA('Canonical Index'!$A$5:$A$1262)</x:f>
        <x:v>1258</x:v>
      </x:c>
      <x:c r="D13" s="60"/>
      <x:c r="E13" s="60"/>
      <x:c r="F13" s="60"/>
      <x:c r="G13" s="60"/>
      <x:c r="H13" s="60"/>
    </x:row>
    <x:row r="14">
      <x:c r="A14" s="41" t="str">
        <x:v>Duplicate occurrences</x:v>
      </x:c>
      <x:c r="B14" s="53" t="n">
        <x:f>B12-B13</x:f>
        <x:v>463</x:v>
      </x:c>
      <x:c r="D14" s="60"/>
      <x:c r="E14" s="60"/>
      <x:c r="F14" s="60"/>
      <x:c r="G14" s="60"/>
      <x:c r="H14" s="60"/>
    </x:row>
    <x:row r="15">
      <x:c r="A15" s="41" t="str">
        <x:v>Answers started</x:v>
      </x:c>
      <x:c r="B15" s="53" t="n">
        <x:f>COUNTIF('Answer Bank'!$F$5:$F$1262,"&lt;&gt;Not Started")</x:f>
        <x:v>0</x:v>
      </x:c>
      <x:c r="D15" s="60"/>
      <x:c r="E15" s="60"/>
      <x:c r="F15" s="60"/>
      <x:c r="G15" s="60"/>
      <x:c r="H15" s="60"/>
    </x:row>
    <x:row r="16">
      <x:c r="A16" s="43" t="str">
        <x:v>Website-ready answers</x:v>
      </x:c>
      <x:c r="B16" s="54" t="n">
        <x:f>COUNTIF('Answer Bank'!$H$5:$H$1262,"Yes")</x:f>
        <x:v>0</x:v>
      </x:c>
      <x:c r="D16" s="60"/>
      <x:c r="E16" s="60"/>
      <x:c r="F16" s="60"/>
      <x:c r="G16" s="60"/>
      <x:c r="H16" s="60"/>
    </x:row>
    <x:row r="18">
      <x:c r="A18" s="61" t="str">
        <x:v>Classification and answer note</x:v>
      </x:c>
      <x:c r="B18" s="61"/>
      <x:c r="C18" s="61"/>
      <x:c r="D18" s="61"/>
      <x:c r="E18" s="61"/>
      <x:c r="F18" s="61"/>
      <x:c r="G18" s="61"/>
      <x:c r="H18" s="61"/>
    </x:row>
    <x:row r="19">
      <x:c r="A19" s="65" t="str">
        <x:v>This is an automated MVP classification, designed for review before a final editorial pass. Canonical questions merge common synonyms, while source wording and source cells remain the audit trail. Yellow cells in Answer Bank are the only editable answer fields.</x:v>
      </x:c>
      <x:c r="B19" s="65"/>
      <x:c r="C19" s="65"/>
      <x:c r="D19" s="65"/>
      <x:c r="E19" s="65"/>
      <x:c r="F19" s="65"/>
      <x:c r="G19" s="65"/>
      <x:c r="H19" s="65"/>
    </x:row>
    <x:row r="20">
      <x:c r="A20" s="65"/>
      <x:c r="B20" s="65"/>
      <x:c r="C20" s="65"/>
      <x:c r="D20" s="65"/>
      <x:c r="E20" s="65"/>
      <x:c r="F20" s="65"/>
      <x:c r="G20" s="65"/>
      <x:c r="H20" s="65"/>
    </x:row>
    <x:row r="21">
      <x:c r="A21" s="65"/>
      <x:c r="B21" s="65"/>
      <x:c r="C21" s="65"/>
      <x:c r="D21" s="65"/>
      <x:c r="E21" s="65"/>
      <x:c r="F21" s="65"/>
      <x:c r="G21" s="65"/>
      <x:c r="H21" s="65"/>
    </x:row>
    <x:row r="22">
      <x:c r="A22" s="65"/>
      <x:c r="B22" s="65"/>
      <x:c r="C22" s="65"/>
      <x:c r="D22" s="65"/>
      <x:c r="E22" s="65"/>
      <x:c r="F22" s="65"/>
      <x:c r="G22" s="65"/>
      <x:c r="H22" s="65"/>
    </x:row>
  </x:sheetData>
  <x:mergeCells>
    <x:mergeCell ref="A1:H1"/>
    <x:mergeCell ref="A2:H2"/>
    <x:mergeCell ref="A4:H4"/>
    <x:mergeCell ref="A5:H7"/>
    <x:mergeCell ref="D9:H9"/>
    <x:mergeCell ref="D10:H16"/>
    <x:mergeCell ref="A18:H18"/>
    <x:mergeCell ref="A19: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20" hidden="0" customWidth="1"/>
    <x:col min="4" max="4" width="18" hidden="0" customWidth="1"/>
    <x:col min="5" max="5" width="22" hidden="0" customWidth="1"/>
    <x:col min="6" max="6" width="20" hidden="0" customWidth="1"/>
  </x:cols>
  <x:sheetData>
    <x:row r="1" ht="34" customHeight="1">
      <x:c r="A1" s="3" t="str">
        <x:v>Bank / Team Summary</x:v>
      </x:c>
      <x:c r="B1" s="3"/>
      <x:c r="C1" s="3"/>
      <x:c r="D1" s="3"/>
      <x:c r="E1" s="3"/>
      <x:c r="F1" s="3"/>
    </x:row>
    <x:row r="2" ht="30" customHeight="1">
      <x:c r="A2" s="7" t="str">
        <x:v>Coverage by source sheet. Counts are formula-driven from All Questions and Interview Notes.</x:v>
      </x:c>
      <x:c r="B2" s="7"/>
      <x:c r="C2" s="7"/>
      <x:c r="D2" s="7"/>
      <x:c r="E2" s="7"/>
      <x:c r="F2" s="7"/>
    </x:row>
    <x:row r="4" ht="28" customHeight="1">
      <x:c r="A4" s="27" t="str">
        <x:v>Source Bank / Team</x:v>
      </x:c>
      <x:c r="B4" s="28" t="str">
        <x:v>Questions</x:v>
      </x:c>
      <x:c r="C4" s="28" t="str">
        <x:v>Duplicate Occurrences</x:v>
      </x:c>
      <x:c r="D4" s="28" t="str">
        <x:v>Notes / Metadata</x:v>
      </x:c>
      <x:c r="E4" s="28" t="str">
        <x:v>Division</x:v>
      </x:c>
      <x:c r="F4" s="29" t="str">
        <x:v>Coverage Status</x:v>
      </x:c>
    </x:row>
    <x:row r="5">
      <x:c r="A5" s="30" t="str">
        <x:v>IBDGCM &gt;&gt;&gt;</x:v>
      </x:c>
      <x:c r="B5" s="32" t="n">
        <x:f>COUNTIF('All Questions'!$B$5:$B$1725,A5)</x:f>
        <x:v>0</x:v>
      </x:c>
      <x:c r="C5" s="32" t="n">
        <x:f>COUNTIFS('All Questions'!$B$5:$B$1725,A5,'All Questions'!$H$5:$H$1725,"&gt;1")</x:f>
        <x:v>0</x:v>
      </x:c>
      <x:c r="D5" s="32" t="n">
        <x:f>COUNTIF('Interview Notes'!$A$5:$A$1287,A5)</x:f>
        <x:v>12</x:v>
      </x:c>
      <x:c r="E5" s="30" t="str">
        <x:v>Separator / Other</x:v>
      </x:c>
      <x:c r="F5" s="30" t="str">
        <x:f>IF(B5+D5&gt;0,"Covered","Empty source sheet")</x:f>
        <x:v>Covered</x:v>
      </x:c>
    </x:row>
    <x:row r="6">
      <x:c r="A6" s="30" t="str">
        <x:v>MS IBD</x:v>
      </x:c>
      <x:c r="B6" s="32" t="n">
        <x:f>COUNTIF('All Questions'!$B$5:$B$1725,A6)</x:f>
        <x:v>155</x:v>
      </x:c>
      <x:c r="C6" s="32" t="n">
        <x:f>COUNTIFS('All Questions'!$B$5:$B$1725,A6,'All Questions'!$H$5:$H$1725,"&gt;1")</x:f>
        <x:v>54</x:v>
      </x:c>
      <x:c r="D6" s="32" t="n">
        <x:f>COUNTIF('Interview Notes'!$A$5:$A$1287,A6)</x:f>
        <x:v>68</x:v>
      </x:c>
      <x:c r="E6" s="30" t="str">
        <x:v>IBD / GCM</x:v>
      </x:c>
      <x:c r="F6" s="30" t="str">
        <x:f>IF(B6+D6&gt;0,"Covered","Empty source sheet")</x:f>
        <x:v>Covered</x:v>
      </x:c>
    </x:row>
    <x:row r="7">
      <x:c r="A7" s="30" t="str">
        <x:v>MS GCM</x:v>
      </x:c>
      <x:c r="B7" s="32" t="n">
        <x:f>COUNTIF('All Questions'!$B$5:$B$1725,A7)</x:f>
        <x:v>118</x:v>
      </x:c>
      <x:c r="C7" s="32" t="n">
        <x:f>COUNTIFS('All Questions'!$B$5:$B$1725,A7,'All Questions'!$H$5:$H$1725,"&gt;1")</x:f>
        <x:v>67</x:v>
      </x:c>
      <x:c r="D7" s="32" t="n">
        <x:f>COUNTIF('Interview Notes'!$A$5:$A$1287,A7)</x:f>
        <x:v>72</x:v>
      </x:c>
      <x:c r="E7" s="30" t="str">
        <x:v>IBD / GCM</x:v>
      </x:c>
      <x:c r="F7" s="30" t="str">
        <x:f>IF(B7+D7&gt;0,"Covered","Empty source sheet")</x:f>
        <x:v>Covered</x:v>
      </x:c>
    </x:row>
    <x:row r="8">
      <x:c r="A8" s="30" t="str">
        <x:v>UBS IBD</x:v>
      </x:c>
      <x:c r="B8" s="32" t="n">
        <x:f>COUNTIF('All Questions'!$B$5:$B$1725,A8)</x:f>
        <x:v>93</x:v>
      </x:c>
      <x:c r="C8" s="32" t="n">
        <x:f>COUNTIFS('All Questions'!$B$5:$B$1725,A8,'All Questions'!$H$5:$H$1725,"&gt;1")</x:f>
        <x:v>29</x:v>
      </x:c>
      <x:c r="D8" s="32" t="n">
        <x:f>COUNTIF('Interview Notes'!$A$5:$A$1287,A8)</x:f>
        <x:v>53</x:v>
      </x:c>
      <x:c r="E8" s="30" t="str">
        <x:v>IBD / GCM</x:v>
      </x:c>
      <x:c r="F8" s="30" t="str">
        <x:f>IF(B8+D8&gt;0,"Covered","Empty source sheet")</x:f>
        <x:v>Covered</x:v>
      </x:c>
    </x:row>
    <x:row r="9">
      <x:c r="A9" s="30" t="str">
        <x:v>Deutsche</x:v>
      </x:c>
      <x:c r="B9" s="32" t="n">
        <x:f>COUNTIF('All Questions'!$B$5:$B$1725,A9)</x:f>
        <x:v>191</x:v>
      </x:c>
      <x:c r="C9" s="32" t="n">
        <x:f>COUNTIFS('All Questions'!$B$5:$B$1725,A9,'All Questions'!$H$5:$H$1725,"&gt;1")</x:f>
        <x:v>70</x:v>
      </x:c>
      <x:c r="D9" s="32" t="n">
        <x:f>COUNTIF('Interview Notes'!$A$5:$A$1287,A9)</x:f>
        <x:v>95</x:v>
      </x:c>
      <x:c r="E9" s="30" t="str">
        <x:v>IBD / GCM</x:v>
      </x:c>
      <x:c r="F9" s="30" t="str">
        <x:f>IF(B9+D9&gt;0,"Covered","Empty source sheet")</x:f>
        <x:v>Covered</x:v>
      </x:c>
    </x:row>
    <x:row r="10">
      <x:c r="A10" s="30" t="str">
        <x:v>Citi</x:v>
      </x:c>
      <x:c r="B10" s="32" t="n">
        <x:f>COUNTIF('All Questions'!$B$5:$B$1725,A10)</x:f>
        <x:v>43</x:v>
      </x:c>
      <x:c r="C10" s="32" t="n">
        <x:f>COUNTIFS('All Questions'!$B$5:$B$1725,A10,'All Questions'!$H$5:$H$1725,"&gt;1")</x:f>
        <x:v>11</x:v>
      </x:c>
      <x:c r="D10" s="32" t="n">
        <x:f>COUNTIF('Interview Notes'!$A$5:$A$1287,A10)</x:f>
        <x:v>28</x:v>
      </x:c>
      <x:c r="E10" s="30" t="str">
        <x:v>IBD / GCM</x:v>
      </x:c>
      <x:c r="F10" s="30" t="str">
        <x:f>IF(B10+D10&gt;0,"Covered","Empty source sheet")</x:f>
        <x:v>Covered</x:v>
      </x:c>
    </x:row>
    <x:row r="11">
      <x:c r="A11" s="30" t="str">
        <x:v>Barclays</x:v>
      </x:c>
      <x:c r="B11" s="32" t="n">
        <x:f>COUNTIF('All Questions'!$B$5:$B$1725,A11)</x:f>
        <x:v>136</x:v>
      </x:c>
      <x:c r="C11" s="32" t="n">
        <x:f>COUNTIFS('All Questions'!$B$5:$B$1725,A11,'All Questions'!$H$5:$H$1725,"&gt;1")</x:f>
        <x:v>43</x:v>
      </x:c>
      <x:c r="D11" s="32" t="n">
        <x:f>COUNTIF('Interview Notes'!$A$5:$A$1287,A11)</x:f>
        <x:v>84</x:v>
      </x:c>
      <x:c r="E11" s="30" t="str">
        <x:v>IBD / GCM</x:v>
      </x:c>
      <x:c r="F11" s="30" t="str">
        <x:f>IF(B11+D11&gt;0,"Covered","Empty source sheet")</x:f>
        <x:v>Covered</x:v>
      </x:c>
    </x:row>
    <x:row r="12">
      <x:c r="A12" s="30" t="str">
        <x:v>GS DCMECM</x:v>
      </x:c>
      <x:c r="B12" s="32" t="n">
        <x:f>COUNTIF('All Questions'!$B$5:$B$1725,A12)</x:f>
        <x:v>42</x:v>
      </x:c>
      <x:c r="C12" s="32" t="n">
        <x:f>COUNTIFS('All Questions'!$B$5:$B$1725,A12,'All Questions'!$H$5:$H$1725,"&gt;1")</x:f>
        <x:v>15</x:v>
      </x:c>
      <x:c r="D12" s="32" t="n">
        <x:f>COUNTIF('Interview Notes'!$A$5:$A$1287,A12)</x:f>
        <x:v>51</x:v>
      </x:c>
      <x:c r="E12" s="30" t="str">
        <x:v>IBD / GCM</x:v>
      </x:c>
      <x:c r="F12" s="30" t="str">
        <x:f>IF(B12+D12&gt;0,"Covered","Empty source sheet")</x:f>
        <x:v>Covered</x:v>
      </x:c>
    </x:row>
    <x:row r="13">
      <x:c r="A13" s="30" t="str">
        <x:v>Bofa IBD</x:v>
      </x:c>
      <x:c r="B13" s="32" t="n">
        <x:f>COUNTIF('All Questions'!$B$5:$B$1725,A13)</x:f>
        <x:v>132</x:v>
      </x:c>
      <x:c r="C13" s="32" t="n">
        <x:f>COUNTIFS('All Questions'!$B$5:$B$1725,A13,'All Questions'!$H$5:$H$1725,"&gt;1")</x:f>
        <x:v>32</x:v>
      </x:c>
      <x:c r="D13" s="32" t="n">
        <x:f>COUNTIF('Interview Notes'!$A$5:$A$1287,A13)</x:f>
        <x:v>43</x:v>
      </x:c>
      <x:c r="E13" s="30" t="str">
        <x:v>IBD / GCM</x:v>
      </x:c>
      <x:c r="F13" s="30" t="str">
        <x:f>IF(B13+D13&gt;0,"Covered","Empty source sheet")</x:f>
        <x:v>Covered</x:v>
      </x:c>
    </x:row>
    <x:row r="14">
      <x:c r="A14" s="30" t="str">
        <x:v>Bofa GCM</x:v>
      </x:c>
      <x:c r="B14" s="32" t="n">
        <x:f>COUNTIF('All Questions'!$B$5:$B$1725,A14)</x:f>
        <x:v>19</x:v>
      </x:c>
      <x:c r="C14" s="32" t="n">
        <x:f>COUNTIFS('All Questions'!$B$5:$B$1725,A14,'All Questions'!$H$5:$H$1725,"&gt;1")</x:f>
        <x:v>9</x:v>
      </x:c>
      <x:c r="D14" s="32" t="n">
        <x:f>COUNTIF('Interview Notes'!$A$5:$A$1287,A14)</x:f>
        <x:v>33</x:v>
      </x:c>
      <x:c r="E14" s="30" t="str">
        <x:v>IBD / GCM</x:v>
      </x:c>
      <x:c r="F14" s="30" t="str">
        <x:f>IF(B14+D14&gt;0,"Covered","Empty source sheet")</x:f>
        <x:v>Covered</x:v>
      </x:c>
    </x:row>
    <x:row r="15">
      <x:c r="A15" s="30" t="str">
        <x:v>JPM</x:v>
      </x:c>
      <x:c r="B15" s="32" t="n">
        <x:f>COUNTIF('All Questions'!$B$5:$B$1725,A15)</x:f>
        <x:v>25</x:v>
      </x:c>
      <x:c r="C15" s="32" t="n">
        <x:f>COUNTIFS('All Questions'!$B$5:$B$1725,A15,'All Questions'!$H$5:$H$1725,"&gt;1")</x:f>
        <x:v>4</x:v>
      </x:c>
      <x:c r="D15" s="32" t="n">
        <x:f>COUNTIF('Interview Notes'!$A$5:$A$1287,A15)</x:f>
        <x:v>32</x:v>
      </x:c>
      <x:c r="E15" s="30" t="str">
        <x:v>IBD / GCM</x:v>
      </x:c>
      <x:c r="F15" s="30" t="str">
        <x:f>IF(B15+D15&gt;0,"Covered","Empty source sheet")</x:f>
        <x:v>Covered</x:v>
      </x:c>
    </x:row>
    <x:row r="16">
      <x:c r="A16" s="30" t="str">
        <x:v>Grant Samuel</x:v>
      </x:c>
      <x:c r="B16" s="32" t="n">
        <x:f>COUNTIF('All Questions'!$B$5:$B$1725,A16)</x:f>
        <x:v>17</x:v>
      </x:c>
      <x:c r="C16" s="32" t="n">
        <x:f>COUNTIFS('All Questions'!$B$5:$B$1725,A16,'All Questions'!$H$5:$H$1725,"&gt;1")</x:f>
        <x:v>5</x:v>
      </x:c>
      <x:c r="D16" s="32" t="n">
        <x:f>COUNTIF('Interview Notes'!$A$5:$A$1287,A16)</x:f>
        <x:v>11</x:v>
      </x:c>
      <x:c r="E16" s="30" t="str">
        <x:v>IBD / GCM</x:v>
      </x:c>
      <x:c r="F16" s="30" t="str">
        <x:f>IF(B16+D16&gt;0,"Covered","Empty source sheet")</x:f>
        <x:v>Covered</x:v>
      </x:c>
    </x:row>
    <x:row r="17">
      <x:c r="A17" s="30" t="str">
        <x:v>Moelis</x:v>
      </x:c>
      <x:c r="B17" s="32" t="n">
        <x:f>COUNTIF('All Questions'!$B$5:$B$1725,A17)</x:f>
        <x:v>36</x:v>
      </x:c>
      <x:c r="C17" s="32" t="n">
        <x:f>COUNTIFS('All Questions'!$B$5:$B$1725,A17,'All Questions'!$H$5:$H$1725,"&gt;1")</x:f>
        <x:v>10</x:v>
      </x:c>
      <x:c r="D17" s="32" t="n">
        <x:f>COUNTIF('Interview Notes'!$A$5:$A$1287,A17)</x:f>
        <x:v>13</x:v>
      </x:c>
      <x:c r="E17" s="30" t="str">
        <x:v>IBD / GCM</x:v>
      </x:c>
      <x:c r="F17" s="30" t="str">
        <x:f>IF(B17+D17&gt;0,"Covered","Empty source sheet")</x:f>
        <x:v>Covered</x:v>
      </x:c>
    </x:row>
    <x:row r="18">
      <x:c r="A18" s="30" t="str">
        <x:v>Jefferies</x:v>
      </x:c>
      <x:c r="B18" s="32" t="n">
        <x:f>COUNTIF('All Questions'!$B$5:$B$1725,A18)</x:f>
        <x:v>48</x:v>
      </x:c>
      <x:c r="C18" s="32" t="n">
        <x:f>COUNTIFS('All Questions'!$B$5:$B$1725,A18,'All Questions'!$H$5:$H$1725,"&gt;1")</x:f>
        <x:v>11</x:v>
      </x:c>
      <x:c r="D18" s="32" t="n">
        <x:f>COUNTIF('Interview Notes'!$A$5:$A$1287,A18)</x:f>
        <x:v>25</x:v>
      </x:c>
      <x:c r="E18" s="30" t="str">
        <x:v>IBD / GCM</x:v>
      </x:c>
      <x:c r="F18" s="30" t="str">
        <x:f>IF(B18+D18&gt;0,"Covered","Empty source sheet")</x:f>
        <x:v>Covered</x:v>
      </x:c>
    </x:row>
    <x:row r="19">
      <x:c r="A19" s="30" t="str">
        <x:v>BNP Paribas</x:v>
      </x:c>
      <x:c r="B19" s="32" t="n">
        <x:f>COUNTIF('All Questions'!$B$5:$B$1725,A19)</x:f>
        <x:v>69</x:v>
      </x:c>
      <x:c r="C19" s="32" t="n">
        <x:f>COUNTIFS('All Questions'!$B$5:$B$1725,A19,'All Questions'!$H$5:$H$1725,"&gt;1")</x:f>
        <x:v>14</x:v>
      </x:c>
      <x:c r="D19" s="32" t="n">
        <x:f>COUNTIF('Interview Notes'!$A$5:$A$1287,A19)</x:f>
        <x:v>59</x:v>
      </x:c>
      <x:c r="E19" s="30" t="str">
        <x:v>IBD / GCM</x:v>
      </x:c>
      <x:c r="F19" s="30" t="str">
        <x:f>IF(B19+D19&gt;0,"Covered","Empty source sheet")</x:f>
        <x:v>Covered</x:v>
      </x:c>
    </x:row>
    <x:row r="20">
      <x:c r="A20" s="30" t="str">
        <x:v>HSBC</x:v>
      </x:c>
      <x:c r="B20" s="32" t="n">
        <x:f>COUNTIF('All Questions'!$B$5:$B$1725,A20)</x:f>
        <x:v>39</x:v>
      </x:c>
      <x:c r="C20" s="32" t="n">
        <x:f>COUNTIFS('All Questions'!$B$5:$B$1725,A20,'All Questions'!$H$5:$H$1725,"&gt;1")</x:f>
        <x:v>12</x:v>
      </x:c>
      <x:c r="D20" s="32" t="n">
        <x:f>COUNTIF('Interview Notes'!$A$5:$A$1287,A20)</x:f>
        <x:v>40</x:v>
      </x:c>
      <x:c r="E20" s="30" t="str">
        <x:v>IBD / GCM</x:v>
      </x:c>
      <x:c r="F20" s="30" t="str">
        <x:f>IF(B20+D20&gt;0,"Covered","Empty source sheet")</x:f>
        <x:v>Covered</x:v>
      </x:c>
    </x:row>
    <x:row r="21">
      <x:c r="A21" s="30" t="str">
        <x:v>Lazard</x:v>
      </x:c>
      <x:c r="B21" s="32" t="n">
        <x:f>COUNTIF('All Questions'!$B$5:$B$1725,A21)</x:f>
        <x:v>60</x:v>
      </x:c>
      <x:c r="C21" s="32" t="n">
        <x:f>COUNTIFS('All Questions'!$B$5:$B$1725,A21,'All Questions'!$H$5:$H$1725,"&gt;1")</x:f>
        <x:v>17</x:v>
      </x:c>
      <x:c r="D21" s="32" t="n">
        <x:f>COUNTIF('Interview Notes'!$A$5:$A$1287,A21)</x:f>
        <x:v>40</x:v>
      </x:c>
      <x:c r="E21" s="30" t="str">
        <x:v>IBD / GCM</x:v>
      </x:c>
      <x:c r="F21" s="30" t="str">
        <x:f>IF(B21+D21&gt;0,"Covered","Empty source sheet")</x:f>
        <x:v>Covered</x:v>
      </x:c>
    </x:row>
    <x:row r="22">
      <x:c r="A22" s="30" t="str">
        <x:v>Greenhill</x:v>
      </x:c>
      <x:c r="B22" s="32" t="n">
        <x:f>COUNTIF('All Questions'!$B$5:$B$1725,A22)</x:f>
        <x:v>7</x:v>
      </x:c>
      <x:c r="C22" s="32" t="n">
        <x:f>COUNTIFS('All Questions'!$B$5:$B$1725,A22,'All Questions'!$H$5:$H$1725,"&gt;1")</x:f>
        <x:v>6</x:v>
      </x:c>
      <x:c r="D22" s="32" t="n">
        <x:f>COUNTIF('Interview Notes'!$A$5:$A$1287,A22)</x:f>
        <x:v>4</x:v>
      </x:c>
      <x:c r="E22" s="30" t="str">
        <x:v>IBD / GCM</x:v>
      </x:c>
      <x:c r="F22" s="30" t="str">
        <x:f>IF(B22+D22&gt;0,"Covered","Empty source sheet")</x:f>
        <x:v>Covered</x:v>
      </x:c>
    </x:row>
    <x:row r="23">
      <x:c r="A23" s="30" t="str">
        <x:v>Nomura</x:v>
      </x:c>
      <x:c r="B23" s="32" t="n">
        <x:f>COUNTIF('All Questions'!$B$5:$B$1725,A23)</x:f>
        <x:v>90</x:v>
      </x:c>
      <x:c r="C23" s="32" t="n">
        <x:f>COUNTIFS('All Questions'!$B$5:$B$1725,A23,'All Questions'!$H$5:$H$1725,"&gt;1")</x:f>
        <x:v>26</x:v>
      </x:c>
      <x:c r="D23" s="32" t="n">
        <x:f>COUNTIF('Interview Notes'!$A$5:$A$1287,A23)</x:f>
        <x:v>58</x:v>
      </x:c>
      <x:c r="E23" s="30" t="str">
        <x:v>IBD / GCM</x:v>
      </x:c>
      <x:c r="F23" s="30" t="str">
        <x:f>IF(B23+D23&gt;0,"Covered","Empty source sheet")</x:f>
        <x:v>Covered</x:v>
      </x:c>
    </x:row>
    <x:row r="24">
      <x:c r="A24" s="30" t="str">
        <x:v>Houlihan Lokey</x:v>
      </x:c>
      <x:c r="B24" s="32" t="n">
        <x:f>COUNTIF('All Questions'!$B$5:$B$1725,A24)</x:f>
        <x:v>24</x:v>
      </x:c>
      <x:c r="C24" s="32" t="n">
        <x:f>COUNTIFS('All Questions'!$B$5:$B$1725,A24,'All Questions'!$H$5:$H$1725,"&gt;1")</x:f>
        <x:v>5</x:v>
      </x:c>
      <x:c r="D24" s="32" t="n">
        <x:f>COUNTIF('Interview Notes'!$A$5:$A$1287,A24)</x:f>
        <x:v>9</x:v>
      </x:c>
      <x:c r="E24" s="30" t="str">
        <x:v>IBD / GCM</x:v>
      </x:c>
      <x:c r="F24" s="30" t="str">
        <x:f>IF(B24+D24&gt;0,"Covered","Empty source sheet")</x:f>
        <x:v>Covered</x:v>
      </x:c>
    </x:row>
    <x:row r="25">
      <x:c r="A25" s="30" t="str">
        <x:v>PWMAM</x:v>
      </x:c>
      <x:c r="B25" s="32" t="n">
        <x:f>COUNTIF('All Questions'!$B$5:$B$1725,A25)</x:f>
        <x:v>0</x:v>
      </x:c>
      <x:c r="C25" s="32" t="n">
        <x:f>COUNTIFS('All Questions'!$B$5:$B$1725,A25,'All Questions'!$H$5:$H$1725,"&gt;1")</x:f>
        <x:v>0</x:v>
      </x:c>
      <x:c r="D25" s="32" t="n">
        <x:f>COUNTIF('Interview Notes'!$A$5:$A$1287,A25)</x:f>
        <x:v>12</x:v>
      </x:c>
      <x:c r="E25" s="30" t="str">
        <x:v>Separator / Other</x:v>
      </x:c>
      <x:c r="F25" s="30" t="str">
        <x:f>IF(B25+D25&gt;0,"Covered","Empty source sheet")</x:f>
        <x:v>Covered</x:v>
      </x:c>
    </x:row>
    <x:row r="26">
      <x:c r="A26" s="30" t="str">
        <x:v>GS PWM</x:v>
      </x:c>
      <x:c r="B26" s="32" t="n">
        <x:f>COUNTIF('All Questions'!$B$5:$B$1725,A26)</x:f>
        <x:v>19</x:v>
      </x:c>
      <x:c r="C26" s="32" t="n">
        <x:f>COUNTIFS('All Questions'!$B$5:$B$1725,A26,'All Questions'!$H$5:$H$1725,"&gt;1")</x:f>
        <x:v>2</x:v>
      </x:c>
      <x:c r="D26" s="32" t="n">
        <x:f>COUNTIF('Interview Notes'!$A$5:$A$1287,A26)</x:f>
        <x:v>38</x:v>
      </x:c>
      <x:c r="E26" s="30" t="str">
        <x:v>PWM / AM</x:v>
      </x:c>
      <x:c r="F26" s="30" t="str">
        <x:f>IF(B26+D26&gt;0,"Covered","Empty source sheet")</x:f>
        <x:v>Covered</x:v>
      </x:c>
    </x:row>
    <x:row r="27">
      <x:c r="A27" s="30" t="str">
        <x:v>JPM PB</x:v>
      </x:c>
      <x:c r="B27" s="32" t="n">
        <x:f>COUNTIF('All Questions'!$B$5:$B$1725,A27)</x:f>
        <x:v>16</x:v>
      </x:c>
      <x:c r="C27" s="32" t="n">
        <x:f>COUNTIFS('All Questions'!$B$5:$B$1725,A27,'All Questions'!$H$5:$H$1725,"&gt;1")</x:f>
        <x:v>2</x:v>
      </x:c>
      <x:c r="D27" s="32" t="n">
        <x:f>COUNTIF('Interview Notes'!$A$5:$A$1287,A27)</x:f>
        <x:v>23</x:v>
      </x:c>
      <x:c r="E27" s="30" t="str">
        <x:v>PWM / AM</x:v>
      </x:c>
      <x:c r="F27" s="30" t="str">
        <x:f>IF(B27+D27&gt;0,"Covered","Empty source sheet")</x:f>
        <x:v>Covered</x:v>
      </x:c>
    </x:row>
    <x:row r="28">
      <x:c r="A28" s="30" t="str">
        <x:v>JPM AM</x:v>
      </x:c>
      <x:c r="B28" s="32" t="n">
        <x:f>COUNTIF('All Questions'!$B$5:$B$1725,A28)</x:f>
        <x:v>33</x:v>
      </x:c>
      <x:c r="C28" s="32" t="n">
        <x:f>COUNTIFS('All Questions'!$B$5:$B$1725,A28,'All Questions'!$H$5:$H$1725,"&gt;1")</x:f>
        <x:v>5</x:v>
      </x:c>
      <x:c r="D28" s="32" t="n">
        <x:f>COUNTIF('Interview Notes'!$A$5:$A$1287,A28)</x:f>
        <x:v>28</x:v>
      </x:c>
      <x:c r="E28" s="30" t="str">
        <x:v>PWM / AM</x:v>
      </x:c>
      <x:c r="F28" s="30" t="str">
        <x:f>IF(B28+D28&gt;0,"Covered","Empty source sheet")</x:f>
        <x:v>Covered</x:v>
      </x:c>
    </x:row>
    <x:row r="29">
      <x:c r="A29" s="30" t="str">
        <x:v>Citi PB</x:v>
      </x:c>
      <x:c r="B29" s="32" t="n">
        <x:f>COUNTIF('All Questions'!$B$5:$B$1725,A29)</x:f>
        <x:v>5</x:v>
      </x:c>
      <x:c r="C29" s="32" t="n">
        <x:f>COUNTIFS('All Questions'!$B$5:$B$1725,A29,'All Questions'!$H$5:$H$1725,"&gt;1")</x:f>
        <x:v>0</x:v>
      </x:c>
      <x:c r="D29" s="32" t="n">
        <x:f>COUNTIF('Interview Notes'!$A$5:$A$1287,A29)</x:f>
        <x:v>3</x:v>
      </x:c>
      <x:c r="E29" s="30" t="str">
        <x:v>PWM / AM</x:v>
      </x:c>
      <x:c r="F29" s="30" t="str">
        <x:f>IF(B29+D29&gt;0,"Covered","Empty source sheet")</x:f>
        <x:v>Covered</x:v>
      </x:c>
    </x:row>
    <x:row r="30">
      <x:c r="A30" s="30" t="str">
        <x:v>HSBC PB</x:v>
      </x:c>
      <x:c r="B30" s="32" t="n">
        <x:f>COUNTIF('All Questions'!$B$5:$B$1725,A30)</x:f>
        <x:v>5</x:v>
      </x:c>
      <x:c r="C30" s="32" t="n">
        <x:f>COUNTIFS('All Questions'!$B$5:$B$1725,A30,'All Questions'!$H$5:$H$1725,"&gt;1")</x:f>
        <x:v>1</x:v>
      </x:c>
      <x:c r="D30" s="32" t="n">
        <x:f>COUNTIF('Interview Notes'!$A$5:$A$1287,A30)</x:f>
        <x:v>10</x:v>
      </x:c>
      <x:c r="E30" s="30" t="str">
        <x:v>PWM / AM</x:v>
      </x:c>
      <x:c r="F30" s="30" t="str">
        <x:f>IF(B30+D30&gt;0,"Covered","Empty source sheet")</x:f>
        <x:v>Covered</x:v>
      </x:c>
    </x:row>
    <x:row r="31">
      <x:c r="A31" s="30" t="str">
        <x:v>BlackRock</x:v>
      </x:c>
      <x:c r="B31" s="32" t="n">
        <x:f>COUNTIF('All Questions'!$B$5:$B$1725,A31)</x:f>
        <x:v>24</x:v>
      </x:c>
      <x:c r="C31" s="32" t="n">
        <x:f>COUNTIFS('All Questions'!$B$5:$B$1725,A31,'All Questions'!$H$5:$H$1725,"&gt;1")</x:f>
        <x:v>5</x:v>
      </x:c>
      <x:c r="D31" s="32" t="n">
        <x:f>COUNTIF('Interview Notes'!$A$5:$A$1287,A31)</x:f>
        <x:v>24</x:v>
      </x:c>
      <x:c r="E31" s="30" t="str">
        <x:v>PWM / AM</x:v>
      </x:c>
      <x:c r="F31" s="30" t="str">
        <x:f>IF(B31+D31&gt;0,"Covered","Empty source sheet")</x:f>
        <x:v>Covered</x:v>
      </x:c>
    </x:row>
    <x:row r="32">
      <x:c r="A32" s="30" t="str">
        <x:v>Consulting</x:v>
      </x:c>
      <x:c r="B32" s="32" t="n">
        <x:f>COUNTIF('All Questions'!$B$5:$B$1725,A32)</x:f>
        <x:v>0</x:v>
      </x:c>
      <x:c r="C32" s="32" t="n">
        <x:f>COUNTIFS('All Questions'!$B$5:$B$1725,A32,'All Questions'!$H$5:$H$1725,"&gt;1")</x:f>
        <x:v>0</x:v>
      </x:c>
      <x:c r="D32" s="32" t="n">
        <x:f>COUNTIF('Interview Notes'!$A$5:$A$1287,A32)</x:f>
        <x:v>12</x:v>
      </x:c>
      <x:c r="E32" s="30" t="str">
        <x:v>Separator / Other</x:v>
      </x:c>
      <x:c r="F32" s="30" t="str">
        <x:f>IF(B32+D32&gt;0,"Covered","Empty source sheet")</x:f>
        <x:v>Covered</x:v>
      </x:c>
    </x:row>
    <x:row r="33">
      <x:c r="A33" s="30" t="str">
        <x:v>Mckinsey</x:v>
      </x:c>
      <x:c r="B33" s="32" t="n">
        <x:f>COUNTIF('All Questions'!$B$5:$B$1725,A33)</x:f>
        <x:v>22</x:v>
      </x:c>
      <x:c r="C33" s="32" t="n">
        <x:f>COUNTIFS('All Questions'!$B$5:$B$1725,A33,'All Questions'!$H$5:$H$1725,"&gt;1")</x:f>
        <x:v>8</x:v>
      </x:c>
      <x:c r="D33" s="32" t="n">
        <x:f>COUNTIF('Interview Notes'!$A$5:$A$1287,A33)</x:f>
        <x:v>48</x:v>
      </x:c>
      <x:c r="E33" s="30" t="str">
        <x:v>Consulting</x:v>
      </x:c>
      <x:c r="F33" s="30" t="str">
        <x:f>IF(B33+D33&gt;0,"Covered","Empty source sheet")</x:f>
        <x:v>Covered</x:v>
      </x:c>
    </x:row>
    <x:row r="34">
      <x:c r="A34" s="30" t="str">
        <x:v>BCG</x:v>
      </x:c>
      <x:c r="B34" s="32" t="n">
        <x:f>COUNTIF('All Questions'!$B$5:$B$1725,A34)</x:f>
        <x:v>7</x:v>
      </x:c>
      <x:c r="C34" s="32" t="n">
        <x:f>COUNTIFS('All Questions'!$B$5:$B$1725,A34,'All Questions'!$H$5:$H$1725,"&gt;1")</x:f>
        <x:v>4</x:v>
      </x:c>
      <x:c r="D34" s="32" t="n">
        <x:f>COUNTIF('Interview Notes'!$A$5:$A$1287,A34)</x:f>
        <x:v>13</x:v>
      </x:c>
      <x:c r="E34" s="30" t="str">
        <x:v>Consulting</x:v>
      </x:c>
      <x:c r="F34" s="30" t="str">
        <x:f>IF(B34+D34&gt;0,"Covered","Empty source sheet")</x:f>
        <x:v>Covered</x:v>
      </x:c>
    </x:row>
    <x:row r="35">
      <x:c r="A35" s="30" t="str">
        <x:v>Bain &amp; Company</x:v>
      </x:c>
      <x:c r="B35" s="32" t="n">
        <x:f>COUNTIF('All Questions'!$B$5:$B$1725,A35)</x:f>
        <x:v>2</x:v>
      </x:c>
      <x:c r="C35" s="32" t="n">
        <x:f>COUNTIFS('All Questions'!$B$5:$B$1725,A35,'All Questions'!$H$5:$H$1725,"&gt;1")</x:f>
        <x:v>1</x:v>
      </x:c>
      <x:c r="D35" s="32" t="n">
        <x:f>COUNTIF('Interview Notes'!$A$5:$A$1287,A35)</x:f>
        <x:v>6</x:v>
      </x:c>
      <x:c r="E35" s="30" t="str">
        <x:v>Consulting</x:v>
      </x:c>
      <x:c r="F35" s="30" t="str">
        <x:f>IF(B35+D35&gt;0,"Covered","Empty source sheet")</x:f>
        <x:v>Covered</x:v>
      </x:c>
    </x:row>
    <x:row r="36">
      <x:c r="A36" s="30" t="str">
        <x:v>S&amp;T &gt;&gt;&gt;</x:v>
      </x:c>
      <x:c r="B36" s="32" t="n">
        <x:f>COUNTIF('All Questions'!$B$5:$B$1725,A36)</x:f>
        <x:v>0</x:v>
      </x:c>
      <x:c r="C36" s="32" t="n">
        <x:f>COUNTIFS('All Questions'!$B$5:$B$1725,A36,'All Questions'!$H$5:$H$1725,"&gt;1")</x:f>
        <x:v>0</x:v>
      </x:c>
      <x:c r="D36" s="32" t="n">
        <x:f>COUNTIF('Interview Notes'!$A$5:$A$1287,A36)</x:f>
        <x:v>12</x:v>
      </x:c>
      <x:c r="E36" s="30" t="str">
        <x:v>Separator / Other</x:v>
      </x:c>
      <x:c r="F36" s="30" t="str">
        <x:f>IF(B36+D36&gt;0,"Covered","Empty source sheet")</x:f>
        <x:v>Covered</x:v>
      </x:c>
    </x:row>
    <x:row r="37">
      <x:c r="A37" s="30" t="str">
        <x:v>MS IED</x:v>
      </x:c>
      <x:c r="B37" s="32" t="n">
        <x:f>COUNTIF('All Questions'!$B$5:$B$1725,A37)</x:f>
        <x:v>38</x:v>
      </x:c>
      <x:c r="C37" s="32" t="n">
        <x:f>COUNTIFS('All Questions'!$B$5:$B$1725,A37,'All Questions'!$H$5:$H$1725,"&gt;1")</x:f>
        <x:v>10</x:v>
      </x:c>
      <x:c r="D37" s="32" t="n">
        <x:f>COUNTIF('Interview Notes'!$A$5:$A$1287,A37)</x:f>
        <x:v>37</x:v>
      </x:c>
      <x:c r="E37" s="30" t="str">
        <x:v>Sales &amp; Trading</x:v>
      </x:c>
      <x:c r="F37" s="30" t="str">
        <x:f>IF(B37+D37&gt;0,"Covered","Empty source sheet")</x:f>
        <x:v>Covered</x:v>
      </x:c>
    </x:row>
    <x:row r="38">
      <x:c r="A38" s="30" t="str">
        <x:v>Barclays GM</x:v>
      </x:c>
      <x:c r="B38" s="32" t="n">
        <x:f>COUNTIF('All Questions'!$B$5:$B$1725,A38)</x:f>
        <x:v>9</x:v>
      </x:c>
      <x:c r="C38" s="32" t="n">
        <x:f>COUNTIFS('All Questions'!$B$5:$B$1725,A38,'All Questions'!$H$5:$H$1725,"&gt;1")</x:f>
        <x:v>1</x:v>
      </x:c>
      <x:c r="D38" s="32" t="n">
        <x:f>COUNTIF('Interview Notes'!$A$5:$A$1287,A38)</x:f>
        <x:v>4</x:v>
      </x:c>
      <x:c r="E38" s="30" t="str">
        <x:v>Sales &amp; Trading</x:v>
      </x:c>
      <x:c r="F38" s="30" t="str">
        <x:f>IF(B38+D38&gt;0,"Covered","Empty source sheet")</x:f>
        <x:v>Covered</x:v>
      </x:c>
    </x:row>
    <x:row r="39">
      <x:c r="A39" s="30" t="str">
        <x:v>BofA (GM)</x:v>
      </x:c>
      <x:c r="B39" s="32" t="n">
        <x:f>COUNTIF('All Questions'!$B$5:$B$1725,A39)</x:f>
        <x:v>35</x:v>
      </x:c>
      <x:c r="C39" s="32" t="n">
        <x:f>COUNTIFS('All Questions'!$B$5:$B$1725,A39,'All Questions'!$H$5:$H$1725,"&gt;1")</x:f>
        <x:v>8</x:v>
      </x:c>
      <x:c r="D39" s="32" t="n">
        <x:f>COUNTIF('Interview Notes'!$A$5:$A$1287,A39)</x:f>
        <x:v>21</x:v>
      </x:c>
      <x:c r="E39" s="30" t="str">
        <x:v>Sales &amp; Trading</x:v>
      </x:c>
      <x:c r="F39" s="30" t="str">
        <x:f>IF(B39+D39&gt;0,"Covered","Empty source sheet")</x:f>
        <x:v>Covered</x:v>
      </x:c>
    </x:row>
    <x:row r="40">
      <x:c r="A40" s="30" t="str">
        <x:v>HSBC (GM)</x:v>
      </x:c>
      <x:c r="B40" s="32" t="n">
        <x:f>COUNTIF('All Questions'!$B$5:$B$1725,A40)</x:f>
        <x:v>30</x:v>
      </x:c>
      <x:c r="C40" s="32" t="n">
        <x:f>COUNTIFS('All Questions'!$B$5:$B$1725,A40,'All Questions'!$H$5:$H$1725,"&gt;1")</x:f>
        <x:v>8</x:v>
      </x:c>
      <x:c r="D40" s="32" t="n">
        <x:f>COUNTIF('Interview Notes'!$A$5:$A$1287,A40)</x:f>
        <x:v>32</x:v>
      </x:c>
      <x:c r="E40" s="30" t="str">
        <x:v>Sales &amp; Trading</x:v>
      </x:c>
      <x:c r="F40" s="30" t="str">
        <x:f>IF(B40+D40&gt;0,"Covered","Empty source sheet")</x:f>
        <x:v>Covered</x:v>
      </x:c>
    </x:row>
    <x:row r="41">
      <x:c r="A41" s="30" t="str">
        <x:v>Nomura (GM)</x:v>
      </x:c>
      <x:c r="B41" s="32" t="n">
        <x:f>COUNTIF('All Questions'!$B$5:$B$1725,A41)</x:f>
        <x:v>0</x:v>
      </x:c>
      <x:c r="C41" s="32" t="n">
        <x:f>COUNTIFS('All Questions'!$B$5:$B$1725,A41,'All Questions'!$H$5:$H$1725,"&gt;1")</x:f>
        <x:v>0</x:v>
      </x:c>
      <x:c r="D41" s="32" t="n">
        <x:f>COUNTIF('Interview Notes'!$A$5:$A$1287,A41)</x:f>
        <x:v>0</x:v>
      </x:c>
      <x:c r="E41" s="30" t="str">
        <x:v>Separator / Other</x:v>
      </x:c>
      <x:c r="F41" s="30" t="str">
        <x:f>IF(B41+D41&gt;0,"Covered","Empty source sheet")</x:f>
        <x:v>Empty source sheet</x:v>
      </x:c>
    </x:row>
    <x:row r="42">
      <x:c r="A42" s="30" t="str">
        <x:v>JPM (GM)</x:v>
      </x:c>
      <x:c r="B42" s="32" t="n">
        <x:f>COUNTIF('All Questions'!$B$5:$B$1725,A42)</x:f>
        <x:v>3</x:v>
      </x:c>
      <x:c r="C42" s="32" t="n">
        <x:f>COUNTIFS('All Questions'!$B$5:$B$1725,A42,'All Questions'!$H$5:$H$1725,"&gt;1")</x:f>
        <x:v>1</x:v>
      </x:c>
      <x:c r="D42" s="32" t="n">
        <x:f>COUNTIF('Interview Notes'!$A$5:$A$1287,A42)</x:f>
        <x:v>6</x:v>
      </x:c>
      <x:c r="E42" s="30" t="str">
        <x:v>Sales &amp; Trading</x:v>
      </x:c>
      <x:c r="F42" s="30" t="str">
        <x:f>IF(B42+D42&gt;0,"Covered","Empty source sheet")</x:f>
        <x:v>Covered</x:v>
      </x:c>
    </x:row>
    <x:row r="43">
      <x:c r="A43" s="30" t="str">
        <x:v>UBS(GM Off cycle)</x:v>
      </x:c>
      <x:c r="B43" s="32" t="n">
        <x:f>COUNTIF('All Questions'!$B$5:$B$1725,A43)</x:f>
        <x:v>6</x:v>
      </x:c>
      <x:c r="C43" s="32" t="n">
        <x:f>COUNTIFS('All Questions'!$B$5:$B$1725,A43,'All Questions'!$H$5:$H$1725,"&gt;1")</x:f>
        <x:v>2</x:v>
      </x:c>
      <x:c r="D43" s="32" t="n">
        <x:f>COUNTIF('Interview Notes'!$A$5:$A$1287,A43)</x:f>
        <x:v>19</x:v>
      </x:c>
      <x:c r="E43" s="30" t="str">
        <x:v>Sales &amp; Trading</x:v>
      </x:c>
      <x:c r="F43" s="30" t="str">
        <x:f>IF(B43+D43&gt;0,"Covered","Empty source sheet")</x:f>
        <x:v>Covered</x:v>
      </x:c>
    </x:row>
    <x:row r="44">
      <x:c r="A44" s="30" t="str">
        <x:v>ER</x:v>
      </x:c>
      <x:c r="B44" s="32" t="n">
        <x:f>COUNTIF('All Questions'!$B$5:$B$1725,A44)</x:f>
        <x:v>0</x:v>
      </x:c>
      <x:c r="C44" s="32" t="n">
        <x:f>COUNTIFS('All Questions'!$B$5:$B$1725,A44,'All Questions'!$H$5:$H$1725,"&gt;1")</x:f>
        <x:v>0</x:v>
      </x:c>
      <x:c r="D44" s="32" t="n">
        <x:f>COUNTIF('Interview Notes'!$A$5:$A$1287,A44)</x:f>
        <x:v>12</x:v>
      </x:c>
      <x:c r="E44" s="30" t="str">
        <x:v>Separator / Other</x:v>
      </x:c>
      <x:c r="F44" s="30" t="str">
        <x:f>IF(B44+D44&gt;0,"Covered","Empty source sheet")</x:f>
        <x:v>Covered</x:v>
      </x:c>
    </x:row>
    <x:row r="45">
      <x:c r="A45" s="30" t="str">
        <x:v>Point 72</x:v>
      </x:c>
      <x:c r="B45" s="32" t="n">
        <x:f>COUNTIF('All Questions'!$B$5:$B$1725,A45)</x:f>
        <x:v>0</x:v>
      </x:c>
      <x:c r="C45" s="32" t="n">
        <x:f>COUNTIFS('All Questions'!$B$5:$B$1725,A45,'All Questions'!$H$5:$H$1725,"&gt;1")</x:f>
        <x:v>0</x:v>
      </x:c>
      <x:c r="D45" s="32" t="n">
        <x:f>COUNTIF('Interview Notes'!$A$5:$A$1287,A45)</x:f>
        <x:v>0</x:v>
      </x:c>
      <x:c r="E45" s="30" t="str">
        <x:v>Separator / Other</x:v>
      </x:c>
      <x:c r="F45" s="30" t="str">
        <x:f>IF(B45+D45&gt;0,"Covered","Empty source sheet")</x:f>
        <x:v>Empty source sheet</x:v>
      </x:c>
    </x:row>
    <x:row r="46">
      <x:c r="A46" s="30" t="str">
        <x:v>Others (eg. PE, CB...)</x:v>
      </x:c>
      <x:c r="B46" s="32" t="n">
        <x:f>COUNTIF('All Questions'!$B$5:$B$1725,A46)</x:f>
        <x:v>7</x:v>
      </x:c>
      <x:c r="C46" s="32" t="n">
        <x:f>COUNTIFS('All Questions'!$B$5:$B$1725,A46,'All Questions'!$H$5:$H$1725,"&gt;1")</x:f>
        <x:v>4</x:v>
      </x:c>
      <x:c r="D46" s="32" t="n">
        <x:f>COUNTIF('Interview Notes'!$A$5:$A$1287,A46)</x:f>
        <x:v>13</x:v>
      </x:c>
      <x:c r="E46" s="30" t="str">
        <x:v>PE / VC / Other</x:v>
      </x:c>
      <x:c r="F46" s="30" t="str">
        <x:f>IF(B46+D46&gt;0,"Covered","Empty source sheet")</x:f>
        <x:v>Covered</x:v>
      </x:c>
    </x:row>
    <x:row r="47">
      <x:c r="A47" s="30" t="str">
        <x:v>Neuberger Berman</x:v>
      </x:c>
      <x:c r="B47" s="32" t="n">
        <x:f>COUNTIF('All Questions'!$B$5:$B$1725,A47)</x:f>
        <x:v>7</x:v>
      </x:c>
      <x:c r="C47" s="32" t="n">
        <x:f>COUNTIFS('All Questions'!$B$5:$B$1725,A47,'All Questions'!$H$5:$H$1725,"&gt;1")</x:f>
        <x:v>0</x:v>
      </x:c>
      <x:c r="D47" s="32" t="n">
        <x:f>COUNTIF('Interview Notes'!$A$5:$A$1287,A47)</x:f>
        <x:v>5</x:v>
      </x:c>
      <x:c r="E47" s="30" t="str">
        <x:v>PWM / AM</x:v>
      </x:c>
      <x:c r="F47" s="30" t="str">
        <x:f>IF(B47+D47&gt;0,"Covered","Empty source sheet")</x:f>
        <x:v>Covered</x:v>
      </x:c>
    </x:row>
    <x:row r="48">
      <x:c r="A48" s="30" t="str">
        <x:v>UBS AM</x:v>
      </x:c>
      <x:c r="B48" s="32" t="n">
        <x:f>COUNTIF('All Questions'!$B$5:$B$1725,A48)</x:f>
        <x:v>18</x:v>
      </x:c>
      <x:c r="C48" s="32" t="n">
        <x:f>COUNTIFS('All Questions'!$B$5:$B$1725,A48,'All Questions'!$H$5:$H$1725,"&gt;1")</x:f>
        <x:v>4</x:v>
      </x:c>
      <x:c r="D48" s="32" t="n">
        <x:f>COUNTIF('Interview Notes'!$A$5:$A$1287,A48)</x:f>
        <x:v>5</x:v>
      </x:c>
      <x:c r="E48" s="30" t="str">
        <x:v>PWM / AM</x:v>
      </x:c>
      <x:c r="F48" s="30" t="str">
        <x:f>IF(B48+D48&gt;0,"Covered","Empty source sheet")</x:f>
        <x:v>Covered</x:v>
      </x:c>
    </x:row>
    <x:row r="49">
      <x:c r="A49" s="30" t="str">
        <x:v>Fountainvest</x:v>
      </x:c>
      <x:c r="B49" s="32" t="n">
        <x:f>COUNTIF('All Questions'!$B$5:$B$1725,A49)</x:f>
        <x:v>16</x:v>
      </x:c>
      <x:c r="C49" s="32" t="n">
        <x:f>COUNTIFS('All Questions'!$B$5:$B$1725,A49,'All Questions'!$H$5:$H$1725,"&gt;1")</x:f>
        <x:v>2</x:v>
      </x:c>
      <x:c r="D49" s="32" t="n">
        <x:f>COUNTIF('Interview Notes'!$A$5:$A$1287,A49)</x:f>
        <x:v>10</x:v>
      </x:c>
      <x:c r="E49" s="30" t="str">
        <x:v>PE / VC / Other</x:v>
      </x:c>
      <x:c r="F49" s="30" t="str">
        <x:f>IF(B49+D49&gt;0,"Covered","Empty source sheet")</x:f>
        <x:v>Covered</x:v>
      </x:c>
    </x:row>
    <x:row r="50">
      <x:c r="A50" s="30" t="str">
        <x:v>Centrium</x:v>
      </x:c>
      <x:c r="B50" s="32" t="n">
        <x:f>COUNTIF('All Questions'!$B$5:$B$1725,A50)</x:f>
        <x:v>3</x:v>
      </x:c>
      <x:c r="C50" s="32" t="n">
        <x:f>COUNTIFS('All Questions'!$B$5:$B$1725,A50,'All Questions'!$H$5:$H$1725,"&gt;1")</x:f>
        <x:v>2</x:v>
      </x:c>
      <x:c r="D50" s="32" t="n">
        <x:f>COUNTIF('Interview Notes'!$A$5:$A$1287,A50)</x:f>
        <x:v>2</x:v>
      </x:c>
      <x:c r="E50" s="30" t="str">
        <x:v>PE / VC / Other</x:v>
      </x:c>
      <x:c r="F50" s="30" t="str">
        <x:f>IF(B50+D50&gt;0,"Covered","Empty source sheet")</x:f>
        <x:v>Covered</x:v>
      </x:c>
    </x:row>
    <x:row r="51">
      <x:c r="A51" s="30" t="str">
        <x:v>MSPEA</x:v>
      </x:c>
      <x:c r="B51" s="32" t="n">
        <x:f>COUNTIF('All Questions'!$B$5:$B$1725,A51)</x:f>
        <x:v>29</x:v>
      </x:c>
      <x:c r="C51" s="32" t="n">
        <x:f>COUNTIFS('All Questions'!$B$5:$B$1725,A51,'All Questions'!$H$5:$H$1725,"&gt;1")</x:f>
        <x:v>3</x:v>
      </x:c>
      <x:c r="D51" s="32" t="n">
        <x:f>COUNTIF('Interview Notes'!$A$5:$A$1287,A51)</x:f>
        <x:v>6</x:v>
      </x:c>
      <x:c r="E51" s="30" t="str">
        <x:v>PE / VC / Other</x:v>
      </x:c>
      <x:c r="F51" s="30" t="str">
        <x:f>IF(B51+D51&gt;0,"Covered","Empty source sheet")</x:f>
        <x:v>Covered</x:v>
      </x:c>
    </x:row>
    <x:row r="52">
      <x:c r="A52" s="30" t="str">
        <x:v>Warburg Pincus</x:v>
      </x:c>
      <x:c r="B52" s="32" t="n">
        <x:f>COUNTIF('All Questions'!$B$5:$B$1725,A52)</x:f>
        <x:v>6</x:v>
      </x:c>
      <x:c r="C52" s="32" t="n">
        <x:f>COUNTIFS('All Questions'!$B$5:$B$1725,A52,'All Questions'!$H$5:$H$1725,"&gt;1")</x:f>
        <x:v>0</x:v>
      </x:c>
      <x:c r="D52" s="32" t="n">
        <x:f>COUNTIF('Interview Notes'!$A$5:$A$1287,A52)</x:f>
        <x:v>1</x:v>
      </x:c>
      <x:c r="E52" s="30" t="str">
        <x:v>PE / VC / Other</x:v>
      </x:c>
      <x:c r="F52" s="30" t="str">
        <x:f>IF(B52+D52&gt;0,"Covered","Empty source sheet")</x:f>
        <x:v>Covered</x:v>
      </x:c>
    </x:row>
    <x:row r="53">
      <x:c r="A53" s="30" t="str">
        <x:v>IDG Capital</x:v>
      </x:c>
      <x:c r="B53" s="32" t="n">
        <x:f>COUNTIF('All Questions'!$B$5:$B$1725,A53)</x:f>
        <x:v>3</x:v>
      </x:c>
      <x:c r="C53" s="32" t="n">
        <x:f>COUNTIFS('All Questions'!$B$5:$B$1725,A53,'All Questions'!$H$5:$H$1725,"&gt;1")</x:f>
        <x:v>0</x:v>
      </x:c>
      <x:c r="D53" s="32" t="n">
        <x:f>COUNTIF('Interview Notes'!$A$5:$A$1287,A53)</x:f>
        <x:v>1</x:v>
      </x:c>
      <x:c r="E53" s="30" t="str">
        <x:v>PE / VC / Other</x:v>
      </x:c>
      <x:c r="F53" s="30" t="str">
        <x:f>IF(B53+D53&gt;0,"Covered","Empty source sheet")</x:f>
        <x:v>Covered</x:v>
      </x:c>
    </x:row>
    <x:row r="54">
      <x:c r="A54" s="30" t="str">
        <x:v>CDH</x:v>
      </x:c>
      <x:c r="B54" s="32" t="n">
        <x:f>COUNTIF('All Questions'!$B$5:$B$1725,A54)</x:f>
        <x:v>9</x:v>
      </x:c>
      <x:c r="C54" s="32" t="n">
        <x:f>COUNTIFS('All Questions'!$B$5:$B$1725,A54,'All Questions'!$H$5:$H$1725,"&gt;1")</x:f>
        <x:v>0</x:v>
      </x:c>
      <x:c r="D54" s="32" t="n">
        <x:f>COUNTIF('Interview Notes'!$A$5:$A$1287,A54)</x:f>
        <x:v>3</x:v>
      </x:c>
      <x:c r="E54" s="30" t="str">
        <x:v>PE / VC / Other</x:v>
      </x:c>
      <x:c r="F54" s="30" t="str">
        <x:f>IF(B54+D54&gt;0,"Covered","Empty source sheet")</x:f>
        <x:v>Covered</x:v>
      </x:c>
    </x:row>
    <x:row r="55">
      <x:c r="A55" s="30" t="str">
        <x:v>HKEX</x:v>
      </x:c>
      <x:c r="B55" s="32" t="n">
        <x:f>COUNTIF('All Questions'!$B$5:$B$1725,A55)</x:f>
        <x:v>10</x:v>
      </x:c>
      <x:c r="C55" s="32" t="n">
        <x:f>COUNTIFS('All Questions'!$B$5:$B$1725,A55,'All Questions'!$H$5:$H$1725,"&gt;1")</x:f>
        <x:v>1</x:v>
      </x:c>
      <x:c r="D55" s="32" t="n">
        <x:f>COUNTIF('Interview Notes'!$A$5:$A$1287,A55)</x:f>
        <x:v>10</x:v>
      </x:c>
      <x:c r="E55" s="30" t="str">
        <x:v>PE / VC / Other</x:v>
      </x:c>
      <x:c r="F55" s="30" t="str">
        <x:f>IF(B55+D55&gt;0,"Covered","Empty source sheet")</x:f>
        <x:v>Covered</x:v>
      </x:c>
    </x:row>
    <x:row r="56">
      <x:c r="A56" s="30" t="str">
        <x:v>JPM Payment</x:v>
      </x:c>
      <x:c r="B56" s="32" t="n">
        <x:f>COUNTIF('All Questions'!$B$5:$B$1725,A56)</x:f>
        <x:v>2</x:v>
      </x:c>
      <x:c r="C56" s="32" t="n">
        <x:f>COUNTIFS('All Questions'!$B$5:$B$1725,A56,'All Questions'!$H$5:$H$1725,"&gt;1")</x:f>
        <x:v>0</x:v>
      </x:c>
      <x:c r="D56" s="32" t="n">
        <x:f>COUNTIF('Interview Notes'!$A$5:$A$1287,A56)</x:f>
        <x:v>8</x:v>
      </x:c>
      <x:c r="E56" s="30" t="str">
        <x:v>PE / VC / Other</x:v>
      </x:c>
      <x:c r="F56" s="30" t="str">
        <x:f>IF(B56+D56&gt;0,"Covered","Empty source sheet")</x:f>
        <x:v>Covered</x:v>
      </x:c>
    </x:row>
    <x:row r="57">
      <x:c r="A57" s="30" t="str">
        <x:v>HSBC CMB</x:v>
      </x:c>
      <x:c r="B57" s="32" t="n">
        <x:f>COUNTIF('All Questions'!$B$5:$B$1725,A57)</x:f>
        <x:v>4</x:v>
      </x:c>
      <x:c r="C57" s="32" t="n">
        <x:f>COUNTIFS('All Questions'!$B$5:$B$1725,A57,'All Questions'!$H$5:$H$1725,"&gt;1")</x:f>
        <x:v>0</x:v>
      </x:c>
      <x:c r="D57" s="32" t="n">
        <x:f>COUNTIF('Interview Notes'!$A$5:$A$1287,A57)</x:f>
        <x:v>8</x:v>
      </x:c>
      <x:c r="E57" s="30" t="str">
        <x:v>PE / VC / Other</x:v>
      </x:c>
      <x:c r="F57" s="30" t="str">
        <x:f>IF(B57+D57&gt;0,"Covered","Empty source sheet")</x:f>
        <x:v>Covered</x:v>
      </x:c>
    </x:row>
    <x:row r="58">
      <x:c r="A58" s="30" t="str">
        <x:v>Mindworks Capital</x:v>
      </x:c>
      <x:c r="B58" s="32" t="n">
        <x:f>COUNTIF('All Questions'!$B$5:$B$1725,A58)</x:f>
        <x:v>9</x:v>
      </x:c>
      <x:c r="C58" s="32" t="n">
        <x:f>COUNTIFS('All Questions'!$B$5:$B$1725,A58,'All Questions'!$H$5:$H$1725,"&gt;1")</x:f>
        <x:v>1</x:v>
      </x:c>
      <x:c r="D58" s="32" t="n">
        <x:f>COUNTIF('Interview Notes'!$A$5:$A$1287,A58)</x:f>
        <x:v>21</x:v>
      </x:c>
      <x:c r="E58" s="30" t="str">
        <x:v>PE / VC / Other</x:v>
      </x:c>
      <x:c r="F58" s="30" t="str">
        <x:f>IF(B58+D58&gt;0,"Covered","Empty source sheet")</x:f>
        <x:v>Covered</x:v>
      </x:c>
    </x:row>
  </x:sheetData>
  <x:mergeCells>
    <x:mergeCell ref="A1:F1"/>
    <x:mergeCell ref="A2:F2"/>
  </x:mergeCells>
  <x:conditionalFormatting sqref="F5:F58">
    <x:cfRule type="containsText" dxfId="3" priority="1" operator="containsText" text="Covered"/>
    <x:cfRule type="containsText" dxfId="4" priority="2" operator="containsText" text="Empty"/>
  </x:conditionalFormatting>
  <x:pageMargins left="0.7" right="0.7" top="0.75" bottom="0.75" header="0.3" footer="0.3"/>
  <x:tableParts count="1">
    <x:tablePart xmlns:r="http://schemas.openxmlformats.org/officeDocument/2006/relationships" r:id="R1213ab42593a44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3" hidden="0" customWidth="1"/>
    <x:col min="3" max="3" width="17" hidden="0" customWidth="1"/>
    <x:col min="4" max="4" width="19" hidden="0" customWidth="1"/>
    <x:col min="5" max="5" width="17" hidden="0" customWidth="1"/>
    <x:col min="6" max="6" width="17" hidden="0" customWidth="1"/>
    <x:col min="7" max="7" width="17" hidden="0" customWidth="1"/>
    <x:col min="8" max="8" width="13" hidden="0" customWidth="1"/>
  </x:cols>
  <x:sheetData>
    <x:row r="1" ht="34" customHeight="1">
      <x:c r="A1" s="3" t="str">
        <x:v>Question Type Summary</x:v>
      </x:c>
      <x:c r="B1" s="3"/>
      <x:c r="C1" s="3"/>
      <x:c r="D1" s="3"/>
      <x:c r="E1" s="3"/>
      <x:c r="F1" s="3"/>
      <x:c r="G1" s="3"/>
      <x:c r="H1" s="3"/>
    </x:row>
    <x:row r="2" ht="30" customHeight="1">
      <x:c r="A2" s="7" t="str">
        <x:v>Question coverage, duplication and answer progress by preparation topic.</x:v>
      </x:c>
      <x:c r="B2" s="7"/>
      <x:c r="C2" s="7"/>
      <x:c r="D2" s="7"/>
      <x:c r="E2" s="7"/>
      <x:c r="F2" s="7"/>
      <x:c r="G2" s="7"/>
      <x:c r="H2" s="7"/>
    </x:row>
    <x:row r="4" ht="28" customHeight="1">
      <x:c r="A4" s="27" t="str">
        <x:v>Primary Type</x:v>
      </x:c>
      <x:c r="B4" s="28" t="str">
        <x:v>Questions</x:v>
      </x:c>
      <x:c r="C4" s="28" t="str">
        <x:v>Canonical Clusters</x:v>
      </x:c>
      <x:c r="D4" s="28" t="str">
        <x:v>Duplicate Occurrences</x:v>
      </x:c>
      <x:c r="E4" s="28" t="str">
        <x:v>Share of Questions</x:v>
      </x:c>
      <x:c r="F4" s="28" t="str">
        <x:v>Review Priority</x:v>
      </x:c>
      <x:c r="G4" s="28" t="str">
        <x:v>Answers Started</x:v>
      </x:c>
      <x:c r="H4" s="29" t="str">
        <x:v>Ready</x:v>
      </x:c>
    </x:row>
    <x:row r="5">
      <x:c r="A5" s="30" t="str">
        <x:v>Fit &amp; Motivation</x:v>
      </x:c>
      <x:c r="B5" s="32" t="n">
        <x:f>COUNTIF('All Questions'!$F$5:$F$1725,A5)</x:f>
        <x:v>284</x:v>
      </x:c>
      <x:c r="C5" s="32" t="n">
        <x:f>COUNTIF('Canonical Index'!$C$5:$C$1262,A5)</x:f>
        <x:v>162</x:v>
      </x:c>
      <x:c r="D5" s="32" t="n">
        <x:f>B5-C5</x:f>
        <x:v>122</x:v>
      </x:c>
      <x:c r="E5" s="67" t="n">
        <x:f>B5/SUM($B$5:$B$20)</x:f>
        <x:v>0.16502033701336433</x:v>
      </x:c>
      <x:c r="F5" s="30" t="str">
        <x:f>IF(B5&gt;=200,"Core",IF(B5&gt;=50,"High","Targeted"))</x:f>
        <x:v>Core</x:v>
      </x:c>
      <x:c r="G5" s="32" t="n">
        <x:f>COUNTIFS('Answer Bank'!$B$5:$B$1262,A5,'Answer Bank'!$F$5:$F$1262,"&lt;&gt;Not Started")</x:f>
        <x:v>0</x:v>
      </x:c>
      <x:c r="H5" s="32" t="n">
        <x:f>COUNTIFS('Answer Bank'!$B$5:$B$1262,A5,'Answer Bank'!$F$5:$F$1262,"Ready")</x:f>
        <x:v>0</x:v>
      </x:c>
    </x:row>
    <x:row r="6">
      <x:c r="A6" s="30" t="str">
        <x:v>Resume &amp; Experience</x:v>
      </x:c>
      <x:c r="B6" s="32" t="n">
        <x:f>COUNTIF('All Questions'!$F$5:$F$1725,A6)</x:f>
        <x:v>298</x:v>
      </x:c>
      <x:c r="C6" s="32" t="n">
        <x:f>COUNTIF('Canonical Index'!$C$5:$C$1262,A6)</x:f>
        <x:v>136</x:v>
      </x:c>
      <x:c r="D6" s="32" t="n">
        <x:f>B6-C6</x:f>
        <x:v>162</x:v>
      </x:c>
      <x:c r="E6" s="67" t="n">
        <x:f>B6/SUM($B$5:$B$20)</x:f>
        <x:v>0.17315514235909354</x:v>
      </x:c>
      <x:c r="F6" s="30" t="str">
        <x:f>IF(B6&gt;=200,"Core",IF(B6&gt;=50,"High","Targeted"))</x:f>
        <x:v>Core</x:v>
      </x:c>
      <x:c r="G6" s="32" t="n">
        <x:f>COUNTIFS('Answer Bank'!$B$5:$B$1262,A6,'Answer Bank'!$F$5:$F$1262,"&lt;&gt;Not Started")</x:f>
        <x:v>0</x:v>
      </x:c>
      <x:c r="H6" s="32" t="n">
        <x:f>COUNTIFS('Answer Bank'!$B$5:$B$1262,A6,'Answer Bank'!$F$5:$F$1262,"Ready")</x:f>
        <x:v>0</x:v>
      </x:c>
    </x:row>
    <x:row r="7">
      <x:c r="A7" s="30" t="str">
        <x:v>Behavioral &amp; Situational</x:v>
      </x:c>
      <x:c r="B7" s="32" t="n">
        <x:f>COUNTIF('All Questions'!$F$5:$F$1725,A7)</x:f>
        <x:v>68</x:v>
      </x:c>
      <x:c r="C7" s="32" t="n">
        <x:f>COUNTIF('Canonical Index'!$C$5:$C$1262,A7)</x:f>
        <x:v>50</x:v>
      </x:c>
      <x:c r="D7" s="32" t="n">
        <x:f>B7-C7</x:f>
        <x:v>18</x:v>
      </x:c>
      <x:c r="E7" s="67" t="n">
        <x:f>B7/SUM($B$5:$B$20)</x:f>
        <x:v>0.039511911679256245</x:v>
      </x:c>
      <x:c r="F7" s="30" t="str">
        <x:f>IF(B7&gt;=200,"Core",IF(B7&gt;=50,"High","Targeted"))</x:f>
        <x:v>High</x:v>
      </x:c>
      <x:c r="G7" s="32" t="n">
        <x:f>COUNTIFS('Answer Bank'!$B$5:$B$1262,A7,'Answer Bank'!$F$5:$F$1262,"&lt;&gt;Not Started")</x:f>
        <x:v>0</x:v>
      </x:c>
      <x:c r="H7" s="32" t="n">
        <x:f>COUNTIFS('Answer Bank'!$B$5:$B$1262,A7,'Answer Bank'!$F$5:$F$1262,"Ready")</x:f>
        <x:v>0</x:v>
      </x:c>
    </x:row>
    <x:row r="8">
      <x:c r="A8" s="30" t="str">
        <x:v>Accounting &amp; Financial Statements</x:v>
      </x:c>
      <x:c r="B8" s="32" t="n">
        <x:f>COUNTIF('All Questions'!$F$5:$F$1725,A8)</x:f>
        <x:v>214</x:v>
      </x:c>
      <x:c r="C8" s="32" t="n">
        <x:f>COUNTIF('Canonical Index'!$C$5:$C$1262,A8)</x:f>
        <x:v>184</x:v>
      </x:c>
      <x:c r="D8" s="32" t="n">
        <x:f>B8-C8</x:f>
        <x:v>30</x:v>
      </x:c>
      <x:c r="E8" s="67" t="n">
        <x:f>B8/SUM($B$5:$B$20)</x:f>
        <x:v>0.12434631028471818</x:v>
      </x:c>
      <x:c r="F8" s="30" t="str">
        <x:f>IF(B8&gt;=200,"Core",IF(B8&gt;=50,"High","Targeted"))</x:f>
        <x:v>Core</x:v>
      </x:c>
      <x:c r="G8" s="32" t="n">
        <x:f>COUNTIFS('Answer Bank'!$B$5:$B$1262,A8,'Answer Bank'!$F$5:$F$1262,"&lt;&gt;Not Started")</x:f>
        <x:v>0</x:v>
      </x:c>
      <x:c r="H8" s="32" t="n">
        <x:f>COUNTIFS('Answer Bank'!$B$5:$B$1262,A8,'Answer Bank'!$F$5:$F$1262,"Ready")</x:f>
        <x:v>0</x:v>
      </x:c>
    </x:row>
    <x:row r="9">
      <x:c r="A9" s="30" t="str">
        <x:v>Valuation</x:v>
      </x:c>
      <x:c r="B9" s="32" t="n">
        <x:f>COUNTIF('All Questions'!$F$5:$F$1725,A9)</x:f>
        <x:v>224</x:v>
      </x:c>
      <x:c r="C9" s="32" t="n">
        <x:f>COUNTIF('Canonical Index'!$C$5:$C$1262,A9)</x:f>
        <x:v>164</x:v>
      </x:c>
      <x:c r="D9" s="32" t="n">
        <x:f>B9-C9</x:f>
        <x:v>60</x:v>
      </x:c>
      <x:c r="E9" s="67" t="n">
        <x:f>B9/SUM($B$5:$B$20)</x:f>
        <x:v>0.13015688553166763</x:v>
      </x:c>
      <x:c r="F9" s="30" t="str">
        <x:f>IF(B9&gt;=200,"Core",IF(B9&gt;=50,"High","Targeted"))</x:f>
        <x:v>Core</x:v>
      </x:c>
      <x:c r="G9" s="32" t="n">
        <x:f>COUNTIFS('Answer Bank'!$B$5:$B$1262,A9,'Answer Bank'!$F$5:$F$1262,"&lt;&gt;Not Started")</x:f>
        <x:v>0</x:v>
      </x:c>
      <x:c r="H9" s="32" t="n">
        <x:f>COUNTIFS('Answer Bank'!$B$5:$B$1262,A9,'Answer Bank'!$F$5:$F$1262,"Ready")</x:f>
        <x:v>0</x:v>
      </x:c>
    </x:row>
    <x:row r="10">
      <x:c r="A10" s="30" t="str">
        <x:v>M&amp;A</x:v>
      </x:c>
      <x:c r="B10" s="32" t="n">
        <x:f>COUNTIF('All Questions'!$F$5:$F$1725,A10)</x:f>
        <x:v>13</x:v>
      </x:c>
      <x:c r="C10" s="32" t="n">
        <x:f>COUNTIF('Canonical Index'!$C$5:$C$1262,A10)</x:f>
        <x:v>13</x:v>
      </x:c>
      <x:c r="D10" s="32" t="n">
        <x:f>B10-C10</x:f>
        <x:v>0</x:v>
      </x:c>
      <x:c r="E10" s="67" t="n">
        <x:f>B10/SUM($B$5:$B$20)</x:f>
        <x:v>0.007553747821034283</x:v>
      </x:c>
      <x:c r="F10" s="30" t="str">
        <x:f>IF(B10&gt;=200,"Core",IF(B10&gt;=50,"High","Targeted"))</x:f>
        <x:v>Targeted</x:v>
      </x:c>
      <x:c r="G10" s="32" t="n">
        <x:f>COUNTIFS('Answer Bank'!$B$5:$B$1262,A10,'Answer Bank'!$F$5:$F$1262,"&lt;&gt;Not Started")</x:f>
        <x:v>0</x:v>
      </x:c>
      <x:c r="H10" s="32" t="n">
        <x:f>COUNTIFS('Answer Bank'!$B$5:$B$1262,A10,'Answer Bank'!$F$5:$F$1262,"Ready")</x:f>
        <x:v>0</x:v>
      </x:c>
    </x:row>
    <x:row r="11">
      <x:c r="A11" s="30" t="str">
        <x:v>Capital Markets &amp; Financing</x:v>
      </x:c>
      <x:c r="B11" s="32" t="n">
        <x:f>COUNTIF('All Questions'!$F$5:$F$1725,A11)</x:f>
        <x:v>45</x:v>
      </x:c>
      <x:c r="C11" s="32" t="n">
        <x:f>COUNTIF('Canonical Index'!$C$5:$C$1262,A11)</x:f>
        <x:v>34</x:v>
      </x:c>
      <x:c r="D11" s="32" t="n">
        <x:f>B11-C11</x:f>
        <x:v>11</x:v>
      </x:c>
      <x:c r="E11" s="67" t="n">
        <x:f>B11/SUM($B$5:$B$20)</x:f>
        <x:v>0.026147588611272515</x:v>
      </x:c>
      <x:c r="F11" s="30" t="str">
        <x:f>IF(B11&gt;=200,"Core",IF(B11&gt;=50,"High","Targeted"))</x:f>
        <x:v>Targeted</x:v>
      </x:c>
      <x:c r="G11" s="32" t="n">
        <x:f>COUNTIFS('Answer Bank'!$B$5:$B$1262,A11,'Answer Bank'!$F$5:$F$1262,"&lt;&gt;Not Started")</x:f>
        <x:v>0</x:v>
      </x:c>
      <x:c r="H11" s="32" t="n">
        <x:f>COUNTIFS('Answer Bank'!$B$5:$B$1262,A11,'Answer Bank'!$F$5:$F$1262,"Ready")</x:f>
        <x:v>0</x:v>
      </x:c>
    </x:row>
    <x:row r="12">
      <x:c r="A12" s="30" t="str">
        <x:v>Markets &amp; Macro</x:v>
      </x:c>
      <x:c r="B12" s="32" t="n">
        <x:f>COUNTIF('All Questions'!$F$5:$F$1725,A12)</x:f>
        <x:v>38</x:v>
      </x:c>
      <x:c r="C12" s="32" t="n">
        <x:f>COUNTIF('Canonical Index'!$C$5:$C$1262,A12)</x:f>
        <x:v>34</x:v>
      </x:c>
      <x:c r="D12" s="32" t="n">
        <x:f>B12-C12</x:f>
        <x:v>4</x:v>
      </x:c>
      <x:c r="E12" s="67" t="n">
        <x:f>B12/SUM($B$5:$B$20)</x:f>
        <x:v>0.022080185938407902</x:v>
      </x:c>
      <x:c r="F12" s="30" t="str">
        <x:f>IF(B12&gt;=200,"Core",IF(B12&gt;=50,"High","Targeted"))</x:f>
        <x:v>Targeted</x:v>
      </x:c>
      <x:c r="G12" s="32" t="n">
        <x:f>COUNTIFS('Answer Bank'!$B$5:$B$1262,A12,'Answer Bank'!$F$5:$F$1262,"&lt;&gt;Not Started")</x:f>
        <x:v>0</x:v>
      </x:c>
      <x:c r="H12" s="32" t="n">
        <x:f>COUNTIFS('Answer Bank'!$B$5:$B$1262,A12,'Answer Bank'!$F$5:$F$1262,"Ready")</x:f>
        <x:v>0</x:v>
      </x:c>
    </x:row>
    <x:row r="13">
      <x:c r="A13" s="30" t="str">
        <x:v>Company, Industry &amp; Deals</x:v>
      </x:c>
      <x:c r="B13" s="32" t="n">
        <x:f>COUNTIF('All Questions'!$F$5:$F$1725,A13)</x:f>
        <x:v>113</x:v>
      </x:c>
      <x:c r="C13" s="32" t="n">
        <x:f>COUNTIF('Canonical Index'!$C$5:$C$1262,A13)</x:f>
        <x:v>103</x:v>
      </x:c>
      <x:c r="D13" s="32" t="n">
        <x:f>B13-C13</x:f>
        <x:v>10</x:v>
      </x:c>
      <x:c r="E13" s="67" t="n">
        <x:f>B13/SUM($B$5:$B$20)</x:f>
        <x:v>0.06565950029052876</x:v>
      </x:c>
      <x:c r="F13" s="30" t="str">
        <x:f>IF(B13&gt;=200,"Core",IF(B13&gt;=50,"High","Targeted"))</x:f>
        <x:v>High</x:v>
      </x:c>
      <x:c r="G13" s="32" t="n">
        <x:f>COUNTIFS('Answer Bank'!$B$5:$B$1262,A13,'Answer Bank'!$F$5:$F$1262,"&lt;&gt;Not Started")</x:f>
        <x:v>0</x:v>
      </x:c>
      <x:c r="H13" s="32" t="n">
        <x:f>COUNTIFS('Answer Bank'!$B$5:$B$1262,A13,'Answer Bank'!$F$5:$F$1262,"Ready")</x:f>
        <x:v>0</x:v>
      </x:c>
    </x:row>
    <x:row r="14">
      <x:c r="A14" s="30" t="str">
        <x:v>Investment Pitch</x:v>
      </x:c>
      <x:c r="B14" s="32" t="n">
        <x:f>COUNTIF('All Questions'!$F$5:$F$1725,A14)</x:f>
        <x:v>21</x:v>
      </x:c>
      <x:c r="C14" s="32" t="n">
        <x:f>COUNTIF('Canonical Index'!$C$5:$C$1262,A14)</x:f>
        <x:v>8</x:v>
      </x:c>
      <x:c r="D14" s="32" t="n">
        <x:f>B14-C14</x:f>
        <x:v>13</x:v>
      </x:c>
      <x:c r="E14" s="67" t="n">
        <x:f>B14/SUM($B$5:$B$20)</x:f>
        <x:v>0.01220220801859384</x:v>
      </x:c>
      <x:c r="F14" s="30" t="str">
        <x:f>IF(B14&gt;=200,"Core",IF(B14&gt;=50,"High","Targeted"))</x:f>
        <x:v>Targeted</x:v>
      </x:c>
      <x:c r="G14" s="32" t="n">
        <x:f>COUNTIFS('Answer Bank'!$B$5:$B$1262,A14,'Answer Bank'!$F$5:$F$1262,"&lt;&gt;Not Started")</x:f>
        <x:v>0</x:v>
      </x:c>
      <x:c r="H14" s="32" t="n">
        <x:f>COUNTIFS('Answer Bank'!$B$5:$B$1262,A14,'Answer Bank'!$F$5:$F$1262,"Ready")</x:f>
        <x:v>0</x:v>
      </x:c>
    </x:row>
    <x:row r="15">
      <x:c r="A15" s="30" t="str">
        <x:v>Private Equity &amp; LBO</x:v>
      </x:c>
      <x:c r="B15" s="32" t="n">
        <x:f>COUNTIF('All Questions'!$F$5:$F$1725,A15)</x:f>
        <x:v>18</x:v>
      </x:c>
      <x:c r="C15" s="32" t="n">
        <x:f>COUNTIF('Canonical Index'!$C$5:$C$1262,A15)</x:f>
        <x:v>16</x:v>
      </x:c>
      <x:c r="D15" s="32" t="n">
        <x:f>B15-C15</x:f>
        <x:v>2</x:v>
      </x:c>
      <x:c r="E15" s="67" t="n">
        <x:f>B15/SUM($B$5:$B$20)</x:f>
        <x:v>0.010459035444509006</x:v>
      </x:c>
      <x:c r="F15" s="30" t="str">
        <x:f>IF(B15&gt;=200,"Core",IF(B15&gt;=50,"High","Targeted"))</x:f>
        <x:v>Targeted</x:v>
      </x:c>
      <x:c r="G15" s="32" t="n">
        <x:f>COUNTIFS('Answer Bank'!$B$5:$B$1262,A15,'Answer Bank'!$F$5:$F$1262,"&lt;&gt;Not Started")</x:f>
        <x:v>0</x:v>
      </x:c>
      <x:c r="H15" s="32" t="n">
        <x:f>COUNTIFS('Answer Bank'!$B$5:$B$1262,A15,'Answer Bank'!$F$5:$F$1262,"Ready")</x:f>
        <x:v>0</x:v>
      </x:c>
    </x:row>
    <x:row r="16">
      <x:c r="A16" s="30" t="str">
        <x:v>Sales &amp; Trading</x:v>
      </x:c>
      <x:c r="B16" s="32" t="n">
        <x:f>COUNTIF('All Questions'!$F$5:$F$1725,A16)</x:f>
        <x:v>8</x:v>
      </x:c>
      <x:c r="C16" s="32" t="n">
        <x:f>COUNTIF('Canonical Index'!$C$5:$C$1262,A16)</x:f>
        <x:v>8</x:v>
      </x:c>
      <x:c r="D16" s="32" t="n">
        <x:f>B16-C16</x:f>
        <x:v>0</x:v>
      </x:c>
      <x:c r="E16" s="67" t="n">
        <x:f>B16/SUM($B$5:$B$20)</x:f>
        <x:v>0.004648460197559558</x:v>
      </x:c>
      <x:c r="F16" s="30" t="str">
        <x:f>IF(B16&gt;=200,"Core",IF(B16&gt;=50,"High","Targeted"))</x:f>
        <x:v>Targeted</x:v>
      </x:c>
      <x:c r="G16" s="32" t="n">
        <x:f>COUNTIFS('Answer Bank'!$B$5:$B$1262,A16,'Answer Bank'!$F$5:$F$1262,"&lt;&gt;Not Started")</x:f>
        <x:v>0</x:v>
      </x:c>
      <x:c r="H16" s="32" t="n">
        <x:f>COUNTIFS('Answer Bank'!$B$5:$B$1262,A16,'Answer Bank'!$F$5:$F$1262,"Ready")</x:f>
        <x:v>0</x:v>
      </x:c>
    </x:row>
    <x:row r="17">
      <x:c r="A17" s="30" t="str">
        <x:v>Wealth &amp; Asset Management</x:v>
      </x:c>
      <x:c r="B17" s="32" t="n">
        <x:f>COUNTIF('All Questions'!$F$5:$F$1725,A17)</x:f>
        <x:v>8</x:v>
      </x:c>
      <x:c r="C17" s="32" t="n">
        <x:f>COUNTIF('Canonical Index'!$C$5:$C$1262,A17)</x:f>
        <x:v>8</x:v>
      </x:c>
      <x:c r="D17" s="32" t="n">
        <x:f>B17-C17</x:f>
        <x:v>0</x:v>
      </x:c>
      <x:c r="E17" s="67" t="n">
        <x:f>B17/SUM($B$5:$B$20)</x:f>
        <x:v>0.004648460197559558</x:v>
      </x:c>
      <x:c r="F17" s="30" t="str">
        <x:f>IF(B17&gt;=200,"Core",IF(B17&gt;=50,"High","Targeted"))</x:f>
        <x:v>Targeted</x:v>
      </x:c>
      <x:c r="G17" s="32" t="n">
        <x:f>COUNTIFS('Answer Bank'!$B$5:$B$1262,A17,'Answer Bank'!$F$5:$F$1262,"&lt;&gt;Not Started")</x:f>
        <x:v>0</x:v>
      </x:c>
      <x:c r="H17" s="32" t="n">
        <x:f>COUNTIFS('Answer Bank'!$B$5:$B$1262,A17,'Answer Bank'!$F$5:$F$1262,"Ready")</x:f>
        <x:v>0</x:v>
      </x:c>
    </x:row>
    <x:row r="18">
      <x:c r="A18" s="30" t="str">
        <x:v>Consulting &amp; Case</x:v>
      </x:c>
      <x:c r="B18" s="32" t="n">
        <x:f>COUNTIF('All Questions'!$F$5:$F$1725,A18)</x:f>
        <x:v>27</x:v>
      </x:c>
      <x:c r="C18" s="32" t="n">
        <x:f>COUNTIF('Canonical Index'!$C$5:$C$1262,A18)</x:f>
        <x:v>21</x:v>
      </x:c>
      <x:c r="D18" s="32" t="n">
        <x:f>B18-C18</x:f>
        <x:v>6</x:v>
      </x:c>
      <x:c r="E18" s="67" t="n">
        <x:f>B18/SUM($B$5:$B$20)</x:f>
        <x:v>0.01568855316676351</x:v>
      </x:c>
      <x:c r="F18" s="30" t="str">
        <x:f>IF(B18&gt;=200,"Core",IF(B18&gt;=50,"High","Targeted"))</x:f>
        <x:v>Targeted</x:v>
      </x:c>
      <x:c r="G18" s="32" t="n">
        <x:f>COUNTIFS('Answer Bank'!$B$5:$B$1262,A18,'Answer Bank'!$F$5:$F$1262,"&lt;&gt;Not Started")</x:f>
        <x:v>0</x:v>
      </x:c>
      <x:c r="H18" s="32" t="n">
        <x:f>COUNTIFS('Answer Bank'!$B$5:$B$1262,A18,'Answer Bank'!$F$5:$F$1262,"Ready")</x:f>
        <x:v>0</x:v>
      </x:c>
    </x:row>
    <x:row r="19">
      <x:c r="A19" s="30" t="str">
        <x:v>Other Technical</x:v>
      </x:c>
      <x:c r="B19" s="32" t="n">
        <x:f>COUNTIF('All Questions'!$F$5:$F$1725,A19)</x:f>
        <x:v>23</x:v>
      </x:c>
      <x:c r="C19" s="32" t="n">
        <x:f>COUNTIF('Canonical Index'!$C$5:$C$1262,A19)</x:f>
        <x:v>22</x:v>
      </x:c>
      <x:c r="D19" s="32" t="n">
        <x:f>B19-C19</x:f>
        <x:v>1</x:v>
      </x:c>
      <x:c r="E19" s="67" t="n">
        <x:f>B19/SUM($B$5:$B$20)</x:f>
        <x:v>0.01336432306798373</x:v>
      </x:c>
      <x:c r="F19" s="30" t="str">
        <x:f>IF(B19&gt;=200,"Core",IF(B19&gt;=50,"High","Targeted"))</x:f>
        <x:v>Targeted</x:v>
      </x:c>
      <x:c r="G19" s="32" t="n">
        <x:f>COUNTIFS('Answer Bank'!$B$5:$B$1262,A19,'Answer Bank'!$F$5:$F$1262,"&lt;&gt;Not Started")</x:f>
        <x:v>0</x:v>
      </x:c>
      <x:c r="H19" s="32" t="n">
        <x:f>COUNTIFS('Answer Bank'!$B$5:$B$1262,A19,'Answer Bank'!$F$5:$F$1262,"Ready")</x:f>
        <x:v>0</x:v>
      </x:c>
    </x:row>
    <x:row r="20">
      <x:c r="A20" s="30" t="str">
        <x:v>Other Question</x:v>
      </x:c>
      <x:c r="B20" s="32" t="n">
        <x:f>COUNTIF('All Questions'!$F$5:$F$1725,A20)</x:f>
        <x:v>319</x:v>
      </x:c>
      <x:c r="C20" s="32" t="n">
        <x:f>COUNTIF('Canonical Index'!$C$5:$C$1262,A20)</x:f>
        <x:v>295</x:v>
      </x:c>
      <x:c r="D20" s="32" t="n">
        <x:f>B20-C20</x:f>
        <x:v>24</x:v>
      </x:c>
      <x:c r="E20" s="67" t="n">
        <x:f>B20/SUM($B$5:$B$20)</x:f>
        <x:v>0.18535735037768739</x:v>
      </x:c>
      <x:c r="F20" s="30" t="str">
        <x:f>IF(B20&gt;=200,"Core",IF(B20&gt;=50,"High","Targeted"))</x:f>
        <x:v>Core</x:v>
      </x:c>
      <x:c r="G20" s="32" t="n">
        <x:f>COUNTIFS('Answer Bank'!$B$5:$B$1262,A20,'Answer Bank'!$F$5:$F$1262,"&lt;&gt;Not Started")</x:f>
        <x:v>0</x:v>
      </x:c>
      <x:c r="H20" s="32" t="n">
        <x:f>COUNTIFS('Answer Bank'!$B$5:$B$1262,A20,'Answer Bank'!$F$5:$F$1262,"Ready")</x:f>
        <x:v>0</x:v>
      </x:c>
    </x:row>
  </x:sheetData>
  <x:mergeCells>
    <x:mergeCell ref="A1:H1"/>
    <x:mergeCell ref="A2:H2"/>
  </x:mergeCells>
  <x:conditionalFormatting sqref="F5:F20">
    <x:cfRule type="containsText" dxfId="5" priority="1" operator="containsText" text="Core"/>
    <x:cfRule type="containsText" dxfId="6" priority="2" operator="containsText" text="High"/>
  </x:conditionalFormatting>
  <x:conditionalFormatting sqref="H5:H20">
    <x:cfRule type="cellIs" dxfId="7" priority="3" operator="greaterThan">
      <x:formula>0</x:formula>
    </x:cfRule>
  </x:conditionalFormatting>
  <x:pageMargins left="0.7" right="0.7" top="0.75" bottom="0.75" header="0.3" footer="0.3"/>
  <x:tableParts count="1">
    <x:tablePart xmlns:r="http://schemas.openxmlformats.org/officeDocument/2006/relationships" r:id="R64541390a1c44f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All Questions - Type View</x:v>
      </x:c>
      <x:c r="B1" s="3"/>
      <x:c r="C1" s="3"/>
      <x:c r="D1" s="3"/>
      <x:c r="E1" s="3"/>
      <x:c r="F1" s="3"/>
      <x:c r="G1" s="3"/>
      <x:c r="H1" s="3"/>
      <x:c r="I1" s="3"/>
      <x:c r="J1" s="3"/>
    </x:row>
    <x:row r="2" ht="30" customHeight="1">
      <x:c r="A2" s="7" t="str">
        <x:v>Complete source-level question list with canonical mapping and duplicate counts.</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QB0016</x:v>
      </x:c>
      <x:c r="B5" s="30" t="str">
        <x:v>MS IBD</x:v>
      </x:c>
      <x:c r="C5" s="30" t="str">
        <x:v>IBD / GCM</x:v>
      </x:c>
      <x:c r="D5" s="31" t="str">
        <x:v>Walk me through your resume and tell me about yourself</x:v>
      </x:c>
      <x:c r="E5" s="31" t="str">
        <x:v>Tell me about yourself / walk me through your resume</x:v>
      </x:c>
      <x:c r="F5" s="31" t="str">
        <x:v>Resume &amp; Experience</x:v>
      </x:c>
      <x:c r="G5" s="30" t="str">
        <x:v>CL0001</x:v>
      </x:c>
      <x:c r="H5" s="32" t="n">
        <x:f>COUNTIF($G$5:$G$1725,G5)</x:f>
        <x:v>170</x:v>
      </x:c>
      <x:c r="I5" s="30" t="str">
        <x:v>A4</x:v>
      </x:c>
      <x:c r="J5" s="31" t="str">
        <x:v>2024 SA | First Round | Emily</x:v>
      </x:c>
    </x:row>
    <x:row r="6" ht="32" customHeight="1">
      <x:c r="A6" s="30" t="str">
        <x:v>QB0017</x:v>
      </x:c>
      <x:c r="B6" s="30" t="str">
        <x:v>MS IBD</x:v>
      </x:c>
      <x:c r="C6" s="30" t="str">
        <x:v>IBD / GCM</x:v>
      </x:c>
      <x:c r="D6" s="31" t="str">
        <x:v>Why Morgan Stanley?</x:v>
      </x:c>
      <x:c r="E6" s="31" t="str">
        <x:v>Why this firm?</x:v>
      </x:c>
      <x:c r="F6" s="31" t="str">
        <x:v>Fit &amp; Motivation</x:v>
      </x:c>
      <x:c r="G6" s="30" t="str">
        <x:v>CL0002</x:v>
      </x:c>
      <x:c r="H6" s="32" t="n">
        <x:f>COUNTIF($G$5:$G$1725,G6)</x:f>
        <x:v>39</x:v>
      </x:c>
      <x:c r="I6" s="30" t="str">
        <x:v>A5</x:v>
      </x:c>
      <x:c r="J6" s="31" t="str">
        <x:v>First Round | Emily | Walk me through your resume and tell me about yourself</x:v>
      </x:c>
    </x:row>
    <x:row r="7" ht="32" customHeight="1">
      <x:c r="A7" s="30" t="str">
        <x:v>QB0018</x:v>
      </x:c>
      <x:c r="B7" s="30" t="str">
        <x:v>MS IBD</x:v>
      </x:c>
      <x:c r="C7" s="30" t="str">
        <x:v>IBD / GCM</x:v>
      </x:c>
      <x:c r="D7" s="31" t="str">
        <x:v>Tell me some deals MS has done</x:v>
      </x:c>
      <x:c r="E7" s="31" t="str">
        <x:v>Discuss a recent deal completed by this firm</x:v>
      </x:c>
      <x:c r="F7" s="31" t="str">
        <x:v>Company, Industry &amp; Deals</x:v>
      </x:c>
      <x:c r="G7" s="30" t="str">
        <x:v>CL0008</x:v>
      </x:c>
      <x:c r="H7" s="32" t="n">
        <x:f>COUNTIF($G$5:$G$1725,G7)</x:f>
        <x:v>14</x:v>
      </x:c>
      <x:c r="I7" s="30" t="str">
        <x:v>A6</x:v>
      </x:c>
      <x:c r="J7" s="31" t="str">
        <x:v>Emily | Walk me through your resume and tell me about yourself | Why Morgan Stanley?</x:v>
      </x:c>
    </x:row>
    <x:row r="8" ht="32" customHeight="1">
      <x:c r="A8" s="30" t="str">
        <x:v>QB0020</x:v>
      </x:c>
      <x:c r="B8" s="30" t="str">
        <x:v>MS IBD</x:v>
      </x:c>
      <x:c r="C8" s="30" t="str">
        <x:v>IBD / GCM</x:v>
      </x:c>
      <x:c r="D8" s="31" t="str">
        <x:v>Walk me through DCF (general overview)</x:v>
      </x:c>
      <x:c r="E8" s="31" t="str">
        <x:v>Walk me through a DCF</x:v>
      </x:c>
      <x:c r="F8" s="31" t="str">
        <x:v>Valuation</x:v>
      </x:c>
      <x:c r="G8" s="30" t="str">
        <x:v>CL0013</x:v>
      </x:c>
      <x:c r="H8" s="32" t="n">
        <x:f>COUNTIF($G$5:$G$1725,G8)</x:f>
        <x:v>10</x:v>
      </x:c>
      <x:c r="I8" s="30" t="str">
        <x:v>A8</x:v>
      </x:c>
      <x:c r="J8" s="31" t="str">
        <x:v>Why Morgan Stanley? | Tell me some deals MS has done | Technical questions</x:v>
      </x:c>
    </x:row>
    <x:row r="9" ht="48" customHeight="1">
      <x:c r="A9" s="30" t="str">
        <x:v>QB0021</x:v>
      </x:c>
      <x:c r="B9" s="30" t="str">
        <x:v>MS IBD</x:v>
      </x:c>
      <x:c r="C9" s="30" t="str">
        <x:v>IBD / GCM</x:v>
      </x:c>
      <x:c r="D9" s="31" t="str">
        <x:v>WACC</x:v>
      </x:c>
      <x:c r="E9" s="31" t="str">
        <x:v>WACC</x:v>
      </x:c>
      <x:c r="F9" s="31" t="str">
        <x:v>Valuation</x:v>
      </x:c>
      <x:c r="G9" s="30" t="str">
        <x:v>CL0819</x:v>
      </x:c>
      <x:c r="H9" s="32" t="n">
        <x:f>COUNTIF($G$5:$G$1725,G9)</x:f>
        <x:v>1</x:v>
      </x:c>
      <x:c r="I9" s="30" t="str">
        <x:v>A9</x:v>
      </x:c>
      <x:c r="J9" s="31" t="str">
        <x:v>Tell me some deals MS has done | Technical questions | Walk me through DCF (general overview)</x:v>
      </x:c>
    </x:row>
    <x:row r="10" ht="32" customHeight="1">
      <x:c r="A10" s="30" t="str">
        <x:v>QB0022</x:v>
      </x:c>
      <x:c r="B10" s="30" t="str">
        <x:v>MS IBD</x:v>
      </x:c>
      <x:c r="C10" s="30" t="str">
        <x:v>IBD / GCM</x:v>
      </x:c>
      <x:c r="D10" s="31" t="str">
        <x:v>Cost of equity</x:v>
      </x:c>
      <x:c r="E10" s="31" t="str">
        <x:v>Cost of equity</x:v>
      </x:c>
      <x:c r="F10" s="31" t="str">
        <x:v>Valuation</x:v>
      </x:c>
      <x:c r="G10" s="30" t="str">
        <x:v>CL0207</x:v>
      </x:c>
      <x:c r="H10" s="32" t="n">
        <x:f>COUNTIF($G$5:$G$1725,G10)</x:f>
        <x:v>1</x:v>
      </x:c>
      <x:c r="I10" s="30" t="str">
        <x:v>A10</x:v>
      </x:c>
      <x:c r="J10" s="31" t="str">
        <x:v>Technical questions | Walk me through DCF (general overview) | WACC</x:v>
      </x:c>
    </x:row>
    <x:row r="11" ht="32" customHeight="1">
      <x:c r="A11" s="30" t="str">
        <x:v>QB0023</x:v>
      </x:c>
      <x:c r="B11" s="30" t="str">
        <x:v>MS IBD</x:v>
      </x:c>
      <x:c r="C11" s="30" t="str">
        <x:v>IBD / GCM</x:v>
      </x:c>
      <x:c r="D11" s="31" t="str">
        <x:v>Beta</x:v>
      </x:c>
      <x:c r="E11" s="31" t="str">
        <x:v>Beta</x:v>
      </x:c>
      <x:c r="F11" s="31" t="str">
        <x:v>Valuation</x:v>
      </x:c>
      <x:c r="G11" s="30" t="str">
        <x:v>CL0161</x:v>
      </x:c>
      <x:c r="H11" s="32" t="n">
        <x:f>COUNTIF($G$5:$G$1725,G11)</x:f>
        <x:v>1</x:v>
      </x:c>
      <x:c r="I11" s="30" t="str">
        <x:v>A11</x:v>
      </x:c>
      <x:c r="J11" s="31" t="str">
        <x:v>Walk me through DCF (general overview) | WACC | Cost of equity</x:v>
      </x:c>
    </x:row>
    <x:row r="12" ht="32" customHeight="1">
      <x:c r="A12" s="30" t="str">
        <x:v>QB0024</x:v>
      </x:c>
      <x:c r="B12" s="30" t="str">
        <x:v>MS IBD</x:v>
      </x:c>
      <x:c r="C12" s="30" t="str">
        <x:v>IBD / GCM</x:v>
      </x:c>
      <x:c r="D12" s="31" t="str">
        <x:v>PP&amp;E increase by 10 thousand, 3 statement</x:v>
      </x:c>
      <x:c r="E12" s="31" t="str">
        <x:v>PP&amp;E increase by 10 thousand, 3 statement</x:v>
      </x:c>
      <x:c r="F12" s="31" t="str">
        <x:v>Accounting &amp; Financial Statements</x:v>
      </x:c>
      <x:c r="G12" s="30" t="str">
        <x:v>CL0643</x:v>
      </x:c>
      <x:c r="H12" s="32" t="n">
        <x:f>COUNTIF($G$5:$G$1725,G12)</x:f>
        <x:v>1</x:v>
      </x:c>
      <x:c r="I12" s="30" t="str">
        <x:v>A12</x:v>
      </x:c>
      <x:c r="J12" s="31" t="str">
        <x:v>WACC | Cost of equity | Beta</x:v>
      </x:c>
    </x:row>
    <x:row r="13" ht="48" customHeight="1">
      <x:c r="A13" s="30" t="str">
        <x:v>QB0025</x:v>
      </x:c>
      <x:c r="B13" s="30" t="str">
        <x:v>MS IBD</x:v>
      </x:c>
      <x:c r="C13" s="30" t="str">
        <x:v>IBD / GCM</x:v>
      </x:c>
      <x:c r="D13" s="31" t="str">
        <x:v>After 4 years, no residual value, straight-line depreciation for 10 years, tax rate 40%, 3 statement</x:v>
      </x:c>
      <x:c r="E13" s="31" t="str">
        <x:v>After 4 years, no residual value, straight-line depreciation for 10 years, tax rate 40%, 3 statement</x:v>
      </x:c>
      <x:c r="F13" s="31" t="str">
        <x:v>Accounting &amp; Financial Statements</x:v>
      </x:c>
      <x:c r="G13" s="30" t="str">
        <x:v>CL0105</x:v>
      </x:c>
      <x:c r="H13" s="32" t="n">
        <x:f>COUNTIF($G$5:$G$1725,G13)</x:f>
        <x:v>1</x:v>
      </x:c>
      <x:c r="I13" s="30" t="str">
        <x:v>A13</x:v>
      </x:c>
      <x:c r="J13" s="31" t="str">
        <x:v>Cost of equity | Beta | PP&amp;E increase by 10 thousand, 3 statement</x:v>
      </x:c>
    </x:row>
    <x:row r="14" ht="48" customHeight="1">
      <x:c r="A14" s="30" t="str">
        <x:v>QB0026</x:v>
      </x:c>
      <x:c r="B14" s="30" t="str">
        <x:v>MS IBD</x:v>
      </x:c>
      <x:c r="C14" s="30" t="str">
        <x:v>IBD / GCM</x:v>
      </x:c>
      <x:c r="D14" s="31" t="str">
        <x:v>Would you rather receive 10 thousand upfront today, or 100 dollars per year for the rest of your life</x:v>
      </x:c>
      <x:c r="E14" s="31" t="str">
        <x:v>Would you rather receive 10 thousand upfront today, or 100 dollars per year for the rest of your life</x:v>
      </x:c>
      <x:c r="F14" s="31" t="str">
        <x:v>Other Question</x:v>
      </x:c>
      <x:c r="G14" s="30" t="str">
        <x:v>CL1196</x:v>
      </x:c>
      <x:c r="H14" s="32" t="n">
        <x:f>COUNTIF($G$5:$G$1725,G14)</x:f>
        <x:v>1</x:v>
      </x:c>
      <x:c r="I14" s="30" t="str">
        <x:v>A14</x:v>
      </x:c>
      <x:c r="J14" s="31" t="str">
        <x:v>Beta | PP&amp;E increase by 10 thousand, 3 statement | After 4 years, no residual value, straight-line depreciation for 10 years, tax rate 40%, 3 statement</x:v>
      </x:c>
    </x:row>
    <x:row r="15" ht="68" customHeight="1">
      <x:c r="A15" s="30" t="str">
        <x:v>QB0027</x:v>
      </x:c>
      <x:c r="B15" s="30" t="str">
        <x:v>MS IBD</x:v>
      </x:c>
      <x:c r="C15" s="30" t="str">
        <x:v>IBD / GCM</x:v>
      </x:c>
      <x:c r="D15" s="31" t="str">
        <x:v>How would you project NWC? (basically the accounts receivable turnover thing)</x:v>
      </x:c>
      <x:c r="E15" s="31" t="str">
        <x:v>How would you project NWC? (basically the accounts receivable turnover thing)</x:v>
      </x:c>
      <x:c r="F15" s="31" t="str">
        <x:v>Accounting &amp; Financial Statements</x:v>
      </x:c>
      <x:c r="G15" s="30" t="str">
        <x:v>CL0498</x:v>
      </x:c>
      <x:c r="H15" s="32" t="n">
        <x:f>COUNTIF($G$5:$G$1725,G15)</x:f>
        <x:v>1</x:v>
      </x:c>
      <x:c r="I15" s="30" t="str">
        <x:v>A15</x:v>
      </x:c>
      <x:c r="J15" s="31" t="str">
        <x:v>PP&amp;E increase by 10 thousand, 3 statement | After 4 years, no residual value, straight-line depreciation for 10 years, tax rate 40%, 3 statement | Would you rather receive 10 thousand upfront today, or 100 dollars per year for the rest o...</x:v>
      </x:c>
    </x:row>
    <x:row r="16" ht="48" customHeight="1">
      <x:c r="A16" s="30" t="str">
        <x:v>QB0036</x:v>
      </x:c>
      <x:c r="B16" s="30" t="str">
        <x:v>MS IBD</x:v>
      </x:c>
      <x:c r="C16" s="30" t="str">
        <x:v>IBD / GCM</x:v>
      </x:c>
      <x:c r="D16" s="31" t="str">
        <x:v>Self-intro</x:v>
      </x:c>
      <x:c r="E16" s="31" t="str">
        <x:v>Tell me about yourself / walk me through your resume</x:v>
      </x:c>
      <x:c r="F16" s="31" t="str">
        <x:v>Resume &amp; Experience</x:v>
      </x:c>
      <x:c r="G16" s="30" t="str">
        <x:v>CL0001</x:v>
      </x:c>
      <x:c r="H16" s="32" t="n">
        <x:f>COUNTIF($G$5:$G$1725,G16)</x:f>
        <x:v>170</x:v>
      </x:c>
      <x:c r="I16" s="30" t="str">
        <x:v>A21</x:v>
      </x:c>
      <x:c r="J16" s="31" t="str">
        <x:v>Done, Q&amp;A for 15 mins-ish | First Round | 1st round 13/9 Daisy (Dennis Liu from Financial Sponsor Group)</x:v>
      </x:c>
    </x:row>
    <x:row r="17" ht="32" customHeight="1">
      <x:c r="A17" s="30" t="str">
        <x:v>QB0037</x:v>
      </x:c>
      <x:c r="B17" s="30" t="str">
        <x:v>MS IBD</x:v>
      </x:c>
      <x:c r="C17" s="30" t="str">
        <x:v>IBD / GCM</x:v>
      </x:c>
      <x:c r="D17" s="31" t="str">
        <x:v>Self Intro + Why IBD</x:v>
      </x:c>
      <x:c r="E17" s="31" t="str">
        <x:v>Tell me about yourself / walk me through your resume</x:v>
      </x:c>
      <x:c r="F17" s="31" t="str">
        <x:v>Fit &amp; Motivation</x:v>
      </x:c>
      <x:c r="G17" s="30" t="str">
        <x:v>CL0001</x:v>
      </x:c>
      <x:c r="H17" s="32" t="n">
        <x:f>COUNTIF($G$5:$G$1725,G17)</x:f>
        <x:v>170</x:v>
      </x:c>
      <x:c r="I17" s="30" t="str">
        <x:v>C21</x:v>
      </x:c>
      <x:c r="J17" s="31" t="str">
        <x:v>1st round 8/9 Germaine (Ray Hu from Real Estate)</x:v>
      </x:c>
    </x:row>
    <x:row r="18" ht="32" customHeight="1">
      <x:c r="A18" s="30" t="str">
        <x:v>QB0038</x:v>
      </x:c>
      <x:c r="B18" s="30" t="str">
        <x:v>MS IBD</x:v>
      </x:c>
      <x:c r="C18" s="30" t="str">
        <x:v>IBD / GCM</x:v>
      </x:c>
      <x:c r="D18" s="31" t="str">
        <x:v>Self introduction/ walk me through your resume</x:v>
      </x:c>
      <x:c r="E18" s="31" t="str">
        <x:v>Tell me about yourself / walk me through your resume</x:v>
      </x:c>
      <x:c r="F18" s="31" t="str">
        <x:v>Resume &amp; Experience</x:v>
      </x:c>
      <x:c r="G18" s="30" t="str">
        <x:v>CL0001</x:v>
      </x:c>
      <x:c r="H18" s="32" t="n">
        <x:f>COUNTIF($G$5:$G$1725,G18)</x:f>
        <x:v>170</x:v>
      </x:c>
      <x:c r="I18" s="30" t="str">
        <x:v>E21</x:v>
      </x:c>
      <x:c r="J18" s="31" t="str">
        <x:v>1st round 4/9 Beata (Peter Law, VP from HK Coverage)</x:v>
      </x:c>
    </x:row>
    <x:row r="19" ht="32" customHeight="1">
      <x:c r="A19" s="30" t="str">
        <x:v>QB0039</x:v>
      </x:c>
      <x:c r="B19" s="30" t="str">
        <x:v>MS IBD</x:v>
      </x:c>
      <x:c r="C19" s="30" t="str">
        <x:v>IBD / GCM</x:v>
      </x:c>
      <x:c r="D19" s="31" t="str">
        <x:v>Self-intro</x:v>
      </x:c>
      <x:c r="E19" s="31" t="str">
        <x:v>Tell me about yourself / walk me through your resume</x:v>
      </x:c>
      <x:c r="F19" s="31" t="str">
        <x:v>Resume &amp; Experience</x:v>
      </x:c>
      <x:c r="G19" s="30" t="str">
        <x:v>CL0001</x:v>
      </x:c>
      <x:c r="H19" s="32" t="n">
        <x:f>COUNTIF($G$5:$G$1725,G19)</x:f>
        <x:v>170</x:v>
      </x:c>
      <x:c r="I19" s="30" t="str">
        <x:v>F21</x:v>
      </x:c>
      <x:c r="J19" s="31" t="str">
        <x:v>1st round 2/10 Leo (Jason Tse, Asso from Financial Sponsor Group)</x:v>
      </x:c>
    </x:row>
    <x:row r="20" ht="32" customHeight="1">
      <x:c r="A20" s="30" t="str">
        <x:v>QB0040</x:v>
      </x:c>
      <x:c r="B20" s="30" t="str">
        <x:v>MS IBD</x:v>
      </x:c>
      <x:c r="C20" s="30" t="str">
        <x:v>IBD / GCM</x:v>
      </x:c>
      <x:c r="D20" s="31" t="str">
        <x:v>Self Intro</x:v>
      </x:c>
      <x:c r="E20" s="31" t="str">
        <x:v>Tell me about yourself / walk me through your resume</x:v>
      </x:c>
      <x:c r="F20" s="31" t="str">
        <x:v>Resume &amp; Experience</x:v>
      </x:c>
      <x:c r="G20" s="30" t="str">
        <x:v>CL0001</x:v>
      </x:c>
      <x:c r="H20" s="32" t="n">
        <x:f>COUNTIF($G$5:$G$1725,G20)</x:f>
        <x:v>170</x:v>
      </x:c>
      <x:c r="I20" s="30" t="str">
        <x:v>G21</x:v>
      </x:c>
      <x:c r="J20" s="31" t="str">
        <x:v>1st round Emily 4/10 (Kelly Liu, Asso from TMT)</x:v>
      </x:c>
    </x:row>
    <x:row r="21" ht="32" customHeight="1">
      <x:c r="A21" s="30" t="str">
        <x:v>QB0041</x:v>
      </x:c>
      <x:c r="B21" s="30" t="str">
        <x:v>MS IBD</x:v>
      </x:c>
      <x:c r="C21" s="30" t="str">
        <x:v>IBD / GCM</x:v>
      </x:c>
      <x:c r="D21" s="31" t="str">
        <x:v>Self Intro</x:v>
      </x:c>
      <x:c r="E21" s="31" t="str">
        <x:v>Tell me about yourself / walk me through your resume</x:v>
      </x:c>
      <x:c r="F21" s="31" t="str">
        <x:v>Resume &amp; Experience</x:v>
      </x:c>
      <x:c r="G21" s="30" t="str">
        <x:v>CL0001</x:v>
      </x:c>
      <x:c r="H21" s="32" t="n">
        <x:f>COUNTIF($G$5:$G$1725,G21)</x:f>
        <x:v>170</x:v>
      </x:c>
      <x:c r="I21" s="30" t="str">
        <x:v>H21</x:v>
      </x:c>
      <x:c r="J21" s="31" t="str">
        <x:v>1st round Jasmine 4/10 (Kelly Liu, Asso from TMT)</x:v>
      </x:c>
    </x:row>
    <x:row r="22" ht="32" customHeight="1">
      <x:c r="A22" s="30" t="str">
        <x:v>QB0042</x:v>
      </x:c>
      <x:c r="B22" s="30" t="str">
        <x:v>MS IBD</x:v>
      </x:c>
      <x:c r="C22" s="30" t="str">
        <x:v>IBD / GCM</x:v>
      </x:c>
      <x:c r="D22" s="31" t="str">
        <x:v>Are u native mainland Chinese</x:v>
      </x:c>
      <x:c r="E22" s="31" t="str">
        <x:v>Are u native mainland Chinese</x:v>
      </x:c>
      <x:c r="F22" s="31" t="str">
        <x:v>Fit &amp; Motivation</x:v>
      </x:c>
      <x:c r="G22" s="30" t="str">
        <x:v>CL0132</x:v>
      </x:c>
      <x:c r="H22" s="32" t="n">
        <x:f>COUNTIF($G$5:$G$1725,G22)</x:f>
        <x:v>1</x:v>
      </x:c>
      <x:c r="I22" s="30" t="str">
        <x:v>A22</x:v>
      </x:c>
      <x:c r="J22" s="31" t="str">
        <x:v>First Round | 1st round 13/9 Daisy (Dennis Liu from Financial Sponsor Group) | Self-intro</x:v>
      </x:c>
    </x:row>
    <x:row r="23" ht="32" customHeight="1">
      <x:c r="A23" s="30" t="str">
        <x:v>QB0043</x:v>
      </x:c>
      <x:c r="B23" s="30" t="str">
        <x:v>MS IBD</x:v>
      </x:c>
      <x:c r="C23" s="30" t="str">
        <x:v>IBD / GCM</x:v>
      </x:c>
      <x:c r="D23" s="31" t="str">
        <x:v>What did you do in Odysseus</x:v>
      </x:c>
      <x:c r="E23" s="31" t="str">
        <x:v>What did you do in Odysseus</x:v>
      </x:c>
      <x:c r="F23" s="31" t="str">
        <x:v>Resume &amp; Experience</x:v>
      </x:c>
      <x:c r="G23" s="30" t="str">
        <x:v>CL0902</x:v>
      </x:c>
      <x:c r="H23" s="32" t="n">
        <x:f>COUNTIF($G$5:$G$1725,G23)</x:f>
        <x:v>1</x:v>
      </x:c>
      <x:c r="I23" s="30" t="str">
        <x:v>C22</x:v>
      </x:c>
      <x:c r="J23" s="31" t="str">
        <x:v>1st round 8/9 Germaine (Ray Hu from Real Estate) | Self Intro + Why IBD</x:v>
      </x:c>
    </x:row>
    <x:row r="24" ht="48" customHeight="1">
      <x:c r="A24" s="30" t="str">
        <x:v>QB0044</x:v>
      </x:c>
      <x:c r="B24" s="30" t="str">
        <x:v>MS IBD</x:v>
      </x:c>
      <x:c r="C24" s="30" t="str">
        <x:v>IBD / GCM</x:v>
      </x:c>
      <x:c r="D24" s="31" t="str">
        <x:v>Why sell-side but not buy-side</x:v>
      </x:c>
      <x:c r="E24" s="31" t="str">
        <x:v>Why sell-side but not buy-side</x:v>
      </x:c>
      <x:c r="F24" s="31" t="str">
        <x:v>Fit &amp; Motivation</x:v>
      </x:c>
      <x:c r="G24" s="30" t="str">
        <x:v>CL1164</x:v>
      </x:c>
      <x:c r="H24" s="32" t="n">
        <x:f>COUNTIF($G$5:$G$1725,G24)</x:f>
        <x:v>1</x:v>
      </x:c>
      <x:c r="I24" s="30" t="str">
        <x:v>E22</x:v>
      </x:c>
      <x:c r="J24" s="31" t="str">
        <x:v>1st round 4/9 Beata (Peter Law, VP from HK Coverage) | Self introduction/ walk me through your resume</x:v>
      </x:c>
    </x:row>
    <x:row r="25" ht="32" customHeight="1">
      <x:c r="A25" s="30" t="str">
        <x:v>QB0045</x:v>
      </x:c>
      <x:c r="B25" s="30" t="str">
        <x:v>MS IBD</x:v>
      </x:c>
      <x:c r="C25" s="30" t="str">
        <x:v>IBD / GCM</x:v>
      </x:c>
      <x:c r="D25" s="31" t="str">
        <x:v>You have internships in other areas, why IBD?</x:v>
      </x:c>
      <x:c r="E25" s="31" t="str">
        <x:v>Why investment banking?</x:v>
      </x:c>
      <x:c r="F25" s="31" t="str">
        <x:v>Fit &amp; Motivation</x:v>
      </x:c>
      <x:c r="G25" s="30" t="str">
        <x:v>CL0003</x:v>
      </x:c>
      <x:c r="H25" s="32" t="n">
        <x:f>COUNTIF($G$5:$G$1725,G25)</x:f>
        <x:v>34</x:v>
      </x:c>
      <x:c r="I25" s="30" t="str">
        <x:v>F22</x:v>
      </x:c>
      <x:c r="J25" s="31" t="str">
        <x:v>1st round 2/10 Leo (Jason Tse, Asso from Financial Sponsor Group) | Self-intro</x:v>
      </x:c>
    </x:row>
    <x:row r="26" ht="32" customHeight="1">
      <x:c r="A26" s="30" t="str">
        <x:v>QB0046</x:v>
      </x:c>
      <x:c r="B26" s="30" t="str">
        <x:v>MS IBD</x:v>
      </x:c>
      <x:c r="C26" s="30" t="str">
        <x:v>IBD / GCM</x:v>
      </x:c>
      <x:c r="D26" s="31" t="str">
        <x:v>Did you have return? What's the return rate? (but she was nice about it)</x:v>
      </x:c>
      <x:c r="E26" s="31" t="str">
        <x:v>Did you have return? What's the return rate? (but she was nice about it)</x:v>
      </x:c>
      <x:c r="F26" s="31" t="str">
        <x:v>Other Question</x:v>
      </x:c>
      <x:c r="G26" s="30" t="str">
        <x:v>CL0246</x:v>
      </x:c>
      <x:c r="H26" s="32" t="n">
        <x:f>COUNTIF($G$5:$G$1725,G26)</x:f>
        <x:v>1</x:v>
      </x:c>
      <x:c r="I26" s="30" t="str">
        <x:v>G22</x:v>
      </x:c>
      <x:c r="J26" s="31" t="str">
        <x:v>1st round Emily 4/10 (Kelly Liu, Asso from TMT) | Self Intro</x:v>
      </x:c>
    </x:row>
    <x:row r="27" ht="32" customHeight="1">
      <x:c r="A27" s="30" t="str">
        <x:v>QB0047</x:v>
      </x:c>
      <x:c r="B27" s="30" t="str">
        <x:v>MS IBD</x:v>
      </x:c>
      <x:c r="C27" s="30" t="str">
        <x:v>IBD / GCM</x:v>
      </x:c>
      <x:c r="D27" s="31" t="str">
        <x:v>What is client financing solutions, DCM?</x:v>
      </x:c>
      <x:c r="E27" s="31" t="str">
        <x:v>What is client financing solutions, DCM</x:v>
      </x:c>
      <x:c r="F27" s="31" t="str">
        <x:v>Accounting &amp; Financial Statements</x:v>
      </x:c>
      <x:c r="G27" s="30" t="str">
        <x:v>CL0966</x:v>
      </x:c>
      <x:c r="H27" s="32" t="n">
        <x:f>COUNTIF($G$5:$G$1725,G27)</x:f>
        <x:v>1</x:v>
      </x:c>
      <x:c r="I27" s="30" t="str">
        <x:v>H22</x:v>
      </x:c>
      <x:c r="J27" s="31" t="str">
        <x:v>1st round Jasmine 4/10 (Kelly Liu, Asso from TMT) | Self Intro</x:v>
      </x:c>
    </x:row>
    <x:row r="28" ht="48" customHeight="1">
      <x:c r="A28" s="30" t="str">
        <x:v>QB0048</x:v>
      </x:c>
      <x:c r="B28" s="30" t="str">
        <x:v>MS IBD</x:v>
      </x:c>
      <x:c r="C28" s="30" t="str">
        <x:v>IBD / GCM</x:v>
      </x:c>
      <x:c r="D28" s="31" t="str">
        <x:v>Why doing college in Hong Kong</x:v>
      </x:c>
      <x:c r="E28" s="31" t="str">
        <x:v>Why doing college in Hong Kong</x:v>
      </x:c>
      <x:c r="F28" s="31" t="str">
        <x:v>Fit &amp; Motivation</x:v>
      </x:c>
      <x:c r="G28" s="30" t="str">
        <x:v>CL1132</x:v>
      </x:c>
      <x:c r="H28" s="32" t="n">
        <x:f>COUNTIF($G$5:$G$1725,G28)</x:f>
        <x:v>1</x:v>
      </x:c>
      <x:c r="I28" s="30" t="str">
        <x:v>A23</x:v>
      </x:c>
      <x:c r="J28" s="31" t="str">
        <x:v>1st round 13/9 Daisy (Dennis Liu from Financial Sponsor Group) | Self-intro | Are u native mainland Chinese</x:v>
      </x:c>
    </x:row>
    <x:row r="29" ht="48" customHeight="1">
      <x:c r="A29" s="30" t="str">
        <x:v>QB0049</x:v>
      </x:c>
      <x:c r="B29" s="30" t="str">
        <x:v>MS IBD</x:v>
      </x:c>
      <x:c r="C29" s="30" t="str">
        <x:v>IBD / GCM</x:v>
      </x:c>
      <x:c r="D29" s="31" t="str">
        <x:v>AI semiconductor industry - overview, trends, opportunities, risks, competitor analysis, competitive edge</x:v>
      </x:c>
      <x:c r="E29" s="31" t="str">
        <x:v>AI semiconductor industry - overview, trends, opportunities, risks, competitor analysis, competitive edge</x:v>
      </x:c>
      <x:c r="F29" s="31" t="str">
        <x:v>Company, Industry &amp; Deals</x:v>
      </x:c>
      <x:c r="G29" s="30" t="str">
        <x:v>CL0106</x:v>
      </x:c>
      <x:c r="H29" s="32" t="n">
        <x:f>COUNTIF($G$5:$G$1725,G29)</x:f>
        <x:v>1</x:v>
      </x:c>
      <x:c r="I29" s="30" t="str">
        <x:v>C23</x:v>
      </x:c>
      <x:c r="J29" s="31" t="str">
        <x:v>1st round 8/9 Germaine (Ray Hu from Real Estate) | Self Intro + Why IBD | What did you do in Odysseus</x:v>
      </x:c>
    </x:row>
    <x:row r="30" ht="48" customHeight="1">
      <x:c r="A30" s="30" t="str">
        <x:v>QB0050</x:v>
      </x:c>
      <x:c r="B30" s="30" t="str">
        <x:v>MS IBD</x:v>
      </x:c>
      <x:c r="C30" s="30" t="str">
        <x:v>IBD / GCM</x:v>
      </x:c>
      <x:c r="D30" s="31" t="str">
        <x:v>Why investment banking but not consulting</x:v>
      </x:c>
      <x:c r="E30" s="31" t="str">
        <x:v>Why investment banking?</x:v>
      </x:c>
      <x:c r="F30" s="31" t="str">
        <x:v>Fit &amp; Motivation</x:v>
      </x:c>
      <x:c r="G30" s="30" t="str">
        <x:v>CL0003</x:v>
      </x:c>
      <x:c r="H30" s="32" t="n">
        <x:f>COUNTIF($G$5:$G$1725,G30)</x:f>
        <x:v>34</x:v>
      </x:c>
      <x:c r="I30" s="30" t="str">
        <x:v>E23</x:v>
      </x:c>
      <x:c r="J30" s="31" t="str">
        <x:v>1st round 4/9 Beata (Peter Law, VP from HK Coverage) | Self introduction/ walk me through your resume | Why sell-side but not buy-side</x:v>
      </x:c>
    </x:row>
    <x:row r="31" ht="48" customHeight="1">
      <x:c r="A31" s="30" t="str">
        <x:v>QB0051</x:v>
      </x:c>
      <x:c r="B31" s="30" t="str">
        <x:v>MS IBD</x:v>
      </x:c>
      <x:c r="C31" s="30" t="str">
        <x:v>IBD / GCM</x:v>
      </x:c>
      <x:c r="D31" s="31" t="str">
        <x:v>Why MS?</x:v>
      </x:c>
      <x:c r="E31" s="31" t="str">
        <x:v>Why this firm?</x:v>
      </x:c>
      <x:c r="F31" s="31" t="str">
        <x:v>Fit &amp; Motivation</x:v>
      </x:c>
      <x:c r="G31" s="30" t="str">
        <x:v>CL0002</x:v>
      </x:c>
      <x:c r="H31" s="32" t="n">
        <x:f>COUNTIF($G$5:$G$1725,G31)</x:f>
        <x:v>39</x:v>
      </x:c>
      <x:c r="I31" s="30" t="str">
        <x:v>F23</x:v>
      </x:c>
      <x:c r="J31" s="31" t="str">
        <x:v>1st round 2/10 Leo (Jason Tse, Asso from Financial Sponsor Group) | Self-intro | You have internships in other areas, why IBD?</x:v>
      </x:c>
    </x:row>
    <x:row r="32" ht="48" customHeight="1">
      <x:c r="A32" s="30" t="str">
        <x:v>QB0052</x:v>
      </x:c>
      <x:c r="B32" s="30" t="str">
        <x:v>MS IBD</x:v>
      </x:c>
      <x:c r="C32" s="30" t="str">
        <x:v>IBD / GCM</x:v>
      </x:c>
      <x:c r="D32" s="31" t="str">
        <x:v>Tell me about one project you worked on in UBS, your responsibilities and its valuation</x:v>
      </x:c>
      <x:c r="E32" s="31" t="str">
        <x:v>Tell me about one project you worked on in UBS, your responsibilities and its valuation</x:v>
      </x:c>
      <x:c r="F32" s="31" t="str">
        <x:v>Resume &amp; Experience</x:v>
      </x:c>
      <x:c r="G32" s="30" t="str">
        <x:v>CL0738</x:v>
      </x:c>
      <x:c r="H32" s="32" t="n">
        <x:f>COUNTIF($G$5:$G$1725,G32)</x:f>
        <x:v>1</x:v>
      </x:c>
      <x:c r="I32" s="30" t="str">
        <x:v>G23</x:v>
      </x:c>
      <x:c r="J32" s="31" t="str">
        <x:v>1st round Emily 4/10 (Kelly Liu, Asso from TMT) | Self Intro | Did you have return? What's the return rate? (but she was nice about it)</x:v>
      </x:c>
    </x:row>
    <x:row r="33" ht="48" customHeight="1">
      <x:c r="A33" s="30" t="str">
        <x:v>QB0053</x:v>
      </x:c>
      <x:c r="B33" s="30" t="str">
        <x:v>MS IBD</x:v>
      </x:c>
      <x:c r="C33" s="30" t="str">
        <x:v>IBD / GCM</x:v>
      </x:c>
      <x:c r="D33" s="31" t="str">
        <x:v>Do you like financing / capital markets?</x:v>
      </x:c>
      <x:c r="E33" s="31" t="str">
        <x:v>Do you like financing / capital markets</x:v>
      </x:c>
      <x:c r="F33" s="31" t="str">
        <x:v>Capital Markets &amp; Financing</x:v>
      </x:c>
      <x:c r="G33" s="30" t="str">
        <x:v>CL0283</x:v>
      </x:c>
      <x:c r="H33" s="32" t="n">
        <x:f>COUNTIF($G$5:$G$1725,G33)</x:f>
        <x:v>1</x:v>
      </x:c>
      <x:c r="I33" s="30" t="str">
        <x:v>H23</x:v>
      </x:c>
      <x:c r="J33" s="31" t="str">
        <x:v>1st round Jasmine 4/10 (Kelly Liu, Asso from TMT) | Self Intro | What is client financing solutions, DCM?</x:v>
      </x:c>
    </x:row>
    <x:row r="34" ht="48" customHeight="1">
      <x:c r="A34" s="30" t="str">
        <x:v>QB0055</x:v>
      </x:c>
      <x:c r="B34" s="30" t="str">
        <x:v>MS IBD</x:v>
      </x:c>
      <x:c r="C34" s="30" t="str">
        <x:v>IBD / GCM</x:v>
      </x:c>
      <x:c r="D34" s="31" t="str">
        <x:v>3 financial statements</x:v>
      </x:c>
      <x:c r="E34" s="31" t="str">
        <x:v>3 financial statements</x:v>
      </x:c>
      <x:c r="F34" s="31" t="str">
        <x:v>Accounting &amp; Financial Statements</x:v>
      </x:c>
      <x:c r="G34" s="30" t="str">
        <x:v>CL0073</x:v>
      </x:c>
      <x:c r="H34" s="32" t="n">
        <x:f>COUNTIF($G$5:$G$1725,G34)</x:f>
        <x:v>1</x:v>
      </x:c>
      <x:c r="I34" s="30" t="str">
        <x:v>C24</x:v>
      </x:c>
      <x:c r="J34" s="31" t="str">
        <x:v>Self Intro + Why IBD | What did you do in Odysseus | AI semiconductor industry - overview, trends, opportunities, risks, competitor analysis, competitive edge</x:v>
      </x:c>
    </x:row>
    <x:row r="35" ht="48" customHeight="1">
      <x:c r="A35" s="30" t="str">
        <x:v>QB0056</x:v>
      </x:c>
      <x:c r="B35" s="30" t="str">
        <x:v>MS IBD</x:v>
      </x:c>
      <x:c r="C35" s="30" t="str">
        <x:v>IBD / GCM</x:v>
      </x:c>
      <x:c r="D35" s="31" t="str">
        <x:v>Did you do any financial modelling before</x:v>
      </x:c>
      <x:c r="E35" s="31" t="str">
        <x:v>Did you do any financial modelling before</x:v>
      </x:c>
      <x:c r="F35" s="31" t="str">
        <x:v>Other Technical</x:v>
      </x:c>
      <x:c r="G35" s="30" t="str">
        <x:v>CL0238</x:v>
      </x:c>
      <x:c r="H35" s="32" t="n">
        <x:f>COUNTIF($G$5:$G$1725,G35)</x:f>
        <x:v>1</x:v>
      </x:c>
      <x:c r="I35" s="30" t="str">
        <x:v>E24</x:v>
      </x:c>
      <x:c r="J35" s="31" t="str">
        <x:v>Self introduction/ walk me through your resume | Why sell-side but not buy-side | Why investment banking but not consulting</x:v>
      </x:c>
    </x:row>
    <x:row r="36" ht="32" customHeight="1">
      <x:c r="A36" s="30" t="str">
        <x:v>QB0057</x:v>
      </x:c>
      <x:c r="B36" s="30" t="str">
        <x:v>MS IBD</x:v>
      </x:c>
      <x:c r="C36" s="30" t="str">
        <x:v>IBD / GCM</x:v>
      </x:c>
      <x:c r="D36" s="31" t="str">
        <x:v>Tell me about a company you researched on for 3 mins</x:v>
      </x:c>
      <x:c r="E36" s="31" t="str">
        <x:v>Tell me about a company you researched on for 3 mins</x:v>
      </x:c>
      <x:c r="F36" s="31" t="str">
        <x:v>Company, Industry &amp; Deals</x:v>
      </x:c>
      <x:c r="G36" s="30" t="str">
        <x:v>CL0721</x:v>
      </x:c>
      <x:c r="H36" s="32" t="n">
        <x:f>COUNTIF($G$5:$G$1725,G36)</x:f>
        <x:v>1</x:v>
      </x:c>
      <x:c r="I36" s="30" t="str">
        <x:v>F24</x:v>
      </x:c>
      <x:c r="J36" s="31" t="str">
        <x:v>Self-intro | You have internships in other areas, why IBD? | Why MS?</x:v>
      </x:c>
    </x:row>
    <x:row r="37" ht="68" customHeight="1">
      <x:c r="A37" s="30" t="str">
        <x:v>QB0058</x:v>
      </x:c>
      <x:c r="B37" s="30" t="str">
        <x:v>MS IBD</x:v>
      </x:c>
      <x:c r="C37" s="30" t="str">
        <x:v>IBD / GCM</x:v>
      </x:c>
      <x:c r="D37" s="31" t="str">
        <x:v>Walk me through the DCF and key assumptions</x:v>
      </x:c>
      <x:c r="E37" s="31" t="str">
        <x:v>Walk me through the DCF and key assumptions</x:v>
      </x:c>
      <x:c r="F37" s="31" t="str">
        <x:v>Valuation</x:v>
      </x:c>
      <x:c r="G37" s="30" t="str">
        <x:v>CL0836</x:v>
      </x:c>
      <x:c r="H37" s="32" t="n">
        <x:f>COUNTIF($G$5:$G$1725,G37)</x:f>
        <x:v>1</x:v>
      </x:c>
      <x:c r="I37" s="30" t="str">
        <x:v>G24</x:v>
      </x:c>
      <x:c r="J37" s="31" t="str">
        <x:v>Self Intro | Did you have return? What's the return rate? (but she was nice about it) | Tell me about one project you worked on in UBS, your responsibilities and its valuation</x:v>
      </x:c>
    </x:row>
    <x:row r="38" ht="48" customHeight="1">
      <x:c r="A38" s="30" t="str">
        <x:v>QB0059</x:v>
      </x:c>
      <x:c r="B38" s="30" t="str">
        <x:v>MS IBD</x:v>
      </x:c>
      <x:c r="C38" s="30" t="str">
        <x:v>IBD / GCM</x:v>
      </x:c>
      <x:c r="D38" s="31" t="str">
        <x:v>Tell me about one project you worked on in Nomura</x:v>
      </x:c>
      <x:c r="E38" s="31" t="str">
        <x:v>Tell me about one project you worked on in Nomura</x:v>
      </x:c>
      <x:c r="F38" s="31" t="str">
        <x:v>Resume &amp; Experience</x:v>
      </x:c>
      <x:c r="G38" s="30" t="str">
        <x:v>CL0737</x:v>
      </x:c>
      <x:c r="H38" s="32" t="n">
        <x:f>COUNTIF($G$5:$G$1725,G38)</x:f>
        <x:v>1</x:v>
      </x:c>
      <x:c r="I38" s="30" t="str">
        <x:v>H24</x:v>
      </x:c>
      <x:c r="J38" s="31" t="str">
        <x:v>Self Intro | What is client financing solutions, DCM? | Do you like financing / capital markets?</x:v>
      </x:c>
    </x:row>
    <x:row r="39" ht="48" customHeight="1">
      <x:c r="A39" s="30" t="str">
        <x:v>QB0060</x:v>
      </x:c>
      <x:c r="B39" s="30" t="str">
        <x:v>MS IBD</x:v>
      </x:c>
      <x:c r="C39" s="30" t="str">
        <x:v>IBD / GCM</x:v>
      </x:c>
      <x:c r="D39" s="31" t="str">
        <x:v>How do equity fund/buyout fund make money</x:v>
      </x:c>
      <x:c r="E39" s="31" t="str">
        <x:v>How do equity fund/buyout fund make money</x:v>
      </x:c>
      <x:c r="F39" s="31" t="str">
        <x:v>Private Equity &amp; LBO</x:v>
      </x:c>
      <x:c r="G39" s="30" t="str">
        <x:v>CL0394</x:v>
      </x:c>
      <x:c r="H39" s="32" t="n">
        <x:f>COUNTIF($G$5:$G$1725,G39)</x:f>
        <x:v>1</x:v>
      </x:c>
      <x:c r="I39" s="30" t="str">
        <x:v>A25</x:v>
      </x:c>
      <x:c r="J39" s="31" t="str">
        <x:v>Are u native mainland Chinese | Why doing college in Hong Kong | difference between securities in mainland China and ibd in Hong Kong</x:v>
      </x:c>
    </x:row>
    <x:row r="40" ht="48" customHeight="1">
      <x:c r="A40" s="30" t="str">
        <x:v>QB0062</x:v>
      </x:c>
      <x:c r="B40" s="30" t="str">
        <x:v>MS IBD</x:v>
      </x:c>
      <x:c r="C40" s="30" t="str">
        <x:v>IBD / GCM</x:v>
      </x:c>
      <x:c r="D40" s="31" t="str">
        <x:v>Did you do DCF before</x:v>
      </x:c>
      <x:c r="E40" s="31" t="str">
        <x:v>Did you do DCF before</x:v>
      </x:c>
      <x:c r="F40" s="31" t="str">
        <x:v>Valuation</x:v>
      </x:c>
      <x:c r="G40" s="30" t="str">
        <x:v>CL0241</x:v>
      </x:c>
      <x:c r="H40" s="32" t="n">
        <x:f>COUNTIF($G$5:$G$1725,G40)</x:f>
        <x:v>1</x:v>
      </x:c>
      <x:c r="I40" s="30" t="str">
        <x:v>E25</x:v>
      </x:c>
      <x:c r="J40" s="31" t="str">
        <x:v>Why sell-side but not buy-side | Why investment banking but not consulting | Did you do any financial modelling before</x:v>
      </x:c>
    </x:row>
    <x:row r="41" ht="48" customHeight="1">
      <x:c r="A41" s="30" t="str">
        <x:v>QB0063</x:v>
      </x:c>
      <x:c r="B41" s="30" t="str">
        <x:v>MS IBD</x:v>
      </x:c>
      <x:c r="C41" s="30" t="str">
        <x:v>IBD / GCM</x:v>
      </x:c>
      <x:c r="D41" s="31" t="str">
        <x:v>Walk me through its IS</x:v>
      </x:c>
      <x:c r="E41" s="31" t="str">
        <x:v>Walk me through its IS</x:v>
      </x:c>
      <x:c r="F41" s="31" t="str">
        <x:v>Accounting &amp; Financial Statements</x:v>
      </x:c>
      <x:c r="G41" s="30" t="str">
        <x:v>CL0833</x:v>
      </x:c>
      <x:c r="H41" s="32" t="n">
        <x:f>COUNTIF($G$5:$G$1725,G41)</x:f>
        <x:v>1</x:v>
      </x:c>
      <x:c r="I41" s="30" t="str">
        <x:v>F25</x:v>
      </x:c>
      <x:c r="J41" s="31" t="str">
        <x:v>You have internships in other areas, why IBD? | Why MS? | Tell me about a company you researched on for 3 mins</x:v>
      </x:c>
    </x:row>
    <x:row r="42" ht="68" customHeight="1">
      <x:c r="A42" s="30" t="str">
        <x:v>QB0064</x:v>
      </x:c>
      <x:c r="B42" s="30" t="str">
        <x:v>MS IBD</x:v>
      </x:c>
      <x:c r="C42" s="30" t="str">
        <x:v>IBD / GCM</x:v>
      </x:c>
      <x:c r="D42" s="31" t="str">
        <x:v>What is the equation for UFCF</x:v>
      </x:c>
      <x:c r="E42" s="31" t="str">
        <x:v>What is the equation for UFCF</x:v>
      </x:c>
      <x:c r="F42" s="31" t="str">
        <x:v>Accounting &amp; Financial Statements</x:v>
      </x:c>
      <x:c r="G42" s="30" t="str">
        <x:v>CL0047</x:v>
      </x:c>
      <x:c r="H42" s="32" t="n">
        <x:f>COUNTIF($G$5:$G$1725,G42)</x:f>
        <x:v>2</x:v>
      </x:c>
      <x:c r="I42" s="30" t="str">
        <x:v>G25</x:v>
      </x:c>
      <x:c r="J42" s="31" t="str">
        <x:v>Did you have return? What's the return rate? (but she was nice about it) | Tell me about one project you worked on in UBS, your responsibilities and its valuation | Walk me through the DCF and key assumptions</x:v>
      </x:c>
    </x:row>
    <x:row r="43" ht="48" customHeight="1">
      <x:c r="A43" s="30" t="str">
        <x:v>QB0065</x:v>
      </x:c>
      <x:c r="B43" s="30" t="str">
        <x:v>MS IBD</x:v>
      </x:c>
      <x:c r="C43" s="30" t="str">
        <x:v>IBD / GCM</x:v>
      </x:c>
      <x:c r="D43" s="31" t="str">
        <x:v>Did you do credit anlysis?</x:v>
      </x:c>
      <x:c r="E43" s="31" t="str">
        <x:v>Did you do credit anlysis</x:v>
      </x:c>
      <x:c r="F43" s="31" t="str">
        <x:v>Other Question</x:v>
      </x:c>
      <x:c r="G43" s="30" t="str">
        <x:v>CL0240</x:v>
      </x:c>
      <x:c r="H43" s="32" t="n">
        <x:f>COUNTIF($G$5:$G$1725,G43)</x:f>
        <x:v>1</x:v>
      </x:c>
      <x:c r="I43" s="30" t="str">
        <x:v>H25</x:v>
      </x:c>
      <x:c r="J43" s="31" t="str">
        <x:v>What is client financing solutions, DCM? | Do you like financing / capital markets? | Tell me about one project you worked on in Nomura</x:v>
      </x:c>
    </x:row>
    <x:row r="44" ht="48" customHeight="1">
      <x:c r="A44" s="30" t="str">
        <x:v>QB0066</x:v>
      </x:c>
      <x:c r="B44" s="30" t="str">
        <x:v>MS IBD</x:v>
      </x:c>
      <x:c r="C44" s="30" t="str">
        <x:v>IBD / GCM</x:v>
      </x:c>
      <x:c r="D44" s="31" t="str">
        <x:v>What are differences between different exit methods (IPO, strategic purchase...)</x:v>
      </x:c>
      <x:c r="E44" s="31" t="str">
        <x:v>What are differences between different exit methods (IPO, strategic purchase...)</x:v>
      </x:c>
      <x:c r="F44" s="31" t="str">
        <x:v>Capital Markets &amp; Financing</x:v>
      </x:c>
      <x:c r="G44" s="30" t="str">
        <x:v>CL0863</x:v>
      </x:c>
      <x:c r="H44" s="32" t="n">
        <x:f>COUNTIF($G$5:$G$1725,G44)</x:f>
        <x:v>1</x:v>
      </x:c>
      <x:c r="I44" s="30" t="str">
        <x:v>A26</x:v>
      </x:c>
      <x:c r="J44" s="31" t="str">
        <x:v>Why doing college in Hong Kong | difference between securities in mainland China and ibd in Hong Kong | How do equity fund/buyout fund make money</x:v>
      </x:c>
    </x:row>
    <x:row r="45" ht="48" customHeight="1">
      <x:c r="A45" s="30" t="str">
        <x:v>QB0067</x:v>
      </x:c>
      <x:c r="B45" s="30" t="str">
        <x:v>MS IBD</x:v>
      </x:c>
      <x:c r="C45" s="30" t="str">
        <x:v>IBD / GCM</x:v>
      </x:c>
      <x:c r="D45" s="31" t="str">
        <x:v>walk me through dcf</x:v>
      </x:c>
      <x:c r="E45" s="31" t="str">
        <x:v>Walk me through dcf</x:v>
      </x:c>
      <x:c r="F45" s="31" t="str">
        <x:v>Valuation</x:v>
      </x:c>
      <x:c r="G45" s="30" t="str">
        <x:v>CL0013</x:v>
      </x:c>
      <x:c r="H45" s="32" t="n">
        <x:f>COUNTIF($G$5:$G$1725,G45)</x:f>
        <x:v>10</x:v>
      </x:c>
      <x:c r="I45" s="30" t="str">
        <x:v>C26</x:v>
      </x:c>
      <x:c r="J45" s="31" t="str">
        <x:v>AI semiconductor industry - overview, trends, opportunities, risks, competitor analysis, competitive edge | 3 financial statements | things in balance sheet</x:v>
      </x:c>
    </x:row>
    <x:row r="46" ht="48" customHeight="1">
      <x:c r="A46" s="30" t="str">
        <x:v>QB0068</x:v>
      </x:c>
      <x:c r="B46" s="30" t="str">
        <x:v>MS IBD</x:v>
      </x:c>
      <x:c r="C46" s="30" t="str">
        <x:v>IBD / GCM</x:v>
      </x:c>
      <x:c r="D46" s="31" t="str">
        <x:v>Walk me through a DCF, suppose you’re doing for a Chinese EV manufacturer, what would you look at?</x:v>
      </x:c>
      <x:c r="E46" s="31" t="str">
        <x:v>Walk me through a DCF, suppose you’re doing for a Chinese EV manufacturer, what would you look at</x:v>
      </x:c>
      <x:c r="F46" s="31" t="str">
        <x:v>Valuation</x:v>
      </x:c>
      <x:c r="G46" s="30" t="str">
        <x:v>CL0827</x:v>
      </x:c>
      <x:c r="H46" s="32" t="n">
        <x:f>COUNTIF($G$5:$G$1725,G46)</x:f>
        <x:v>1</x:v>
      </x:c>
      <x:c r="I46" s="30" t="str">
        <x:v>E26</x:v>
      </x:c>
      <x:c r="J46" s="31" t="str">
        <x:v>Why investment banking but not consulting | Did you do any financial modelling before | Did you do DCF before</x:v>
      </x:c>
    </x:row>
    <x:row r="47" ht="32" customHeight="1">
      <x:c r="A47" s="30" t="str">
        <x:v>QB0069</x:v>
      </x:c>
      <x:c r="B47" s="30" t="str">
        <x:v>MS IBD</x:v>
      </x:c>
      <x:c r="C47" s="30" t="str">
        <x:v>IBD / GCM</x:v>
      </x:c>
      <x:c r="D47" s="31" t="str">
        <x:v>use debt to buy $100 machine, how 3 statements change?</x:v>
      </x:c>
      <x:c r="E47" s="31" t="str">
        <x:v>How does a transaction flow through the three financial statements?</x:v>
      </x:c>
      <x:c r="F47" s="31" t="str">
        <x:v>Accounting &amp; Financial Statements</x:v>
      </x:c>
      <x:c r="G47" s="30" t="str">
        <x:v>CL0004</x:v>
      </x:c>
      <x:c r="H47" s="32" t="n">
        <x:f>COUNTIF($G$5:$G$1725,G47)</x:f>
        <x:v>21</x:v>
      </x:c>
      <x:c r="I47" s="30" t="str">
        <x:v>F26</x:v>
      </x:c>
      <x:c r="J47" s="31" t="str">
        <x:v>Why MS? | Tell me about a company you researched on for 3 mins | Walk me through its IS</x:v>
      </x:c>
    </x:row>
    <x:row r="48" ht="68" customHeight="1">
      <x:c r="A48" s="30" t="str">
        <x:v>QB0070</x:v>
      </x:c>
      <x:c r="B48" s="30" t="str">
        <x:v>MS IBD</x:v>
      </x:c>
      <x:c r="C48" s="30" t="str">
        <x:v>IBD / GCM</x:v>
      </x:c>
      <x:c r="D48" s="31" t="str">
        <x:v>You also worked on trading comps in ur 2nd deal, how do you choose the peers ?</x:v>
      </x:c>
      <x:c r="E48" s="31" t="str">
        <x:v>You also worked on trading comps in ur 2nd deal, how do you choose the peers</x:v>
      </x:c>
      <x:c r="F48" s="31" t="str">
        <x:v>Valuation</x:v>
      </x:c>
      <x:c r="G48" s="30" t="str">
        <x:v>CL1199</x:v>
      </x:c>
      <x:c r="H48" s="32" t="n">
        <x:f>COUNTIF($G$5:$G$1725,G48)</x:f>
        <x:v>1</x:v>
      </x:c>
      <x:c r="I48" s="30" t="str">
        <x:v>G26</x:v>
      </x:c>
      <x:c r="J48" s="31" t="str">
        <x:v>Tell me about one project you worked on in UBS, your responsibilities and its valuation | Walk me through the DCF and key assumptions | What is the equation for UFCF</x:v>
      </x:c>
    </x:row>
    <x:row r="49" ht="48" customHeight="1">
      <x:c r="A49" s="30" t="str">
        <x:v>QB0071</x:v>
      </x:c>
      <x:c r="B49" s="30" t="str">
        <x:v>MS IBD</x:v>
      </x:c>
      <x:c r="C49" s="30" t="str">
        <x:v>IBD / GCM</x:v>
      </x:c>
      <x:c r="D49" s="31" t="str">
        <x:v>What are some common credit ratios?</x:v>
      </x:c>
      <x:c r="E49" s="31" t="str">
        <x:v>What are some common credit ratios</x:v>
      </x:c>
      <x:c r="F49" s="31" t="str">
        <x:v>Company, Industry &amp; Deals</x:v>
      </x:c>
      <x:c r="G49" s="30" t="str">
        <x:v>CL0866</x:v>
      </x:c>
      <x:c r="H49" s="32" t="n">
        <x:f>COUNTIF($G$5:$G$1725,G49)</x:f>
        <x:v>1</x:v>
      </x:c>
      <x:c r="I49" s="30" t="str">
        <x:v>H26</x:v>
      </x:c>
      <x:c r="J49" s="31" t="str">
        <x:v>Do you like financing / capital markets? | Tell me about one project you worked on in Nomura | Did you do credit anlysis?</x:v>
      </x:c>
    </x:row>
    <x:row r="50" ht="68" customHeight="1">
      <x:c r="A50" s="30" t="str">
        <x:v>QB0072</x:v>
      </x:c>
      <x:c r="B50" s="30" t="str">
        <x:v>MS IBD</x:v>
      </x:c>
      <x:c r="C50" s="30" t="str">
        <x:v>IBD / GCM</x:v>
      </x:c>
      <x:c r="D50" s="31" t="str">
        <x:v>How would u analyze a company if you are working for a PE firm</x:v>
      </x:c>
      <x:c r="E50" s="31" t="str">
        <x:v>How would u analyze a company if you are working for a PE firm</x:v>
      </x:c>
      <x:c r="F50" s="31" t="str">
        <x:v>Company, Industry &amp; Deals</x:v>
      </x:c>
      <x:c r="G50" s="30" t="str">
        <x:v>CL0493</x:v>
      </x:c>
      <x:c r="H50" s="32" t="n">
        <x:f>COUNTIF($G$5:$G$1725,G50)</x:f>
        <x:v>1</x:v>
      </x:c>
      <x:c r="I50" s="30" t="str">
        <x:v>A27</x:v>
      </x:c>
      <x:c r="J50" s="31" t="str">
        <x:v>difference between securities in mainland China and ibd in Hong Kong | How do equity fund/buyout fund make money | What are differences between different exit methods (IPO, strategic purchase...)</x:v>
      </x:c>
    </x:row>
    <x:row r="51" ht="32" customHeight="1">
      <x:c r="A51" s="30" t="str">
        <x:v>QB0073</x:v>
      </x:c>
      <x:c r="B51" s="30" t="str">
        <x:v>MS IBD</x:v>
      </x:c>
      <x:c r="C51" s="30" t="str">
        <x:v>IBD / GCM</x:v>
      </x:c>
      <x:c r="D51" s="31" t="str">
        <x:v>how to calc WACC</x:v>
      </x:c>
      <x:c r="E51" s="31" t="str">
        <x:v>How do you calculate WACC?</x:v>
      </x:c>
      <x:c r="F51" s="31" t="str">
        <x:v>Valuation</x:v>
      </x:c>
      <x:c r="G51" s="30" t="str">
        <x:v>CL0011</x:v>
      </x:c>
      <x:c r="H51" s="32" t="n">
        <x:f>COUNTIF($G$5:$G$1725,G51)</x:f>
        <x:v>12</x:v>
      </x:c>
      <x:c r="I51" s="30" t="str">
        <x:v>C27</x:v>
      </x:c>
      <x:c r="J51" s="31" t="str">
        <x:v>3 financial statements | things in balance sheet | walk me through dcf</x:v>
      </x:c>
    </x:row>
    <x:row r="52" ht="68" customHeight="1">
      <x:c r="A52" s="30" t="str">
        <x:v>QB0074</x:v>
      </x:c>
      <x:c r="B52" s="30" t="str">
        <x:v>MS IBD</x:v>
      </x:c>
      <x:c r="C52" s="30" t="str">
        <x:v>IBD / GCM</x:v>
      </x:c>
      <x:c r="D52" s="31" t="str">
        <x:v>How do you find its equity value (from enterprise value)?</x:v>
      </x:c>
      <x:c r="E52" s="31" t="str">
        <x:v>Bridge equity value to enterprise value</x:v>
      </x:c>
      <x:c r="F52" s="31" t="str">
        <x:v>Valuation</x:v>
      </x:c>
      <x:c r="G52" s="30" t="str">
        <x:v>CL0015</x:v>
      </x:c>
      <x:c r="H52" s="32" t="n">
        <x:f>COUNTIF($G$5:$G$1725,G52)</x:f>
        <x:v>8</x:v>
      </x:c>
      <x:c r="I52" s="30" t="str">
        <x:v>E27</x:v>
      </x:c>
      <x:c r="J52" s="31" t="str">
        <x:v>Did you do any financial modelling before | Did you do DCF before | Walk me through a DCF, suppose you’re doing for a Chinese EV manufacturer, what would you look at?</x:v>
      </x:c>
    </x:row>
    <x:row r="53" ht="48" customHeight="1">
      <x:c r="A53" s="30" t="str">
        <x:v>QB0076</x:v>
      </x:c>
      <x:c r="B53" s="30" t="str">
        <x:v>MS IBD</x:v>
      </x:c>
      <x:c r="C53" s="30" t="str">
        <x:v>IBD / GCM</x:v>
      </x:c>
      <x:c r="D53" s="31" t="str">
        <x:v>100 CAPEX, impact on 3 statement</x:v>
      </x:c>
      <x:c r="E53" s="31" t="str">
        <x:v>100 CAPEX, impact on 3 statement</x:v>
      </x:c>
      <x:c r="F53" s="31" t="str">
        <x:v>Accounting &amp; Financial Statements</x:v>
      </x:c>
      <x:c r="G53" s="30" t="str">
        <x:v>CL0031</x:v>
      </x:c>
      <x:c r="H53" s="32" t="n">
        <x:f>COUNTIF($G$5:$G$1725,G53)</x:f>
        <x:v>2</x:v>
      </x:c>
      <x:c r="I53" s="30" t="str">
        <x:v>G27</x:v>
      </x:c>
      <x:c r="J53" s="31" t="str">
        <x:v>Walk me through the DCF and key assumptions | What is the equation for UFCF | You also worked on trading comps in ur 2nd deal, how do you choose the peers ?</x:v>
      </x:c>
    </x:row>
    <x:row r="54" ht="48" customHeight="1">
      <x:c r="A54" s="30" t="str">
        <x:v>QB0077</x:v>
      </x:c>
      <x:c r="B54" s="30" t="str">
        <x:v>MS IBD</x:v>
      </x:c>
      <x:c r="C54" s="30" t="str">
        <x:v>IBD / GCM</x:v>
      </x:c>
      <x:c r="D54" s="31" t="str">
        <x:v>Tell me about a project which involves valuation</x:v>
      </x:c>
      <x:c r="E54" s="31" t="str">
        <x:v>Tell me about a project which involves valuation</x:v>
      </x:c>
      <x:c r="F54" s="31" t="str">
        <x:v>Valuation</x:v>
      </x:c>
      <x:c r="G54" s="30" t="str">
        <x:v>CL0724</x:v>
      </x:c>
      <x:c r="H54" s="32" t="n">
        <x:f>COUNTIF($G$5:$G$1725,G54)</x:f>
        <x:v>1</x:v>
      </x:c>
      <x:c r="I54" s="30" t="str">
        <x:v>H27</x:v>
      </x:c>
      <x:c r="J54" s="31" t="str">
        <x:v>Tell me about one project you worked on in Nomura | Did you do credit anlysis? | What are some common credit ratios?</x:v>
      </x:c>
    </x:row>
    <x:row r="55" ht="68" customHeight="1">
      <x:c r="A55" s="30" t="str">
        <x:v>QB0078</x:v>
      </x:c>
      <x:c r="B55" s="30" t="str">
        <x:v>MS IBD</x:v>
      </x:c>
      <x:c r="C55" s="30" t="str">
        <x:v>IBD / GCM</x:v>
      </x:c>
      <x:c r="D55" s="31" t="str">
        <x:v>How will an increase in leverage affect wacc</x:v>
      </x:c>
      <x:c r="E55" s="31" t="str">
        <x:v>How do you calculate WACC?</x:v>
      </x:c>
      <x:c r="F55" s="31" t="str">
        <x:v>Valuation</x:v>
      </x:c>
      <x:c r="G55" s="30" t="str">
        <x:v>CL0011</x:v>
      </x:c>
      <x:c r="H55" s="32" t="n">
        <x:f>COUNTIF($G$5:$G$1725,G55)</x:f>
        <x:v>12</x:v>
      </x:c>
      <x:c r="I55" s="30" t="str">
        <x:v>A28</x:v>
      </x:c>
      <x:c r="J55" s="31" t="str">
        <x:v>How do equity fund/buyout fund make money | What are differences between different exit methods (IPO, strategic purchase...) | How would u analyze a company if you are working for a PE firm</x:v>
      </x:c>
    </x:row>
    <x:row r="56" ht="32" customHeight="1">
      <x:c r="A56" s="30" t="str">
        <x:v>QB0079</x:v>
      </x:c>
      <x:c r="B56" s="30" t="str">
        <x:v>MS IBD</x:v>
      </x:c>
      <x:c r="C56" s="30" t="str">
        <x:v>IBD / GCM</x:v>
      </x:c>
      <x:c r="D56" s="31" t="str">
        <x:v>⁠⁠what is cost of debt</x:v>
      </x:c>
      <x:c r="E56" s="31" t="str">
        <x:v>⁠⁠what is cost of debt</x:v>
      </x:c>
      <x:c r="F56" s="31" t="str">
        <x:v>Accounting &amp; Financial Statements</x:v>
      </x:c>
      <x:c r="G56" s="30" t="str">
        <x:v>CL0967</x:v>
      </x:c>
      <x:c r="H56" s="32" t="n">
        <x:f>COUNTIF($G$5:$G$1725,G56)</x:f>
        <x:v>1</x:v>
      </x:c>
      <x:c r="I56" s="30" t="str">
        <x:v>C28</x:v>
      </x:c>
      <x:c r="J56" s="31" t="str">
        <x:v>things in balance sheet | walk me through dcf | how to calc WACC</x:v>
      </x:c>
    </x:row>
    <x:row r="57" ht="68" customHeight="1">
      <x:c r="A57" s="30" t="str">
        <x:v>QB0080</x:v>
      </x:c>
      <x:c r="B57" s="30" t="str">
        <x:v>MS IBD</x:v>
      </x:c>
      <x:c r="C57" s="30" t="str">
        <x:v>IBD / GCM</x:v>
      </x:c>
      <x:c r="D57" s="31" t="str">
        <x:v>Why is minority interest included?</x:v>
      </x:c>
      <x:c r="E57" s="31" t="str">
        <x:v>Why is minority interest included</x:v>
      </x:c>
      <x:c r="F57" s="31" t="str">
        <x:v>Fit &amp; Motivation</x:v>
      </x:c>
      <x:c r="G57" s="30" t="str">
        <x:v>CL1147</x:v>
      </x:c>
      <x:c r="H57" s="32" t="n">
        <x:f>COUNTIF($G$5:$G$1725,G57)</x:f>
        <x:v>1</x:v>
      </x:c>
      <x:c r="I57" s="30" t="str">
        <x:v>E28</x:v>
      </x:c>
      <x:c r="J57" s="31" t="str">
        <x:v>Did you do DCF before | Walk me through a DCF, suppose you’re doing for a Chinese EV manufacturer, what would you look at? | How do you find its equity value (from enterprise value)?</x:v>
      </x:c>
    </x:row>
    <x:row r="58" ht="48" customHeight="1">
      <x:c r="A58" s="30" t="str">
        <x:v>QB0081</x:v>
      </x:c>
      <x:c r="B58" s="30" t="str">
        <x:v>MS IBD</x:v>
      </x:c>
      <x:c r="C58" s="30" t="str">
        <x:v>IBD / GCM</x:v>
      </x:c>
      <x:c r="D58" s="31" t="str">
        <x:v>how 3 statements change?</x:v>
      </x:c>
      <x:c r="E58" s="31" t="str">
        <x:v>How does a transaction flow through the three financial statements?</x:v>
      </x:c>
      <x:c r="F58" s="31" t="str">
        <x:v>Accounting &amp; Financial Statements</x:v>
      </x:c>
      <x:c r="G58" s="30" t="str">
        <x:v>CL0004</x:v>
      </x:c>
      <x:c r="H58" s="32" t="n">
        <x:f>COUNTIF($G$5:$G$1725,G58)</x:f>
        <x:v>21</x:v>
      </x:c>
      <x:c r="I58" s="30" t="str">
        <x:v>F28</x:v>
      </x:c>
      <x:c r="J58" s="31" t="str">
        <x:v>Walk me through its IS | use debt to buy $100 machine, how 3 statements change? | One year later: depreciate $10, interest 10%, tax rate 40%</x:v>
      </x:c>
    </x:row>
    <x:row r="59" ht="48" customHeight="1">
      <x:c r="A59" s="30" t="str">
        <x:v>QB0082</x:v>
      </x:c>
      <x:c r="B59" s="30" t="str">
        <x:v>MS IBD</x:v>
      </x:c>
      <x:c r="C59" s="30" t="str">
        <x:v>IBD / GCM</x:v>
      </x:c>
      <x:c r="D59" s="31" t="str">
        <x:v>10 D&amp;A, impact on 3 statement, 40% Tax rate</x:v>
      </x:c>
      <x:c r="E59" s="31" t="str">
        <x:v>10 D&amp;A, impact on 3 statement, 40% Tax rate</x:v>
      </x:c>
      <x:c r="F59" s="31" t="str">
        <x:v>Accounting &amp; Financial Statements</x:v>
      </x:c>
      <x:c r="G59" s="30" t="str">
        <x:v>CL0030</x:v>
      </x:c>
      <x:c r="H59" s="32" t="n">
        <x:f>COUNTIF($G$5:$G$1725,G59)</x:f>
        <x:v>2</x:v>
      </x:c>
      <x:c r="I59" s="30" t="str">
        <x:v>G28</x:v>
      </x:c>
      <x:c r="J59" s="31" t="str">
        <x:v>What is the equation for UFCF | You also worked on trading comps in ur 2nd deal, how do you choose the peers ? | 100 CAPEX, impact on 3 statement</x:v>
      </x:c>
    </x:row>
    <x:row r="60" ht="48" customHeight="1">
      <x:c r="A60" s="30" t="str">
        <x:v>QB0083</x:v>
      </x:c>
      <x:c r="B60" s="30" t="str">
        <x:v>MS IBD</x:v>
      </x:c>
      <x:c r="C60" s="30" t="str">
        <x:v>IBD / GCM</x:v>
      </x:c>
      <x:c r="D60" s="31" t="str">
        <x:v>Walk me through DCF</x:v>
      </x:c>
      <x:c r="E60" s="31" t="str">
        <x:v>Walk me through DCF</x:v>
      </x:c>
      <x:c r="F60" s="31" t="str">
        <x:v>Valuation</x:v>
      </x:c>
      <x:c r="G60" s="30" t="str">
        <x:v>CL0013</x:v>
      </x:c>
      <x:c r="H60" s="32" t="n">
        <x:f>COUNTIF($G$5:$G$1725,G60)</x:f>
        <x:v>10</x:v>
      </x:c>
      <x:c r="I60" s="30" t="str">
        <x:v>H28</x:v>
      </x:c>
      <x:c r="J60" s="31" t="str">
        <x:v>Did you do credit anlysis? | What are some common credit ratios? | Tell me about a project which involves valuation</x:v>
      </x:c>
    </x:row>
    <x:row r="61" ht="68" customHeight="1">
      <x:c r="A61" s="30" t="str">
        <x:v>QB0084</x:v>
      </x:c>
      <x:c r="B61" s="30" t="str">
        <x:v>MS IBD</x:v>
      </x:c>
      <x:c r="C61" s="30" t="str">
        <x:v>IBD / GCM</x:v>
      </x:c>
      <x:c r="D61" s="31" t="str">
        <x:v>If a company has negative and unstable cash flow, how will you value it</x:v>
      </x:c>
      <x:c r="E61" s="31" t="str">
        <x:v>If a company has negative and unstable cash flow, how will you value it</x:v>
      </x:c>
      <x:c r="F61" s="31" t="str">
        <x:v>Accounting &amp; Financial Statements</x:v>
      </x:c>
      <x:c r="G61" s="30" t="str">
        <x:v>CL0512</x:v>
      </x:c>
      <x:c r="H61" s="32" t="n">
        <x:f>COUNTIF($G$5:$G$1725,G61)</x:f>
        <x:v>1</x:v>
      </x:c>
      <x:c r="I61" s="30" t="str">
        <x:v>A29</x:v>
      </x:c>
      <x:c r="J61" s="31" t="str">
        <x:v>What are differences between different exit methods (IPO, strategic purchase...) | How would u analyze a company if you are working for a PE firm | How will an increase in leverage affect wacc</x:v>
      </x:c>
    </x:row>
    <x:row r="62" ht="32" customHeight="1">
      <x:c r="A62" s="30" t="str">
        <x:v>QB0085</x:v>
      </x:c>
      <x:c r="B62" s="30" t="str">
        <x:v>MS IBD</x:v>
      </x:c>
      <x:c r="C62" s="30" t="str">
        <x:v>IBD / GCM</x:v>
      </x:c>
      <x:c r="D62" s="31" t="str">
        <x:v>what is cost of equity</x:v>
      </x:c>
      <x:c r="E62" s="31" t="str">
        <x:v>What is cost of equity</x:v>
      </x:c>
      <x:c r="F62" s="31" t="str">
        <x:v>Accounting &amp; Financial Statements</x:v>
      </x:c>
      <x:c r="G62" s="30" t="str">
        <x:v>CL0045</x:v>
      </x:c>
      <x:c r="H62" s="32" t="n">
        <x:f>COUNTIF($G$5:$G$1725,G62)</x:f>
        <x:v>2</x:v>
      </x:c>
      <x:c r="I62" s="30" t="str">
        <x:v>C29</x:v>
      </x:c>
      <x:c r="J62" s="31" t="str">
        <x:v>walk me through dcf | how to calc WACC | ⁠⁠what is cost of debt</x:v>
      </x:c>
    </x:row>
    <x:row r="63" ht="68" customHeight="1">
      <x:c r="A63" s="30" t="str">
        <x:v>QB0086</x:v>
      </x:c>
      <x:c r="B63" s="30" t="str">
        <x:v>MS IBD</x:v>
      </x:c>
      <x:c r="C63" s="30" t="str">
        <x:v>IBD / GCM</x:v>
      </x:c>
      <x:c r="D63" s="31" t="str">
        <x:v>For the same company, how would you do trading comps and precedent transactions and what are some companies you would look at for trading comps?</x:v>
      </x:c>
      <x:c r="E63" s="31" t="str">
        <x:v>For the same company, how would you do trading comps and precedent transactions and what are some companies you would look at for trading comps</x:v>
      </x:c>
      <x:c r="F63" s="31" t="str">
        <x:v>Valuation</x:v>
      </x:c>
      <x:c r="G63" s="30" t="str">
        <x:v>CL0334</x:v>
      </x:c>
      <x:c r="H63" s="32" t="n">
        <x:f>COUNTIF($G$5:$G$1725,G63)</x:f>
        <x:v>1</x:v>
      </x:c>
      <x:c r="I63" s="30" t="str">
        <x:v>E29</x:v>
      </x:c>
      <x:c r="J63" s="31" t="str">
        <x:v>Walk me through a DCF, suppose you’re doing for a Chinese EV manufacturer, what would you look at? | How do you find its equity value (from enterprise value)? | Why is minority interest included?</x:v>
      </x:c>
    </x:row>
    <x:row r="64" ht="48" customHeight="1">
      <x:c r="A64" s="30" t="str">
        <x:v>QB0087</x:v>
      </x:c>
      <x:c r="B64" s="30" t="str">
        <x:v>MS IBD</x:v>
      </x:c>
      <x:c r="C64" s="30" t="str">
        <x:v>IBD / GCM</x:v>
      </x:c>
      <x:c r="D64" s="31" t="str">
        <x:v>How does increase in leverage affects wacc</x:v>
      </x:c>
      <x:c r="E64" s="31" t="str">
        <x:v>How do you calculate WACC?</x:v>
      </x:c>
      <x:c r="F64" s="31" t="str">
        <x:v>Valuation</x:v>
      </x:c>
      <x:c r="G64" s="30" t="str">
        <x:v>CL0011</x:v>
      </x:c>
      <x:c r="H64" s="32" t="n">
        <x:f>COUNTIF($G$5:$G$1725,G64)</x:f>
        <x:v>12</x:v>
      </x:c>
      <x:c r="I64" s="30" t="str">
        <x:v>F29</x:v>
      </x:c>
      <x:c r="J64" s="31" t="str">
        <x:v>use debt to buy $100 machine, how 3 statements change? | One year later: depreciate $10, interest 10%, tax rate 40% | how 3 statements change?</x:v>
      </x:c>
    </x:row>
    <x:row r="65" ht="48" customHeight="1">
      <x:c r="A65" s="30" t="str">
        <x:v>QB0088</x:v>
      </x:c>
      <x:c r="B65" s="30" t="str">
        <x:v>MS IBD</x:v>
      </x:c>
      <x:c r="C65" s="30" t="str">
        <x:v>IBD / GCM</x:v>
      </x:c>
      <x:c r="D65" s="31" t="str">
        <x:v>What are the differences of a day-to-day of working in IBD and ER? Which one do you like more?</x:v>
      </x:c>
      <x:c r="E65" s="31" t="str">
        <x:v>What are the differences of a day-to-day of working in IBD and ER? Which one do you like more</x:v>
      </x:c>
      <x:c r="F65" s="31" t="str">
        <x:v>Other Question</x:v>
      </x:c>
      <x:c r="G65" s="30" t="str">
        <x:v>CL0880</x:v>
      </x:c>
      <x:c r="H65" s="32" t="n">
        <x:f>COUNTIF($G$5:$G$1725,G65)</x:f>
        <x:v>1</x:v>
      </x:c>
      <x:c r="I65" s="30" t="str">
        <x:v>G29</x:v>
      </x:c>
      <x:c r="J65" s="31" t="str">
        <x:v>You also worked on trading comps in ur 2nd deal, how do you choose the peers ? | 100 CAPEX, impact on 3 statement | 10 D&amp;A, impact on 3 statement, 40% Tax rate</x:v>
      </x:c>
    </x:row>
    <x:row r="66" ht="48" customHeight="1">
      <x:c r="A66" s="30" t="str">
        <x:v>QB0089</x:v>
      </x:c>
      <x:c r="B66" s="30" t="str">
        <x:v>MS IBD</x:v>
      </x:c>
      <x:c r="C66" s="30" t="str">
        <x:v>IBD / GCM</x:v>
      </x:c>
      <x:c r="D66" s="31" t="str">
        <x:v>What is the equation for UFCF</x:v>
      </x:c>
      <x:c r="E66" s="31" t="str">
        <x:v>What is the equation for UFCF</x:v>
      </x:c>
      <x:c r="F66" s="31" t="str">
        <x:v>Accounting &amp; Financial Statements</x:v>
      </x:c>
      <x:c r="G66" s="30" t="str">
        <x:v>CL0047</x:v>
      </x:c>
      <x:c r="H66" s="32" t="n">
        <x:f>COUNTIF($G$5:$G$1725,G66)</x:f>
        <x:v>2</x:v>
      </x:c>
      <x:c r="I66" s="30" t="str">
        <x:v>H29</x:v>
      </x:c>
      <x:c r="J66" s="31" t="str">
        <x:v>What are some common credit ratios? | Tell me about a project which involves valuation | Walk me through DCF</x:v>
      </x:c>
    </x:row>
    <x:row r="67" ht="68" customHeight="1">
      <x:c r="A67" s="30" t="str">
        <x:v>QB0090</x:v>
      </x:c>
      <x:c r="B67" s="30" t="str">
        <x:v>MS IBD</x:v>
      </x:c>
      <x:c r="C67" s="30" t="str">
        <x:v>IBD / GCM</x:v>
      </x:c>
      <x:c r="D67" s="31" t="str">
        <x:v>How will an increase in debt affect enterprise value and equity value</x:v>
      </x:c>
      <x:c r="E67" s="31" t="str">
        <x:v>Bridge equity value to enterprise value</x:v>
      </x:c>
      <x:c r="F67" s="31" t="str">
        <x:v>Valuation</x:v>
      </x:c>
      <x:c r="G67" s="30" t="str">
        <x:v>CL0015</x:v>
      </x:c>
      <x:c r="H67" s="32" t="n">
        <x:f>COUNTIF($G$5:$G$1725,G67)</x:f>
        <x:v>8</x:v>
      </x:c>
      <x:c r="I67" s="30" t="str">
        <x:v>A30</x:v>
      </x:c>
      <x:c r="J67" s="31" t="str">
        <x:v>How would u analyze a company if you are working for a PE firm | How will an increase in leverage affect wacc | If a company has negative and unstable cash flow, how will you value it</x:v>
      </x:c>
    </x:row>
    <x:row r="68" ht="32" customHeight="1">
      <x:c r="A68" s="30" t="str">
        <x:v>QB0091</x:v>
      </x:c>
      <x:c r="B68" s="30" t="str">
        <x:v>MS IBD</x:v>
      </x:c>
      <x:c r="C68" s="30" t="str">
        <x:v>IBD / GCM</x:v>
      </x:c>
      <x:c r="D68" s="31" t="str">
        <x:v>how you get the risk free rate</x:v>
      </x:c>
      <x:c r="E68" s="31" t="str">
        <x:v>How you get the risk free rate</x:v>
      </x:c>
      <x:c r="F68" s="31" t="str">
        <x:v>Valuation</x:v>
      </x:c>
      <x:c r="G68" s="30" t="str">
        <x:v>CL0502</x:v>
      </x:c>
      <x:c r="H68" s="32" t="n">
        <x:f>COUNTIF($G$5:$G$1725,G68)</x:f>
        <x:v>1</x:v>
      </x:c>
      <x:c r="I68" s="30" t="str">
        <x:v>C30</x:v>
      </x:c>
      <x:c r="J68" s="31" t="str">
        <x:v>how to calc WACC | ⁠⁠what is cost of debt | what is cost of equity</x:v>
      </x:c>
    </x:row>
    <x:row r="69" ht="68" customHeight="1">
      <x:c r="A69" s="30" t="str">
        <x:v>QB0092</x:v>
      </x:c>
      <x:c r="B69" s="30" t="str">
        <x:v>MS IBD</x:v>
      </x:c>
      <x:c r="C69" s="30" t="str">
        <x:v>IBD / GCM</x:v>
      </x:c>
      <x:c r="D69" s="31" t="str">
        <x:v>For trading comps, which multiples are considered primary/secondary</x:v>
      </x:c>
      <x:c r="E69" s="31" t="str">
        <x:v>For trading comps, which multiples are considered primary/secondary</x:v>
      </x:c>
      <x:c r="F69" s="31" t="str">
        <x:v>Valuation</x:v>
      </x:c>
      <x:c r="G69" s="30" t="str">
        <x:v>CL0338</x:v>
      </x:c>
      <x:c r="H69" s="32" t="n">
        <x:f>COUNTIF($G$5:$G$1725,G69)</x:f>
        <x:v>1</x:v>
      </x:c>
      <x:c r="I69" s="30" t="str">
        <x:v>E30</x:v>
      </x:c>
      <x:c r="J69" s="31" t="str">
        <x:v>How do you find its equity value (from enterprise value)? | Why is minority interest included? | For the same company, how would you do trading comps and precedent transactions and what are some companies you would look at for trading co...</x:v>
      </x:c>
    </x:row>
    <x:row r="70" ht="48" customHeight="1">
      <x:c r="A70" s="30" t="str">
        <x:v>QB0095</x:v>
      </x:c>
      <x:c r="B70" s="30" t="str">
        <x:v>MS IBD</x:v>
      </x:c>
      <x:c r="C70" s="30" t="str">
        <x:v>IBD / GCM</x:v>
      </x:c>
      <x:c r="D70" s="31" t="str">
        <x:v>100 CAPEX, impact on 3 statement</x:v>
      </x:c>
      <x:c r="E70" s="31" t="str">
        <x:v>100 CAPEX, impact on 3 statement</x:v>
      </x:c>
      <x:c r="F70" s="31" t="str">
        <x:v>Accounting &amp; Financial Statements</x:v>
      </x:c>
      <x:c r="G70" s="30" t="str">
        <x:v>CL0031</x:v>
      </x:c>
      <x:c r="H70" s="32" t="n">
        <x:f>COUNTIF($G$5:$G$1725,G70)</x:f>
        <x:v>2</x:v>
      </x:c>
      <x:c r="I70" s="30" t="str">
        <x:v>H30</x:v>
      </x:c>
      <x:c r="J70" s="31" t="str">
        <x:v>Tell me about a project which involves valuation | Walk me through DCF | What is the equation for UFCF</x:v>
      </x:c>
    </x:row>
    <x:row r="71" ht="68" customHeight="1">
      <x:c r="A71" s="30" t="str">
        <x:v>QB0096</x:v>
      </x:c>
      <x:c r="B71" s="30" t="str">
        <x:v>MS IBD</x:v>
      </x:c>
      <x:c r="C71" s="30" t="str">
        <x:v>IBD / GCM</x:v>
      </x:c>
      <x:c r="D71" s="31" t="str">
        <x:v>get enterprise value from equity value</x:v>
      </x:c>
      <x:c r="E71" s="31" t="str">
        <x:v>Bridge equity value to enterprise value</x:v>
      </x:c>
      <x:c r="F71" s="31" t="str">
        <x:v>Valuation</x:v>
      </x:c>
      <x:c r="G71" s="30" t="str">
        <x:v>CL0015</x:v>
      </x:c>
      <x:c r="H71" s="32" t="n">
        <x:f>COUNTIF($G$5:$G$1725,G71)</x:f>
        <x:v>8</x:v>
      </x:c>
      <x:c r="I71" s="30" t="str">
        <x:v>A31</x:v>
      </x:c>
      <x:c r="J71" s="31" t="str">
        <x:v>How will an increase in leverage affect wacc | If a company has negative and unstable cash flow, how will you value it | How will an increase in debt affect enterprise value and equity value</x:v>
      </x:c>
    </x:row>
    <x:row r="72" ht="32" customHeight="1">
      <x:c r="A72" s="30" t="str">
        <x:v>QB0097</x:v>
      </x:c>
      <x:c r="B72" s="30" t="str">
        <x:v>MS IBD</x:v>
      </x:c>
      <x:c r="C72" s="30" t="str">
        <x:v>IBD / GCM</x:v>
      </x:c>
      <x:c r="D72" s="31" t="str">
        <x:v>⁠⁠so whats the US treasury yield now?</x:v>
      </x:c>
      <x:c r="E72" s="31" t="str">
        <x:v>⁠⁠so whats the US treasury yield now</x:v>
      </x:c>
      <x:c r="F72" s="31" t="str">
        <x:v>Capital Markets &amp; Financing</x:v>
      </x:c>
      <x:c r="G72" s="30" t="str">
        <x:v>CL0686</x:v>
      </x:c>
      <x:c r="H72" s="32" t="n">
        <x:f>COUNTIF($G$5:$G$1725,G72)</x:f>
        <x:v>1</x:v>
      </x:c>
      <x:c r="I72" s="30" t="str">
        <x:v>C31</x:v>
      </x:c>
      <x:c r="J72" s="31" t="str">
        <x:v>⁠⁠what is cost of debt | what is cost of equity | how you get the risk free rate</x:v>
      </x:c>
    </x:row>
    <x:row r="73" ht="68" customHeight="1">
      <x:c r="A73" s="30" t="str">
        <x:v>QB0098</x:v>
      </x:c>
      <x:c r="B73" s="30" t="str">
        <x:v>MS IBD</x:v>
      </x:c>
      <x:c r="C73" s="30" t="str">
        <x:v>IBD / GCM</x:v>
      </x:c>
      <x:c r="D73" s="31" t="str">
        <x:v>Any IPO project experiences? Do you know anything about the HK IPO process? Like what documents to be submitted?</x:v>
      </x:c>
      <x:c r="E73" s="31" t="str">
        <x:v>Any IPO project experiences? Do you know anything about the HK IPO process? Like what documents to be submitted</x:v>
      </x:c>
      <x:c r="F73" s="31" t="str">
        <x:v>Resume &amp; Experience</x:v>
      </x:c>
      <x:c r="G73" s="30" t="str">
        <x:v>CL0116</x:v>
      </x:c>
      <x:c r="H73" s="32" t="n">
        <x:f>COUNTIF($G$5:$G$1725,G73)</x:f>
        <x:v>1</x:v>
      </x:c>
      <x:c r="I73" s="30" t="str">
        <x:v>E31</x:v>
      </x:c>
      <x:c r="J73" s="31" t="str">
        <x:v>Why is minority interest included? | For the same company, how would you do trading comps and precedent transactions and what are some companies you would look at for trading comps? | For trading comps, which multiples are considered pri...</x:v>
      </x:c>
    </x:row>
    <x:row r="74" ht="32" customHeight="1">
      <x:c r="A74" s="30" t="str">
        <x:v>QB0101</x:v>
      </x:c>
      <x:c r="B74" s="30" t="str">
        <x:v>MS IBD</x:v>
      </x:c>
      <x:c r="C74" s="30" t="str">
        <x:v>IBD / GCM</x:v>
      </x:c>
      <x:c r="D74" s="31" t="str">
        <x:v>10 D&amp;A, impact on 3 statement, 40% Tax rate</x:v>
      </x:c>
      <x:c r="E74" s="31" t="str">
        <x:v>10 D&amp;A, impact on 3 statement, 40% Tax rate</x:v>
      </x:c>
      <x:c r="F74" s="31" t="str">
        <x:v>Accounting &amp; Financial Statements</x:v>
      </x:c>
      <x:c r="G74" s="30" t="str">
        <x:v>CL0030</x:v>
      </x:c>
      <x:c r="H74" s="32" t="n">
        <x:f>COUNTIF($G$5:$G$1725,G74)</x:f>
        <x:v>2</x:v>
      </x:c>
      <x:c r="I74" s="30" t="str">
        <x:v>H31</x:v>
      </x:c>
      <x:c r="J74" s="31" t="str">
        <x:v>Walk me through DCF | What is the equation for UFCF | 100 CAPEX, impact on 3 statement</x:v>
      </x:c>
    </x:row>
    <x:row r="75" ht="68" customHeight="1">
      <x:c r="A75" s="30" t="str">
        <x:v>QB0102</x:v>
      </x:c>
      <x:c r="B75" s="30" t="str">
        <x:v>MS IBD</x:v>
      </x:c>
      <x:c r="C75" s="30" t="str">
        <x:v>IBD / GCM</x:v>
      </x:c>
      <x:c r="D75" s="31" t="str">
        <x:v>why do companies want to do M&amp;A</x:v>
      </x:c>
      <x:c r="E75" s="31" t="str">
        <x:v>Why do companies want to do M&amp;A</x:v>
      </x:c>
      <x:c r="F75" s="31" t="str">
        <x:v>Fit &amp; Motivation</x:v>
      </x:c>
      <x:c r="G75" s="30" t="str">
        <x:v>CL1124</x:v>
      </x:c>
      <x:c r="H75" s="32" t="n">
        <x:f>COUNTIF($G$5:$G$1725,G75)</x:f>
        <x:v>1</x:v>
      </x:c>
      <x:c r="I75" s="30" t="str">
        <x:v>A32</x:v>
      </x:c>
      <x:c r="J75" s="31" t="str">
        <x:v>If a company has negative and unstable cash flow, how will you value it | How will an increase in debt affect enterprise value and equity value | get enterprise value from equity value</x:v>
      </x:c>
    </x:row>
    <x:row r="76" ht="48" customHeight="1">
      <x:c r="A76" s="30" t="str">
        <x:v>QB0103</x:v>
      </x:c>
      <x:c r="B76" s="30" t="str">
        <x:v>MS IBD</x:v>
      </x:c>
      <x:c r="C76" s="30" t="str">
        <x:v>IBD / GCM</x:v>
      </x:c>
      <x:c r="D76" s="31" t="str">
        <x:v>how to get market risk premium</x:v>
      </x:c>
      <x:c r="E76" s="31" t="str">
        <x:v>How to get market risk premium</x:v>
      </x:c>
      <x:c r="F76" s="31" t="str">
        <x:v>Valuation</x:v>
      </x:c>
      <x:c r="G76" s="30" t="str">
        <x:v>CL0477</x:v>
      </x:c>
      <x:c r="H76" s="32" t="n">
        <x:f>COUNTIF($G$5:$G$1725,G76)</x:f>
        <x:v>1</x:v>
      </x:c>
      <x:c r="I76" s="30" t="str">
        <x:v>C32</x:v>
      </x:c>
      <x:c r="J76" s="31" t="str">
        <x:v>what is cost of equity | how you get the risk free rate | ⁠⁠so whats the US treasury yield now?</x:v>
      </x:c>
    </x:row>
    <x:row r="77" ht="92" customHeight="1">
      <x:c r="A77" s="30" t="str">
        <x:v>QB0104</x:v>
      </x:c>
      <x:c r="B77" s="30" t="str">
        <x:v>MS IBD</x:v>
      </x:c>
      <x:c r="C77" s="30" t="str">
        <x:v>IBD / GCM</x:v>
      </x:c>
      <x:c r="D77" s="31" t="str">
        <x:v>Any deal experiences?</x:v>
      </x:c>
      <x:c r="E77" s="31" t="str">
        <x:v>Any deal experiences</x:v>
      </x:c>
      <x:c r="F77" s="31" t="str">
        <x:v>Resume &amp; Experience</x:v>
      </x:c>
      <x:c r="G77" s="30" t="str">
        <x:v>CL0113</x:v>
      </x:c>
      <x:c r="H77" s="32" t="n">
        <x:f>COUNTIF($G$5:$G$1725,G77)</x:f>
        <x:v>1</x:v>
      </x:c>
      <x:c r="I77" s="30" t="str">
        <x:v>E32</x:v>
      </x:c>
      <x:c r="J77" s="31" t="str">
        <x:v>For the same company, how would you do trading comps and precedent transactions and what are some companies you would look at for trading comps? | For trading comps, which multiples are considered primary/secondary | Any IPO project expe...</x:v>
      </x:c>
    </x:row>
    <x:row r="78" ht="48" customHeight="1">
      <x:c r="A78" s="30" t="str">
        <x:v>QB0107</x:v>
      </x:c>
      <x:c r="B78" s="30" t="str">
        <x:v>MS IBD</x:v>
      </x:c>
      <x:c r="C78" s="30" t="str">
        <x:v>IBD / GCM</x:v>
      </x:c>
      <x:c r="D78" s="31" t="str">
        <x:v>⁠⁠what is the normal market risk premium</x:v>
      </x:c>
      <x:c r="E78" s="31" t="str">
        <x:v>⁠⁠what is the normal market risk premium</x:v>
      </x:c>
      <x:c r="F78" s="31" t="str">
        <x:v>Accounting &amp; Financial Statements</x:v>
      </x:c>
      <x:c r="G78" s="30" t="str">
        <x:v>CL0986</x:v>
      </x:c>
      <x:c r="H78" s="32" t="n">
        <x:f>COUNTIF($G$5:$G$1725,G78)</x:f>
        <x:v>1</x:v>
      </x:c>
      <x:c r="I78" s="30" t="str">
        <x:v>C33</x:v>
      </x:c>
      <x:c r="J78" s="31" t="str">
        <x:v>how you get the risk free rate | ⁠⁠so whats the US treasury yield now? | how to get market risk premium</x:v>
      </x:c>
    </x:row>
    <x:row r="79" ht="68" customHeight="1">
      <x:c r="A79" s="30" t="str">
        <x:v>QB0108</x:v>
      </x:c>
      <x:c r="B79" s="30" t="str">
        <x:v>MS IBD</x:v>
      </x:c>
      <x:c r="C79" s="30" t="str">
        <x:v>IBD / GCM</x:v>
      </x:c>
      <x:c r="D79" s="31" t="str">
        <x:v>What did you do / what role did you play in preparing the pitches?</x:v>
      </x:c>
      <x:c r="E79" s="31" t="str">
        <x:v>What did you do / what role did you play in preparing the pitches</x:v>
      </x:c>
      <x:c r="F79" s="31" t="str">
        <x:v>Resume &amp; Experience</x:v>
      </x:c>
      <x:c r="G79" s="30" t="str">
        <x:v>CL0895</x:v>
      </x:c>
      <x:c r="H79" s="32" t="n">
        <x:f>COUNTIF($G$5:$G$1725,G79)</x:f>
        <x:v>1</x:v>
      </x:c>
      <x:c r="I79" s="30" t="str">
        <x:v>E33</x:v>
      </x:c>
      <x:c r="J79" s="31" t="str">
        <x:v>For trading comps, which multiples are considered primary/secondary | Any IPO project experiences? Do you know anything about the HK IPO process? Like what documents to be submitted? | Any deal experiences?</x:v>
      </x:c>
    </x:row>
    <x:row r="80" ht="48" customHeight="1">
      <x:c r="A80" s="30" t="str">
        <x:v>QB0109</x:v>
      </x:c>
      <x:c r="B80" s="30" t="str">
        <x:v>MS IBD</x:v>
      </x:c>
      <x:c r="C80" s="30" t="str">
        <x:v>IBD / GCM</x:v>
      </x:c>
      <x:c r="D80" s="31" t="str">
        <x:v>Did you get return from Nomura? What's the return rate?</x:v>
      </x:c>
      <x:c r="E80" s="31" t="str">
        <x:v>Did you get return from Nomura? What's the return rate</x:v>
      </x:c>
      <x:c r="F80" s="31" t="str">
        <x:v>Other Question</x:v>
      </x:c>
      <x:c r="G80" s="30" t="str">
        <x:v>CL0245</x:v>
      </x:c>
      <x:c r="H80" s="32" t="n">
        <x:f>COUNTIF($G$5:$G$1725,G80)</x:f>
        <x:v>1</x:v>
      </x:c>
      <x:c r="I80" s="30" t="str">
        <x:v>H33</x:v>
      </x:c>
      <x:c r="J80" s="31" t="str">
        <x:v>100 CAPEX, impact on 3 statement | 10 D&amp;A, impact on 3 statement, 40% Tax rate | PE vs Banking</x:v>
      </x:c>
    </x:row>
    <x:row r="81" ht="48" customHeight="1">
      <x:c r="A81" s="30" t="str">
        <x:v>QB0110</x:v>
      </x:c>
      <x:c r="B81" s="30" t="str">
        <x:v>MS IBD</x:v>
      </x:c>
      <x:c r="C81" s="30" t="str">
        <x:v>IBD / GCM</x:v>
      </x:c>
      <x:c r="D81" s="31" t="str">
        <x:v>Tell me some deals MS did</x:v>
      </x:c>
      <x:c r="E81" s="31" t="str">
        <x:v>Discuss a recent deal completed by this firm</x:v>
      </x:c>
      <x:c r="F81" s="31" t="str">
        <x:v>Company, Industry &amp; Deals</x:v>
      </x:c>
      <x:c r="G81" s="30" t="str">
        <x:v>CL0008</x:v>
      </x:c>
      <x:c r="H81" s="32" t="n">
        <x:f>COUNTIF($G$5:$G$1725,G81)</x:f>
        <x:v>14</x:v>
      </x:c>
      <x:c r="I81" s="30" t="str">
        <x:v>A34</x:v>
      </x:c>
      <x:c r="J81" s="31" t="str">
        <x:v>get enterprise value from equity value | why do companies want to do M&amp;A | you have experiece in healthcare and Auto, which you prefer to work in</x:v>
      </x:c>
    </x:row>
    <x:row r="82" ht="48" customHeight="1">
      <x:c r="A82" s="30" t="str">
        <x:v>QB0114</x:v>
      </x:c>
      <x:c r="B82" s="30" t="str">
        <x:v>MS IBD</x:v>
      </x:c>
      <x:c r="C82" s="30" t="str">
        <x:v>IBD / GCM</x:v>
      </x:c>
      <x:c r="D82" s="31" t="str">
        <x:v>Which deal you are interested in and walk me through</x:v>
      </x:c>
      <x:c r="E82" s="31" t="str">
        <x:v>Which deal you are interested in and walk me through</x:v>
      </x:c>
      <x:c r="F82" s="31" t="str">
        <x:v>Company, Industry &amp; Deals</x:v>
      </x:c>
      <x:c r="G82" s="30" t="str">
        <x:v>CL1093</x:v>
      </x:c>
      <x:c r="H82" s="32" t="n">
        <x:f>COUNTIF($G$5:$G$1725,G82)</x:f>
        <x:v>1</x:v>
      </x:c>
      <x:c r="I82" s="30" t="str">
        <x:v>A35</x:v>
      </x:c>
      <x:c r="J82" s="31" t="str">
        <x:v>why do companies want to do M&amp;A | you have experiece in healthcare and Auto, which you prefer to work in | Tell me some deals MS did</x:v>
      </x:c>
    </x:row>
    <x:row r="83" ht="48" customHeight="1">
      <x:c r="A83" s="30" t="str">
        <x:v>QB0115</x:v>
      </x:c>
      <x:c r="B83" s="30" t="str">
        <x:v>MS IBD</x:v>
      </x:c>
      <x:c r="C83" s="30" t="str">
        <x:v>IBD / GCM</x:v>
      </x:c>
      <x:c r="D83" s="31" t="str">
        <x:v>how to get the perpetual growth rate in gordon growth method</x:v>
      </x:c>
      <x:c r="E83" s="31" t="str">
        <x:v>How to get the perpetual growth rate in gordon growth method</x:v>
      </x:c>
      <x:c r="F83" s="31" t="str">
        <x:v>Valuation</x:v>
      </x:c>
      <x:c r="G83" s="30" t="str">
        <x:v>CL0478</x:v>
      </x:c>
      <x:c r="H83" s="32" t="n">
        <x:f>COUNTIF($G$5:$G$1725,G83)</x:f>
        <x:v>1</x:v>
      </x:c>
      <x:c r="I83" s="30" t="str">
        <x:v>C35</x:v>
      </x:c>
      <x:c r="J83" s="31" t="str">
        <x:v>how to get market risk premium | ⁠⁠what is the normal market risk premium | two ways to calc terminal value</x:v>
      </x:c>
    </x:row>
    <x:row r="84" ht="48" customHeight="1">
      <x:c r="A84" s="30" t="str">
        <x:v>QB0117</x:v>
      </x:c>
      <x:c r="B84" s="30" t="str">
        <x:v>MS IBD</x:v>
      </x:c>
      <x:c r="C84" s="30" t="str">
        <x:v>IBD / GCM</x:v>
      </x:c>
      <x:c r="D84" s="31" t="str">
        <x:v>Tell me about a time u explain a complex stuff to others</x:v>
      </x:c>
      <x:c r="E84" s="31" t="str">
        <x:v>Tell me about a time u explain a complex stuff to others</x:v>
      </x:c>
      <x:c r="F84" s="31" t="str">
        <x:v>Other Question</x:v>
      </x:c>
      <x:c r="G84" s="30" t="str">
        <x:v>CL0730</x:v>
      </x:c>
      <x:c r="H84" s="32" t="n">
        <x:f>COUNTIF($G$5:$G$1725,G84)</x:f>
        <x:v>1</x:v>
      </x:c>
      <x:c r="I84" s="30" t="str">
        <x:v>A36</x:v>
      </x:c>
      <x:c r="J84" s="31" t="str">
        <x:v>you have experiece in healthcare and Auto, which you prefer to work in | Tell me some deals MS did | Which deal you are interested in and walk me through</x:v>
      </x:c>
    </x:row>
    <x:row r="85" ht="48" customHeight="1">
      <x:c r="A85" s="30" t="str">
        <x:v>QB0120</x:v>
      </x:c>
      <x:c r="B85" s="30" t="str">
        <x:v>MS IBD</x:v>
      </x:c>
      <x:c r="C85" s="30" t="str">
        <x:v>IBD / GCM</x:v>
      </x:c>
      <x:c r="D85" s="31" t="str">
        <x:v>⁠⁠if a company invests 20% into another company, how does it show up on the 3 statements</x:v>
      </x:c>
      <x:c r="E85" s="31" t="str">
        <x:v>How does a transaction flow through the three financial statements?</x:v>
      </x:c>
      <x:c r="F85" s="31" t="str">
        <x:v>Accounting &amp; Financial Statements</x:v>
      </x:c>
      <x:c r="G85" s="30" t="str">
        <x:v>CL0004</x:v>
      </x:c>
      <x:c r="H85" s="32" t="n">
        <x:f>COUNTIF($G$5:$G$1725,G85)</x:f>
        <x:v>21</x:v>
      </x:c>
      <x:c r="I85" s="30" t="str">
        <x:v>C37</x:v>
      </x:c>
      <x:c r="J85" s="31" t="str">
        <x:v>two ways to calc terminal value | how to get the perpetual growth rate in gordon growth method | so what is usual gdp growth rate or inflation rate</x:v>
      </x:c>
    </x:row>
    <x:row r="86" ht="68" customHeight="1">
      <x:c r="A86" s="30" t="str">
        <x:v>QB0122</x:v>
      </x:c>
      <x:c r="B86" s="30" t="str">
        <x:v>MS IBD</x:v>
      </x:c>
      <x:c r="C86" s="30" t="str">
        <x:v>IBD / GCM</x:v>
      </x:c>
      <x:c r="D86" s="31" t="str">
        <x:v>What is goodwill</x:v>
      </x:c>
      <x:c r="E86" s="31" t="str">
        <x:v>What is goodwill</x:v>
      </x:c>
      <x:c r="F86" s="31" t="str">
        <x:v>Accounting &amp; Financial Statements</x:v>
      </x:c>
      <x:c r="G86" s="30" t="str">
        <x:v>CL0046</x:v>
      </x:c>
      <x:c r="H86" s="32" t="n">
        <x:f>COUNTIF($G$5:$G$1725,G86)</x:f>
        <x:v>2</x:v>
      </x:c>
      <x:c r="I86" s="30" t="str">
        <x:v>C38</x:v>
      </x:c>
      <x:c r="J86" s="31" t="str">
        <x:v>how to get the perpetual growth rate in gordon growth method | so what is usual gdp growth rate or inflation rate | ⁠⁠if a company invests 20% into another company, how does it show up on the 3 statements</x:v>
      </x:c>
    </x:row>
    <x:row r="87" ht="48" customHeight="1">
      <x:c r="A87" s="30" t="str">
        <x:v>QB0124</x:v>
      </x:c>
      <x:c r="B87" s="30" t="str">
        <x:v>MS IBD</x:v>
      </x:c>
      <x:c r="C87" s="30" t="str">
        <x:v>IBD / GCM</x:v>
      </x:c>
      <x:c r="D87" s="31" t="str">
        <x:v>What is goodwill impairment</x:v>
      </x:c>
      <x:c r="E87" s="31" t="str">
        <x:v>What is goodwill impairment</x:v>
      </x:c>
      <x:c r="F87" s="31" t="str">
        <x:v>Accounting &amp; Financial Statements</x:v>
      </x:c>
      <x:c r="G87" s="30" t="str">
        <x:v>CL0970</x:v>
      </x:c>
      <x:c r="H87" s="32" t="n">
        <x:f>COUNTIF($G$5:$G$1725,G87)</x:f>
        <x:v>1</x:v>
      </x:c>
      <x:c r="I87" s="30" t="str">
        <x:v>C39</x:v>
      </x:c>
      <x:c r="J87" s="31" t="str">
        <x:v>so what is usual gdp growth rate or inflation rate | ⁠⁠if a company invests 20% into another company, how does it show up on the 3 statements | What is goodwill</x:v>
      </x:c>
    </x:row>
    <x:row r="88" ht="48" customHeight="1">
      <x:c r="A88" s="30" t="str">
        <x:v>QB0125</x:v>
      </x:c>
      <x:c r="B88" s="30" t="str">
        <x:v>MS IBD</x:v>
      </x:c>
      <x:c r="C88" s="30" t="str">
        <x:v>IBD / GCM</x:v>
      </x:c>
      <x:c r="D88" s="31" t="str">
        <x:v>Do you know deferred tax assets and liabilities?</x:v>
      </x:c>
      <x:c r="E88" s="31" t="str">
        <x:v>Do you know deferred tax assets and liabilities</x:v>
      </x:c>
      <x:c r="F88" s="31" t="str">
        <x:v>Accounting &amp; Financial Statements</x:v>
      </x:c>
      <x:c r="G88" s="30" t="str">
        <x:v>CL0277</x:v>
      </x:c>
      <x:c r="H88" s="32" t="n">
        <x:f>COUNTIF($G$5:$G$1725,G88)</x:f>
        <x:v>1</x:v>
      </x:c>
      <x:c r="I88" s="30" t="str">
        <x:v>C40</x:v>
      </x:c>
      <x:c r="J88" s="31" t="str">
        <x:v>⁠⁠if a company invests 20% into another company, how does it show up on the 3 statements | What is goodwill | What is goodwill impairment</x:v>
      </x:c>
    </x:row>
    <x:row r="89" ht="32" customHeight="1">
      <x:c r="A89" s="30" t="str">
        <x:v>QB0130</x:v>
      </x:c>
      <x:c r="B89" s="30" t="str">
        <x:v>MS IBD</x:v>
      </x:c>
      <x:c r="C89" s="30" t="str">
        <x:v>IBD / GCM</x:v>
      </x:c>
      <x:c r="D89" s="31" t="str">
        <x:v>Why MS/Why IBD not consulting/PE</x:v>
      </x:c>
      <x:c r="E89" s="31" t="str">
        <x:v>Why this firm?</x:v>
      </x:c>
      <x:c r="F89" s="31" t="str">
        <x:v>Fit &amp; Motivation</x:v>
      </x:c>
      <x:c r="G89" s="30" t="str">
        <x:v>CL0002</x:v>
      </x:c>
      <x:c r="H89" s="32" t="n">
        <x:f>COUNTIF($G$5:$G$1725,G89)</x:f>
        <x:v>39</x:v>
      </x:c>
      <x:c r="I89" s="30" t="str">
        <x:v>A45</x:v>
      </x:c>
      <x:c r="J89" s="31" t="str">
        <x:v>Phone interview | Kari 9/9 (Jason Tse, Asso) | Yourself</x:v>
      </x:c>
    </x:row>
    <x:row r="90" ht="32" customHeight="1">
      <x:c r="A90" s="30" t="str">
        <x:v>QB0131</x:v>
      </x:c>
      <x:c r="B90" s="30" t="str">
        <x:v>MS IBD</x:v>
      </x:c>
      <x:c r="C90" s="30" t="str">
        <x:v>IBD / GCM</x:v>
      </x:c>
      <x:c r="D90" s="31" t="str">
        <x:v>Buy $100 machine by debt - 3 FSs changes today + changes 1 yr after</x:v>
      </x:c>
      <x:c r="E90" s="31" t="str">
        <x:v>Buy $100 machine by debt - 3 FSs changes today + changes 1 yr after</x:v>
      </x:c>
      <x:c r="F90" s="31" t="str">
        <x:v>Accounting &amp; Financial Statements</x:v>
      </x:c>
      <x:c r="G90" s="30" t="str">
        <x:v>CL0178</x:v>
      </x:c>
      <x:c r="H90" s="32" t="n">
        <x:f>COUNTIF($G$5:$G$1725,G90)</x:f>
        <x:v>1</x:v>
      </x:c>
      <x:c r="I90" s="30" t="str">
        <x:v>A46</x:v>
      </x:c>
      <x:c r="J90" s="31" t="str">
        <x:v>Kari 9/9 (Jason Tse, Asso) | Yourself | Why MS/Why IBD not consulting/PE</x:v>
      </x:c>
    </x:row>
    <x:row r="91" ht="48" customHeight="1">
      <x:c r="A91" s="30" t="str">
        <x:v>QB0132</x:v>
      </x:c>
      <x:c r="B91" s="30" t="str">
        <x:v>MS IBD</x:v>
      </x:c>
      <x:c r="C91" s="30" t="str">
        <x:v>IBD / GCM</x:v>
      </x:c>
      <x:c r="D91" s="31" t="str">
        <x:v>WACC formula</x:v>
      </x:c>
      <x:c r="E91" s="31" t="str">
        <x:v>WACC formula</x:v>
      </x:c>
      <x:c r="F91" s="31" t="str">
        <x:v>Valuation</x:v>
      </x:c>
      <x:c r="G91" s="30" t="str">
        <x:v>CL0820</x:v>
      </x:c>
      <x:c r="H91" s="32" t="n">
        <x:f>COUNTIF($G$5:$G$1725,G91)</x:f>
        <x:v>1</x:v>
      </x:c>
      <x:c r="I91" s="30" t="str">
        <x:v>A47</x:v>
      </x:c>
      <x:c r="J91" s="31" t="str">
        <x:v>Yourself | Why MS/Why IBD not consulting/PE | Buy $100 machine by debt - 3 FSs changes today + changes 1 yr after</x:v>
      </x:c>
    </x:row>
    <x:row r="92" ht="48" customHeight="1">
      <x:c r="A92" s="30" t="str">
        <x:v>QB0133</x:v>
      </x:c>
      <x:c r="B92" s="30" t="str">
        <x:v>MS IBD</x:v>
      </x:c>
      <x:c r="C92" s="30" t="str">
        <x:v>IBD / GCM</x:v>
      </x:c>
      <x:c r="D92" s="31" t="str">
        <x:v>Cost of equity formula</x:v>
      </x:c>
      <x:c r="E92" s="31" t="str">
        <x:v>Cost of equity formula</x:v>
      </x:c>
      <x:c r="F92" s="31" t="str">
        <x:v>Valuation</x:v>
      </x:c>
      <x:c r="G92" s="30" t="str">
        <x:v>CL0208</x:v>
      </x:c>
      <x:c r="H92" s="32" t="n">
        <x:f>COUNTIF($G$5:$G$1725,G92)</x:f>
        <x:v>1</x:v>
      </x:c>
      <x:c r="I92" s="30" t="str">
        <x:v>A48</x:v>
      </x:c>
      <x:c r="J92" s="31" t="str">
        <x:v>Why MS/Why IBD not consulting/PE | Buy $100 machine by debt - 3 FSs changes today + changes 1 yr after | WACC formula</x:v>
      </x:c>
    </x:row>
    <x:row r="93" ht="48" customHeight="1">
      <x:c r="A93" s="30" t="str">
        <x:v>QB0134</x:v>
      </x:c>
      <x:c r="B93" s="30" t="str">
        <x:v>MS IBD</x:v>
      </x:c>
      <x:c r="C93" s="30" t="str">
        <x:v>IBD / GCM</x:v>
      </x:c>
      <x:c r="D93" s="31" t="str">
        <x:v>What is β, predict Walmart's β</x:v>
      </x:c>
      <x:c r="E93" s="31" t="str">
        <x:v>What is β, predict Walmart's β</x:v>
      </x:c>
      <x:c r="F93" s="31" t="str">
        <x:v>Accounting &amp; Financial Statements</x:v>
      </x:c>
      <x:c r="G93" s="30" t="str">
        <x:v>CL1005</x:v>
      </x:c>
      <x:c r="H93" s="32" t="n">
        <x:f>COUNTIF($G$5:$G$1725,G93)</x:f>
        <x:v>1</x:v>
      </x:c>
      <x:c r="I93" s="30" t="str">
        <x:v>A49</x:v>
      </x:c>
      <x:c r="J93" s="31" t="str">
        <x:v>Buy $100 machine by debt - 3 FSs changes today + changes 1 yr after | WACC formula | Cost of equity formula</x:v>
      </x:c>
    </x:row>
    <x:row r="94" ht="32" customHeight="1">
      <x:c r="A94" s="30" t="str">
        <x:v>QB0135</x:v>
      </x:c>
      <x:c r="B94" s="30" t="str">
        <x:v>MS IBD</x:v>
      </x:c>
      <x:c r="C94" s="30" t="str">
        <x:v>IBD / GCM</x:v>
      </x:c>
      <x:c r="D94" s="31" t="str">
        <x:v>If add leverage, how does WACC change</x:v>
      </x:c>
      <x:c r="E94" s="31" t="str">
        <x:v>How do you calculate WACC?</x:v>
      </x:c>
      <x:c r="F94" s="31" t="str">
        <x:v>Valuation</x:v>
      </x:c>
      <x:c r="G94" s="30" t="str">
        <x:v>CL0011</x:v>
      </x:c>
      <x:c r="H94" s="32" t="n">
        <x:f>COUNTIF($G$5:$G$1725,G94)</x:f>
        <x:v>12</x:v>
      </x:c>
      <x:c r="I94" s="30" t="str">
        <x:v>A50</x:v>
      </x:c>
      <x:c r="J94" s="31" t="str">
        <x:v>WACC formula | Cost of equity formula | What is β, predict Walmart's β</x:v>
      </x:c>
    </x:row>
    <x:row r="95" ht="48" customHeight="1">
      <x:c r="A95" s="30" t="str">
        <x:v>QB0136</x:v>
      </x:c>
      <x:c r="B95" s="30" t="str">
        <x:v>MS IBD</x:v>
      </x:c>
      <x:c r="C95" s="30" t="str">
        <x:v>IBD / GCM</x:v>
      </x:c>
      <x:c r="D95" s="31" t="str">
        <x:v>Get FCFF from revenue</x:v>
      </x:c>
      <x:c r="E95" s="31" t="str">
        <x:v>Get FCFF from revenue</x:v>
      </x:c>
      <x:c r="F95" s="31" t="str">
        <x:v>Valuation</x:v>
      </x:c>
      <x:c r="G95" s="30" t="str">
        <x:v>CL0343</x:v>
      </x:c>
      <x:c r="H95" s="32" t="n">
        <x:f>COUNTIF($G$5:$G$1725,G95)</x:f>
        <x:v>1</x:v>
      </x:c>
      <x:c r="I95" s="30" t="str">
        <x:v>A51</x:v>
      </x:c>
      <x:c r="J95" s="31" t="str">
        <x:v>Cost of equity formula | What is β, predict Walmart's β | If add leverage, how does WACC change</x:v>
      </x:c>
    </x:row>
    <x:row r="96" ht="48" customHeight="1">
      <x:c r="A96" s="30" t="str">
        <x:v>QB0137</x:v>
      </x:c>
      <x:c r="B96" s="30" t="str">
        <x:v>MS IBD</x:v>
      </x:c>
      <x:c r="C96" s="30" t="str">
        <x:v>IBD / GCM</x:v>
      </x:c>
      <x:c r="D96" s="31" t="str">
        <x:v>Get FCFE from FCFF</x:v>
      </x:c>
      <x:c r="E96" s="31" t="str">
        <x:v>Get FCFE from FCFF</x:v>
      </x:c>
      <x:c r="F96" s="31" t="str">
        <x:v>Valuation</x:v>
      </x:c>
      <x:c r="G96" s="30" t="str">
        <x:v>CL0342</x:v>
      </x:c>
      <x:c r="H96" s="32" t="n">
        <x:f>COUNTIF($G$5:$G$1725,G96)</x:f>
        <x:v>1</x:v>
      </x:c>
      <x:c r="I96" s="30" t="str">
        <x:v>A52</x:v>
      </x:c>
      <x:c r="J96" s="31" t="str">
        <x:v>What is β, predict Walmart's β | If add leverage, how does WACC change | Get FCFF from revenue</x:v>
      </x:c>
    </x:row>
    <x:row r="97" ht="48" customHeight="1">
      <x:c r="A97" s="30" t="str">
        <x:v>QB0143</x:v>
      </x:c>
      <x:c r="B97" s="30" t="str">
        <x:v>MS IBD</x:v>
      </x:c>
      <x:c r="C97" s="30" t="str">
        <x:v>IBD / GCM</x:v>
      </x:c>
      <x:c r="D97" s="31" t="str">
        <x:v>Self Intro</x:v>
      </x:c>
      <x:c r="E97" s="31" t="str">
        <x:v>Tell me about yourself / walk me through your resume</x:v>
      </x:c>
      <x:c r="F97" s="31" t="str">
        <x:v>Resume &amp; Experience</x:v>
      </x:c>
      <x:c r="G97" s="30" t="str">
        <x:v>CL0001</x:v>
      </x:c>
      <x:c r="H97" s="32" t="n">
        <x:f>COUNTIF($G$5:$G$1725,G97)</x:f>
        <x:v>170</x:v>
      </x:c>
      <x:c r="I97" s="30" t="str">
        <x:v>C57</x:v>
      </x:c>
      <x:c r="J97" s="31" t="str">
        <x:v>Do you know deferred tax assets and liabilities? | 10 - 19/10 Jasmine | 1 China Coverage ED</x:v>
      </x:c>
    </x:row>
    <x:row r="98" ht="32" customHeight="1">
      <x:c r="A98" s="30" t="str">
        <x:v>QB0145</x:v>
      </x:c>
      <x:c r="B98" s="30" t="str">
        <x:v>MS IBD</x:v>
      </x:c>
      <x:c r="C98" s="30" t="str">
        <x:v>IBD / GCM</x:v>
      </x:c>
      <x:c r="D98" s="31" t="str">
        <x:v>Things to consider for Debt investors vs Equity investors</x:v>
      </x:c>
      <x:c r="E98" s="31" t="str">
        <x:v>How should a company choose between debt and equity financing?</x:v>
      </x:c>
      <x:c r="F98" s="31" t="str">
        <x:v>Capital Markets &amp; Financing</x:v>
      </x:c>
      <x:c r="G98" s="30" t="str">
        <x:v>CL0005</x:v>
      </x:c>
      <x:c r="H98" s="32" t="n">
        <x:f>COUNTIF($G$5:$G$1725,G98)</x:f>
        <x:v>21</x:v>
      </x:c>
      <x:c r="I98" s="30" t="str">
        <x:v>C58</x:v>
      </x:c>
      <x:c r="J98" s="31" t="str">
        <x:v>10 - 19/10 Jasmine | 1 China Coverage ED | Self Intro</x:v>
      </x:c>
    </x:row>
    <x:row r="99" ht="48" customHeight="1">
      <x:c r="A99" s="30" t="str">
        <x:v>QB0147</x:v>
      </x:c>
      <x:c r="B99" s="30" t="str">
        <x:v>MS IBD</x:v>
      </x:c>
      <x:c r="C99" s="30" t="str">
        <x:v>IBD / GCM</x:v>
      </x:c>
      <x:c r="D99" s="31" t="str">
        <x:v>How about for leveraged loans</x:v>
      </x:c>
      <x:c r="E99" s="31" t="str">
        <x:v>How about for leveraged loans</x:v>
      </x:c>
      <x:c r="F99" s="31" t="str">
        <x:v>Capital Markets &amp; Financing</x:v>
      </x:c>
      <x:c r="G99" s="30" t="str">
        <x:v>CL0370</x:v>
      </x:c>
      <x:c r="H99" s="32" t="n">
        <x:f>COUNTIF($G$5:$G$1725,G99)</x:f>
        <x:v>1</x:v>
      </x:c>
      <x:c r="I99" s="30" t="str">
        <x:v>C59</x:v>
      </x:c>
      <x:c r="J99" s="31" t="str">
        <x:v>1 China Coverage ED | Self Intro | Things to consider for Debt investors vs Equity investors</x:v>
      </x:c>
    </x:row>
    <x:row r="100" ht="92" customHeight="1">
      <x:c r="A100" s="30" t="str">
        <x:v>QB0150</x:v>
      </x:c>
      <x:c r="B100" s="30" t="str">
        <x:v>MS IBD</x:v>
      </x:c>
      <x:c r="C100" s="30" t="str">
        <x:v>IBD / GCM</x:v>
      </x:c>
      <x:c r="D100" s="31" t="str">
        <x:v>Who i talked to in MS before, who was my first round interviewer</x:v>
      </x:c>
      <x:c r="E100" s="31" t="str">
        <x:v>Who i talked to in MS before, who was my first round interviewer</x:v>
      </x:c>
      <x:c r="F100" s="31" t="str">
        <x:v>Other Question</x:v>
      </x:c>
      <x:c r="G100" s="30" t="str">
        <x:v>CL1107</x:v>
      </x:c>
      <x:c r="H100" s="32" t="n">
        <x:f>COUNTIF($G$5:$G$1725,G100)</x:f>
        <x:v>1</x:v>
      </x:c>
      <x:c r="I100" s="30" t="str">
        <x:v>A61</x:v>
      </x:c>
      <x:c r="J100" s="31" t="str">
        <x:v>Real Estate MD | Talked for 5 mins about his background (e.g. he used to do law and then switched with MBA) | ⁠Asked me to introduce myself - walk through resume, why IBD, why me, why MS, anything you know about MS recent deals using 5 m...</x:v>
      </x:c>
    </x:row>
    <x:row r="101" ht="92" customHeight="1">
      <x:c r="A101" s="30" t="str">
        <x:v>QB0152</x:v>
      </x:c>
      <x:c r="B101" s="30" t="str">
        <x:v>MS IBD</x:v>
      </x:c>
      <x:c r="C101" s="30" t="str">
        <x:v>IBD / GCM</x:v>
      </x:c>
      <x:c r="D101" s="31" t="str">
        <x:v>⁠Why not PB, regulatory work or consulting since you did those internships before</x:v>
      </x:c>
      <x:c r="E101" s="31" t="str">
        <x:v>⁠Why not PB, regulatory work or consulting since you did those internships before</x:v>
      </x:c>
      <x:c r="F101" s="31" t="str">
        <x:v>Fit &amp; Motivation</x:v>
      </x:c>
      <x:c r="G101" s="30" t="str">
        <x:v>CL1158</x:v>
      </x:c>
      <x:c r="H101" s="32" t="n">
        <x:f>COUNTIF($G$5:$G$1725,G101)</x:f>
        <x:v>1</x:v>
      </x:c>
      <x:c r="I101" s="30" t="str">
        <x:v>A62</x:v>
      </x:c>
      <x:c r="J101" s="31" t="str">
        <x:v>Talked for 5 mins about his background (e.g. he used to do law and then switched with MBA) | ⁠Asked me to introduce myself - walk through resume, why IBD, why me, why MS, anything you know about MS recent deals using 5 minutes as well (s...</x:v>
      </x:c>
    </x:row>
    <x:row r="102" ht="48" customHeight="1">
      <x:c r="A102" s="30" t="str">
        <x:v>QB0153</x:v>
      </x:c>
      <x:c r="B102" s="30" t="str">
        <x:v>MS IBD</x:v>
      </x:c>
      <x:c r="C102" s="30" t="str">
        <x:v>IBD / GCM</x:v>
      </x:c>
      <x:c r="D102" s="31" t="str">
        <x:v>What are some impacts or catalysts for the store</x:v>
      </x:c>
      <x:c r="E102" s="31" t="str">
        <x:v>What are some impacts or catalysts for the store</x:v>
      </x:c>
      <x:c r="F102" s="31" t="str">
        <x:v>Company, Industry &amp; Deals</x:v>
      </x:c>
      <x:c r="G102" s="30" t="str">
        <x:v>CL0870</x:v>
      </x:c>
      <x:c r="H102" s="32" t="n">
        <x:f>COUNTIF($G$5:$G$1725,G102)</x:f>
        <x:v>1</x:v>
      </x:c>
      <x:c r="I102" s="30" t="str">
        <x:v>C62</x:v>
      </x:c>
      <x:c r="J102" s="31" t="str">
        <x:v>How about for leveraged loans | A deal I worked on before | Starbucks revenue and costs projection</x:v>
      </x:c>
    </x:row>
    <x:row r="103" ht="92" customHeight="1">
      <x:c r="A103" s="30" t="str">
        <x:v>QB0154</x:v>
      </x:c>
      <x:c r="B103" s="30" t="str">
        <x:v>MS IBD</x:v>
      </x:c>
      <x:c r="C103" s="30" t="str">
        <x:v>IBD / GCM</x:v>
      </x:c>
      <x:c r="D103" s="31" t="str">
        <x:v>As you can see, you are in the same round as two Masters student, and usually the superday applicant pool is full of people with direct ibd experience already but you don't have a lot, why should MS pick you</x:v>
      </x:c>
      <x:c r="E103" s="31" t="str">
        <x:v>As you can see, you are in the same round as two Masters student, and usually the superday applicant pool is full of people with direct ibd experience already but you don't have a lot, why should MS pick you</x:v>
      </x:c>
      <x:c r="F103" s="31" t="str">
        <x:v>Fit &amp; Motivation</x:v>
      </x:c>
      <x:c r="G103" s="30" t="str">
        <x:v>CL0141</x:v>
      </x:c>
      <x:c r="H103" s="32" t="n">
        <x:f>COUNTIF($G$5:$G$1725,G103)</x:f>
        <x:v>1</x:v>
      </x:c>
      <x:c r="I103" s="30" t="str">
        <x:v>A63</x:v>
      </x:c>
      <x:c r="J103" s="31" t="str">
        <x:v>⁠Asked me to introduce myself - walk through resume, why IBD, why me, why MS, anything you know about MS recent deals using 5 minutes as well (super conversational) | Who i talked to in MS before, who was my first round interviewer | ⁠Wh...</x:v>
      </x:c>
    </x:row>
    <x:row r="104" ht="92" customHeight="1">
      <x:c r="A104" s="30" t="str">
        <x:v>QB0156</x:v>
      </x:c>
      <x:c r="B104" s="30" t="str">
        <x:v>MS IBD</x:v>
      </x:c>
      <x:c r="C104" s="30" t="str">
        <x:v>IBD / GCM</x:v>
      </x:c>
      <x:c r="D104" s="31" t="str">
        <x:v>Tell me your biggest strength and weakness</x:v>
      </x:c>
      <x:c r="E104" s="31" t="str">
        <x:v>What are your greatest strengths and weaknesses?</x:v>
      </x:c>
      <x:c r="F104" s="31" t="str">
        <x:v>Behavioral &amp; Situational</x:v>
      </x:c>
      <x:c r="G104" s="30" t="str">
        <x:v>CL0025</x:v>
      </x:c>
      <x:c r="H104" s="32" t="n">
        <x:f>COUNTIF($G$5:$G$1725,G104)</x:f>
        <x:v>3</x:v>
      </x:c>
      <x:c r="I104" s="30" t="str">
        <x:v>A64</x:v>
      </x:c>
      <x:c r="J104" s="31" t="str">
        <x:v>Who i talked to in MS before, who was my first round interviewer | ⁠Why not PB, regulatory work or consulting since you did those internships before | As you can see, you are in the same round as two Masters student, and usually the supe...</x:v>
      </x:c>
    </x:row>
    <x:row r="105" ht="92" customHeight="1">
      <x:c r="A105" s="30" t="str">
        <x:v>QB0158</x:v>
      </x:c>
      <x:c r="B105" s="30" t="str">
        <x:v>MS IBD</x:v>
      </x:c>
      <x:c r="C105" s="30" t="str">
        <x:v>IBD / GCM</x:v>
      </x:c>
      <x:c r="D105" s="31" t="str">
        <x:v>What's a time you faced challenges and how did you manage it</x:v>
      </x:c>
      <x:c r="E105" s="31" t="str">
        <x:v>Tell me about a challenge, setback, or failure</x:v>
      </x:c>
      <x:c r="F105" s="31" t="str">
        <x:v>Behavioral &amp; Situational</x:v>
      </x:c>
      <x:c r="G105" s="30" t="str">
        <x:v>CL0007</x:v>
      </x:c>
      <x:c r="H105" s="32" t="n">
        <x:f>COUNTIF($G$5:$G$1725,G105)</x:f>
        <x:v>16</x:v>
      </x:c>
      <x:c r="I105" s="30" t="str">
        <x:v>A65</x:v>
      </x:c>
      <x:c r="J105" s="31" t="str">
        <x:v>⁠Why not PB, regulatory work or consulting since you did those internships before | As you can see, you are in the same round as two Masters student, and usually the superday applicant pool is full of people with direct ibd experience al...</x:v>
      </x:c>
    </x:row>
    <x:row r="106" ht="92" customHeight="1">
      <x:c r="A106" s="30" t="str">
        <x:v>QB0160</x:v>
      </x:c>
      <x:c r="B106" s="30" t="str">
        <x:v>MS IBD</x:v>
      </x:c>
      <x:c r="C106" s="30" t="str">
        <x:v>IBD / GCM</x:v>
      </x:c>
      <x:c r="D106" s="31" t="str">
        <x:v>How to project monthly revenue for a starbucks in hku</x:v>
      </x:c>
      <x:c r="E106" s="31" t="str">
        <x:v>How to project monthly revenue for a starbucks in hku</x:v>
      </x:c>
      <x:c r="F106" s="31" t="str">
        <x:v>Company, Industry &amp; Deals</x:v>
      </x:c>
      <x:c r="G106" s="30" t="str">
        <x:v>CL0480</x:v>
      </x:c>
      <x:c r="H106" s="32" t="n">
        <x:f>COUNTIF($G$5:$G$1725,G106)</x:f>
        <x:v>1</x:v>
      </x:c>
      <x:c r="I106" s="30" t="str">
        <x:v>A66</x:v>
      </x:c>
      <x:c r="J106" s="31" t="str">
        <x:v>As you can see, you are in the same round as two Masters student, and usually the superday applicant pool is full of people with direct ibd experience already but you don't have a lot, why should MS pick you | Tell me your biggest streng...</x:v>
      </x:c>
    </x:row>
    <x:row r="107" ht="48" customHeight="1">
      <x:c r="A107" s="30" t="str">
        <x:v>QB0161</x:v>
      </x:c>
      <x:c r="B107" s="30" t="str">
        <x:v>MS IBD</x:v>
      </x:c>
      <x:c r="C107" s="30" t="str">
        <x:v>IBD / GCM</x:v>
      </x:c>
      <x:c r="D107" s="31" t="str">
        <x:v>What MS deals do I know</x:v>
      </x:c>
      <x:c r="E107" s="31" t="str">
        <x:v>What MS deals do I know</x:v>
      </x:c>
      <x:c r="F107" s="31" t="str">
        <x:v>Company, Industry &amp; Deals</x:v>
      </x:c>
      <x:c r="G107" s="30" t="str">
        <x:v>CL1014</x:v>
      </x:c>
      <x:c r="H107" s="32" t="n">
        <x:f>COUNTIF($G$5:$G$1725,G107)</x:f>
        <x:v>1</x:v>
      </x:c>
      <x:c r="I107" s="30" t="str">
        <x:v>C66</x:v>
      </x:c>
      <x:c r="J107" s="31" t="str">
        <x:v>20x PE acquires 10x PE, accretive or dilutive | Rationale for cross-border M&amp;As | Recent news that affect banking, esp HK and China</x:v>
      </x:c>
    </x:row>
    <x:row r="108" ht="48" customHeight="1">
      <x:c r="A108" s="30" t="str">
        <x:v>QB0163</x:v>
      </x:c>
      <x:c r="B108" s="30" t="str">
        <x:v>MS IBD</x:v>
      </x:c>
      <x:c r="C108" s="30" t="str">
        <x:v>IBD / GCM</x:v>
      </x:c>
      <x:c r="D108" s="31" t="str">
        <x:v>What's a time you faced challenges and how did you manage it</x:v>
      </x:c>
      <x:c r="E108" s="31" t="str">
        <x:v>Tell me about a challenge, setback, or failure</x:v>
      </x:c>
      <x:c r="F108" s="31" t="str">
        <x:v>Behavioral &amp; Situational</x:v>
      </x:c>
      <x:c r="G108" s="30" t="str">
        <x:v>CL0007</x:v>
      </x:c>
      <x:c r="H108" s="32" t="n">
        <x:f>COUNTIF($G$5:$G$1725,G108)</x:f>
        <x:v>16</x:v>
      </x:c>
      <x:c r="I108" s="30" t="str">
        <x:v>C67</x:v>
      </x:c>
      <x:c r="J108" s="31" t="str">
        <x:v>Rationale for cross-border M&amp;As | Recent news that affect banking, esp HK and China | What MS deals do I know</x:v>
      </x:c>
    </x:row>
    <x:row r="109" ht="48" customHeight="1">
      <x:c r="A109" s="30" t="str">
        <x:v>QB0165</x:v>
      </x:c>
      <x:c r="B109" s="30" t="str">
        <x:v>MS IBD</x:v>
      </x:c>
      <x:c r="C109" s="30" t="str">
        <x:v>IBD / GCM</x:v>
      </x:c>
      <x:c r="D109" s="31" t="str">
        <x:v>What's a time you faced conflicing interest and how did you manage it</x:v>
      </x:c>
      <x:c r="E109" s="31" t="str">
        <x:v>What's a time you faced conflicing interest and how did you manage it</x:v>
      </x:c>
      <x:c r="F109" s="31" t="str">
        <x:v>Other Question</x:v>
      </x:c>
      <x:c r="G109" s="30" t="str">
        <x:v>CL1043</x:v>
      </x:c>
      <x:c r="H109" s="32" t="n">
        <x:f>COUNTIF($G$5:$G$1725,G109)</x:f>
        <x:v>1</x:v>
      </x:c>
      <x:c r="I109" s="30" t="str">
        <x:v>C68</x:v>
      </x:c>
      <x:c r="J109" s="31" t="str">
        <x:v>Recent news that affect banking, esp HK and China | What MS deals do I know | What's a time you faced challenges and how did you manage it</x:v>
      </x:c>
    </x:row>
    <x:row r="110" ht="68" customHeight="1">
      <x:c r="A110" s="30" t="str">
        <x:v>QB0168</x:v>
      </x:c>
      <x:c r="B110" s="30" t="str">
        <x:v>MS IBD</x:v>
      </x:c>
      <x:c r="C110" s="30" t="str">
        <x:v>IBD / GCM</x:v>
      </x:c>
      <x:c r="D110" s="31" t="str">
        <x:v>Self Intro</x:v>
      </x:c>
      <x:c r="E110" s="31" t="str">
        <x:v>Tell me about yourself / walk me through your resume</x:v>
      </x:c>
      <x:c r="F110" s="31" t="str">
        <x:v>Resume &amp; Experience</x:v>
      </x:c>
      <x:c r="G110" s="30" t="str">
        <x:v>CL0001</x:v>
      </x:c>
      <x:c r="H110" s="32" t="n">
        <x:f>COUNTIF($G$5:$G$1725,G110)</x:f>
        <x:v>170</x:v>
      </x:c>
      <x:c r="I110" s="30" t="str">
        <x:v>A70</x:v>
      </x:c>
      <x:c r="J110" s="31" t="str">
        <x:v>⁠From revenue to profit, walk me through each major section | He said he is supposed to test my mandarin but don't have time so leave to next interviewer LOL | M&amp;A VP</x:v>
      </x:c>
    </x:row>
    <x:row r="111" ht="48" customHeight="1">
      <x:c r="A111" s="30" t="str">
        <x:v>QB0169</x:v>
      </x:c>
      <x:c r="B111" s="30" t="str">
        <x:v>MS IBD</x:v>
      </x:c>
      <x:c r="C111" s="30" t="str">
        <x:v>IBD / GCM</x:v>
      </x:c>
      <x:c r="D111" s="31" t="str">
        <x:v>Same revenue to profit for a coffee shop question again (coz they all just flip through the same question bank lol) except this time the coffee shop is in MS</x:v>
      </x:c>
      <x:c r="E111" s="31" t="str">
        <x:v>Same revenue to profit for a coffee shop question again (coz they all just flip through the same question bank lol) except this time the coffee shop is in MS</x:v>
      </x:c>
      <x:c r="F111" s="31" t="str">
        <x:v>Fit &amp; Motivation</x:v>
      </x:c>
      <x:c r="G111" s="30" t="str">
        <x:v>CL0666</x:v>
      </x:c>
      <x:c r="H111" s="32" t="n">
        <x:f>COUNTIF($G$5:$G$1725,G111)</x:f>
        <x:v>1</x:v>
      </x:c>
      <x:c r="I111" s="30" t="str">
        <x:v>A71</x:v>
      </x:c>
      <x:c r="J111" s="31" t="str">
        <x:v>He said he is supposed to test my mandarin but don't have time so leave to next interviewer LOL | M&amp;A VP | Self Intro</x:v>
      </x:c>
    </x:row>
    <x:row r="112" ht="68" customHeight="1">
      <x:c r="A112" s="30" t="str">
        <x:v>QB0171</x:v>
      </x:c>
      <x:c r="B112" s="30" t="str">
        <x:v>MS IBD</x:v>
      </x:c>
      <x:c r="C112" s="30" t="str">
        <x:v>IBD / GCM</x:v>
      </x:c>
      <x:c r="D112" s="31" t="str">
        <x:v>Walk me through the sell side M&amp;A that you did during your previous internship</x:v>
      </x:c>
      <x:c r="E112" s="31" t="str">
        <x:v>Walk me through the sell side M&amp;A that you did during your previous internship</x:v>
      </x:c>
      <x:c r="F112" s="31" t="str">
        <x:v>Resume &amp; Experience</x:v>
      </x:c>
      <x:c r="G112" s="30" t="str">
        <x:v>CL0839</x:v>
      </x:c>
      <x:c r="H112" s="32" t="n">
        <x:f>COUNTIF($G$5:$G$1725,G112)</x:f>
        <x:v>1</x:v>
      </x:c>
      <x:c r="I112" s="30" t="str">
        <x:v>A72</x:v>
      </x:c>
      <x:c r="J112" s="31" t="str">
        <x:v>M&amp;A VP | Self Intro | Same revenue to profit for a coffee shop question again (coz they all just flip through the same question bank lol) except this time the coffee shop is in MS</x:v>
      </x:c>
    </x:row>
    <x:row r="113" ht="48" customHeight="1">
      <x:c r="A113" s="30" t="str">
        <x:v>QB0172</x:v>
      </x:c>
      <x:c r="B113" s="30" t="str">
        <x:v>MS IBD</x:v>
      </x:c>
      <x:c r="C113" s="30" t="str">
        <x:v>IBD / GCM</x:v>
      </x:c>
      <x:c r="D113" s="31" t="str">
        <x:v>Self intro</x:v>
      </x:c>
      <x:c r="E113" s="31" t="str">
        <x:v>Tell me about yourself / walk me through your resume</x:v>
      </x:c>
      <x:c r="F113" s="31" t="str">
        <x:v>Resume &amp; Experience</x:v>
      </x:c>
      <x:c r="G113" s="30" t="str">
        <x:v>CL0001</x:v>
      </x:c>
      <x:c r="H113" s="32" t="n">
        <x:f>COUNTIF($G$5:$G$1725,G113)</x:f>
        <x:v>170</x:v>
      </x:c>
      <x:c r="I113" s="30" t="str">
        <x:v>C72</x:v>
      </x:c>
      <x:c r="J113" s="31" t="str">
        <x:v>What's a time you faced conflicing interest and how did you manage it | Questions | 2 FIG ED</x:v>
      </x:c>
    </x:row>
    <x:row r="114" ht="68" customHeight="1">
      <x:c r="A114" s="30" t="str">
        <x:v>QB0173</x:v>
      </x:c>
      <x:c r="B114" s="30" t="str">
        <x:v>MS IBD</x:v>
      </x:c>
      <x:c r="C114" s="30" t="str">
        <x:v>IBD / GCM</x:v>
      </x:c>
      <x:c r="D114" s="31" t="str">
        <x:v>Was it a strategic or financial buyer that you were looking for?</x:v>
      </x:c>
      <x:c r="E114" s="31" t="str">
        <x:v>Was it a strategic or financial buyer that you were looking for</x:v>
      </x:c>
      <x:c r="F114" s="31" t="str">
        <x:v>M&amp;A</x:v>
      </x:c>
      <x:c r="G114" s="30" t="str">
        <x:v>CL0855</x:v>
      </x:c>
      <x:c r="H114" s="32" t="n">
        <x:f>COUNTIF($G$5:$G$1725,G114)</x:f>
        <x:v>1</x:v>
      </x:c>
      <x:c r="I114" s="30" t="str">
        <x:v>A73</x:v>
      </x:c>
      <x:c r="J114" s="31" t="str">
        <x:v>Self Intro | Same revenue to profit for a coffee shop question again (coz they all just flip through the same question bank lol) except this time the coffee shop is in MS | Walk me through the sell side M&amp;A that you did during your previ...</x:v>
      </x:c>
    </x:row>
    <x:row r="115" ht="92" customHeight="1">
      <x:c r="A115" s="30" t="str">
        <x:v>QB0175</x:v>
      </x:c>
      <x:c r="B115" s="30" t="str">
        <x:v>MS IBD</x:v>
      </x:c>
      <x:c r="C115" s="30" t="str">
        <x:v>IBD / GCM</x:v>
      </x:c>
      <x:c r="D115" s="31" t="str">
        <x:v>What is the difference in motivations for finding a strategic vs financial buyer</x:v>
      </x:c>
      <x:c r="E115" s="31" t="str">
        <x:v>What is the difference in motivations for finding a strategic vs financial buyer</x:v>
      </x:c>
      <x:c r="F115" s="31" t="str">
        <x:v>Fit &amp; Motivation</x:v>
      </x:c>
      <x:c r="G115" s="30" t="str">
        <x:v>CL0979</x:v>
      </x:c>
      <x:c r="H115" s="32" t="n">
        <x:f>COUNTIF($G$5:$G$1725,G115)</x:f>
        <x:v>1</x:v>
      </x:c>
      <x:c r="I115" s="30" t="str">
        <x:v>A74</x:v>
      </x:c>
      <x:c r="J115" s="31" t="str">
        <x:v>Same revenue to profit for a coffee shop question again (coz they all just flip through the same question bank lol) except this time the coffee shop is in MS | Walk me through the sell side M&amp;A that you did during your previous internshi...</x:v>
      </x:c>
    </x:row>
    <x:row r="116" ht="32" customHeight="1">
      <x:c r="A116" s="30" t="str">
        <x:v>QB0176</x:v>
      </x:c>
      <x:c r="B116" s="30" t="str">
        <x:v>MS IBD</x:v>
      </x:c>
      <x:c r="C116" s="30" t="str">
        <x:v>IBD / GCM</x:v>
      </x:c>
      <x:c r="D116" s="31" t="str">
        <x:v>Was I allocated or I chose Capital Market at Nomura</x:v>
      </x:c>
      <x:c r="E116" s="31" t="str">
        <x:v>Was I allocated or I chose Capital Market at Nomura</x:v>
      </x:c>
      <x:c r="F116" s="31" t="str">
        <x:v>Capital Markets &amp; Financing</x:v>
      </x:c>
      <x:c r="G116" s="30" t="str">
        <x:v>CL0854</x:v>
      </x:c>
      <x:c r="H116" s="32" t="n">
        <x:f>COUNTIF($G$5:$G$1725,G116)</x:f>
        <x:v>1</x:v>
      </x:c>
      <x:c r="I116" s="30" t="str">
        <x:v>C74</x:v>
      </x:c>
      <x:c r="J116" s="31" t="str">
        <x:v>2 FIG ED | Self intro | Capital Markets vs IBD</x:v>
      </x:c>
    </x:row>
    <x:row r="117" ht="68" customHeight="1">
      <x:c r="A117" s="30" t="str">
        <x:v>QB0177</x:v>
      </x:c>
      <x:c r="B117" s="30" t="str">
        <x:v>MS IBD</x:v>
      </x:c>
      <x:c r="C117" s="30" t="str">
        <x:v>IBD / GCM</x:v>
      </x:c>
      <x:c r="D117" s="31" t="str">
        <x:v>Can you speak mandarin? (she just asked and then checked the box on my evaluation and then didn't ask me to try speaking at all lol)</x:v>
      </x:c>
      <x:c r="E117" s="31" t="str">
        <x:v>Can you speak mandarin? (she just asked and then checked the box on my evaluation and then didn't ask me to try speaking at all lol)</x:v>
      </x:c>
      <x:c r="F117" s="31" t="str">
        <x:v>Fit &amp; Motivation</x:v>
      </x:c>
      <x:c r="G117" s="30" t="str">
        <x:v>CL0189</x:v>
      </x:c>
      <x:c r="H117" s="32" t="n">
        <x:f>COUNTIF($G$5:$G$1725,G117)</x:f>
        <x:v>1</x:v>
      </x:c>
      <x:c r="I117" s="30" t="str">
        <x:v>A75</x:v>
      </x:c>
      <x:c r="J117" s="31" t="str">
        <x:v>Walk me through the sell side M&amp;A that you did during your previous internship | Was it a strategic or financial buyer that you were looking for? | What is the difference in motivations for finding a strategic vs financial buyer</x:v>
      </x:c>
    </x:row>
    <x:row r="118" ht="92" customHeight="1">
      <x:c r="A118" s="30" t="str">
        <x:v>QB0179</x:v>
      </x:c>
      <x:c r="B118" s="30" t="str">
        <x:v>MS IBD</x:v>
      </x:c>
      <x:c r="C118" s="30" t="str">
        <x:v>IBD / GCM</x:v>
      </x:c>
      <x:c r="D118" s="31" t="str">
        <x:v>Around 7 minutes of conversation afterwards on her M&amp;A experience and I said I also wanna do M&amp;A and she asked why and stuff</x:v>
      </x:c>
      <x:c r="E118" s="31" t="str">
        <x:v>Around 7 minutes of conversation afterwards on her M&amp;A experience and I said I also wanna do M&amp;A and she asked why and stuff</x:v>
      </x:c>
      <x:c r="F118" s="31" t="str">
        <x:v>Fit &amp; Motivation</x:v>
      </x:c>
      <x:c r="G118" s="30" t="str">
        <x:v>CL0138</x:v>
      </x:c>
      <x:c r="H118" s="32" t="n">
        <x:f>COUNTIF($G$5:$G$1725,G118)</x:f>
        <x:v>1</x:v>
      </x:c>
      <x:c r="I118" s="30" t="str">
        <x:v>A76</x:v>
      </x:c>
      <x:c r="J118" s="31" t="str">
        <x:v>Was it a strategic or financial buyer that you were looking for? | What is the difference in motivations for finding a strategic vs financial buyer | Can you speak mandarin? (she just asked and then checked the box on my evaluation and t...</x:v>
      </x:c>
    </x:row>
    <x:row r="119" ht="48" customHeight="1">
      <x:c r="A119" s="30" t="str">
        <x:v>QB0180</x:v>
      </x:c>
      <x:c r="B119" s="30" t="str">
        <x:v>MS IBD</x:v>
      </x:c>
      <x:c r="C119" s="30" t="str">
        <x:v>IBD / GCM</x:v>
      </x:c>
      <x:c r="D119" s="31" t="str">
        <x:v>Pick 2 deals of MS, talk about my views on why the deal would happen</x:v>
      </x:c>
      <x:c r="E119" s="31" t="str">
        <x:v>Discuss a recent deal completed by this firm</x:v>
      </x:c>
      <x:c r="F119" s="31" t="str">
        <x:v>Fit &amp; Motivation</x:v>
      </x:c>
      <x:c r="G119" s="30" t="str">
        <x:v>CL0008</x:v>
      </x:c>
      <x:c r="H119" s="32" t="n">
        <x:f>COUNTIF($G$5:$G$1725,G119)</x:f>
        <x:v>14</x:v>
      </x:c>
      <x:c r="I119" s="30" t="str">
        <x:v>C76</x:v>
      </x:c>
      <x:c r="J119" s="31" t="str">
        <x:v>Capital Markets vs IBD | Was I allocated or I chose Capital Market at Nomura | Recent deals done by MS</x:v>
      </x:c>
    </x:row>
    <x:row r="120" ht="92" customHeight="1">
      <x:c r="A120" s="30" t="str">
        <x:v>QB0183</x:v>
      </x:c>
      <x:c r="B120" s="30" t="str">
        <x:v>MS IBD</x:v>
      </x:c>
      <x:c r="C120" s="30" t="str">
        <x:v>IBD / GCM</x:v>
      </x:c>
      <x:c r="D120" s="31" t="str">
        <x:v>Self Intro</x:v>
      </x:c>
      <x:c r="E120" s="31" t="str">
        <x:v>Tell me about yourself / walk me through your resume</x:v>
      </x:c>
      <x:c r="F120" s="31" t="str">
        <x:v>Resume &amp; Experience</x:v>
      </x:c>
      <x:c r="G120" s="30" t="str">
        <x:v>CL0001</x:v>
      </x:c>
      <x:c r="H120" s="32" t="n">
        <x:f>COUNTIF($G$5:$G$1725,G120)</x:f>
        <x:v>170</x:v>
      </x:c>
      <x:c r="I120" s="30" t="str">
        <x:v>A78</x:v>
      </x:c>
      <x:c r="J120" s="31" t="str">
        <x:v>Can you speak mandarin? (she just asked and then checked the box on my evaluation and then didn't ask me to try speaking at all lol) | Around 7 minutes of conversation afterwards on her M&amp;A experience and I said I also wanna do M&amp;A and s...</x:v>
      </x:c>
    </x:row>
    <x:row r="121" ht="48" customHeight="1">
      <x:c r="A121" s="30" t="str">
        <x:v>QB0185</x:v>
      </x:c>
      <x:c r="B121" s="30" t="str">
        <x:v>MS IBD</x:v>
      </x:c>
      <x:c r="C121" s="30" t="str">
        <x:v>IBD / GCM</x:v>
      </x:c>
      <x:c r="D121" s="31" t="str">
        <x:v>What I did at SFC - as a regulator, how do they work with investment banks?</x:v>
      </x:c>
      <x:c r="E121" s="31" t="str">
        <x:v>What I did at SFC - as a regulator, how do they work with investment banks</x:v>
      </x:c>
      <x:c r="F121" s="31" t="str">
        <x:v>Other Question</x:v>
      </x:c>
      <x:c r="G121" s="30" t="str">
        <x:v>CL0953</x:v>
      </x:c>
      <x:c r="H121" s="32" t="n">
        <x:f>COUNTIF($G$5:$G$1725,G121)</x:f>
        <x:v>1</x:v>
      </x:c>
      <x:c r="I121" s="30" t="str">
        <x:v>A79</x:v>
      </x:c>
      <x:c r="J121" s="31" t="str">
        <x:v>Around 7 minutes of conversation afterwards on her M&amp;A experience and I said I also wanna do M&amp;A and she asked why and stuff | Tech Director | Self Intro</x:v>
      </x:c>
    </x:row>
    <x:row r="122" ht="68" customHeight="1">
      <x:c r="A122" s="30" t="str">
        <x:v>QB0186</x:v>
      </x:c>
      <x:c r="B122" s="30" t="str">
        <x:v>MS IBD</x:v>
      </x:c>
      <x:c r="C122" s="30" t="str">
        <x:v>IBD / GCM</x:v>
      </x:c>
      <x:c r="D122" s="31" t="str">
        <x:v>How good is your technicals</x:v>
      </x:c>
      <x:c r="E122" s="31" t="str">
        <x:v>How good is your technicals</x:v>
      </x:c>
      <x:c r="F122" s="31" t="str">
        <x:v>Accounting &amp; Financial Statements</x:v>
      </x:c>
      <x:c r="G122" s="30" t="str">
        <x:v>CL0441</x:v>
      </x:c>
      <x:c r="H122" s="32" t="n">
        <x:f>COUNTIF($G$5:$G$1725,G122)</x:f>
        <x:v>1</x:v>
      </x:c>
      <x:c r="I122" s="30" t="str">
        <x:v>C79</x:v>
      </x:c>
      <x:c r="J122" s="31" t="str">
        <x:v>Pick 2 deals of MS, talk about my views on why the deal would happen | One project did at Nomura | More specific details on the bond - tenor, coupon, structure, size, etc</x:v>
      </x:c>
    </x:row>
    <x:row r="123" ht="48" customHeight="1">
      <x:c r="A123" s="30" t="str">
        <x:v>QB0188</x:v>
      </x:c>
      <x:c r="B123" s="30" t="str">
        <x:v>MS IBD</x:v>
      </x:c>
      <x:c r="C123" s="30" t="str">
        <x:v>IBD / GCM</x:v>
      </x:c>
      <x:c r="D123" s="31" t="str">
        <x:v>Valuation methodologies</x:v>
      </x:c>
      <x:c r="E123" s="31" t="str">
        <x:v>What are the main valuation methodologies?</x:v>
      </x:c>
      <x:c r="F123" s="31" t="str">
        <x:v>Valuation</x:v>
      </x:c>
      <x:c r="G123" s="30" t="str">
        <x:v>CL0010</x:v>
      </x:c>
      <x:c r="H123" s="32" t="n">
        <x:f>COUNTIF($G$5:$G$1725,G123)</x:f>
        <x:v>13</x:v>
      </x:c>
      <x:c r="I123" s="30" t="str">
        <x:v>C80</x:v>
      </x:c>
      <x:c r="J123" s="31" t="str">
        <x:v>One project did at Nomura | More specific details on the bond - tenor, coupon, structure, size, etc | How good is your technicals</x:v>
      </x:c>
    </x:row>
    <x:row r="124" ht="68" customHeight="1">
      <x:c r="A124" s="30" t="str">
        <x:v>QB0189</x:v>
      </x:c>
      <x:c r="B124" s="30" t="str">
        <x:v>MS IBD</x:v>
      </x:c>
      <x:c r="C124" s="30" t="str">
        <x:v>IBD / GCM</x:v>
      </x:c>
      <x:c r="D124" s="31" t="str">
        <x:v>What I did at Bain</x:v>
      </x:c>
      <x:c r="E124" s="31" t="str">
        <x:v>What I did at Bain</x:v>
      </x:c>
      <x:c r="F124" s="31" t="str">
        <x:v>Other Question</x:v>
      </x:c>
      <x:c r="G124" s="30" t="str">
        <x:v>CL0951</x:v>
      </x:c>
      <x:c r="H124" s="32" t="n">
        <x:f>COUNTIF($G$5:$G$1725,G124)</x:f>
        <x:v>1</x:v>
      </x:c>
      <x:c r="I124" s="30" t="str">
        <x:v>A81</x:v>
      </x:c>
      <x:c r="J124" s="31" t="str">
        <x:v>Self Intro | What I did at SFC - as a regulator, how do they work with investment banks? | Since you worked at PwC, what is your view on their future given recent Ministry of Finance report</x:v>
      </x:c>
    </x:row>
    <x:row r="125" ht="48" customHeight="1">
      <x:c r="A125" s="30" t="str">
        <x:v>QB0190</x:v>
      </x:c>
      <x:c r="B125" s="30" t="str">
        <x:v>MS IBD</x:v>
      </x:c>
      <x:c r="C125" s="30" t="str">
        <x:v>IBD / GCM</x:v>
      </x:c>
      <x:c r="D125" s="31" t="str">
        <x:v>Which method gives you highest valuation and why?</x:v>
      </x:c>
      <x:c r="E125" s="31" t="str">
        <x:v>Which method gives you highest valuation and why</x:v>
      </x:c>
      <x:c r="F125" s="31" t="str">
        <x:v>Valuation</x:v>
      </x:c>
      <x:c r="G125" s="30" t="str">
        <x:v>CL1097</x:v>
      </x:c>
      <x:c r="H125" s="32" t="n">
        <x:f>COUNTIF($G$5:$G$1725,G125)</x:f>
        <x:v>1</x:v>
      </x:c>
      <x:c r="I125" s="30" t="str">
        <x:v>C81</x:v>
      </x:c>
      <x:c r="J125" s="31" t="str">
        <x:v>More specific details on the bond - tenor, coupon, structure, size, etc | How good is your technicals | Valuation methodologies</x:v>
      </x:c>
    </x:row>
    <x:row r="126" ht="48" customHeight="1">
      <x:c r="A126" s="30" t="str">
        <x:v>QB0192</x:v>
      </x:c>
      <x:c r="B126" s="30" t="str">
        <x:v>MS IBD</x:v>
      </x:c>
      <x:c r="C126" s="30" t="str">
        <x:v>IBD / GCM</x:v>
      </x:c>
      <x:c r="D126" s="31" t="str">
        <x:v>What is discount rate</x:v>
      </x:c>
      <x:c r="E126" s="31" t="str">
        <x:v>What is discount rate</x:v>
      </x:c>
      <x:c r="F126" s="31" t="str">
        <x:v>Accounting &amp; Financial Statements</x:v>
      </x:c>
      <x:c r="G126" s="30" t="str">
        <x:v>CL0968</x:v>
      </x:c>
      <x:c r="H126" s="32" t="n">
        <x:f>COUNTIF($G$5:$G$1725,G126)</x:f>
        <x:v>1</x:v>
      </x:c>
      <x:c r="I126" s="30" t="str">
        <x:v>C82</x:v>
      </x:c>
      <x:c r="J126" s="31" t="str">
        <x:v>How good is your technicals | Valuation methodologies | Which method gives you highest valuation and why?</x:v>
      </x:c>
    </x:row>
    <x:row r="127" ht="48" customHeight="1">
      <x:c r="A127" s="30" t="str">
        <x:v>QB0194</x:v>
      </x:c>
      <x:c r="B127" s="30" t="str">
        <x:v>MS IBD</x:v>
      </x:c>
      <x:c r="C127" s="30" t="str">
        <x:v>IBD / GCM</x:v>
      </x:c>
      <x:c r="D127" s="31" t="str">
        <x:v>What do you use for risk-free rate</x:v>
      </x:c>
      <x:c r="E127" s="31" t="str">
        <x:v>What do you use for risk-free rate</x:v>
      </x:c>
      <x:c r="F127" s="31" t="str">
        <x:v>Valuation</x:v>
      </x:c>
      <x:c r="G127" s="30" t="str">
        <x:v>CL0935</x:v>
      </x:c>
      <x:c r="H127" s="32" t="n">
        <x:f>COUNTIF($G$5:$G$1725,G127)</x:f>
        <x:v>1</x:v>
      </x:c>
      <x:c r="I127" s="30" t="str">
        <x:v>C83</x:v>
      </x:c>
      <x:c r="J127" s="31" t="str">
        <x:v>Valuation methodologies | Which method gives you highest valuation and why? | What is discount rate</x:v>
      </x:c>
    </x:row>
    <x:row r="128" ht="48" customHeight="1">
      <x:c r="A128" s="30" t="str">
        <x:v>QB0195</x:v>
      </x:c>
      <x:c r="B128" s="30" t="str">
        <x:v>MS IBD</x:v>
      </x:c>
      <x:c r="C128" s="30" t="str">
        <x:v>IBD / GCM</x:v>
      </x:c>
      <x:c r="D128" s="31" t="str">
        <x:v>Do you plan on doing IBD for a long time? Or will you plan to switch careers like a lot of juniors?</x:v>
      </x:c>
      <x:c r="E128" s="31" t="str">
        <x:v>Do you plan on doing IBD for a long time? Or will you plan to switch careers like a lot of juniors</x:v>
      </x:c>
      <x:c r="F128" s="31" t="str">
        <x:v>Fit &amp; Motivation</x:v>
      </x:c>
      <x:c r="G128" s="30" t="str">
        <x:v>CL0286</x:v>
      </x:c>
      <x:c r="H128" s="32" t="n">
        <x:f>COUNTIF($G$5:$G$1725,G128)</x:f>
        <x:v>1</x:v>
      </x:c>
      <x:c r="I128" s="30" t="str">
        <x:v>A84</x:v>
      </x:c>
      <x:c r="J128" s="31" t="str">
        <x:v>What I did at Bain | Guesstimate since I did Bain: estimate number of taxis in HK | Top three sector teams in MS and why</x:v>
      </x:c>
    </x:row>
    <x:row r="129" ht="48" customHeight="1">
      <x:c r="A129" s="30" t="str">
        <x:v>QB0196</x:v>
      </x:c>
      <x:c r="B129" s="30" t="str">
        <x:v>MS IBD</x:v>
      </x:c>
      <x:c r="C129" s="30" t="str">
        <x:v>IBD / GCM</x:v>
      </x:c>
      <x:c r="D129" s="31" t="str">
        <x:v>Will you use 5y or other terms rate</x:v>
      </x:c>
      <x:c r="E129" s="31" t="str">
        <x:v>Will you use 5y or other terms rate</x:v>
      </x:c>
      <x:c r="F129" s="31" t="str">
        <x:v>Other Question</x:v>
      </x:c>
      <x:c r="G129" s="30" t="str">
        <x:v>CL1184</x:v>
      </x:c>
      <x:c r="H129" s="32" t="n">
        <x:f>COUNTIF($G$5:$G$1725,G129)</x:f>
        <x:v>1</x:v>
      </x:c>
      <x:c r="I129" s="30" t="str">
        <x:v>C84</x:v>
      </x:c>
      <x:c r="J129" s="31" t="str">
        <x:v>Which method gives you highest valuation and why? | What is discount rate | What do you use for risk-free rate</x:v>
      </x:c>
    </x:row>
    <x:row r="130" ht="48" customHeight="1">
      <x:c r="A130" s="30" t="str">
        <x:v>QB0197</x:v>
      </x:c>
      <x:c r="B130" s="30" t="str">
        <x:v>MS IBD</x:v>
      </x:c>
      <x:c r="C130" s="30" t="str">
        <x:v>IBD / GCM</x:v>
      </x:c>
      <x:c r="D130" s="31" t="str">
        <x:v>Cost of equity or cost of debt higher, why?</x:v>
      </x:c>
      <x:c r="E130" s="31" t="str">
        <x:v>How should a company choose between debt and equity financing?</x:v>
      </x:c>
      <x:c r="F130" s="31" t="str">
        <x:v>Valuation</x:v>
      </x:c>
      <x:c r="G130" s="30" t="str">
        <x:v>CL0005</x:v>
      </x:c>
      <x:c r="H130" s="32" t="n">
        <x:f>COUNTIF($G$5:$G$1725,G130)</x:f>
        <x:v>21</x:v>
      </x:c>
      <x:c r="I130" s="30" t="str">
        <x:v>C85</x:v>
      </x:c>
      <x:c r="J130" s="31" t="str">
        <x:v>What is discount rate | What do you use for risk-free rate | Will you use 5y or other terms rate</x:v>
      </x:c>
    </x:row>
    <x:row r="131" ht="48" customHeight="1">
      <x:c r="A131" s="30" t="str">
        <x:v>QB0198</x:v>
      </x:c>
      <x:c r="B131" s="30" t="str">
        <x:v>MS IBD</x:v>
      </x:c>
      <x:c r="C131" s="30" t="str">
        <x:v>IBD / GCM</x:v>
      </x:c>
      <x:c r="D131" s="31" t="str">
        <x:v>When will cost of debt be higher</x:v>
      </x:c>
      <x:c r="E131" s="31" t="str">
        <x:v>When will cost of debt be higher</x:v>
      </x:c>
      <x:c r="F131" s="31" t="str">
        <x:v>Valuation</x:v>
      </x:c>
      <x:c r="G131" s="30" t="str">
        <x:v>CL1082</x:v>
      </x:c>
      <x:c r="H131" s="32" t="n">
        <x:f>COUNTIF($G$5:$G$1725,G131)</x:f>
        <x:v>1</x:v>
      </x:c>
      <x:c r="I131" s="30" t="str">
        <x:v>C86</x:v>
      </x:c>
      <x:c r="J131" s="31" t="str">
        <x:v>What do you use for risk-free rate | Will you use 5y or other terms rate | Cost of equity or cost of debt higher, why?</x:v>
      </x:c>
    </x:row>
    <x:row r="132" ht="48" customHeight="1">
      <x:c r="A132" s="30" t="str">
        <x:v>QB0199</x:v>
      </x:c>
      <x:c r="B132" s="30" t="str">
        <x:v>MS IBD</x:v>
      </x:c>
      <x:c r="C132" s="30" t="str">
        <x:v>IBD / GCM</x:v>
      </x:c>
      <x:c r="D132" s="31" t="str">
        <x:v>What is cost of equity</x:v>
      </x:c>
      <x:c r="E132" s="31" t="str">
        <x:v>What is cost of equity</x:v>
      </x:c>
      <x:c r="F132" s="31" t="str">
        <x:v>Accounting &amp; Financial Statements</x:v>
      </x:c>
      <x:c r="G132" s="30" t="str">
        <x:v>CL0045</x:v>
      </x:c>
      <x:c r="H132" s="32" t="n">
        <x:f>COUNTIF($G$5:$G$1725,G132)</x:f>
        <x:v>2</x:v>
      </x:c>
      <x:c r="I132" s="30" t="str">
        <x:v>C87</x:v>
      </x:c>
      <x:c r="J132" s="31" t="str">
        <x:v>Will you use 5y or other terms rate | Cost of equity or cost of debt higher, why? | When will cost of debt be higher</x:v>
      </x:c>
    </x:row>
    <x:row r="133" ht="48" customHeight="1">
      <x:c r="A133" s="30" t="str">
        <x:v>QB0200</x:v>
      </x:c>
      <x:c r="B133" s="30" t="str">
        <x:v>MS IBD</x:v>
      </x:c>
      <x:c r="C133" s="30" t="str">
        <x:v>IBD / GCM</x:v>
      </x:c>
      <x:c r="D133" s="31" t="str">
        <x:v>How good is your mandarin</x:v>
      </x:c>
      <x:c r="E133" s="31" t="str">
        <x:v>How good is your mandarin</x:v>
      </x:c>
      <x:c r="F133" s="31" t="str">
        <x:v>Fit &amp; Motivation</x:v>
      </x:c>
      <x:c r="G133" s="30" t="str">
        <x:v>CL0440</x:v>
      </x:c>
      <x:c r="H133" s="32" t="n">
        <x:f>COUNTIF($G$5:$G$1725,G133)</x:f>
        <x:v>1</x:v>
      </x:c>
      <x:c r="I133" s="30" t="str">
        <x:v>C88</x:v>
      </x:c>
      <x:c r="J133" s="31" t="str">
        <x:v>Cost of equity or cost of debt higher, why? | When will cost of debt be higher | What is cost of equity</x:v>
      </x:c>
    </x:row>
    <x:row r="134" ht="32" customHeight="1">
      <x:c r="A134" s="30" t="str">
        <x:v>QB0202</x:v>
      </x:c>
      <x:c r="B134" s="30" t="str">
        <x:v>MS IBD</x:v>
      </x:c>
      <x:c r="C134" s="30" t="str">
        <x:v>IBD / GCM</x:v>
      </x:c>
      <x:c r="D134" s="31" t="str">
        <x:v>Self Intro</x:v>
      </x:c>
      <x:c r="E134" s="31" t="str">
        <x:v>Tell me about yourself / walk me through your resume</x:v>
      </x:c>
      <x:c r="F134" s="31" t="str">
        <x:v>Resume &amp; Experience</x:v>
      </x:c>
      <x:c r="G134" s="30" t="str">
        <x:v>CL0001</x:v>
      </x:c>
      <x:c r="H134" s="32" t="n">
        <x:f>COUNTIF($G$5:$G$1725,G134)</x:f>
        <x:v>170</x:v>
      </x:c>
      <x:c r="I134" s="30" t="str">
        <x:v>C91</x:v>
      </x:c>
      <x:c r="J134" s="31" t="str">
        <x:v>What is cost of equity | How good is your mandarin | 3 M&amp;A VP</x:v>
      </x:c>
    </x:row>
    <x:row r="135" ht="32" customHeight="1">
      <x:c r="A135" s="30" t="str">
        <x:v>QB0203</x:v>
      </x:c>
      <x:c r="B135" s="30" t="str">
        <x:v>MS IBD</x:v>
      </x:c>
      <x:c r="C135" s="30" t="str">
        <x:v>IBD / GCM</x:v>
      </x:c>
      <x:c r="D135" s="31" t="str">
        <x:v>What are the important qualities to be a good investment banker</x:v>
      </x:c>
      <x:c r="E135" s="31" t="str">
        <x:v>What are the important qualities to be a good investment banker</x:v>
      </x:c>
      <x:c r="F135" s="31" t="str">
        <x:v>Fit &amp; Motivation</x:v>
      </x:c>
      <x:c r="G135" s="30" t="str">
        <x:v>CL0882</x:v>
      </x:c>
      <x:c r="H135" s="32" t="n">
        <x:f>COUNTIF($G$5:$G$1725,G135)</x:f>
        <x:v>1</x:v>
      </x:c>
      <x:c r="I135" s="30" t="str">
        <x:v>C92</x:v>
      </x:c>
      <x:c r="J135" s="31" t="str">
        <x:v>How good is your mandarin | 3 M&amp;A VP | Self Intro</x:v>
      </x:c>
    </x:row>
    <x:row r="136" ht="32" customHeight="1">
      <x:c r="A136" s="30" t="str">
        <x:v>QB0204</x:v>
      </x:c>
      <x:c r="B136" s="30" t="str">
        <x:v>MS IBD</x:v>
      </x:c>
      <x:c r="C136" s="30" t="str">
        <x:v>IBD / GCM</x:v>
      </x:c>
      <x:c r="D136" s="31" t="str">
        <x:v>Whats your one area of improvement</x:v>
      </x:c>
      <x:c r="E136" s="31" t="str">
        <x:v>Whats your one area of improvement</x:v>
      </x:c>
      <x:c r="F136" s="31" t="str">
        <x:v>Fit &amp; Motivation</x:v>
      </x:c>
      <x:c r="G136" s="30" t="str">
        <x:v>CL1077</x:v>
      </x:c>
      <x:c r="H136" s="32" t="n">
        <x:f>COUNTIF($G$5:$G$1725,G136)</x:f>
        <x:v>1</x:v>
      </x:c>
      <x:c r="I136" s="30" t="str">
        <x:v>C93</x:v>
      </x:c>
      <x:c r="J136" s="31" t="str">
        <x:v>3 M&amp;A VP | Self Intro | What are the important qualities to be a good investment banker</x:v>
      </x:c>
    </x:row>
    <x:row r="137" ht="48" customHeight="1">
      <x:c r="A137" s="30" t="str">
        <x:v>QB0206</x:v>
      </x:c>
      <x:c r="B137" s="30" t="str">
        <x:v>MS IBD</x:v>
      </x:c>
      <x:c r="C137" s="30" t="str">
        <x:v>IBD / GCM</x:v>
      </x:c>
      <x:c r="D137" s="31" t="str">
        <x:v>Walk me through a DCF, and how to get the FCF and everything</x:v>
      </x:c>
      <x:c r="E137" s="31" t="str">
        <x:v>Walk me through a DCF, and how to get the FCF and everything</x:v>
      </x:c>
      <x:c r="F137" s="31" t="str">
        <x:v>Valuation</x:v>
      </x:c>
      <x:c r="G137" s="30" t="str">
        <x:v>CL0825</x:v>
      </x:c>
      <x:c r="H137" s="32" t="n">
        <x:f>COUNTIF($G$5:$G$1725,G137)</x:f>
        <x:v>1</x:v>
      </x:c>
      <x:c r="I137" s="30" t="str">
        <x:v>C95</x:v>
      </x:c>
      <x:c r="J137" s="31" t="str">
        <x:v>What are the important qualities to be a good investment banker | Whats your one area of improvement | Revenue to profit for a coffee shop again hahaha</x:v>
      </x:c>
    </x:row>
    <x:row r="138" ht="48" customHeight="1">
      <x:c r="A138" s="30" t="str">
        <x:v>QB0207</x:v>
      </x:c>
      <x:c r="B138" s="30" t="str">
        <x:v>MS IBD</x:v>
      </x:c>
      <x:c r="C138" s="30" t="str">
        <x:v>IBD / GCM</x:v>
      </x:c>
      <x:c r="D138" s="31" t="str">
        <x:v>Whats the most common mistake for DCF</x:v>
      </x:c>
      <x:c r="E138" s="31" t="str">
        <x:v>Whats the most common mistake for DCF</x:v>
      </x:c>
      <x:c r="F138" s="31" t="str">
        <x:v>Behavioral &amp; Situational</x:v>
      </x:c>
      <x:c r="G138" s="30" t="str">
        <x:v>CL1074</x:v>
      </x:c>
      <x:c r="H138" s="32" t="n">
        <x:f>COUNTIF($G$5:$G$1725,G138)</x:f>
        <x:v>1</x:v>
      </x:c>
      <x:c r="I138" s="30" t="str">
        <x:v>C96</x:v>
      </x:c>
      <x:c r="J138" s="31" t="str">
        <x:v>Whats your one area of improvement | Revenue to profit for a coffee shop again hahaha | Walk me through a DCF, and how to get the FCF and everything</x:v>
      </x:c>
    </x:row>
    <x:row r="139" ht="68" customHeight="1">
      <x:c r="A139" s="30" t="str">
        <x:v>QB0208</x:v>
      </x:c>
      <x:c r="B139" s="30" t="str">
        <x:v>MS IBD</x:v>
      </x:c>
      <x:c r="C139" s="30" t="str">
        <x:v>IBD / GCM</x:v>
      </x:c>
      <x:c r="D139" s="31" t="str">
        <x:v>For example, now is 2025 the EV/EBITDA multiple is 10x, you are exiting in 2029, and the EBITDA is 30m, could you apply the 10x multiple to get the terminal value</x:v>
      </x:c>
      <x:c r="E139" s="31" t="str">
        <x:v>For example, now is 2025 the EV/EBITDA multiple is 10x, you are exiting in 2029, and the EBITDA is 30m, could you apply the 10x multiple to get the terminal value</x:v>
      </x:c>
      <x:c r="F139" s="31" t="str">
        <x:v>Accounting &amp; Financial Statements</x:v>
      </x:c>
      <x:c r="G139" s="30" t="str">
        <x:v>CL0330</x:v>
      </x:c>
      <x:c r="H139" s="32" t="n">
        <x:f>COUNTIF($G$5:$G$1725,G139)</x:f>
        <x:v>1</x:v>
      </x:c>
      <x:c r="I139" s="30" t="str">
        <x:v>C97</x:v>
      </x:c>
      <x:c r="J139" s="31" t="str">
        <x:v>Revenue to profit for a coffee shop again hahaha | Walk me through a DCF, and how to get the FCF and everything | Whats the most common mistake for DCF</x:v>
      </x:c>
    </x:row>
    <x:row r="140" ht="92" customHeight="1">
      <x:c r="A140" s="30" t="str">
        <x:v>QB0209</x:v>
      </x:c>
      <x:c r="B140" s="30" t="str">
        <x:v>MS IBD</x:v>
      </x:c>
      <x:c r="C140" s="30" t="str">
        <x:v>IBD / GCM</x:v>
      </x:c>
      <x:c r="D140" s="31" t="str">
        <x:v>How about now its 2026, and the multiple is 9x, what should you use</x:v>
      </x:c>
      <x:c r="E140" s="31" t="str">
        <x:v>How about now its 2026, and the multiple is 9x, what should you use</x:v>
      </x:c>
      <x:c r="F140" s="31" t="str">
        <x:v>Accounting &amp; Financial Statements</x:v>
      </x:c>
      <x:c r="G140" s="30" t="str">
        <x:v>CL0371</x:v>
      </x:c>
      <x:c r="H140" s="32" t="n">
        <x:f>COUNTIF($G$5:$G$1725,G140)</x:f>
        <x:v>1</x:v>
      </x:c>
      <x:c r="I140" s="30" t="str">
        <x:v>C98</x:v>
      </x:c>
      <x:c r="J140" s="31" t="str">
        <x:v>Walk me through a DCF, and how to get the FCF and everything | Whats the most common mistake for DCF | For example, now is 2025 the EV/EBITDA multiple is 10x, you are exiting in 2029, and the EBITDA is 30m, could you apply the 10x multip...</x:v>
      </x:c>
    </x:row>
    <x:row r="141" ht="92" customHeight="1">
      <x:c r="A141" s="30" t="str">
        <x:v>QB0210</x:v>
      </x:c>
      <x:c r="B141" s="30" t="str">
        <x:v>MS IBD</x:v>
      </x:c>
      <x:c r="C141" s="30" t="str">
        <x:v>IBD / GCM</x:v>
      </x:c>
      <x:c r="D141" s="31" t="str">
        <x:v>(I acc didnt quite get the answer, but she said its the most common mistake - that we should use the projected EBITDA as well - like use 2029's EBITDA to arrive at the exit multiple)</x:v>
      </x:c>
      <x:c r="E141" s="31" t="str">
        <x:v>(I acc didnt quite get the answer, but she said its the most common mistake - that we should use the projected EBITDA as well - like use 2029's EBITDA to arrive at the exit multiple)</x:v>
      </x:c>
      <x:c r="F141" s="31" t="str">
        <x:v>Behavioral &amp; Situational</x:v>
      </x:c>
      <x:c r="G141" s="30" t="str">
        <x:v>CL0056</x:v>
      </x:c>
      <x:c r="H141" s="32" t="n">
        <x:f>COUNTIF($G$5:$G$1725,G141)</x:f>
        <x:v>1</x:v>
      </x:c>
      <x:c r="I141" s="30" t="str">
        <x:v>C99</x:v>
      </x:c>
      <x:c r="J141" s="31" t="str">
        <x:v>Whats the most common mistake for DCF | For example, now is 2025 the EV/EBITDA multiple is 10x, you are exiting in 2029, and the EBITDA is 30m, could you apply the 10x multiple to get the terminal value | How about now its 2026, and the ...</x:v>
      </x:c>
    </x:row>
    <x:row r="142" ht="118" customHeight="1">
      <x:c r="A142" s="30" t="str">
        <x:v>QB0211</x:v>
      </x:c>
      <x:c r="B142" s="30" t="str">
        <x:v>MS IBD</x:v>
      </x:c>
      <x:c r="C142" s="30" t="str">
        <x:v>IBD / GCM</x:v>
      </x:c>
      <x:c r="D142" s="31" t="str">
        <x:v>How does debt affect WACC</x:v>
      </x:c>
      <x:c r="E142" s="31" t="str">
        <x:v>How do you calculate WACC?</x:v>
      </x:c>
      <x:c r="F142" s="31" t="str">
        <x:v>Valuation</x:v>
      </x:c>
      <x:c r="G142" s="30" t="str">
        <x:v>CL0011</x:v>
      </x:c>
      <x:c r="H142" s="32" t="n">
        <x:f>COUNTIF($G$5:$G$1725,G142)</x:f>
        <x:v>12</x:v>
      </x:c>
      <x:c r="I142" s="30" t="str">
        <x:v>C100</x:v>
      </x:c>
      <x:c r="J142" s="31" t="str">
        <x:v>For example, now is 2025 the EV/EBITDA multiple is 10x, you are exiting in 2029, and the EBITDA is 30m, could you apply the 10x multiple to get the terminal value | How about now its 2026, and the multiple is 9x, what should you use | (I...</x:v>
      </x:c>
    </x:row>
    <x:row r="143" ht="92" customHeight="1">
      <x:c r="A143" s="30" t="str">
        <x:v>QB0212</x:v>
      </x:c>
      <x:c r="B143" s="30" t="str">
        <x:v>MS IBD</x:v>
      </x:c>
      <x:c r="C143" s="30" t="str">
        <x:v>IBD / GCM</x:v>
      </x:c>
      <x:c r="D143" s="31" t="str">
        <x:v>Why HK, why MS, how do you see the market down the road</x:v>
      </x:c>
      <x:c r="E143" s="31" t="str">
        <x:v>Why HK, why MS, how do you see the market down the road</x:v>
      </x:c>
      <x:c r="F143" s="31" t="str">
        <x:v>Fit &amp; Motivation</x:v>
      </x:c>
      <x:c r="G143" s="30" t="str">
        <x:v>CL1137</x:v>
      </x:c>
      <x:c r="H143" s="32" t="n">
        <x:f>COUNTIF($G$5:$G$1725,G143)</x:f>
        <x:v>1</x:v>
      </x:c>
      <x:c r="I143" s="30" t="str">
        <x:v>C101</x:v>
      </x:c>
      <x:c r="J143" s="31" t="str">
        <x:v>How about now its 2026, and the multiple is 9x, what should you use | (I acc didnt quite get the answer, but she said its the most common mistake - that we should use the projected EBITDA as well - like use 2029's EBITDA to arrive at the...</x:v>
      </x:c>
    </x:row>
    <x:row r="144" ht="92" customHeight="1">
      <x:c r="A144" s="30" t="str">
        <x:v>QB0213</x:v>
      </x:c>
      <x:c r="B144" s="30" t="str">
        <x:v>MS IBD</x:v>
      </x:c>
      <x:c r="C144" s="30" t="str">
        <x:v>IBD / GCM</x:v>
      </x:c>
      <x:c r="D144" s="31" t="str">
        <x:v>Any team preference, why?</x:v>
      </x:c>
      <x:c r="E144" s="31" t="str">
        <x:v>Any team preference, why</x:v>
      </x:c>
      <x:c r="F144" s="31" t="str">
        <x:v>Fit &amp; Motivation</x:v>
      </x:c>
      <x:c r="G144" s="30" t="str">
        <x:v>CL0125</x:v>
      </x:c>
      <x:c r="H144" s="32" t="n">
        <x:f>COUNTIF($G$5:$G$1725,G144)</x:f>
        <x:v>1</x:v>
      </x:c>
      <x:c r="I144" s="30" t="str">
        <x:v>C102</x:v>
      </x:c>
      <x:c r="J144" s="31" t="str">
        <x:v>(I acc didnt quite get the answer, but she said its the most common mistake - that we should use the projected EBITDA as well - like use 2029's EBITDA to arrive at the exit multiple) | How does debt affect WACC | Why HK, why MS, how do y...</x:v>
      </x:c>
    </x:row>
    <x:row r="145" ht="48" customHeight="1">
      <x:c r="A145" s="30" t="str">
        <x:v>QB0214</x:v>
      </x:c>
      <x:c r="B145" s="30" t="str">
        <x:v>MS IBD</x:v>
      </x:c>
      <x:c r="C145" s="30" t="str">
        <x:v>IBD / GCM</x:v>
      </x:c>
      <x:c r="D145" s="31" t="str">
        <x:v>What industries am I interested in</x:v>
      </x:c>
      <x:c r="E145" s="31" t="str">
        <x:v>What industries am I interested in</x:v>
      </x:c>
      <x:c r="F145" s="31" t="str">
        <x:v>Other Question</x:v>
      </x:c>
      <x:c r="G145" s="30" t="str">
        <x:v>CL0958</x:v>
      </x:c>
      <x:c r="H145" s="32" t="n">
        <x:f>COUNTIF($G$5:$G$1725,G145)</x:f>
        <x:v>1</x:v>
      </x:c>
      <x:c r="I145" s="30" t="str">
        <x:v>C103</x:v>
      </x:c>
      <x:c r="J145" s="31" t="str">
        <x:v>How does debt affect WACC | Why HK, why MS, how do you see the market down the road | Any team preference, why?</x:v>
      </x:c>
    </x:row>
    <x:row r="146" ht="32" customHeight="1">
      <x:c r="A146" s="30" t="str">
        <x:v>QB0220</x:v>
      </x:c>
      <x:c r="B146" s="30" t="str">
        <x:v>MS IBD</x:v>
      </x:c>
      <x:c r="C146" s="30" t="str">
        <x:v>IBD / GCM</x:v>
      </x:c>
      <x:c r="D146" s="31" t="str">
        <x:v>Self-intro, why you are here</x:v>
      </x:c>
      <x:c r="E146" s="31" t="str">
        <x:v>Tell me about yourself / walk me through your resume</x:v>
      </x:c>
      <x:c r="F146" s="31" t="str">
        <x:v>Fit &amp; Motivation</x:v>
      </x:c>
      <x:c r="G146" s="30" t="str">
        <x:v>CL0001</x:v>
      </x:c>
      <x:c r="H146" s="32" t="n">
        <x:f>COUNTIF($G$5:$G$1725,G146)</x:f>
        <x:v>170</x:v>
      </x:c>
      <x:c r="I146" s="30" t="str">
        <x:v>A109</x:v>
      </x:c>
      <x:c r="J146" s="31" t="str">
        <x:v>2026 SA | First Round | 1st round 8/10 Anna (Lingxuan Li from IBD)</x:v>
      </x:c>
    </x:row>
    <x:row r="147" ht="92" customHeight="1">
      <x:c r="A147" s="30" t="str">
        <x:v>QB0221</x:v>
      </x:c>
      <x:c r="B147" s="30" t="str">
        <x:v>MS IBD</x:v>
      </x:c>
      <x:c r="C147" s="30" t="str">
        <x:v>IBD / GCM</x:v>
      </x:c>
      <x:c r="D147"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E147"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F147" s="31" t="str">
        <x:v>Fit &amp; Motivation</x:v>
      </x:c>
      <x:c r="G147" s="30" t="str">
        <x:v>CL0566</x:v>
      </x:c>
      <x:c r="H147" s="32" t="n">
        <x:f>COUNTIF($G$5:$G$1725,G147)</x:f>
        <x:v>1</x:v>
      </x:c>
      <x:c r="I147" s="30" t="str">
        <x:v>C109</x:v>
      </x:c>
      <x:c r="J147" s="31" t="str">
        <x:v>What industries am I interested in | Q&amp;A | 1st round 9/9 Kate (Sam Lee, Tech Asso)</x:v>
      </x:c>
    </x:row>
    <x:row r="148" ht="32" customHeight="1">
      <x:c r="A148" s="30" t="str">
        <x:v>QB0222</x:v>
      </x:c>
      <x:c r="B148" s="30" t="str">
        <x:v>MS IBD</x:v>
      </x:c>
      <x:c r="C148" s="30" t="str">
        <x:v>IBD / GCM</x:v>
      </x:c>
      <x:c r="D148" s="31" t="str">
        <x:v>About last internship: prospectus, your role, solvency ratios, DSCR, protective covenants</x:v>
      </x:c>
      <x:c r="E148" s="31" t="str">
        <x:v>About last internship: prospectus, your role, solvency ratios, DSCR, protective covenants</x:v>
      </x:c>
      <x:c r="F148" s="31" t="str">
        <x:v>Resume &amp; Experience</x:v>
      </x:c>
      <x:c r="G148" s="30" t="str">
        <x:v>CL0096</x:v>
      </x:c>
      <x:c r="H148" s="32" t="n">
        <x:f>COUNTIF($G$5:$G$1725,G148)</x:f>
        <x:v>1</x:v>
      </x:c>
      <x:c r="I148" s="30" t="str">
        <x:v>A110</x:v>
      </x:c>
      <x:c r="J148" s="31" t="str">
        <x:v>First Round | 1st round 8/10 Anna (Lingxuan Li from IBD) | Self-intro, why you are here</x:v>
      </x:c>
    </x:row>
    <x:row r="149" ht="68" customHeight="1">
      <x:c r="A149" s="30" t="str">
        <x:v>QB0224</x:v>
      </x:c>
      <x:c r="B149" s="30" t="str">
        <x:v>MS IBD</x:v>
      </x:c>
      <x:c r="C149" s="30" t="str">
        <x:v>IBD / GCM</x:v>
      </x:c>
      <x:c r="D149" s="31" t="str">
        <x:v>Why MS, not Goldman? Name 3 recent MS deals</x:v>
      </x:c>
      <x:c r="E149" s="31" t="str">
        <x:v>Why this firm?</x:v>
      </x:c>
      <x:c r="F149" s="31" t="str">
        <x:v>Fit &amp; Motivation</x:v>
      </x:c>
      <x:c r="G149" s="30" t="str">
        <x:v>CL0002</x:v>
      </x:c>
      <x:c r="H149" s="32" t="n">
        <x:f>COUNTIF($G$5:$G$1725,G149)</x:f>
        <x:v>39</x:v>
      </x:c>
      <x:c r="I149" s="30" t="str">
        <x:v>A111</x:v>
      </x:c>
      <x:c r="J149" s="31" t="str">
        <x:v>1st round 8/10 Anna (Lingxuan Li from IBD) | Self-intro, why you are here | About last internship: prospectus, your role, solvency ratios, DSCR, protective covenants</x:v>
      </x:c>
    </x:row>
    <x:row r="150" ht="68" customHeight="1">
      <x:c r="A150" s="30" t="str">
        <x:v>QB0225</x:v>
      </x:c>
      <x:c r="B150" s="30" t="str">
        <x:v>MS IBD</x:v>
      </x:c>
      <x:c r="C150" s="30" t="str">
        <x:v>IBD / GCM</x:v>
      </x:c>
      <x:c r="D150" s="31" t="str">
        <x:v>Walk through the 3 financial statements</x:v>
      </x:c>
      <x:c r="E150" s="31" t="str">
        <x:v>Walk through the 3 financial statements</x:v>
      </x:c>
      <x:c r="F150" s="31" t="str">
        <x:v>Accounting &amp; Financial Statements</x:v>
      </x:c>
      <x:c r="G150" s="30" t="str">
        <x:v>CL0851</x:v>
      </x:c>
      <x:c r="H150" s="32" t="n">
        <x:f>COUNTIF($G$5:$G$1725,G150)</x:f>
        <x:v>1</x:v>
      </x:c>
      <x:c r="I150" s="30" t="str">
        <x:v>A112</x:v>
      </x:c>
      <x:c r="J150" s="31" t="str">
        <x:v>Self-intro, why you are here | About last internship: prospectus, your role, solvency ratios, DSCR, protective covenants | Why MS, not Goldman? Name 3 recent MS deals</x:v>
      </x:c>
    </x:row>
    <x:row r="151" ht="68" customHeight="1">
      <x:c r="A151" s="30" t="str">
        <x:v>QB0226</x:v>
      </x:c>
      <x:c r="B151" s="30" t="str">
        <x:v>MS IBD</x:v>
      </x:c>
      <x:c r="C151" s="30" t="str">
        <x:v>IBD / GCM</x:v>
      </x:c>
      <x:c r="D151" s="31" t="str">
        <x:v>How will capital raise affect 3 statements, follow-ups</x:v>
      </x:c>
      <x:c r="E151" s="31" t="str">
        <x:v>How does a transaction flow through the three financial statements?</x:v>
      </x:c>
      <x:c r="F151" s="31" t="str">
        <x:v>Accounting &amp; Financial Statements</x:v>
      </x:c>
      <x:c r="G151" s="30" t="str">
        <x:v>CL0004</x:v>
      </x:c>
      <x:c r="H151" s="32" t="n">
        <x:f>COUNTIF($G$5:$G$1725,G151)</x:f>
        <x:v>21</x:v>
      </x:c>
      <x:c r="I151" s="30" t="str">
        <x:v>A113</x:v>
      </x:c>
      <x:c r="J151" s="31" t="str">
        <x:v>About last internship: prospectus, your role, solvency ratios, DSCR, protective covenants | Why MS, not Goldman? Name 3 recent MS deals | Walk through the 3 financial statements</x:v>
      </x:c>
    </x:row>
    <x:row r="152" ht="48" customHeight="1">
      <x:c r="A152" s="30" t="str">
        <x:v>QB0227</x:v>
      </x:c>
      <x:c r="B152" s="30" t="str">
        <x:v>MS IBD</x:v>
      </x:c>
      <x:c r="C152" s="30" t="str">
        <x:v>IBD / GCM</x:v>
      </x:c>
      <x:c r="D152" s="31" t="str">
        <x:v>Raise new debt in 2025, impacts on BS and IS this year and next year</x:v>
      </x:c>
      <x:c r="E152" s="31" t="str">
        <x:v>Raise new debt in 2025, impacts on BS and IS this year and next year</x:v>
      </x:c>
      <x:c r="F152" s="31" t="str">
        <x:v>Accounting &amp; Financial Statements</x:v>
      </x:c>
      <x:c r="G152" s="30" t="str">
        <x:v>CL0658</x:v>
      </x:c>
      <x:c r="H152" s="32" t="n">
        <x:f>COUNTIF($G$5:$G$1725,G152)</x:f>
        <x:v>1</x:v>
      </x:c>
      <x:c r="I152" s="30" t="str">
        <x:v>A114</x:v>
      </x:c>
      <x:c r="J152" s="31" t="str">
        <x:v>Why MS, not Goldman? Name 3 recent MS deals | Walk through the 3 financial statements | How will capital raise affect 3 statements, follow-ups</x:v>
      </x:c>
    </x:row>
    <x:row r="153" ht="68" customHeight="1">
      <x:c r="A153" s="30" t="str">
        <x:v>QB0228</x:v>
      </x:c>
      <x:c r="B153" s="30" t="str">
        <x:v>MS IBD</x:v>
      </x:c>
      <x:c r="C153" s="30" t="str">
        <x:v>IBD / GCM</x:v>
      </x:c>
      <x:c r="D153" s="31" t="str">
        <x:v>Calculate EBITDA for a Chinese firm</x:v>
      </x:c>
      <x:c r="E153" s="31" t="str">
        <x:v>Calculate EBITDA for a Chinese firm</x:v>
      </x:c>
      <x:c r="F153" s="31" t="str">
        <x:v>Other Technical</x:v>
      </x:c>
      <x:c r="G153" s="30" t="str">
        <x:v>CL0181</x:v>
      </x:c>
      <x:c r="H153" s="32" t="n">
        <x:f>COUNTIF($G$5:$G$1725,G153)</x:f>
        <x:v>1</x:v>
      </x:c>
      <x:c r="I153" s="30" t="str">
        <x:v>A115</x:v>
      </x:c>
      <x:c r="J153" s="31" t="str">
        <x:v>Walk through the 3 financial statements | How will capital raise affect 3 statements, follow-ups | Raise new debt in 2025, impacts on BS and IS this year and next year</x:v>
      </x:c>
    </x:row>
    <x:row r="154" ht="68" customHeight="1">
      <x:c r="A154" s="30" t="str">
        <x:v>QB0229</x:v>
      </x:c>
      <x:c r="B154" s="30" t="str">
        <x:v>MS IBD</x:v>
      </x:c>
      <x:c r="C154" s="30" t="str">
        <x:v>IBD / GCM</x:v>
      </x:c>
      <x:c r="D154" s="31" t="str">
        <x:v>Explain minority interest, do minority shareholders also share your revenue (only NI sharing)</x:v>
      </x:c>
      <x:c r="E154" s="31" t="str">
        <x:v>Explain minority interest, do minority shareholders also share your revenue (only NI sharing)</x:v>
      </x:c>
      <x:c r="F154" s="31" t="str">
        <x:v>Accounting &amp; Financial Statements</x:v>
      </x:c>
      <x:c r="G154" s="30" t="str">
        <x:v>CL0321</x:v>
      </x:c>
      <x:c r="H154" s="32" t="n">
        <x:f>COUNTIF($G$5:$G$1725,G154)</x:f>
        <x:v>1</x:v>
      </x:c>
      <x:c r="I154" s="30" t="str">
        <x:v>A116</x:v>
      </x:c>
      <x:c r="J154" s="31" t="str">
        <x:v>How will capital raise affect 3 statements, follow-ups | Raise new debt in 2025, impacts on BS and IS this year and next year | Calculate EBITDA for a Chinese firm</x:v>
      </x:c>
    </x:row>
    <x:row r="155" ht="68" customHeight="1">
      <x:c r="A155" s="30" t="str">
        <x:v>QB0230</x:v>
      </x:c>
      <x:c r="B155" s="30" t="str">
        <x:v>MS IBD</x:v>
      </x:c>
      <x:c r="C155" s="30" t="str">
        <x:v>IBD / GCM</x:v>
      </x:c>
      <x:c r="D155" s="31" t="str">
        <x:v>Under what circumstances use EV/EBITDA instead of PE</x:v>
      </x:c>
      <x:c r="E155" s="31" t="str">
        <x:v>Under what circumstances use EV/EBITDA instead of PE</x:v>
      </x:c>
      <x:c r="F155" s="31" t="str">
        <x:v>Other Question</x:v>
      </x:c>
      <x:c r="G155" s="30" t="str">
        <x:v>CL0808</x:v>
      </x:c>
      <x:c r="H155" s="32" t="n">
        <x:f>COUNTIF($G$5:$G$1725,G155)</x:f>
        <x:v>1</x:v>
      </x:c>
      <x:c r="I155" s="30" t="str">
        <x:v>A117</x:v>
      </x:c>
      <x:c r="J155" s="31" t="str">
        <x:v>Raise new debt in 2025, impacts on BS and IS this year and next year | Calculate EBITDA for a Chinese firm | Explain minority interest, do minority shareholders also share your revenue (only NI sharing)</x:v>
      </x:c>
    </x:row>
    <x:row r="156" ht="68" customHeight="1">
      <x:c r="A156" s="30" t="str">
        <x:v>QB0231</x:v>
      </x:c>
      <x:c r="B156" s="30" t="str">
        <x:v>MS IBD</x:v>
      </x:c>
      <x:c r="C156" s="30" t="str">
        <x:v>IBD / GCM</x:v>
      </x:c>
      <x:c r="D156" s="31" t="str">
        <x:v>How to value a firm with -ve CFs (also talked about replacement valuation)</x:v>
      </x:c>
      <x:c r="E156" s="31" t="str">
        <x:v>How to value a firm with -ve CFs (also talked about replacement valuation)</x:v>
      </x:c>
      <x:c r="F156" s="31" t="str">
        <x:v>Valuation</x:v>
      </x:c>
      <x:c r="G156" s="30" t="str">
        <x:v>CL0484</x:v>
      </x:c>
      <x:c r="H156" s="32" t="n">
        <x:f>COUNTIF($G$5:$G$1725,G156)</x:f>
        <x:v>1</x:v>
      </x:c>
      <x:c r="I156" s="30" t="str">
        <x:v>A118</x:v>
      </x:c>
      <x:c r="J156" s="31" t="str">
        <x:v>Calculate EBITDA for a Chinese firm | Explain minority interest, do minority shareholders also share your revenue (only NI sharing) | Under what circumstances use EV/EBITDA instead of PE</x:v>
      </x:c>
    </x:row>
    <x:row r="157" ht="68" customHeight="1">
      <x:c r="A157" s="30" t="str">
        <x:v>QB0232</x:v>
      </x:c>
      <x:c r="B157" s="30" t="str">
        <x:v>MS IBD</x:v>
      </x:c>
      <x:c r="C157" s="30" t="str">
        <x:v>IBD / GCM</x:v>
      </x:c>
      <x:c r="D157" s="31" t="str">
        <x:v>PE 25x acquires PE 15x, accretive or dilutive? Any assumptions?</x:v>
      </x:c>
      <x:c r="E157" s="31" t="str">
        <x:v>What makes an M&amp;A deal accretive or dilutive?</x:v>
      </x:c>
      <x:c r="F157" s="31" t="str">
        <x:v>M&amp;A</x:v>
      </x:c>
      <x:c r="G157" s="30" t="str">
        <x:v>CL0048</x:v>
      </x:c>
      <x:c r="H157" s="32" t="n">
        <x:f>COUNTIF($G$5:$G$1725,G157)</x:f>
        <x:v>2</x:v>
      </x:c>
      <x:c r="I157" s="30" t="str">
        <x:v>A119</x:v>
      </x:c>
      <x:c r="J157" s="31" t="str">
        <x:v>Explain minority interest, do minority shareholders also share your revenue (only NI sharing) | Under what circumstances use EV/EBITDA instead of PE | How to value a firm with -ve CFs (also talked about replacement valuation)</x:v>
      </x:c>
    </x:row>
    <x:row r="158" ht="68" customHeight="1">
      <x:c r="A158" s="30" t="str">
        <x:v>QB0233</x:v>
      </x:c>
      <x:c r="B158" s="30" t="str">
        <x:v>MS IBD</x:v>
      </x:c>
      <x:c r="C158" s="30" t="str">
        <x:v>IBD / GCM</x:v>
      </x:c>
      <x:c r="D158" s="31" t="str">
        <x:v>Walk me through a LBO</x:v>
      </x:c>
      <x:c r="E158" s="31" t="str">
        <x:v>Walk me through a LBO</x:v>
      </x:c>
      <x:c r="F158" s="31" t="str">
        <x:v>Private Equity &amp; LBO</x:v>
      </x:c>
      <x:c r="G158" s="30" t="str">
        <x:v>CL0041</x:v>
      </x:c>
      <x:c r="H158" s="32" t="n">
        <x:f>COUNTIF($G$5:$G$1725,G158)</x:f>
        <x:v>2</x:v>
      </x:c>
      <x:c r="I158" s="30" t="str">
        <x:v>A120</x:v>
      </x:c>
      <x:c r="J158" s="31" t="str">
        <x:v>Under what circumstances use EV/EBITDA instead of PE | How to value a firm with -ve CFs (also talked about replacement valuation) | PE 25x acquires PE 15x, accretive or dilutive? Any assumptions?</x:v>
      </x:c>
    </x:row>
    <x:row r="159" ht="68" customHeight="1">
      <x:c r="A159" s="30" t="str">
        <x:v>QB0234</x:v>
      </x:c>
      <x:c r="B159" s="30" t="str">
        <x:v>MS IBD</x:v>
      </x:c>
      <x:c r="C159" s="30" t="str">
        <x:v>IBD / GCM</x:v>
      </x:c>
      <x:c r="D159" s="31" t="str">
        <x:v>Ways to boost the return of LBO investment</x:v>
      </x:c>
      <x:c r="E159" s="31" t="str">
        <x:v>Ways to boost the return of LBO investment</x:v>
      </x:c>
      <x:c r="F159" s="31" t="str">
        <x:v>Private Equity &amp; LBO</x:v>
      </x:c>
      <x:c r="G159" s="30" t="str">
        <x:v>CL0856</x:v>
      </x:c>
      <x:c r="H159" s="32" t="n">
        <x:f>COUNTIF($G$5:$G$1725,G159)</x:f>
        <x:v>1</x:v>
      </x:c>
      <x:c r="I159" s="30" t="str">
        <x:v>A121</x:v>
      </x:c>
      <x:c r="J159" s="31" t="str">
        <x:v>How to value a firm with -ve CFs (also talked about replacement valuation) | PE 25x acquires PE 15x, accretive or dilutive? Any assumptions? | Walk me through a LBO</x:v>
      </x:c>
    </x:row>
    <x:row r="160" ht="32" customHeight="1">
      <x:c r="A160" s="30" t="str">
        <x:v>QB0241</x:v>
      </x:c>
      <x:c r="B160" s="30" t="str">
        <x:v>MS GCM</x:v>
      </x:c>
      <x:c r="C160" s="30" t="str">
        <x:v>IBD / GCM</x:v>
      </x:c>
      <x:c r="D160" s="31" t="str">
        <x:v>Tell me about yourself</x:v>
      </x:c>
      <x:c r="E160" s="31" t="str">
        <x:v>Tell me about yourself / walk me through your resume</x:v>
      </x:c>
      <x:c r="F160" s="31" t="str">
        <x:v>Other Question</x:v>
      </x:c>
      <x:c r="G160" s="30" t="str">
        <x:v>CL0001</x:v>
      </x:c>
      <x:c r="H160" s="32" t="n">
        <x:f>COUNTIF($G$5:$G$1725,G160)</x:f>
        <x:v>170</x:v>
      </x:c>
      <x:c r="I160" s="30" t="str">
        <x:v>A4</x:v>
      </x:c>
      <x:c r="J160" s="31" t="str">
        <x:v>2024 SA | First Round | Emily</x:v>
      </x:c>
    </x:row>
    <x:row r="161" ht="32" customHeight="1">
      <x:c r="A161" s="30" t="str">
        <x:v>QB0242</x:v>
      </x:c>
      <x:c r="B161" s="30" t="str">
        <x:v>MS GCM</x:v>
      </x:c>
      <x:c r="C161" s="30" t="str">
        <x:v>IBD / GCM</x:v>
      </x:c>
      <x:c r="D161" s="31" t="str">
        <x:v>Pitch me a stock</x:v>
      </x:c>
      <x:c r="E161" s="31" t="str">
        <x:v>Pitch me a stock</x:v>
      </x:c>
      <x:c r="F161" s="31" t="str">
        <x:v>Investment Pitch</x:v>
      </x:c>
      <x:c r="G161" s="30" t="str">
        <x:v>CL0006</x:v>
      </x:c>
      <x:c r="H161" s="32" t="n">
        <x:f>COUNTIF($G$5:$G$1725,G161)</x:f>
        <x:v>19</x:v>
      </x:c>
      <x:c r="I161" s="30" t="str">
        <x:v>A5</x:v>
      </x:c>
      <x:c r="J161" s="31" t="str">
        <x:v>First Round | Emily | Tell me about yourself</x:v>
      </x:c>
    </x:row>
    <x:row r="162" ht="32" customHeight="1">
      <x:c r="A162" s="30" t="str">
        <x:v>QB0243</x:v>
      </x:c>
      <x:c r="B162" s="30" t="str">
        <x:v>MS GCM</x:v>
      </x:c>
      <x:c r="C162" s="30" t="str">
        <x:v>IBD / GCM</x:v>
      </x:c>
      <x:c r="D162" s="31" t="str">
        <x:v>Self Intro, why GCM, why MS</x:v>
      </x:c>
      <x:c r="E162" s="31" t="str">
        <x:v>Tell me about yourself / walk me through your resume</x:v>
      </x:c>
      <x:c r="F162" s="31" t="str">
        <x:v>Fit &amp; Motivation</x:v>
      </x:c>
      <x:c r="G162" s="30" t="str">
        <x:v>CL0001</x:v>
      </x:c>
      <x:c r="H162" s="32" t="n">
        <x:f>COUNTIF($G$5:$G$1725,G162)</x:f>
        <x:v>170</x:v>
      </x:c>
      <x:c r="I162" s="30" t="str">
        <x:v>C5</x:v>
      </x:c>
      <x:c r="J162" s="31" t="str">
        <x:v>19 MS GCM SPD Emily | Dick Lee</x:v>
      </x:c>
    </x:row>
    <x:row r="163" ht="32" customHeight="1">
      <x:c r="A163" s="30" t="str">
        <x:v>QB0245</x:v>
      </x:c>
      <x:c r="B163" s="30" t="str">
        <x:v>MS GCM</x:v>
      </x:c>
      <x:c r="C163" s="30" t="str">
        <x:v>IBD / GCM</x:v>
      </x:c>
      <x:c r="D163" s="31" t="str">
        <x:v>why GCM not IBD</x:v>
      </x:c>
      <x:c r="E163" s="31" t="str">
        <x:v>Why global capital markets?</x:v>
      </x:c>
      <x:c r="F163" s="31" t="str">
        <x:v>Fit &amp; Motivation</x:v>
      </x:c>
      <x:c r="G163" s="30" t="str">
        <x:v>CL0009</x:v>
      </x:c>
      <x:c r="H163" s="32" t="n">
        <x:f>COUNTIF($G$5:$G$1725,G163)</x:f>
        <x:v>14</x:v>
      </x:c>
      <x:c r="I163" s="30" t="str">
        <x:v>C6</x:v>
      </x:c>
      <x:c r="J163" s="31" t="str">
        <x:v>19 MS GCM SPD Emily | Dick Lee | Self Intro, why GCM, why MS</x:v>
      </x:c>
    </x:row>
    <x:row r="164" ht="32" customHeight="1">
      <x:c r="A164" s="30" t="str">
        <x:v>QB0247</x:v>
      </x:c>
      <x:c r="B164" s="30" t="str">
        <x:v>MS GCM</x:v>
      </x:c>
      <x:c r="C164" s="30" t="str">
        <x:v>IBD / GCM</x:v>
      </x:c>
      <x:c r="D164" s="31" t="str">
        <x:v>Tell me about a deal done by MS</x:v>
      </x:c>
      <x:c r="E164" s="31" t="str">
        <x:v>Discuss a recent deal completed by this firm</x:v>
      </x:c>
      <x:c r="F164" s="31" t="str">
        <x:v>Company, Industry &amp; Deals</x:v>
      </x:c>
      <x:c r="G164" s="30" t="str">
        <x:v>CL0008</x:v>
      </x:c>
      <x:c r="H164" s="32" t="n">
        <x:f>COUNTIF($G$5:$G$1725,G164)</x:f>
        <x:v>14</x:v>
      </x:c>
      <x:c r="I164" s="30" t="str">
        <x:v>C7</x:v>
      </x:c>
      <x:c r="J164" s="31" t="str">
        <x:v>Dick Lee | Self Intro, why GCM, why MS | why GCM not IBD</x:v>
      </x:c>
    </x:row>
    <x:row r="165" ht="48" customHeight="1">
      <x:c r="A165" s="30" t="str">
        <x:v>QB0248</x:v>
      </x:c>
      <x:c r="B165" s="30" t="str">
        <x:v>MS GCM</x:v>
      </x:c>
      <x:c r="C165" s="30" t="str">
        <x:v>IBD / GCM</x:v>
      </x:c>
      <x:c r="D165" s="31" t="str">
        <x:v>US interest rate forecast</x:v>
      </x:c>
      <x:c r="E165" s="31" t="str">
        <x:v>What is your outlook for interest rates?</x:v>
      </x:c>
      <x:c r="F165" s="31" t="str">
        <x:v>Markets &amp; Macro</x:v>
      </x:c>
      <x:c r="G165" s="30" t="str">
        <x:v>CL0028</x:v>
      </x:c>
      <x:c r="H165" s="32" t="n">
        <x:f>COUNTIF($G$5:$G$1725,G165)</x:f>
        <x:v>3</x:v>
      </x:c>
      <x:c r="I165" s="30" t="str">
        <x:v>A8</x:v>
      </x:c>
      <x:c r="J165" s="31" t="str">
        <x:v>Pitch me a stock | Follow up: target valuation, comparables valuation | 中文: Why is there AH share premium (for SMEs)</x:v>
      </x:c>
    </x:row>
    <x:row r="166" ht="32" customHeight="1">
      <x:c r="A166" s="30" t="str">
        <x:v>QB0249</x:v>
      </x:c>
      <x:c r="B166" s="30" t="str">
        <x:v>MS GCM</x:v>
      </x:c>
      <x:c r="C166" s="30" t="str">
        <x:v>IBD / GCM</x:v>
      </x:c>
      <x:c r="D166" s="31" t="str">
        <x:v>Which team do you prefer</x:v>
      </x:c>
      <x:c r="E166" s="31" t="str">
        <x:v>Which team do you prefer</x:v>
      </x:c>
      <x:c r="F166" s="31" t="str">
        <x:v>Fit &amp; Motivation</x:v>
      </x:c>
      <x:c r="G166" s="30" t="str">
        <x:v>CL0050</x:v>
      </x:c>
      <x:c r="H166" s="32" t="n">
        <x:f>COUNTIF($G$5:$G$1725,G166)</x:f>
        <x:v>2</x:v>
      </x:c>
      <x:c r="I166" s="30" t="str">
        <x:v>C8</x:v>
      </x:c>
      <x:c r="J166" s="31" t="str">
        <x:v>Self Intro, why GCM, why MS | why GCM not IBD | Tell me about a deal done by MS</x:v>
      </x:c>
    </x:row>
    <x:row r="167" ht="48" customHeight="1">
      <x:c r="A167" s="30" t="str">
        <x:v>QB0250</x:v>
      </x:c>
      <x:c r="B167" s="30" t="str">
        <x:v>MS GCM</x:v>
      </x:c>
      <x:c r="C167" s="30" t="str">
        <x:v>IBD / GCM</x:v>
      </x:c>
      <x:c r="D167" s="31" t="str">
        <x:v>Will Fed look at nonfarm payroll data vs unemployment rate to decide for interest rate</x:v>
      </x:c>
      <x:c r="E167" s="31" t="str">
        <x:v>Will Fed look at nonfarm payroll data vs unemployment rate to decide for interest rate</x:v>
      </x:c>
      <x:c r="F167" s="31" t="str">
        <x:v>Markets &amp; Macro</x:v>
      </x:c>
      <x:c r="G167" s="30" t="str">
        <x:v>CL1182</x:v>
      </x:c>
      <x:c r="H167" s="32" t="n">
        <x:f>COUNTIF($G$5:$G$1725,G167)</x:f>
        <x:v>1</x:v>
      </x:c>
      <x:c r="I167" s="30" t="str">
        <x:v>A9</x:v>
      </x:c>
      <x:c r="J167" s="31" t="str">
        <x:v>Follow up: target valuation, comparables valuation | 中文: Why is there AH share premium (for SMEs) | US interest rate forecast</x:v>
      </x:c>
    </x:row>
    <x:row r="168" ht="32" customHeight="1">
      <x:c r="A168" s="30" t="str">
        <x:v>QB0251</x:v>
      </x:c>
      <x:c r="B168" s="30" t="str">
        <x:v>MS GCM</x:v>
      </x:c>
      <x:c r="C168" s="30" t="str">
        <x:v>IBD / GCM</x:v>
      </x:c>
      <x:c r="D168" s="31" t="str">
        <x:v>Tell me a story in your fencing experience</x:v>
      </x:c>
      <x:c r="E168" s="31" t="str">
        <x:v>Tell me a story in your fencing experience</x:v>
      </x:c>
      <x:c r="F168" s="31" t="str">
        <x:v>Resume &amp; Experience</x:v>
      </x:c>
      <x:c r="G168" s="30" t="str">
        <x:v>CL0707</x:v>
      </x:c>
      <x:c r="H168" s="32" t="n">
        <x:f>COUNTIF($G$5:$G$1725,G168)</x:f>
        <x:v>1</x:v>
      </x:c>
      <x:c r="I168" s="30" t="str">
        <x:v>C9</x:v>
      </x:c>
      <x:c r="J168" s="31" t="str">
        <x:v>why GCM not IBD | Tell me about a deal done by MS | Which team do you prefer</x:v>
      </x:c>
    </x:row>
    <x:row r="169" ht="68" customHeight="1">
      <x:c r="A169" s="30" t="str">
        <x:v>QB0252</x:v>
      </x:c>
      <x:c r="B169" s="30" t="str">
        <x:v>MS GCM</x:v>
      </x:c>
      <x:c r="C169" s="30" t="str">
        <x:v>IBD / GCM</x:v>
      </x:c>
      <x:c r="D169" s="31" t="str">
        <x:v>Why are there huge cut in tech and bank jobs, but unemployment data is still very low</x:v>
      </x:c>
      <x:c r="E169" s="31" t="str">
        <x:v>Why are there huge cut in tech and bank jobs, but unemployment data is still very low</x:v>
      </x:c>
      <x:c r="F169" s="31" t="str">
        <x:v>Fit &amp; Motivation</x:v>
      </x:c>
      <x:c r="G169" s="30" t="str">
        <x:v>CL1113</x:v>
      </x:c>
      <x:c r="H169" s="32" t="n">
        <x:f>COUNTIF($G$5:$G$1725,G169)</x:f>
        <x:v>1</x:v>
      </x:c>
      <x:c r="I169" s="30" t="str">
        <x:v>A10</x:v>
      </x:c>
      <x:c r="J169" s="31" t="str">
        <x:v>中文: Why is there AH share premium (for SMEs) | US interest rate forecast | Will Fed look at nonfarm payroll data vs unemployment rate to decide for interest rate</x:v>
      </x:c>
    </x:row>
    <x:row r="170" ht="48" customHeight="1">
      <x:c r="A170" s="30" t="str">
        <x:v>QB0253</x:v>
      </x:c>
      <x:c r="B170" s="30" t="str">
        <x:v>MS GCM</x:v>
      </x:c>
      <x:c r="C170" s="30" t="str">
        <x:v>IBD / GCM</x:v>
      </x:c>
      <x:c r="D170" s="31" t="str">
        <x:v>Markets outlook?</x:v>
      </x:c>
      <x:c r="E170" s="31" t="str">
        <x:v>Markets outlook</x:v>
      </x:c>
      <x:c r="F170" s="31" t="str">
        <x:v>Other Question</x:v>
      </x:c>
      <x:c r="G170" s="30" t="str">
        <x:v>CL0604</x:v>
      </x:c>
      <x:c r="H170" s="32" t="n">
        <x:f>COUNTIF($G$5:$G$1725,G170)</x:f>
        <x:v>1</x:v>
      </x:c>
      <x:c r="I170" s="30" t="str">
        <x:v>C10</x:v>
      </x:c>
      <x:c r="J170" s="31" t="str">
        <x:v>Tell me about a deal done by MS | Which team do you prefer | Tell me a story in your fencing experience</x:v>
      </x:c>
    </x:row>
    <x:row r="171" ht="68" customHeight="1">
      <x:c r="A171" s="30" t="str">
        <x:v>QB0254</x:v>
      </x:c>
      <x:c r="B171" s="30" t="str">
        <x:v>MS GCM</x:v>
      </x:c>
      <x:c r="C171" s="30" t="str">
        <x:v>IBD / GCM</x:v>
      </x:c>
      <x:c r="D171" s="31" t="str">
        <x:v>What would you do if your boss/team is demanding a deliverable from you that you are unfamiliar with?</x:v>
      </x:c>
      <x:c r="E171" s="31" t="str">
        <x:v>What would you do if your boss/team is demanding a deliverable from you that you are unfamiliar with</x:v>
      </x:c>
      <x:c r="F171" s="31" t="str">
        <x:v>Behavioral &amp; Situational</x:v>
      </x:c>
      <x:c r="G171" s="30" t="str">
        <x:v>CL1039</x:v>
      </x:c>
      <x:c r="H171" s="32" t="n">
        <x:f>COUNTIF($G$5:$G$1725,G171)</x:f>
        <x:v>1</x:v>
      </x:c>
      <x:c r="I171" s="30" t="str">
        <x:v>A11</x:v>
      </x:c>
      <x:c r="J171" s="31" t="str">
        <x:v>US interest rate forecast | Will Fed look at nonfarm payroll data vs unemployment rate to decide for interest rate | Why are there huge cut in tech and bank jobs, but unemployment data is still very low</x:v>
      </x:c>
    </x:row>
    <x:row r="172" ht="32" customHeight="1">
      <x:c r="A172" s="30" t="str">
        <x:v>QB0257</x:v>
      </x:c>
      <x:c r="B172" s="30" t="str">
        <x:v>MS GCM</x:v>
      </x:c>
      <x:c r="C172" s="30" t="str">
        <x:v>IBD / GCM</x:v>
      </x:c>
      <x:c r="D172" s="31" t="str">
        <x:v>Self Intro</x:v>
      </x:c>
      <x:c r="E172" s="31" t="str">
        <x:v>Tell me about yourself / walk me through your resume</x:v>
      </x:c>
      <x:c r="F172" s="31" t="str">
        <x:v>Resume &amp; Experience</x:v>
      </x:c>
      <x:c r="G172" s="30" t="str">
        <x:v>CL0001</x:v>
      </x:c>
      <x:c r="H172" s="32" t="n">
        <x:f>COUNTIF($G$5:$G$1725,G172)</x:f>
        <x:v>170</x:v>
      </x:c>
      <x:c r="I172" s="30" t="str">
        <x:v>C15</x:v>
      </x:c>
      <x:c r="J172" s="31" t="str">
        <x:v>Tell me a story in your fencing experience | Markets outlook? | Fenix Wang</x:v>
      </x:c>
    </x:row>
    <x:row r="173" ht="32" customHeight="1">
      <x:c r="A173" s="30" t="str">
        <x:v>QB0258</x:v>
      </x:c>
      <x:c r="B173" s="30" t="str">
        <x:v>MS GCM</x:v>
      </x:c>
      <x:c r="C173" s="30" t="str">
        <x:v>IBD / GCM</x:v>
      </x:c>
      <x:c r="D173" s="31" t="str">
        <x:v>Why GCM</x:v>
      </x:c>
      <x:c r="E173" s="31" t="str">
        <x:v>Why global capital markets?</x:v>
      </x:c>
      <x:c r="F173" s="31" t="str">
        <x:v>Fit &amp; Motivation</x:v>
      </x:c>
      <x:c r="G173" s="30" t="str">
        <x:v>CL0009</x:v>
      </x:c>
      <x:c r="H173" s="32" t="n">
        <x:f>COUNTIF($G$5:$G$1725,G173)</x:f>
        <x:v>14</x:v>
      </x:c>
      <x:c r="I173" s="30" t="str">
        <x:v>C16</x:v>
      </x:c>
      <x:c r="J173" s="31" t="str">
        <x:v>Markets outlook? | Fenix Wang | Self Intro</x:v>
      </x:c>
    </x:row>
    <x:row r="174" ht="32" customHeight="1">
      <x:c r="A174" s="30" t="str">
        <x:v>QB0259</x:v>
      </x:c>
      <x:c r="B174" s="30" t="str">
        <x:v>MS GCM</x:v>
      </x:c>
      <x:c r="C174" s="30" t="str">
        <x:v>IBD / GCM</x:v>
      </x:c>
      <x:c r="D174" s="31" t="str">
        <x:v>Which team would you prefer</x:v>
      </x:c>
      <x:c r="E174" s="31" t="str">
        <x:v>Which team would you prefer</x:v>
      </x:c>
      <x:c r="F174" s="31" t="str">
        <x:v>Fit &amp; Motivation</x:v>
      </x:c>
      <x:c r="G174" s="30" t="str">
        <x:v>CL1105</x:v>
      </x:c>
      <x:c r="H174" s="32" t="n">
        <x:f>COUNTIF($G$5:$G$1725,G174)</x:f>
        <x:v>1</x:v>
      </x:c>
      <x:c r="I174" s="30" t="str">
        <x:v>C17</x:v>
      </x:c>
      <x:c r="J174" s="31" t="str">
        <x:v>Fenix Wang | Self Intro | Why GCM</x:v>
      </x:c>
    </x:row>
    <x:row r="175" ht="32" customHeight="1">
      <x:c r="A175" s="30" t="str">
        <x:v>QB0260</x:v>
      </x:c>
      <x:c r="B175" s="30" t="str">
        <x:v>MS GCM</x:v>
      </x:c>
      <x:c r="C175" s="30" t="str">
        <x:v>IBD / GCM</x:v>
      </x:c>
      <x:c r="D175" s="31" t="str">
        <x:v>Tell me about a deal done by MS, valuation, how did you find the comps for it?</x:v>
      </x:c>
      <x:c r="E175" s="31" t="str">
        <x:v>How do you select comparable companies?</x:v>
      </x:c>
      <x:c r="F175" s="31" t="str">
        <x:v>Valuation</x:v>
      </x:c>
      <x:c r="G175" s="30" t="str">
        <x:v>CL0012</x:v>
      </x:c>
      <x:c r="H175" s="32" t="n">
        <x:f>COUNTIF($G$5:$G$1725,G175)</x:f>
        <x:v>12</x:v>
      </x:c>
      <x:c r="I175" s="30" t="str">
        <x:v>C18</x:v>
      </x:c>
      <x:c r="J175" s="31" t="str">
        <x:v>Self Intro | Why GCM | Which team would you prefer</x:v>
      </x:c>
    </x:row>
    <x:row r="176" ht="48" customHeight="1">
      <x:c r="A176" s="30" t="str">
        <x:v>QB0261</x:v>
      </x:c>
      <x:c r="B176" s="30" t="str">
        <x:v>MS GCM</x:v>
      </x:c>
      <x:c r="C176" s="30" t="str">
        <x:v>IBD / GCM</x:v>
      </x:c>
      <x:c r="D176" s="31" t="str">
        <x:v>Market outlook</x:v>
      </x:c>
      <x:c r="E176" s="31" t="str">
        <x:v>What is your current market outlook?</x:v>
      </x:c>
      <x:c r="F176" s="31" t="str">
        <x:v>Markets &amp; Macro</x:v>
      </x:c>
      <x:c r="G176" s="30" t="str">
        <x:v>CL0018</x:v>
      </x:c>
      <x:c r="H176" s="32" t="n">
        <x:f>COUNTIF($G$5:$G$1725,G176)</x:f>
        <x:v>5</x:v>
      </x:c>
      <x:c r="I176" s="30" t="str">
        <x:v>C19</x:v>
      </x:c>
      <x:c r="J176" s="31" t="str">
        <x:v>Why GCM | Which team would you prefer | Tell me about a deal done by MS, valuation, how did you find the comps for it?</x:v>
      </x:c>
    </x:row>
    <x:row r="177" ht="48" customHeight="1">
      <x:c r="A177" s="30" t="str">
        <x:v>QB0262</x:v>
      </x:c>
      <x:c r="B177" s="30" t="str">
        <x:v>MS GCM</x:v>
      </x:c>
      <x:c r="C177" s="30" t="str">
        <x:v>IBD / GCM</x:v>
      </x:c>
      <x:c r="D177" s="31" t="str">
        <x:v>What are some ways to raise funds</x:v>
      </x:c>
      <x:c r="E177" s="31" t="str">
        <x:v>What are some ways to raise funds</x:v>
      </x:c>
      <x:c r="F177" s="31" t="str">
        <x:v>Capital Markets &amp; Financing</x:v>
      </x:c>
      <x:c r="G177" s="30" t="str">
        <x:v>CL0874</x:v>
      </x:c>
      <x:c r="H177" s="32" t="n">
        <x:f>COUNTIF($G$5:$G$1725,G177)</x:f>
        <x:v>1</x:v>
      </x:c>
      <x:c r="I177" s="30" t="str">
        <x:v>C20</x:v>
      </x:c>
      <x:c r="J177" s="31" t="str">
        <x:v>Which team would you prefer | Tell me about a deal done by MS, valuation, how did you find the comps for it? | Market outlook</x:v>
      </x:c>
    </x:row>
    <x:row r="178" ht="48" customHeight="1">
      <x:c r="A178" s="30" t="str">
        <x:v>QB0263</x:v>
      </x:c>
      <x:c r="B178" s="30" t="str">
        <x:v>MS GCM</x:v>
      </x:c>
      <x:c r="C178" s="30" t="str">
        <x:v>IBD / GCM</x:v>
      </x:c>
      <x:c r="D178" s="31" t="str">
        <x:v>What is convertible bonds</x:v>
      </x:c>
      <x:c r="E178" s="31" t="str">
        <x:v>Explain convertible bonds and why an issuer might use them</x:v>
      </x:c>
      <x:c r="F178" s="31" t="str">
        <x:v>Accounting &amp; Financial Statements</x:v>
      </x:c>
      <x:c r="G178" s="30" t="str">
        <x:v>CL0016</x:v>
      </x:c>
      <x:c r="H178" s="32" t="n">
        <x:f>COUNTIF($G$5:$G$1725,G178)</x:f>
        <x:v>8</x:v>
      </x:c>
      <x:c r="I178" s="30" t="str">
        <x:v>C21</x:v>
      </x:c>
      <x:c r="J178" s="31" t="str">
        <x:v>Tell me about a deal done by MS, valuation, how did you find the comps for it? | Market outlook | What are some ways to raise funds</x:v>
      </x:c>
    </x:row>
    <x:row r="179" ht="32" customHeight="1">
      <x:c r="A179" s="30" t="str">
        <x:v>QB0264</x:v>
      </x:c>
      <x:c r="B179" s="30" t="str">
        <x:v>MS GCM</x:v>
      </x:c>
      <x:c r="C179" s="30" t="str">
        <x:v>IBD / GCM</x:v>
      </x:c>
      <x:c r="D179" s="31" t="str">
        <x:v>How do you price the convertible bonds</x:v>
      </x:c>
      <x:c r="E179" s="31" t="str">
        <x:v>Explain convertible bonds and why an issuer might use them</x:v>
      </x:c>
      <x:c r="F179" s="31" t="str">
        <x:v>Capital Markets &amp; Financing</x:v>
      </x:c>
      <x:c r="G179" s="30" t="str">
        <x:v>CL0016</x:v>
      </x:c>
      <x:c r="H179" s="32" t="n">
        <x:f>COUNTIF($G$5:$G$1725,G179)</x:f>
        <x:v>8</x:v>
      </x:c>
      <x:c r="I179" s="30" t="str">
        <x:v>C22</x:v>
      </x:c>
      <x:c r="J179" s="31" t="str">
        <x:v>Market outlook | What are some ways to raise funds | What is convertible bonds</x:v>
      </x:c>
    </x:row>
    <x:row r="180" ht="48" customHeight="1">
      <x:c r="A180" s="30" t="str">
        <x:v>QB0265</x:v>
      </x:c>
      <x:c r="B180" s="30" t="str">
        <x:v>MS GCM</x:v>
      </x:c>
      <x:c r="C180" s="30" t="str">
        <x:v>IBD / GCM</x:v>
      </x:c>
      <x:c r="D180" s="31" t="str">
        <x:v>What are some inputs in calculating the price of convertible bonds</x:v>
      </x:c>
      <x:c r="E180" s="31" t="str">
        <x:v>Explain convertible bonds and why an issuer might use them</x:v>
      </x:c>
      <x:c r="F180" s="31" t="str">
        <x:v>Capital Markets &amp; Financing</x:v>
      </x:c>
      <x:c r="G180" s="30" t="str">
        <x:v>CL0016</x:v>
      </x:c>
      <x:c r="H180" s="32" t="n">
        <x:f>COUNTIF($G$5:$G$1725,G180)</x:f>
        <x:v>8</x:v>
      </x:c>
      <x:c r="I180" s="30" t="str">
        <x:v>C23</x:v>
      </x:c>
      <x:c r="J180" s="31" t="str">
        <x:v>What are some ways to raise funds | What is convertible bonds | How do you price the convertible bonds</x:v>
      </x:c>
    </x:row>
    <x:row r="181" ht="48" customHeight="1">
      <x:c r="A181" s="30" t="str">
        <x:v>QB0268</x:v>
      </x:c>
      <x:c r="B181" s="30" t="str">
        <x:v>MS GCM</x:v>
      </x:c>
      <x:c r="C181" s="30" t="str">
        <x:v>IBD / GCM</x:v>
      </x:c>
      <x:c r="D181" s="31" t="str">
        <x:v>Why GCM ?</x:v>
      </x:c>
      <x:c r="E181" s="31" t="str">
        <x:v>Why global capital markets?</x:v>
      </x:c>
      <x:c r="F181" s="31" t="str">
        <x:v>Fit &amp; Motivation</x:v>
      </x:c>
      <x:c r="G181" s="30" t="str">
        <x:v>CL0009</x:v>
      </x:c>
      <x:c r="H181" s="32" t="n">
        <x:f>COUNTIF($G$5:$G$1725,G181)</x:f>
        <x:v>14</x:v>
      </x:c>
      <x:c r="I181" s="30" t="str">
        <x:v>C27</x:v>
      </x:c>
      <x:c r="J181" s="31" t="str">
        <x:v>What are some inputs in calculating the price of convertible bonds | John Lee | (say canto when I'm come in quite chill)</x:v>
      </x:c>
    </x:row>
    <x:row r="182" ht="32" customHeight="1">
      <x:c r="A182" s="30" t="str">
        <x:v>QB0270</x:v>
      </x:c>
      <x:c r="B182" s="30" t="str">
        <x:v>MS GCM</x:v>
      </x:c>
      <x:c r="C182" s="30" t="str">
        <x:v>IBD / GCM</x:v>
      </x:c>
      <x:c r="D182" s="31" t="str">
        <x:v>Why MS</x:v>
      </x:c>
      <x:c r="E182" s="31" t="str">
        <x:v>Why this firm?</x:v>
      </x:c>
      <x:c r="F182" s="31" t="str">
        <x:v>Fit &amp; Motivation</x:v>
      </x:c>
      <x:c r="G182" s="30" t="str">
        <x:v>CL0002</x:v>
      </x:c>
      <x:c r="H182" s="32" t="n">
        <x:f>COUNTIF($G$5:$G$1725,G182)</x:f>
        <x:v>39</x:v>
      </x:c>
      <x:c r="I182" s="30" t="str">
        <x:v>C29</x:v>
      </x:c>
      <x:c r="J182" s="31" t="str">
        <x:v>(say canto when I'm come in quite chill) | Why GCM ? | Diff between IBD and GCM</x:v>
      </x:c>
    </x:row>
    <x:row r="183" ht="32" customHeight="1">
      <x:c r="A183" s="30" t="str">
        <x:v>QB0271</x:v>
      </x:c>
      <x:c r="B183" s="30" t="str">
        <x:v>MS GCM</x:v>
      </x:c>
      <x:c r="C183" s="30" t="str">
        <x:v>IBD / GCM</x:v>
      </x:c>
      <x:c r="D183" s="31" t="str">
        <x:v>Why MS not GS</x:v>
      </x:c>
      <x:c r="E183" s="31" t="str">
        <x:v>Why this firm?</x:v>
      </x:c>
      <x:c r="F183" s="31" t="str">
        <x:v>Fit &amp; Motivation</x:v>
      </x:c>
      <x:c r="G183" s="30" t="str">
        <x:v>CL0002</x:v>
      </x:c>
      <x:c r="H183" s="32" t="n">
        <x:f>COUNTIF($G$5:$G$1725,G183)</x:f>
        <x:v>39</x:v>
      </x:c>
      <x:c r="I183" s="30" t="str">
        <x:v>C30</x:v>
      </x:c>
      <x:c r="J183" s="31" t="str">
        <x:v>Why GCM ? | Diff between IBD and GCM | Why MS</x:v>
      </x:c>
    </x:row>
    <x:row r="184" ht="32" customHeight="1">
      <x:c r="A184" s="30" t="str">
        <x:v>QB0272</x:v>
      </x:c>
      <x:c r="B184" s="30" t="str">
        <x:v>MS GCM</x:v>
      </x:c>
      <x:c r="C184" s="30" t="str">
        <x:v>IBD / GCM</x:v>
      </x:c>
      <x:c r="D184" s="31" t="str">
        <x:v>Pretend I am GS interviewer, why GS</x:v>
      </x:c>
      <x:c r="E184" s="31" t="str">
        <x:v>Pretend I am GS interviewer, why GS</x:v>
      </x:c>
      <x:c r="F184" s="31" t="str">
        <x:v>Fit &amp; Motivation</x:v>
      </x:c>
      <x:c r="G184" s="30" t="str">
        <x:v>CL0650</x:v>
      </x:c>
      <x:c r="H184" s="32" t="n">
        <x:f>COUNTIF($G$5:$G$1725,G184)</x:f>
        <x:v>1</x:v>
      </x:c>
      <x:c r="I184" s="30" t="str">
        <x:v>C31</x:v>
      </x:c>
      <x:c r="J184" s="31" t="str">
        <x:v>Diff between IBD and GCM | Why MS | Why MS not GS</x:v>
      </x:c>
    </x:row>
    <x:row r="185" ht="32" customHeight="1">
      <x:c r="A185" s="30" t="str">
        <x:v>QB0273</x:v>
      </x:c>
      <x:c r="B185" s="30" t="str">
        <x:v>MS GCM</x:v>
      </x:c>
      <x:c r="C185" s="30" t="str">
        <x:v>IBD / GCM</x:v>
      </x:c>
      <x:c r="D185" s="31" t="str">
        <x:v>How would you advise an energy storage company to raise capital, debt or equity</x:v>
      </x:c>
      <x:c r="E185" s="31" t="str">
        <x:v>How should a company choose between debt and equity financing?</x:v>
      </x:c>
      <x:c r="F185" s="31" t="str">
        <x:v>Capital Markets &amp; Financing</x:v>
      </x:c>
      <x:c r="G185" s="30" t="str">
        <x:v>CL0005</x:v>
      </x:c>
      <x:c r="H185" s="32" t="n">
        <x:f>COUNTIF($G$5:$G$1725,G185)</x:f>
        <x:v>21</x:v>
      </x:c>
      <x:c r="I185" s="30" t="str">
        <x:v>C32</x:v>
      </x:c>
      <x:c r="J185" s="31" t="str">
        <x:v>Why MS | Why MS not GS | Pretend I am GS interviewer, why GS</x:v>
      </x:c>
    </x:row>
    <x:row r="186" ht="48" customHeight="1">
      <x:c r="A186" s="30" t="str">
        <x:v>QB0274</x:v>
      </x:c>
      <x:c r="B186" s="30" t="str">
        <x:v>MS GCM</x:v>
      </x:c>
      <x:c r="C186" s="30" t="str">
        <x:v>IBD / GCM</x:v>
      </x:c>
      <x:c r="D186" s="31" t="str">
        <x:v>How would you advise an EV company to raise capital, debt or equity</x:v>
      </x:c>
      <x:c r="E186" s="31" t="str">
        <x:v>How should a company choose between debt and equity financing?</x:v>
      </x:c>
      <x:c r="F186" s="31" t="str">
        <x:v>Capital Markets &amp; Financing</x:v>
      </x:c>
      <x:c r="G186" s="30" t="str">
        <x:v>CL0005</x:v>
      </x:c>
      <x:c r="H186" s="32" t="n">
        <x:f>COUNTIF($G$5:$G$1725,G186)</x:f>
        <x:v>21</x:v>
      </x:c>
      <x:c r="I186" s="30" t="str">
        <x:v>C33</x:v>
      </x:c>
      <x:c r="J186" s="31" t="str">
        <x:v>Why MS not GS | Pretend I am GS interviewer, why GS | How would you advise an energy storage company to raise capital, debt or equity</x:v>
      </x:c>
    </x:row>
    <x:row r="187" ht="68" customHeight="1">
      <x:c r="A187" s="30" t="str">
        <x:v>QB0275</x:v>
      </x:c>
      <x:c r="B187" s="30" t="str">
        <x:v>MS GCM</x:v>
      </x:c>
      <x:c r="C187" s="30" t="str">
        <x:v>IBD / GCM</x:v>
      </x:c>
      <x:c r="D187" s="31" t="str">
        <x:v>If you are Tencent CEO, what factors would you look into to decide raise debt or equity</x:v>
      </x:c>
      <x:c r="E187" s="31" t="str">
        <x:v>How should a company choose between debt and equity financing?</x:v>
      </x:c>
      <x:c r="F187" s="31" t="str">
        <x:v>Capital Markets &amp; Financing</x:v>
      </x:c>
      <x:c r="G187" s="30" t="str">
        <x:v>CL0005</x:v>
      </x:c>
      <x:c r="H187" s="32" t="n">
        <x:f>COUNTIF($G$5:$G$1725,G187)</x:f>
        <x:v>21</x:v>
      </x:c>
      <x:c r="I187" s="30" t="str">
        <x:v>C34</x:v>
      </x:c>
      <x:c r="J187" s="31" t="str">
        <x:v>Pretend I am GS interviewer, why GS | How would you advise an energy storage company to raise capital, debt or equity | How would you advise an EV company to raise capital, debt or equity</x:v>
      </x:c>
    </x:row>
    <x:row r="188" ht="68" customHeight="1">
      <x:c r="A188" s="30" t="str">
        <x:v>QB0276</x:v>
      </x:c>
      <x:c r="B188" s="30" t="str">
        <x:v>MS GCM</x:v>
      </x:c>
      <x:c r="C188" s="30" t="str">
        <x:v>IBD / GCM</x:v>
      </x:c>
      <x:c r="D188" s="31" t="str">
        <x:v>If you are the investment bank, what factors would you look other than the above</x:v>
      </x:c>
      <x:c r="E188" s="31" t="str">
        <x:v>If you are the investment bank, what factors would you look other than the above</x:v>
      </x:c>
      <x:c r="F188" s="31" t="str">
        <x:v>Other Question</x:v>
      </x:c>
      <x:c r="G188" s="30" t="str">
        <x:v>CL0528</x:v>
      </x:c>
      <x:c r="H188" s="32" t="n">
        <x:f>COUNTIF($G$5:$G$1725,G188)</x:f>
        <x:v>1</x:v>
      </x:c>
      <x:c r="I188" s="30" t="str">
        <x:v>C35</x:v>
      </x:c>
      <x:c r="J188" s="31" t="str">
        <x:v>How would you advise an energy storage company to raise capital, debt or equity | How would you advise an EV company to raise capital, debt or equity | If you are Tencent CEO, what factors would you look into to decide raise debt or equity</x:v>
      </x:c>
    </x:row>
    <x:row r="189" ht="68" customHeight="1">
      <x:c r="A189" s="30" t="str">
        <x:v>QB0277</x:v>
      </x:c>
      <x:c r="B189" s="30" t="str">
        <x:v>MS GCM</x:v>
      </x:c>
      <x:c r="C189" s="30" t="str">
        <x:v>IBD / GCM</x:v>
      </x:c>
      <x:c r="D189" s="31" t="str">
        <x:v>Biggest growth for investment bank in Asia? ( he told me to look into australia and Korea, China is still strong don't get faked)</x:v>
      </x:c>
      <x:c r="E189" s="31" t="str">
        <x:v>Biggest growth for investment bank in Asia? ( he told me to look into australia and Korea, China is still strong don't get faked)</x:v>
      </x:c>
      <x:c r="F189" s="31" t="str">
        <x:v>Accounting &amp; Financial Statements</x:v>
      </x:c>
      <x:c r="G189" s="30" t="str">
        <x:v>CL0163</x:v>
      </x:c>
      <x:c r="H189" s="32" t="n">
        <x:f>COUNTIF($G$5:$G$1725,G189)</x:f>
        <x:v>1</x:v>
      </x:c>
      <x:c r="I189" s="30" t="str">
        <x:v>C36</x:v>
      </x:c>
      <x:c r="J189" s="31" t="str">
        <x:v>How would you advise an EV company to raise capital, debt or equity | If you are Tencent CEO, what factors would you look into to decide raise debt or equity | If you are the investment bank, what factors would you look other than the above</x:v>
      </x:c>
    </x:row>
    <x:row r="190" ht="48" customHeight="1">
      <x:c r="A190" s="30" t="str">
        <x:v>QB0284</x:v>
      </x:c>
      <x:c r="B190" s="30" t="str">
        <x:v>MS GCM</x:v>
      </x:c>
      <x:c r="C190" s="30" t="str">
        <x:v>IBD / GCM</x:v>
      </x:c>
      <x:c r="D190" s="31" t="str">
        <x:v>Advise on bond issuance - terms (coupon rate, maturity) , market condition (assuming high-rate), steel industry</x:v>
      </x:c>
      <x:c r="E190" s="31" t="str">
        <x:v>Advise on bond issuance - terms (coupon rate, maturity) , market condition (assuming high-rate), steel industry</x:v>
      </x:c>
      <x:c r="F190" s="31" t="str">
        <x:v>Capital Markets &amp; Financing</x:v>
      </x:c>
      <x:c r="G190" s="30" t="str">
        <x:v>CL0102</x:v>
      </x:c>
      <x:c r="H190" s="32" t="n">
        <x:f>COUNTIF($G$5:$G$1725,G190)</x:f>
        <x:v>1</x:v>
      </x:c>
      <x:c r="I190" s="30" t="str">
        <x:v>A42</x:v>
      </x:c>
      <x:c r="J190" s="31" t="str">
        <x:v>First Round | Jasmine 10/10 | Group Discussion:</x:v>
      </x:c>
    </x:row>
    <x:row r="191" ht="68" customHeight="1">
      <x:c r="A191" s="30" t="str">
        <x:v>QB0285</x:v>
      </x:c>
      <x:c r="B191" s="30" t="str">
        <x:v>MS GCM</x:v>
      </x:c>
      <x:c r="C191" s="30" t="str">
        <x:v>IBD / GCM</x:v>
      </x:c>
      <x:c r="D191" s="31" t="str">
        <x:v>why GCM, not IBD</x:v>
      </x:c>
      <x:c r="E191" s="31" t="str">
        <x:v>Why global capital markets?</x:v>
      </x:c>
      <x:c r="F191" s="31" t="str">
        <x:v>Fit &amp; Motivation</x:v>
      </x:c>
      <x:c r="G191" s="30" t="str">
        <x:v>CL0009</x:v>
      </x:c>
      <x:c r="H191" s="32" t="n">
        <x:f>COUNTIF($G$5:$G$1725,G191)</x:f>
        <x:v>14</x:v>
      </x:c>
      <x:c r="I191" s="30" t="str">
        <x:v>C42</x:v>
      </x:c>
      <x:c r="J191" s="31" t="str">
        <x:v>Biggest growth for investment bank in Asia? ( he told me to look into australia and Korea, China is still strong don't get faked) | Kari 10/10 Kan GU, (no information on linkedIn) | Intro;</x:v>
      </x:c>
    </x:row>
    <x:row r="192" ht="32" customHeight="1">
      <x:c r="A192" s="30" t="str">
        <x:v>QB0286</x:v>
      </x:c>
      <x:c r="B192" s="30" t="str">
        <x:v>MS GCM</x:v>
      </x:c>
      <x:c r="C192" s="30" t="str">
        <x:v>IBD / GCM</x:v>
      </x:c>
      <x:c r="D192" s="31" t="str">
        <x:v>why not consulting, PE</x:v>
      </x:c>
      <x:c r="E192" s="31" t="str">
        <x:v>Why this role instead of another career path?</x:v>
      </x:c>
      <x:c r="F192" s="31" t="str">
        <x:v>Fit &amp; Motivation</x:v>
      </x:c>
      <x:c r="G192" s="30" t="str">
        <x:v>CL0020</x:v>
      </x:c>
      <x:c r="H192" s="32" t="n">
        <x:f>COUNTIF($G$5:$G$1725,G192)</x:f>
        <x:v>4</x:v>
      </x:c>
      <x:c r="I192" s="30" t="str">
        <x:v>C43</x:v>
      </x:c>
      <x:c r="J192" s="31" t="str">
        <x:v>Kari 10/10 Kan GU, (no information on linkedIn) | Intro; | why GCM, not IBD</x:v>
      </x:c>
    </x:row>
    <x:row r="193" ht="32" customHeight="1">
      <x:c r="A193" s="30" t="str">
        <x:v>QB0288</x:v>
      </x:c>
      <x:c r="B193" s="30" t="str">
        <x:v>MS GCM</x:v>
      </x:c>
      <x:c r="C193" s="30" t="str">
        <x:v>IBD / GCM</x:v>
      </x:c>
      <x:c r="D193" s="31" t="str">
        <x:v>what do GCM do</x:v>
      </x:c>
      <x:c r="E193" s="31" t="str">
        <x:v>What do GCM do</x:v>
      </x:c>
      <x:c r="F193" s="31" t="str">
        <x:v>Capital Markets &amp; Financing</x:v>
      </x:c>
      <x:c r="G193" s="30" t="str">
        <x:v>CL0912</x:v>
      </x:c>
      <x:c r="H193" s="32" t="n">
        <x:f>COUNTIF($G$5:$G$1725,G193)</x:f>
        <x:v>1</x:v>
      </x:c>
      <x:c r="I193" s="30" t="str">
        <x:v>C44</x:v>
      </x:c>
      <x:c r="J193" s="31" t="str">
        <x:v>Intro; | why GCM, not IBD | why not consulting, PE</x:v>
      </x:c>
    </x:row>
    <x:row r="194" ht="68" customHeight="1">
      <x:c r="A194" s="30" t="str">
        <x:v>QB0289</x:v>
      </x:c>
      <x:c r="B194" s="30" t="str">
        <x:v>MS GCM</x:v>
      </x:c>
      <x:c r="C194" s="30" t="str">
        <x:v>IBD / GCM</x:v>
      </x:c>
      <x:c r="D194" s="31" t="str">
        <x:v>Self Intro</x:v>
      </x:c>
      <x:c r="E194" s="31" t="str">
        <x:v>Tell me about yourself / walk me through your resume</x:v>
      </x:c>
      <x:c r="F194" s="31" t="str">
        <x:v>Resume &amp; Experience</x:v>
      </x:c>
      <x:c r="G194" s="30" t="str">
        <x:v>CL0001</x:v>
      </x:c>
      <x:c r="H194" s="32" t="n">
        <x:f>COUNTIF($G$5:$G$1725,G194)</x:f>
        <x:v>170</x:v>
      </x:c>
      <x:c r="I194" s="30" t="str">
        <x:v>A45</x:v>
      </x:c>
      <x:c r="J194" s="31" t="str">
        <x:v>Group Discussion: | Advise on bond issuance - terms (coupon rate, maturity) , market condition (assuming high-rate), steel industry | 1-to-1 (Selena, Equity Solutions)</x:v>
      </x:c>
    </x:row>
    <x:row r="195" ht="32" customHeight="1">
      <x:c r="A195" s="30" t="str">
        <x:v>QB0290</x:v>
      </x:c>
      <x:c r="B195" s="30" t="str">
        <x:v>MS GCM</x:v>
      </x:c>
      <x:c r="C195" s="30" t="str">
        <x:v>IBD / GCM</x:v>
      </x:c>
      <x:c r="D195" s="31" t="str">
        <x:v>what traits do you think a GCM banker should have</x:v>
      </x:c>
      <x:c r="E195" s="31" t="str">
        <x:v>What traits do you think a GCM banker should have</x:v>
      </x:c>
      <x:c r="F195" s="31" t="str">
        <x:v>Capital Markets &amp; Financing</x:v>
      </x:c>
      <x:c r="G195" s="30" t="str">
        <x:v>CL1034</x:v>
      </x:c>
      <x:c r="H195" s="32" t="n">
        <x:f>COUNTIF($G$5:$G$1725,G195)</x:f>
        <x:v>1</x:v>
      </x:c>
      <x:c r="I195" s="30" t="str">
        <x:v>C45</x:v>
      </x:c>
      <x:c r="J195" s="31" t="str">
        <x:v>why GCM, not IBD | why not consulting, PE | what do GCM do</x:v>
      </x:c>
    </x:row>
    <x:row r="196" ht="48" customHeight="1">
      <x:c r="A196" s="30" t="str">
        <x:v>QB0291</x:v>
      </x:c>
      <x:c r="B196" s="30" t="str">
        <x:v>MS GCM</x:v>
      </x:c>
      <x:c r="C196" s="30" t="str">
        <x:v>IBD / GCM</x:v>
      </x:c>
      <x:c r="D196" s="31" t="str">
        <x:v>Is Nomura a formal internship? (lmao)</x:v>
      </x:c>
      <x:c r="E196" s="31" t="str">
        <x:v>Is Nomura a formal internship? (lmao)</x:v>
      </x:c>
      <x:c r="F196" s="31" t="str">
        <x:v>Resume &amp; Experience</x:v>
      </x:c>
      <x:c r="G196" s="30" t="str">
        <x:v>CL0556</x:v>
      </x:c>
      <x:c r="H196" s="32" t="n">
        <x:f>COUNTIF($G$5:$G$1725,G196)</x:f>
        <x:v>1</x:v>
      </x:c>
      <x:c r="I196" s="30" t="str">
        <x:v>A46</x:v>
      </x:c>
      <x:c r="J196" s="31" t="str">
        <x:v>Advise on bond issuance - terms (coupon rate, maturity) , market condition (assuming high-rate), steel industry | 1-to-1 (Selena, Equity Solutions) | Self Intro</x:v>
      </x:c>
    </x:row>
    <x:row r="197" ht="48" customHeight="1">
      <x:c r="A197" s="30" t="str">
        <x:v>QB0292</x:v>
      </x:c>
      <x:c r="B197" s="30" t="str">
        <x:v>MS GCM</x:v>
      </x:c>
      <x:c r="C197" s="30" t="str">
        <x:v>IBD / GCM</x:v>
      </x:c>
      <x:c r="D197" s="31" t="str">
        <x:v>you mention market skills, could you please share some news about Chinese markets?</x:v>
      </x:c>
      <x:c r="E197" s="31" t="str">
        <x:v>You mention market skills, could you please share some news about Chinese markets</x:v>
      </x:c>
      <x:c r="F197" s="31" t="str">
        <x:v>Markets &amp; Macro</x:v>
      </x:c>
      <x:c r="G197" s="30" t="str">
        <x:v>CL1205</x:v>
      </x:c>
      <x:c r="H197" s="32" t="n">
        <x:f>COUNTIF($G$5:$G$1725,G197)</x:f>
        <x:v>1</x:v>
      </x:c>
      <x:c r="I197" s="30" t="str">
        <x:v>C46</x:v>
      </x:c>
      <x:c r="J197" s="31" t="str">
        <x:v>why not consulting, PE | what do GCM do | what traits do you think a GCM banker should have</x:v>
      </x:c>
    </x:row>
    <x:row r="198" ht="32" customHeight="1">
      <x:c r="A198" s="30" t="str">
        <x:v>QB0293</x:v>
      </x:c>
      <x:c r="B198" s="30" t="str">
        <x:v>MS GCM</x:v>
      </x:c>
      <x:c r="C198" s="30" t="str">
        <x:v>IBD / GCM</x:v>
      </x:c>
      <x:c r="D198" s="31" t="str">
        <x:v>Interest rate environment</x:v>
      </x:c>
      <x:c r="E198" s="31" t="str">
        <x:v>What is your outlook for interest rates?</x:v>
      </x:c>
      <x:c r="F198" s="31" t="str">
        <x:v>Markets &amp; Macro</x:v>
      </x:c>
      <x:c r="G198" s="30" t="str">
        <x:v>CL0028</x:v>
      </x:c>
      <x:c r="H198" s="32" t="n">
        <x:f>COUNTIF($G$5:$G$1725,G198)</x:f>
        <x:v>3</x:v>
      </x:c>
      <x:c r="I198" s="30" t="str">
        <x:v>A47</x:v>
      </x:c>
      <x:c r="J198" s="31" t="str">
        <x:v>1-to-1 (Selena, Equity Solutions) | Self Intro | Is Nomura a formal internship? (lmao)</x:v>
      </x:c>
    </x:row>
    <x:row r="199" ht="48" customHeight="1">
      <x:c r="A199" s="30" t="str">
        <x:v>QB0294</x:v>
      </x:c>
      <x:c r="B199" s="30" t="str">
        <x:v>MS GCM</x:v>
      </x:c>
      <x:c r="C199" s="30" t="str">
        <x:v>IBD / GCM</x:v>
      </x:c>
      <x:c r="D199" s="31" t="str">
        <x:v>what your perspectives in short-run &amp; long-run</x:v>
      </x:c>
      <x:c r="E199" s="31" t="str">
        <x:v>What your perspectives in short-run &amp; long-run</x:v>
      </x:c>
      <x:c r="F199" s="31" t="str">
        <x:v>Other Question</x:v>
      </x:c>
      <x:c r="G199" s="30" t="str">
        <x:v>CL1042</x:v>
      </x:c>
      <x:c r="H199" s="32" t="n">
        <x:f>COUNTIF($G$5:$G$1725,G199)</x:f>
        <x:v>1</x:v>
      </x:c>
      <x:c r="I199" s="30" t="str">
        <x:v>C47</x:v>
      </x:c>
      <x:c r="J199" s="31" t="str">
        <x:v>what do GCM do | what traits do you think a GCM banker should have | you mention market skills, could you please share some news about Chinese markets?</x:v>
      </x:c>
    </x:row>
    <x:row r="200" ht="68" customHeight="1">
      <x:c r="A200" s="30" t="str">
        <x:v>QB0296</x:v>
      </x:c>
      <x:c r="B200" s="30" t="str">
        <x:v>MS GCM</x:v>
      </x:c>
      <x:c r="C200" s="30" t="str">
        <x:v>IBD / GCM</x:v>
      </x:c>
      <x:c r="D200" s="31" t="str">
        <x:v>中文回答：you mentioned swap facility, why central bank doesn’t give cash, but use swap (我没回答出来，请教他，他说是货币基础的问题)</x:v>
      </x:c>
      <x:c r="E200" s="31" t="str">
        <x:v>中文回答：you mentioned swap facility, why central bank doesn’t give cash, but use swap (我没回答出来，请教他，他说是货币基础的问题)</x:v>
      </x:c>
      <x:c r="F200" s="31" t="str">
        <x:v>Fit &amp; Motivation</x:v>
      </x:c>
      <x:c r="G200" s="30" t="str">
        <x:v>CL1217</x:v>
      </x:c>
      <x:c r="H200" s="32" t="n">
        <x:f>COUNTIF($G$5:$G$1725,G200)</x:f>
        <x:v>1</x:v>
      </x:c>
      <x:c r="I200" s="30" t="str">
        <x:v>C48</x:v>
      </x:c>
      <x:c r="J200" s="31" t="str">
        <x:v>what traits do you think a GCM banker should have | you mention market skills, could you please share some news about Chinese markets? | what your perspectives in short-run &amp; long-run</x:v>
      </x:c>
    </x:row>
    <x:row r="201" ht="32" customHeight="1">
      <x:c r="A201" s="30" t="str">
        <x:v>QB0299</x:v>
      </x:c>
      <x:c r="B201" s="30" t="str">
        <x:v>MS GCM</x:v>
      </x:c>
      <x:c r="C201" s="30" t="str">
        <x:v>IBD / GCM</x:v>
      </x:c>
      <x:c r="D201" s="31" t="str">
        <x:v>Equity vs Debt (from both company and investor's perspectives)</x:v>
      </x:c>
      <x:c r="E201" s="31" t="str">
        <x:v>How should a company choose between debt and equity financing?</x:v>
      </x:c>
      <x:c r="F201" s="31" t="str">
        <x:v>Company, Industry &amp; Deals</x:v>
      </x:c>
      <x:c r="G201" s="30" t="str">
        <x:v>CL0005</x:v>
      </x:c>
      <x:c r="H201" s="32" t="n">
        <x:f>COUNTIF($G$5:$G$1725,G201)</x:f>
        <x:v>21</x:v>
      </x:c>
      <x:c r="I201" s="30" t="str">
        <x:v>A50</x:v>
      </x:c>
      <x:c r="J201" s="31" t="str">
        <x:v>Interest rate environment | MS core values | MS deals</x:v>
      </x:c>
    </x:row>
    <x:row r="202" ht="32" customHeight="1">
      <x:c r="A202" s="30" t="str">
        <x:v>QB0300</x:v>
      </x:c>
      <x:c r="B202" s="30" t="str">
        <x:v>MS GCM</x:v>
      </x:c>
      <x:c r="C202" s="30" t="str">
        <x:v>IBD / GCM</x:v>
      </x:c>
      <x:c r="D202" s="31" t="str">
        <x:v>Hobbies</x:v>
      </x:c>
      <x:c r="E202" s="31" t="str">
        <x:v>What are your interests outside work and school?</x:v>
      </x:c>
      <x:c r="F202" s="31" t="str">
        <x:v>Other Question</x:v>
      </x:c>
      <x:c r="G202" s="30" t="str">
        <x:v>CL0014</x:v>
      </x:c>
      <x:c r="H202" s="32" t="n">
        <x:f>COUNTIF($G$5:$G$1725,G202)</x:f>
        <x:v>10</x:v>
      </x:c>
      <x:c r="I202" s="30" t="str">
        <x:v>A51</x:v>
      </x:c>
      <x:c r="J202" s="31" t="str">
        <x:v>MS core values | MS deals | Equity vs Debt (from both company and investor's perspectives)</x:v>
      </x:c>
    </x:row>
    <x:row r="203" ht="32" customHeight="1">
      <x:c r="A203" s="30" t="str">
        <x:v>QB0305</x:v>
      </x:c>
      <x:c r="B203" s="30" t="str">
        <x:v>MS GCM</x:v>
      </x:c>
      <x:c r="C203" s="30" t="str">
        <x:v>IBD / GCM</x:v>
      </x:c>
      <x:c r="D203" s="31" t="str">
        <x:v>why gcm;</x:v>
      </x:c>
      <x:c r="E203" s="31" t="str">
        <x:v>Why global capital markets?</x:v>
      </x:c>
      <x:c r="F203" s="31" t="str">
        <x:v>Fit &amp; Motivation</x:v>
      </x:c>
      <x:c r="G203" s="30" t="str">
        <x:v>CL0009</x:v>
      </x:c>
      <x:c r="H203" s="32" t="n">
        <x:f>COUNTIF($G$5:$G$1725,G203)</x:f>
        <x:v>14</x:v>
      </x:c>
      <x:c r="I203" s="30" t="str">
        <x:v>C57</x:v>
      </x:c>
      <x:c r="J203" s="31" t="str">
        <x:v>Kari 10/23 | interviewer 1, Sang Kim, male, hk, ED: | intro;</x:v>
      </x:c>
    </x:row>
    <x:row r="204" ht="32" customHeight="1">
      <x:c r="A204" s="30" t="str">
        <x:v>QB0306</x:v>
      </x:c>
      <x:c r="B204" s="30" t="str">
        <x:v>MS GCM</x:v>
      </x:c>
      <x:c r="C204" s="30" t="str">
        <x:v>IBD / GCM</x:v>
      </x:c>
      <x:c r="D204" s="31" t="str">
        <x:v>why MS;</x:v>
      </x:c>
      <x:c r="E204" s="31" t="str">
        <x:v>Why this firm?</x:v>
      </x:c>
      <x:c r="F204" s="31" t="str">
        <x:v>Fit &amp; Motivation</x:v>
      </x:c>
      <x:c r="G204" s="30" t="str">
        <x:v>CL0002</x:v>
      </x:c>
      <x:c r="H204" s="32" t="n">
        <x:f>COUNTIF($G$5:$G$1725,G204)</x:f>
        <x:v>39</x:v>
      </x:c>
      <x:c r="I204" s="30" t="str">
        <x:v>C58</x:v>
      </x:c>
      <x:c r="J204" s="31" t="str">
        <x:v>interviewer 1, Sang Kim, male, hk, ED: | intro; | why gcm;</x:v>
      </x:c>
    </x:row>
    <x:row r="205" ht="32" customHeight="1">
      <x:c r="A205" s="30" t="str">
        <x:v>QB0307</x:v>
      </x:c>
      <x:c r="B205" s="30" t="str">
        <x:v>MS GCM</x:v>
      </x:c>
      <x:c r="C205" s="30" t="str">
        <x:v>IBD / GCM</x:v>
      </x:c>
      <x:c r="D205" s="31" t="str">
        <x:v>why HK</x:v>
      </x:c>
      <x:c r="E205" s="31" t="str">
        <x:v>Why HK</x:v>
      </x:c>
      <x:c r="F205" s="31" t="str">
        <x:v>Fit &amp; Motivation</x:v>
      </x:c>
      <x:c r="G205" s="30" t="str">
        <x:v>CL1134</x:v>
      </x:c>
      <x:c r="H205" s="32" t="n">
        <x:f>COUNTIF($G$5:$G$1725,G205)</x:f>
        <x:v>1</x:v>
      </x:c>
      <x:c r="I205" s="30" t="str">
        <x:v>C59</x:v>
      </x:c>
      <x:c r="J205" s="31" t="str">
        <x:v>intro; | why gcm; | why MS;</x:v>
      </x:c>
    </x:row>
    <x:row r="206" ht="32" customHeight="1">
      <x:c r="A206" s="30" t="str">
        <x:v>QB0309</x:v>
      </x:c>
      <x:c r="B206" s="30" t="str">
        <x:v>MS GCM</x:v>
      </x:c>
      <x:c r="C206" s="30" t="str">
        <x:v>IBD / GCM</x:v>
      </x:c>
      <x:c r="D206" s="31" t="str">
        <x:v>how chinese drug company grow big globally?</x:v>
      </x:c>
      <x:c r="E206" s="31" t="str">
        <x:v>How chinese drug company grow big globally</x:v>
      </x:c>
      <x:c r="F206" s="31" t="str">
        <x:v>Company, Industry &amp; Deals</x:v>
      </x:c>
      <x:c r="G206" s="30" t="str">
        <x:v>CL0374</x:v>
      </x:c>
      <x:c r="H206" s="32" t="n">
        <x:f>COUNTIF($G$5:$G$1725,G206)</x:f>
        <x:v>1</x:v>
      </x:c>
      <x:c r="I206" s="30" t="str">
        <x:v>C61</x:v>
      </x:c>
      <x:c r="J206" s="31" t="str">
        <x:v>why MS; | why HK | healthcare industry, gimme a firm</x:v>
      </x:c>
    </x:row>
    <x:row r="207" ht="32" customHeight="1">
      <x:c r="A207" s="30" t="str">
        <x:v>QB0310</x:v>
      </x:c>
      <x:c r="B207" s="30" t="str">
        <x:v>MS GCM</x:v>
      </x:c>
      <x:c r="C207" s="30" t="str">
        <x:v>IBD / GCM</x:v>
      </x:c>
      <x:c r="D207" s="31" t="str">
        <x:v>how will a chinese company stand out compare to US companies</x:v>
      </x:c>
      <x:c r="E207" s="31" t="str">
        <x:v>How will a chinese company stand out compare to US companies</x:v>
      </x:c>
      <x:c r="F207" s="31" t="str">
        <x:v>Company, Industry &amp; Deals</x:v>
      </x:c>
      <x:c r="G207" s="30" t="str">
        <x:v>CL0489</x:v>
      </x:c>
      <x:c r="H207" s="32" t="n">
        <x:f>COUNTIF($G$5:$G$1725,G207)</x:f>
        <x:v>1</x:v>
      </x:c>
      <x:c r="I207" s="30" t="str">
        <x:v>C62</x:v>
      </x:c>
      <x:c r="J207" s="31" t="str">
        <x:v>why HK | healthcare industry, gimme a firm | how chinese drug company grow big globally?</x:v>
      </x:c>
    </x:row>
    <x:row r="208" ht="48" customHeight="1">
      <x:c r="A208" s="30" t="str">
        <x:v>QB0311</x:v>
      </x:c>
      <x:c r="B208" s="30" t="str">
        <x:v>MS GCM</x:v>
      </x:c>
      <x:c r="C208" s="30" t="str">
        <x:v>IBD / GCM</x:v>
      </x:c>
      <x:c r="D208" s="31" t="str">
        <x:v>do you have some challenging time in your life? Share your story</x:v>
      </x:c>
      <x:c r="E208" s="31" t="str">
        <x:v>Tell me about a challenge, setback, or failure</x:v>
      </x:c>
      <x:c r="F208" s="31" t="str">
        <x:v>Behavioral &amp; Situational</x:v>
      </x:c>
      <x:c r="G208" s="30" t="str">
        <x:v>CL0007</x:v>
      </x:c>
      <x:c r="H208" s="32" t="n">
        <x:f>COUNTIF($G$5:$G$1725,G208)</x:f>
        <x:v>16</x:v>
      </x:c>
      <x:c r="I208" s="30" t="str">
        <x:v>C63</x:v>
      </x:c>
      <x:c r="J208" s="31" t="str">
        <x:v>healthcare industry, gimme a firm | how chinese drug company grow big globally? | how will a chinese company stand out compare to US companies</x:v>
      </x:c>
    </x:row>
    <x:row r="209" ht="48" customHeight="1">
      <x:c r="A209" s="30" t="str">
        <x:v>QB0314</x:v>
      </x:c>
      <x:c r="B209" s="30" t="str">
        <x:v>MS GCM</x:v>
      </x:c>
      <x:c r="C209" s="30" t="str">
        <x:v>IBD / GCM</x:v>
      </x:c>
      <x:c r="D209" s="31" t="str">
        <x:v>why GCM;</x:v>
      </x:c>
      <x:c r="E209" s="31" t="str">
        <x:v>Why global capital markets?</x:v>
      </x:c>
      <x:c r="F209" s="31" t="str">
        <x:v>Fit &amp; Motivation</x:v>
      </x:c>
      <x:c r="G209" s="30" t="str">
        <x:v>CL0009</x:v>
      </x:c>
      <x:c r="H209" s="32" t="n">
        <x:f>COUNTIF($G$5:$G$1725,G209)</x:f>
        <x:v>14</x:v>
      </x:c>
      <x:c r="I209" s="30" t="str">
        <x:v>C67</x:v>
      </x:c>
      <x:c r="J209" s="31" t="str">
        <x:v>do you have some challenging time in your life? Share your story | interviewer 2, Eugene Say, male, Singapore, ED: | intro;</x:v>
      </x:c>
    </x:row>
    <x:row r="210" ht="32" customHeight="1">
      <x:c r="A210" s="30" t="str">
        <x:v>QB0315</x:v>
      </x:c>
      <x:c r="B210" s="30" t="str">
        <x:v>MS GCM</x:v>
      </x:c>
      <x:c r="C210" s="30" t="str">
        <x:v>IBD / GCM</x:v>
      </x:c>
      <x:c r="D210" s="31" t="str">
        <x:v>why banking;</x:v>
      </x:c>
      <x:c r="E210" s="31" t="str">
        <x:v>Why investment banking?</x:v>
      </x:c>
      <x:c r="F210" s="31" t="str">
        <x:v>Fit &amp; Motivation</x:v>
      </x:c>
      <x:c r="G210" s="30" t="str">
        <x:v>CL0003</x:v>
      </x:c>
      <x:c r="H210" s="32" t="n">
        <x:f>COUNTIF($G$5:$G$1725,G210)</x:f>
        <x:v>34</x:v>
      </x:c>
      <x:c r="I210" s="30" t="str">
        <x:v>C68</x:v>
      </x:c>
      <x:c r="J210" s="31" t="str">
        <x:v>interviewer 2, Eugene Say, male, Singapore, ED: | intro; | why GCM;</x:v>
      </x:c>
    </x:row>
    <x:row r="211" ht="32" customHeight="1">
      <x:c r="A211" s="30" t="str">
        <x:v>QB0316</x:v>
      </x:c>
      <x:c r="B211" s="30" t="str">
        <x:v>MS GCM</x:v>
      </x:c>
      <x:c r="C211" s="30" t="str">
        <x:v>IBD / GCM</x:v>
      </x:c>
      <x:c r="D211" s="31" t="str">
        <x:v>why hk not Yunnan;</x:v>
      </x:c>
      <x:c r="E211" s="31" t="str">
        <x:v>Why hk not Yunnan</x:v>
      </x:c>
      <x:c r="F211" s="31" t="str">
        <x:v>Fit &amp; Motivation</x:v>
      </x:c>
      <x:c r="G211" s="30" t="str">
        <x:v>CL1136</x:v>
      </x:c>
      <x:c r="H211" s="32" t="n">
        <x:f>COUNTIF($G$5:$G$1725,G211)</x:f>
        <x:v>1</x:v>
      </x:c>
      <x:c r="I211" s="30" t="str">
        <x:v>C69</x:v>
      </x:c>
      <x:c r="J211" s="31" t="str">
        <x:v>intro; | why GCM; | why banking;</x:v>
      </x:c>
    </x:row>
    <x:row r="212" ht="32" customHeight="1">
      <x:c r="A212" s="30" t="str">
        <x:v>QB0317</x:v>
      </x:c>
      <x:c r="B212" s="30" t="str">
        <x:v>MS GCM</x:v>
      </x:c>
      <x:c r="C212" s="30" t="str">
        <x:v>IBD / GCM</x:v>
      </x:c>
      <x:c r="D212" s="31" t="str">
        <x:v>Pitch me a stock;</x:v>
      </x:c>
      <x:c r="E212" s="31" t="str">
        <x:v>Pitch me a stock</x:v>
      </x:c>
      <x:c r="F212" s="31" t="str">
        <x:v>Investment Pitch</x:v>
      </x:c>
      <x:c r="G212" s="30" t="str">
        <x:v>CL0006</x:v>
      </x:c>
      <x:c r="H212" s="32" t="n">
        <x:f>COUNTIF($G$5:$G$1725,G212)</x:f>
        <x:v>19</x:v>
      </x:c>
      <x:c r="I212" s="30" t="str">
        <x:v>C70</x:v>
      </x:c>
      <x:c r="J212" s="31" t="str">
        <x:v>why GCM; | why banking; | why hk not Yunnan;</x:v>
      </x:c>
    </x:row>
    <x:row r="213" ht="32" customHeight="1">
      <x:c r="A213" s="30" t="str">
        <x:v>QB0319</x:v>
      </x:c>
      <x:c r="B213" s="30" t="str">
        <x:v>MS GCM</x:v>
      </x:c>
      <x:c r="C213" s="30" t="str">
        <x:v>IBD / GCM</x:v>
      </x:c>
      <x:c r="D213" s="31" t="str">
        <x:v>what's the technical skills that make you stand out;</x:v>
      </x:c>
      <x:c r="E213" s="31" t="str">
        <x:v>What's the technical skills that make you stand out</x:v>
      </x:c>
      <x:c r="F213" s="31" t="str">
        <x:v>Other Technical</x:v>
      </x:c>
      <x:c r="G213" s="30" t="str">
        <x:v>CL1059</x:v>
      </x:c>
      <x:c r="H213" s="32" t="n">
        <x:f>COUNTIF($G$5:$G$1725,G213)</x:f>
        <x:v>1</x:v>
      </x:c>
      <x:c r="I213" s="30" t="str">
        <x:v>C72</x:v>
      </x:c>
      <x:c r="J213" s="31" t="str">
        <x:v>why hk not Yunnan; | Pitch me a stock; | Some comparable comps;</x:v>
      </x:c>
    </x:row>
    <x:row r="214" ht="68" customHeight="1">
      <x:c r="A214" s="30" t="str">
        <x:v>QB0320</x:v>
      </x:c>
      <x:c r="B214" s="30" t="str">
        <x:v>MS GCM</x:v>
      </x:c>
      <x:c r="C214" s="30" t="str">
        <x:v>IBD / GCM</x:v>
      </x:c>
      <x:c r="D214" s="31" t="str">
        <x:v>if you get offer from MS GCM, and you call your grandma back to Yunnan, your grandma said congratulations but what if GCM? What will you explain to your grandma about your role</x:v>
      </x:c>
      <x:c r="E214" s="31" t="str">
        <x:v>If you get offer from MS GCM, and you call your grandma back to Yunnan, your grandma said congratulations but what if GCM? What will you explain to your grandma about your role</x:v>
      </x:c>
      <x:c r="F214" s="31" t="str">
        <x:v>Capital Markets &amp; Financing</x:v>
      </x:c>
      <x:c r="G214" s="30" t="str">
        <x:v>CL0531</x:v>
      </x:c>
      <x:c r="H214" s="32" t="n">
        <x:f>COUNTIF($G$5:$G$1725,G214)</x:f>
        <x:v>1</x:v>
      </x:c>
      <x:c r="I214" s="30" t="str">
        <x:v>C73</x:v>
      </x:c>
      <x:c r="J214" s="31" t="str">
        <x:v>Pitch me a stock; | Some comparable comps; | what's the technical skills that make you stand out;</x:v>
      </x:c>
    </x:row>
    <x:row r="215" ht="32" customHeight="1">
      <x:c r="A215" s="30" t="str">
        <x:v>QB0324</x:v>
      </x:c>
      <x:c r="B215" s="30" t="str">
        <x:v>MS GCM</x:v>
      </x:c>
      <x:c r="C215" s="30" t="str">
        <x:v>IBD / GCM</x:v>
      </x:c>
      <x:c r="D215" s="31" t="str">
        <x:v>why GCM</x:v>
      </x:c>
      <x:c r="E215" s="31" t="str">
        <x:v>Why global capital markets?</x:v>
      </x:c>
      <x:c r="F215" s="31" t="str">
        <x:v>Fit &amp; Motivation</x:v>
      </x:c>
      <x:c r="G215" s="30" t="str">
        <x:v>CL0009</x:v>
      </x:c>
      <x:c r="H215" s="32" t="n">
        <x:f>COUNTIF($G$5:$G$1725,G215)</x:f>
        <x:v>14</x:v>
      </x:c>
      <x:c r="I215" s="30" t="str">
        <x:v>C78</x:v>
      </x:c>
      <x:c r="J215" s="31" t="str">
        <x:v>反问； | interviewer 3, Melody Wang, female, hk, vp: | intro</x:v>
      </x:c>
    </x:row>
    <x:row r="216" ht="32" customHeight="1">
      <x:c r="A216" s="30" t="str">
        <x:v>QB0325</x:v>
      </x:c>
      <x:c r="B216" s="30" t="str">
        <x:v>MS GCM</x:v>
      </x:c>
      <x:c r="C216" s="30" t="str">
        <x:v>IBD / GCM</x:v>
      </x:c>
      <x:c r="D216" s="31" t="str">
        <x:v>how a deal couldn't get listed, factors?</x:v>
      </x:c>
      <x:c r="E216" s="31" t="str">
        <x:v>How a deal couldn't get listed, factors</x:v>
      </x:c>
      <x:c r="F216" s="31" t="str">
        <x:v>Company, Industry &amp; Deals</x:v>
      </x:c>
      <x:c r="G216" s="30" t="str">
        <x:v>CL0368</x:v>
      </x:c>
      <x:c r="H216" s="32" t="n">
        <x:f>COUNTIF($G$5:$G$1725,G216)</x:f>
        <x:v>1</x:v>
      </x:c>
      <x:c r="I216" s="30" t="str">
        <x:v>C79</x:v>
      </x:c>
      <x:c r="J216" s="31" t="str">
        <x:v>interviewer 3, Melody Wang, female, hk, vp: | intro | why GCM</x:v>
      </x:c>
    </x:row>
    <x:row r="217" ht="32" customHeight="1">
      <x:c r="A217" s="30" t="str">
        <x:v>QB0326</x:v>
      </x:c>
      <x:c r="B217" s="30" t="str">
        <x:v>MS GCM</x:v>
      </x:c>
      <x:c r="C217" s="30" t="str">
        <x:v>IBD / GCM</x:v>
      </x:c>
      <x:c r="D217" s="31" t="str">
        <x:v>a firm/deal you worked on that you think is interesting;</x:v>
      </x:c>
      <x:c r="E217" s="31" t="str">
        <x:v>Walk me through a deal you worked on</x:v>
      </x:c>
      <x:c r="F217" s="31" t="str">
        <x:v>Resume &amp; Experience</x:v>
      </x:c>
      <x:c r="G217" s="30" t="str">
        <x:v>CL0017</x:v>
      </x:c>
      <x:c r="H217" s="32" t="n">
        <x:f>COUNTIF($G$5:$G$1725,G217)</x:f>
        <x:v>8</x:v>
      </x:c>
      <x:c r="I217" s="30" t="str">
        <x:v>C80</x:v>
      </x:c>
      <x:c r="J217" s="31" t="str">
        <x:v>intro | why GCM | how a deal couldn't get listed, factors?</x:v>
      </x:c>
    </x:row>
    <x:row r="218" ht="48" customHeight="1">
      <x:c r="A218" s="30" t="str">
        <x:v>QB0328</x:v>
      </x:c>
      <x:c r="B218" s="30" t="str">
        <x:v>MS GCM</x:v>
      </x:c>
      <x:c r="C218" s="30" t="str">
        <x:v>IBD / GCM</x:v>
      </x:c>
      <x:c r="D218" s="31" t="str">
        <x:v>name 5 listed Chinese TMT comps;</x:v>
      </x:c>
      <x:c r="E218" s="31" t="str">
        <x:v>Name 5 listed Chinese TMT comps</x:v>
      </x:c>
      <x:c r="F218" s="31" t="str">
        <x:v>Valuation</x:v>
      </x:c>
      <x:c r="G218" s="30" t="str">
        <x:v>CL0616</x:v>
      </x:c>
      <x:c r="H218" s="32" t="n">
        <x:f>COUNTIF($G$5:$G$1725,G218)</x:f>
        <x:v>1</x:v>
      </x:c>
      <x:c r="I218" s="30" t="str">
        <x:v>C82</x:v>
      </x:c>
      <x:c r="J218" s="31" t="str">
        <x:v>how a deal couldn't get listed, factors? | a firm/deal you worked on that you think is interesting; | highlights, risks</x:v>
      </x:c>
    </x:row>
    <x:row r="219" ht="48" customHeight="1">
      <x:c r="A219" s="30" t="str">
        <x:v>QB0329</x:v>
      </x:c>
      <x:c r="B219" s="30" t="str">
        <x:v>MS GCM</x:v>
      </x:c>
      <x:c r="C219" s="30" t="str">
        <x:v>IBD / GCM</x:v>
      </x:c>
      <x:c r="D219" s="31" t="str">
        <x:v>name 3 Chinese unicorns</x:v>
      </x:c>
      <x:c r="E219" s="31" t="str">
        <x:v>Name 3 Chinese unicorns</x:v>
      </x:c>
      <x:c r="F219" s="31" t="str">
        <x:v>Company, Industry &amp; Deals</x:v>
      </x:c>
      <x:c r="G219" s="30" t="str">
        <x:v>CL0615</x:v>
      </x:c>
      <x:c r="H219" s="32" t="n">
        <x:f>COUNTIF($G$5:$G$1725,G219)</x:f>
        <x:v>1</x:v>
      </x:c>
      <x:c r="I219" s="30" t="str">
        <x:v>C83</x:v>
      </x:c>
      <x:c r="J219" s="31" t="str">
        <x:v>a firm/deal you worked on that you think is interesting; | highlights, risks | name 5 listed Chinese TMT comps;</x:v>
      </x:c>
    </x:row>
    <x:row r="220" ht="48" customHeight="1">
      <x:c r="A220" s="30" t="str">
        <x:v>QB0331</x:v>
      </x:c>
      <x:c r="B220" s="30" t="str">
        <x:v>MS GCM</x:v>
      </x:c>
      <x:c r="C220" s="30" t="str">
        <x:v>IBD / GCM</x:v>
      </x:c>
      <x:c r="D220" s="31" t="str">
        <x:v>Do valuation of xhs;</x:v>
      </x:c>
      <x:c r="E220" s="31" t="str">
        <x:v>Do valuation of xhs</x:v>
      </x:c>
      <x:c r="F220" s="31" t="str">
        <x:v>Valuation</x:v>
      </x:c>
      <x:c r="G220" s="30" t="str">
        <x:v>CL0266</x:v>
      </x:c>
      <x:c r="H220" s="32" t="n">
        <x:f>COUNTIF($G$5:$G$1725,G220)</x:f>
        <x:v>1</x:v>
      </x:c>
      <x:c r="I220" s="30" t="str">
        <x:v>C85</x:v>
      </x:c>
      <x:c r="J220" s="31" t="str">
        <x:v>name 5 listed Chinese TMT comps; | name 3 Chinese unicorns | (i said xhs): how do you think of xhs's potential trend</x:v>
      </x:c>
    </x:row>
    <x:row r="221" ht="48" customHeight="1">
      <x:c r="A221" s="30" t="str">
        <x:v>QB0332</x:v>
      </x:c>
      <x:c r="B221" s="30" t="str">
        <x:v>MS GCM</x:v>
      </x:c>
      <x:c r="C221" s="30" t="str">
        <x:v>IBD / GCM</x:v>
      </x:c>
      <x:c r="D221" s="31" t="str">
        <x:v>Are you sure NI is positive?</x:v>
      </x:c>
      <x:c r="E221" s="31" t="str">
        <x:v>Are you sure NI is positive</x:v>
      </x:c>
      <x:c r="F221" s="31" t="str">
        <x:v>Accounting &amp; Financial Statements</x:v>
      </x:c>
      <x:c r="G221" s="30" t="str">
        <x:v>CL0137</x:v>
      </x:c>
      <x:c r="H221" s="32" t="n">
        <x:f>COUNTIF($G$5:$G$1725,G221)</x:f>
        <x:v>1</x:v>
      </x:c>
      <x:c r="I221" s="30" t="str">
        <x:v>C86</x:v>
      </x:c>
      <x:c r="J221" s="31" t="str">
        <x:v>name 3 Chinese unicorns | (i said xhs): how do you think of xhs's potential trend | Do valuation of xhs;</x:v>
      </x:c>
    </x:row>
    <x:row r="222" ht="32" customHeight="1">
      <x:c r="A222" s="30" t="str">
        <x:v>QB0340</x:v>
      </x:c>
      <x:c r="B222" s="30" t="str">
        <x:v>MS GCM</x:v>
      </x:c>
      <x:c r="C222" s="30" t="str">
        <x:v>IBD / GCM</x:v>
      </x:c>
      <x:c r="D222" s="31" t="str">
        <x:v>With Para Zhao, Leveraged Finance, VP/D?</x:v>
      </x:c>
      <x:c r="E222" s="31" t="str">
        <x:v>With Para Zhao, Leveraged Finance, VP/D</x:v>
      </x:c>
      <x:c r="F222" s="31" t="str">
        <x:v>Capital Markets &amp; Financing</x:v>
      </x:c>
      <x:c r="G222" s="30" t="str">
        <x:v>CL1187</x:v>
      </x:c>
      <x:c r="H222" s="32" t="n">
        <x:f>COUNTIF($G$5:$G$1725,G222)</x:f>
        <x:v>1</x:v>
      </x:c>
      <x:c r="I222" s="30" t="str">
        <x:v>A94</x:v>
      </x:c>
      <x:c r="J222" s="31" t="str">
        <x:v>2026 SA | First Round | John</x:v>
      </x:c>
    </x:row>
    <x:row r="223" ht="32" customHeight="1">
      <x:c r="A223" s="30" t="str">
        <x:v>QB0342</x:v>
      </x:c>
      <x:c r="B223" s="30" t="str">
        <x:v>MS GCM</x:v>
      </x:c>
      <x:c r="C223" s="30" t="str">
        <x:v>IBD / GCM</x:v>
      </x:c>
      <x:c r="D223" s="31" t="str">
        <x:v>ABOUT AN EQUITY SEASONED OFFERING SOLUTION TO A COMPANY</x:v>
      </x:c>
      <x:c r="E223" s="31" t="str">
        <x:v>ABOUT AN EQUITY SEASONED OFFERING SOLUTION TO A COMPANY</x:v>
      </x:c>
      <x:c r="F223" s="31" t="str">
        <x:v>Capital Markets &amp; Financing</x:v>
      </x:c>
      <x:c r="G223" s="30" t="str">
        <x:v>CL0094</x:v>
      </x:c>
      <x:c r="H223" s="32" t="n">
        <x:f>COUNTIF($G$5:$G$1725,G223)</x:f>
        <x:v>1</x:v>
      </x:c>
      <x:c r="I223" s="30" t="str">
        <x:v>D94</x:v>
      </x:c>
      <x:c r="J223" s="31" t="str">
        <x:v>CASE STUDY (5mins read+15mins discussion+20mins pre and Q&amp;A)</x:v>
      </x:c>
    </x:row>
    <x:row r="224" ht="32" customHeight="1">
      <x:c r="A224" s="30" t="str">
        <x:v>QB0343</x:v>
      </x:c>
      <x:c r="B224" s="30" t="str">
        <x:v>MS GCM</x:v>
      </x:c>
      <x:c r="C224" s="30" t="str">
        <x:v>IBD / GCM</x:v>
      </x:c>
      <x:c r="D224" s="31" t="str">
        <x:v>Walk me through your CV</x:v>
      </x:c>
      <x:c r="E224" s="31" t="str">
        <x:v>Tell me about yourself / walk me through your resume</x:v>
      </x:c>
      <x:c r="F224" s="31" t="str">
        <x:v>Resume &amp; Experience</x:v>
      </x:c>
      <x:c r="G224" s="30" t="str">
        <x:v>CL0001</x:v>
      </x:c>
      <x:c r="H224" s="32" t="n">
        <x:f>COUNTIF($G$5:$G$1725,G224)</x:f>
        <x:v>170</x:v>
      </x:c>
      <x:c r="I224" s="30" t="str">
        <x:v>A95</x:v>
      </x:c>
      <x:c r="J224" s="31" t="str">
        <x:v>First Round | John | With Para Zhao, Leveraged Finance, VP/D?</x:v>
      </x:c>
    </x:row>
    <x:row r="225" ht="32" customHeight="1">
      <x:c r="A225" s="30" t="str">
        <x:v>QB0344</x:v>
      </x:c>
      <x:c r="B225" s="30" t="str">
        <x:v>MS GCM</x:v>
      </x:c>
      <x:c r="C225" s="30" t="str">
        <x:v>IBD / GCM</x:v>
      </x:c>
      <x:c r="D225" s="31" t="str">
        <x:v>Self intro</x:v>
      </x:c>
      <x:c r="E225" s="31" t="str">
        <x:v>Tell me about yourself / walk me through your resume</x:v>
      </x:c>
      <x:c r="F225" s="31" t="str">
        <x:v>Resume &amp; Experience</x:v>
      </x:c>
      <x:c r="G225" s="30" t="str">
        <x:v>CL0001</x:v>
      </x:c>
      <x:c r="H225" s="32" t="n">
        <x:f>COUNTIF($G$5:$G$1725,G225)</x:f>
        <x:v>170</x:v>
      </x:c>
      <x:c r="I225" s="30" t="str">
        <x:v>C95</x:v>
      </x:c>
      <x:c r="J225" s="31" t="str">
        <x:v>反问 | Veronica | Interviewer: Dick Lee (he is very chill)</x:v>
      </x:c>
    </x:row>
    <x:row r="226" ht="32" customHeight="1">
      <x:c r="A226" s="30" t="str">
        <x:v>QB0346</x:v>
      </x:c>
      <x:c r="B226" s="30" t="str">
        <x:v>MS GCM</x:v>
      </x:c>
      <x:c r="C226" s="30" t="str">
        <x:v>IBD / GCM</x:v>
      </x:c>
      <x:c r="D226" s="31" t="str">
        <x:v>Why GCM not GM?</x:v>
      </x:c>
      <x:c r="E226" s="31" t="str">
        <x:v>Why global capital markets?</x:v>
      </x:c>
      <x:c r="F226" s="31" t="str">
        <x:v>Fit &amp; Motivation</x:v>
      </x:c>
      <x:c r="G226" s="30" t="str">
        <x:v>CL0009</x:v>
      </x:c>
      <x:c r="H226" s="32" t="n">
        <x:f>COUNTIF($G$5:$G$1725,G226)</x:f>
        <x:v>14</x:v>
      </x:c>
      <x:c r="I226" s="30" t="str">
        <x:v>A96</x:v>
      </x:c>
      <x:c r="J226" s="31" t="str">
        <x:v>John | With Para Zhao, Leveraged Finance, VP/D? | Walk me through your CV</x:v>
      </x:c>
    </x:row>
    <x:row r="227" ht="32" customHeight="1">
      <x:c r="A227" s="30" t="str">
        <x:v>QB0347</x:v>
      </x:c>
      <x:c r="B227" s="30" t="str">
        <x:v>MS GCM</x:v>
      </x:c>
      <x:c r="C227" s="30" t="str">
        <x:v>IBD / GCM</x:v>
      </x:c>
      <x:c r="D227" s="31" t="str">
        <x:v>why GCM instead of IBD/PE</x:v>
      </x:c>
      <x:c r="E227" s="31" t="str">
        <x:v>Why global capital markets?</x:v>
      </x:c>
      <x:c r="F227" s="31" t="str">
        <x:v>Fit &amp; Motivation</x:v>
      </x:c>
      <x:c r="G227" s="30" t="str">
        <x:v>CL0009</x:v>
      </x:c>
      <x:c r="H227" s="32" t="n">
        <x:f>COUNTIF($G$5:$G$1725,G227)</x:f>
        <x:v>14</x:v>
      </x:c>
      <x:c r="I227" s="30" t="str">
        <x:v>C96</x:v>
      </x:c>
      <x:c r="J227" s="31" t="str">
        <x:v>Veronica | Interviewer: Dick Lee (he is very chill) | Self intro</x:v>
      </x:c>
    </x:row>
    <x:row r="228" ht="32" customHeight="1">
      <x:c r="A228" s="30" t="str">
        <x:v>QB0348</x:v>
      </x:c>
      <x:c r="B228" s="30" t="str">
        <x:v>MS GCM</x:v>
      </x:c>
      <x:c r="C228" s="30" t="str">
        <x:v>IBD / GCM</x:v>
      </x:c>
      <x:c r="D228" s="31" t="str">
        <x:v>Raising capital through equity or debt, usually what are the pros and cons?</x:v>
      </x:c>
      <x:c r="E228" s="31" t="str">
        <x:v>How should a company choose between debt and equity financing?</x:v>
      </x:c>
      <x:c r="F228" s="31" t="str">
        <x:v>Capital Markets &amp; Financing</x:v>
      </x:c>
      <x:c r="G228" s="30" t="str">
        <x:v>CL0005</x:v>
      </x:c>
      <x:c r="H228" s="32" t="n">
        <x:f>COUNTIF($G$5:$G$1725,G228)</x:f>
        <x:v>21</x:v>
      </x:c>
      <x:c r="I228" s="30" t="str">
        <x:v>A97</x:v>
      </x:c>
      <x:c r="J228" s="31" t="str">
        <x:v>With Para Zhao, Leveraged Finance, VP/D? | Walk me through your CV | Why GCM not GM?</x:v>
      </x:c>
    </x:row>
    <x:row r="229" ht="32" customHeight="1">
      <x:c r="A229" s="30" t="str">
        <x:v>QB0349</x:v>
      </x:c>
      <x:c r="B229" s="30" t="str">
        <x:v>MS GCM</x:v>
      </x:c>
      <x:c r="C229" s="30" t="str">
        <x:v>IBD / GCM</x:v>
      </x:c>
      <x:c r="D229" s="31" t="str">
        <x:v>Tell me about the product teams under GCM. Their functions?</x:v>
      </x:c>
      <x:c r="E229" s="31" t="str">
        <x:v>Tell me about the product teams under GCM. Their functions</x:v>
      </x:c>
      <x:c r="F229" s="31" t="str">
        <x:v>Capital Markets &amp; Financing</x:v>
      </x:c>
      <x:c r="G229" s="30" t="str">
        <x:v>CL0744</x:v>
      </x:c>
      <x:c r="H229" s="32" t="n">
        <x:f>COUNTIF($G$5:$G$1725,G229)</x:f>
        <x:v>1</x:v>
      </x:c>
      <x:c r="I229" s="30" t="str">
        <x:v>C97</x:v>
      </x:c>
      <x:c r="J229" s="31" t="str">
        <x:v>Interviewer: Dick Lee (he is very chill) | Self intro | why GCM instead of IBD/PE</x:v>
      </x:c>
    </x:row>
    <x:row r="230" ht="48" customHeight="1">
      <x:c r="A230" s="30" t="str">
        <x:v>QB0350</x:v>
      </x:c>
      <x:c r="B230" s="30" t="str">
        <x:v>MS GCM</x:v>
      </x:c>
      <x:c r="C230" s="30" t="str">
        <x:v>IBD / GCM</x:v>
      </x:c>
      <x:c r="D230" s="31" t="str">
        <x:v>Situational Q: asked about financing solution for a company that I followed during my ER intern</x:v>
      </x:c>
      <x:c r="E230" s="31" t="str">
        <x:v>Situational Q: asked about financing solution for a company that I followed during my ER intern</x:v>
      </x:c>
      <x:c r="F230" s="31" t="str">
        <x:v>Capital Markets &amp; Financing</x:v>
      </x:c>
      <x:c r="G230" s="30" t="str">
        <x:v>CL0681</x:v>
      </x:c>
      <x:c r="H230" s="32" t="n">
        <x:f>COUNTIF($G$5:$G$1725,G230)</x:f>
        <x:v>1</x:v>
      </x:c>
      <x:c r="I230" s="30" t="str">
        <x:v>A98</x:v>
      </x:c>
      <x:c r="J230" s="31" t="str">
        <x:v>Walk me through your CV | Why GCM not GM? | Raising capital through equity or debt, usually what are the pros and cons?</x:v>
      </x:c>
    </x:row>
    <x:row r="231" ht="48" customHeight="1">
      <x:c r="A231" s="30" t="str">
        <x:v>QB0351</x:v>
      </x:c>
      <x:c r="B231" s="30" t="str">
        <x:v>MS GCM</x:v>
      </x:c>
      <x:c r="C231" s="30" t="str">
        <x:v>IBD / GCM</x:v>
      </x:c>
      <x:c r="D231" s="31" t="str">
        <x:v>Preference for team?</x:v>
      </x:c>
      <x:c r="E231" s="31" t="str">
        <x:v>Preference for team</x:v>
      </x:c>
      <x:c r="F231" s="31" t="str">
        <x:v>Other Question</x:v>
      </x:c>
      <x:c r="G231" s="30" t="str">
        <x:v>CL0647</x:v>
      </x:c>
      <x:c r="H231" s="32" t="n">
        <x:f>COUNTIF($G$5:$G$1725,G231)</x:f>
        <x:v>1</x:v>
      </x:c>
      <x:c r="I231" s="30" t="str">
        <x:v>C98</x:v>
      </x:c>
      <x:c r="J231" s="31" t="str">
        <x:v>Self intro | why GCM instead of IBD/PE | Tell me about the product teams under GCM. Their functions?</x:v>
      </x:c>
    </x:row>
    <x:row r="232" ht="32" customHeight="1">
      <x:c r="A232" s="30" t="str">
        <x:v>QB0358</x:v>
      </x:c>
      <x:c r="B232" s="30" t="str">
        <x:v>MS GCM</x:v>
      </x:c>
      <x:c r="C232" s="30" t="str">
        <x:v>IBD / GCM</x:v>
      </x:c>
      <x:c r="D232" s="31" t="str">
        <x:v>Tell me about whats happening in the capital market this year</x:v>
      </x:c>
      <x:c r="E232" s="31" t="str">
        <x:v>Tell me about whats happening in the capital market this year</x:v>
      </x:c>
      <x:c r="F232" s="31" t="str">
        <x:v>Capital Markets &amp; Financing</x:v>
      </x:c>
      <x:c r="G232" s="30" t="str">
        <x:v>CL0749</x:v>
      </x:c>
      <x:c r="H232" s="32" t="n">
        <x:f>COUNTIF($G$5:$G$1725,G232)</x:f>
        <x:v>1</x:v>
      </x:c>
      <x:c r="I232" s="30" t="str">
        <x:v>C102</x:v>
      </x:c>
      <x:c r="J232" s="31" t="str">
        <x:v>Case comp experience | HSBC vs MS | CV questions</x:v>
      </x:c>
    </x:row>
    <x:row r="233" ht="32" customHeight="1">
      <x:c r="A233" s="30" t="str">
        <x:v>QB0359</x:v>
      </x:c>
      <x:c r="B233" s="30" t="str">
        <x:v>MS GCM</x:v>
      </x:c>
      <x:c r="C233" s="30" t="str">
        <x:v>IBD / GCM</x:v>
      </x:c>
      <x:c r="D233" s="31" t="str">
        <x:v>Walk thru a deal by MS</x:v>
      </x:c>
      <x:c r="E233" s="31" t="str">
        <x:v>Discuss a recent deal completed by this firm</x:v>
      </x:c>
      <x:c r="F233" s="31" t="str">
        <x:v>Resume &amp; Experience</x:v>
      </x:c>
      <x:c r="G233" s="30" t="str">
        <x:v>CL0008</x:v>
      </x:c>
      <x:c r="H233" s="32" t="n">
        <x:f>COUNTIF($G$5:$G$1725,G233)</x:f>
        <x:v>14</x:v>
      </x:c>
      <x:c r="I233" s="30" t="str">
        <x:v>C103</x:v>
      </x:c>
      <x:c r="J233" s="31" t="str">
        <x:v>HSBC vs MS | CV questions | Tell me about whats happening in the capital market this year</x:v>
      </x:c>
    </x:row>
    <x:row r="234" ht="48" customHeight="1">
      <x:c r="A234" s="30" t="str">
        <x:v>QB0360</x:v>
      </x:c>
      <x:c r="B234" s="30" t="str">
        <x:v>MS GCM</x:v>
      </x:c>
      <x:c r="C234" s="30" t="str">
        <x:v>IBD / GCM</x:v>
      </x:c>
      <x:c r="D234" s="31" t="str">
        <x:v>whats the biggest IPO in hk this year</x:v>
      </x:c>
      <x:c r="E234" s="31" t="str">
        <x:v>Whats the biggest IPO in hk this year</x:v>
      </x:c>
      <x:c r="F234" s="31" t="str">
        <x:v>Capital Markets &amp; Financing</x:v>
      </x:c>
      <x:c r="G234" s="30" t="str">
        <x:v>CL1072</x:v>
      </x:c>
      <x:c r="H234" s="32" t="n">
        <x:f>COUNTIF($G$5:$G$1725,G234)</x:f>
        <x:v>1</x:v>
      </x:c>
      <x:c r="I234" s="30" t="str">
        <x:v>C104</x:v>
      </x:c>
      <x:c r="J234" s="31" t="str">
        <x:v>CV questions | Tell me about whats happening in the capital market this year | Walk thru a deal by MS</x:v>
      </x:c>
    </x:row>
    <x:row r="235" ht="48" customHeight="1">
      <x:c r="A235" s="30" t="str">
        <x:v>QB0361</x:v>
      </x:c>
      <x:c r="B235" s="30" t="str">
        <x:v>MS GCM</x:v>
      </x:c>
      <x:c r="C235" s="30" t="str">
        <x:v>IBD / GCM</x:v>
      </x:c>
      <x:c r="D235" s="31" t="str">
        <x:v>views on interest rate</x:v>
      </x:c>
      <x:c r="E235" s="31" t="str">
        <x:v>What is your outlook for interest rates?</x:v>
      </x:c>
      <x:c r="F235" s="31" t="str">
        <x:v>Markets &amp; Macro</x:v>
      </x:c>
      <x:c r="G235" s="30" t="str">
        <x:v>CL0028</x:v>
      </x:c>
      <x:c r="H235" s="32" t="n">
        <x:f>COUNTIF($G$5:$G$1725,G235)</x:f>
        <x:v>3</x:v>
      </x:c>
      <x:c r="I235" s="30" t="str">
        <x:v>C105</x:v>
      </x:c>
      <x:c r="J235" s="31" t="str">
        <x:v>Tell me about whats happening in the capital market this year | Walk thru a deal by MS | whats the biggest IPO in hk this year</x:v>
      </x:c>
    </x:row>
    <x:row r="236" ht="32" customHeight="1">
      <x:c r="A236" s="30" t="str">
        <x:v>QB0366</x:v>
      </x:c>
      <x:c r="B236" s="30" t="str">
        <x:v>MS GCM</x:v>
      </x:c>
      <x:c r="C236" s="30" t="str">
        <x:v>IBD / GCM</x:v>
      </x:c>
      <x:c r="D236" s="31" t="str">
        <x:v>Danny Lam, HR? COO?</x:v>
      </x:c>
      <x:c r="E236" s="31" t="str">
        <x:v>Danny Lam, HR? COO</x:v>
      </x:c>
      <x:c r="F236" s="31" t="str">
        <x:v>Other Question</x:v>
      </x:c>
      <x:c r="G236" s="30" t="str">
        <x:v>CL0218</x:v>
      </x:c>
      <x:c r="H236" s="32" t="n">
        <x:f>COUNTIF($G$5:$G$1725,G236)</x:f>
        <x:v>1</x:v>
      </x:c>
      <x:c r="I236" s="30" t="str">
        <x:v>A110</x:v>
      </x:c>
      <x:c r="J236" s="31" t="str">
        <x:v>反问 | Super Day | John</x:v>
      </x:c>
    </x:row>
    <x:row r="237" ht="32" customHeight="1">
      <x:c r="A237" s="30" t="str">
        <x:v>QB0369</x:v>
      </x:c>
      <x:c r="B237" s="30" t="str">
        <x:v>MS GCM</x:v>
      </x:c>
      <x:c r="C237" s="30" t="str">
        <x:v>IBD / GCM</x:v>
      </x:c>
      <x:c r="D237" s="31" t="str">
        <x:v>self intro</x:v>
      </x:c>
      <x:c r="E237" s="31" t="str">
        <x:v>Tell me about yourself / walk me through your resume</x:v>
      </x:c>
      <x:c r="F237" s="31" t="str">
        <x:v>Resume &amp; Experience</x:v>
      </x:c>
      <x:c r="G237" s="30" t="str">
        <x:v>CL0001</x:v>
      </x:c>
      <x:c r="H237" s="32" t="n">
        <x:f>COUNTIF($G$5:$G$1725,G237)</x:f>
        <x:v>170</x:v>
      </x:c>
      <x:c r="I237" s="30" t="str">
        <x:v>C111</x:v>
      </x:c>
      <x:c r="J237" s="31" t="str">
        <x:v>Q&amp;A | Veronica | Interviewer 1: Melody Wang (ED, ECM) she is very scary</x:v>
      </x:c>
    </x:row>
    <x:row r="238" ht="32" customHeight="1">
      <x:c r="A238" s="30" t="str">
        <x:v>QB0370</x:v>
      </x:c>
      <x:c r="B238" s="30" t="str">
        <x:v>MS GCM</x:v>
      </x:c>
      <x:c r="C238" s="30" t="str">
        <x:v>IBD / GCM</x:v>
      </x:c>
      <x:c r="D238" s="31" t="str">
        <x:v>Why GCM not GM?</x:v>
      </x:c>
      <x:c r="E238" s="31" t="str">
        <x:v>Why global capital markets?</x:v>
      </x:c>
      <x:c r="F238" s="31" t="str">
        <x:v>Fit &amp; Motivation</x:v>
      </x:c>
      <x:c r="G238" s="30" t="str">
        <x:v>CL0009</x:v>
      </x:c>
      <x:c r="H238" s="32" t="n">
        <x:f>COUNTIF($G$5:$G$1725,G238)</x:f>
        <x:v>14</x:v>
      </x:c>
      <x:c r="I238" s="30" t="str">
        <x:v>A112</x:v>
      </x:c>
      <x:c r="J238" s="31" t="str">
        <x:v>John | Danny Lam, HR? COO? | Mostly very common behavioral ones. Chill and easy to handle</x:v>
      </x:c>
    </x:row>
    <x:row r="239" ht="32" customHeight="1">
      <x:c r="A239" s="30" t="str">
        <x:v>QB0371</x:v>
      </x:c>
      <x:c r="B239" s="30" t="str">
        <x:v>MS GCM</x:v>
      </x:c>
      <x:c r="C239" s="30" t="str">
        <x:v>IBD / GCM</x:v>
      </x:c>
      <x:c r="D239" s="31" t="str">
        <x:v>Why GCM instead of other divisions?</x:v>
      </x:c>
      <x:c r="E239" s="31" t="str">
        <x:v>Why global capital markets?</x:v>
      </x:c>
      <x:c r="F239" s="31" t="str">
        <x:v>Fit &amp; Motivation</x:v>
      </x:c>
      <x:c r="G239" s="30" t="str">
        <x:v>CL0009</x:v>
      </x:c>
      <x:c r="H239" s="32" t="n">
        <x:f>COUNTIF($G$5:$G$1725,G239)</x:f>
        <x:v>14</x:v>
      </x:c>
      <x:c r="I239" s="30" t="str">
        <x:v>C112</x:v>
      </x:c>
      <x:c r="J239" s="31" t="str">
        <x:v>Veronica | Interviewer 1: Melody Wang (ED, ECM) she is very scary | self intro</x:v>
      </x:c>
    </x:row>
    <x:row r="240" ht="48" customHeight="1">
      <x:c r="A240" s="30" t="str">
        <x:v>QB0372</x:v>
      </x:c>
      <x:c r="B240" s="30" t="str">
        <x:v>MS GCM</x:v>
      </x:c>
      <x:c r="C240" s="30" t="str">
        <x:v>IBD / GCM</x:v>
      </x:c>
      <x:c r="D240" s="31" t="str">
        <x:v>What's your hours on the trading floor? - Banking side has long hours, be prepared.</x:v>
      </x:c>
      <x:c r="E240" s="31" t="str">
        <x:v>What's your hours on the trading floor? - Banking side has long hours, be prepared</x:v>
      </x:c>
      <x:c r="F240" s="31" t="str">
        <x:v>Fit &amp; Motivation</x:v>
      </x:c>
      <x:c r="G240" s="30" t="str">
        <x:v>CL1064</x:v>
      </x:c>
      <x:c r="H240" s="32" t="n">
        <x:f>COUNTIF($G$5:$G$1725,G240)</x:f>
        <x:v>1</x:v>
      </x:c>
      <x:c r="I240" s="30" t="str">
        <x:v>A113</x:v>
      </x:c>
      <x:c r="J240" s="31" t="str">
        <x:v>Danny Lam, HR? COO? | Mostly very common behavioral ones. Chill and easy to handle | Why GCM not GM?</x:v>
      </x:c>
    </x:row>
    <x:row r="241" ht="48" customHeight="1">
      <x:c r="A241" s="30" t="str">
        <x:v>QB0373</x:v>
      </x:c>
      <x:c r="B241" s="30" t="str">
        <x:v>MS GCM</x:v>
      </x:c>
      <x:c r="C241" s="30" t="str">
        <x:v>IBD / GCM</x:v>
      </x:c>
      <x:c r="D241" s="31" t="str">
        <x:v>Why not ER?</x:v>
      </x:c>
      <x:c r="E241" s="31" t="str">
        <x:v>Why this role instead of another career path?</x:v>
      </x:c>
      <x:c r="F241" s="31" t="str">
        <x:v>Fit &amp; Motivation</x:v>
      </x:c>
      <x:c r="G241" s="30" t="str">
        <x:v>CL0020</x:v>
      </x:c>
      <x:c r="H241" s="32" t="n">
        <x:f>COUNTIF($G$5:$G$1725,G241)</x:f>
        <x:v>4</x:v>
      </x:c>
      <x:c r="I241" s="30" t="str">
        <x:v>C113</x:v>
      </x:c>
      <x:c r="J241" s="31" t="str">
        <x:v>Interviewer 1: Melody Wang (ED, ECM) she is very scary | self intro | Why GCM instead of other divisions?</x:v>
      </x:c>
    </x:row>
    <x:row r="242" ht="68" customHeight="1">
      <x:c r="A242" s="30" t="str">
        <x:v>QB0374</x:v>
      </x:c>
      <x:c r="B242" s="30" t="str">
        <x:v>MS GCM</x:v>
      </x:c>
      <x:c r="C242" s="30" t="str">
        <x:v>IBD / GCM</x:v>
      </x:c>
      <x:c r="D242" s="31" t="str">
        <x:v>Tell me about a deal done by MS</x:v>
      </x:c>
      <x:c r="E242" s="31" t="str">
        <x:v>Discuss a recent deal completed by this firm</x:v>
      </x:c>
      <x:c r="F242" s="31" t="str">
        <x:v>Company, Industry &amp; Deals</x:v>
      </x:c>
      <x:c r="G242" s="30" t="str">
        <x:v>CL0008</x:v>
      </x:c>
      <x:c r="H242" s="32" t="n">
        <x:f>COUNTIF($G$5:$G$1725,G242)</x:f>
        <x:v>14</x:v>
      </x:c>
      <x:c r="I242" s="30" t="str">
        <x:v>A114</x:v>
      </x:c>
      <x:c r="J242" s="31" t="str">
        <x:v>Mostly very common behavioral ones. Chill and easy to handle | Why GCM not GM? | What's your hours on the trading floor? - Banking side has long hours, be prepared.</x:v>
      </x:c>
    </x:row>
    <x:row r="243" ht="32" customHeight="1">
      <x:c r="A243" s="30" t="str">
        <x:v>QB0375</x:v>
      </x:c>
      <x:c r="B243" s="30" t="str">
        <x:v>MS GCM</x:v>
      </x:c>
      <x:c r="C243" s="30" t="str">
        <x:v>IBD / GCM</x:v>
      </x:c>
      <x:c r="D243" s="31" t="str">
        <x:v>stock your team covered with the highest market cap ( and i pitched a stock)</x:v>
      </x:c>
      <x:c r="E243" s="31" t="str">
        <x:v>Stock your team covered with the highest market cap ( and i pitched a stock)</x:v>
      </x:c>
      <x:c r="F243" s="31" t="str">
        <x:v>Behavioral &amp; Situational</x:v>
      </x:c>
      <x:c r="G243" s="30" t="str">
        <x:v>CL0691</x:v>
      </x:c>
      <x:c r="H243" s="32" t="n">
        <x:f>COUNTIF($G$5:$G$1725,G243)</x:f>
        <x:v>1</x:v>
      </x:c>
      <x:c r="I243" s="30" t="str">
        <x:v>C114</x:v>
      </x:c>
      <x:c r="J243" s="31" t="str">
        <x:v>self intro | Why GCM instead of other divisions? | Why not ER?</x:v>
      </x:c>
    </x:row>
    <x:row r="244" ht="48" customHeight="1">
      <x:c r="A244" s="30" t="str">
        <x:v>QB0377</x:v>
      </x:c>
      <x:c r="B244" s="30" t="str">
        <x:v>MS GCM</x:v>
      </x:c>
      <x:c r="C244" s="30" t="str">
        <x:v>IBD / GCM</x:v>
      </x:c>
      <x:c r="D244" s="31" t="str">
        <x:v>other sector you followed? pitch a stock in that sector (i wanna pitch one listed in mainland, she said No, can only pitch stock listed in hk)</x:v>
      </x:c>
      <x:c r="E244" s="31" t="str">
        <x:v>Pitch me a stock</x:v>
      </x:c>
      <x:c r="F244" s="31" t="str">
        <x:v>Investment Pitch</x:v>
      </x:c>
      <x:c r="G244" s="30" t="str">
        <x:v>CL0006</x:v>
      </x:c>
      <x:c r="H244" s="32" t="n">
        <x:f>COUNTIF($G$5:$G$1725,G244)</x:f>
        <x:v>19</x:v>
      </x:c>
      <x:c r="I244" s="30" t="str">
        <x:v>C115</x:v>
      </x:c>
      <x:c r="J244" s="31" t="str">
        <x:v>Why GCM instead of other divisions? | Why not ER? | stock your team covered with the highest market cap ( and i pitched a stock)</x:v>
      </x:c>
    </x:row>
    <x:row r="245" ht="68" customHeight="1">
      <x:c r="A245" s="30" t="str">
        <x:v>QB0378</x:v>
      </x:c>
      <x:c r="B245" s="30" t="str">
        <x:v>MS GCM</x:v>
      </x:c>
      <x:c r="C245" s="30" t="str">
        <x:v>IBD / GCM</x:v>
      </x:c>
      <x:c r="D245" s="31" t="str">
        <x:v>grill on stock pitch (many follow-up questions)</x:v>
      </x:c>
      <x:c r="E245" s="31" t="str">
        <x:v>Pitch me a stock</x:v>
      </x:c>
      <x:c r="F245" s="31" t="str">
        <x:v>Investment Pitch</x:v>
      </x:c>
      <x:c r="G245" s="30" t="str">
        <x:v>CL0006</x:v>
      </x:c>
      <x:c r="H245" s="32" t="n">
        <x:f>COUNTIF($G$5:$G$1725,G245)</x:f>
        <x:v>19</x:v>
      </x:c>
      <x:c r="I245" s="30" t="str">
        <x:v>C116</x:v>
      </x:c>
      <x:c r="J245" s="31" t="str">
        <x:v>Why not ER? | stock your team covered with the highest market cap ( and i pitched a stock) | other sector you followed? pitch a stock in that sector (i wanna pitch one listed in mainland, she said No, can only pitch stock listed in hk)</x:v>
      </x:c>
    </x:row>
    <x:row r="246" ht="92" customHeight="1">
      <x:c r="A246" s="30" t="str">
        <x:v>QB0380</x:v>
      </x:c>
      <x:c r="B246" s="30" t="str">
        <x:v>MS GCM</x:v>
      </x:c>
      <x:c r="C246" s="30" t="str">
        <x:v>IBD / GCM</x:v>
      </x:c>
      <x:c r="D246" s="31" t="str">
        <x:v>is this stock value stock or growth stock?</x:v>
      </x:c>
      <x:c r="E246" s="31" t="str">
        <x:v>Is this stock value stock or growth stock</x:v>
      </x:c>
      <x:c r="F246" s="31" t="str">
        <x:v>Accounting &amp; Financial Statements</x:v>
      </x:c>
      <x:c r="G246" s="30" t="str">
        <x:v>CL0563</x:v>
      </x:c>
      <x:c r="H246" s="32" t="n">
        <x:f>COUNTIF($G$5:$G$1725,G246)</x:f>
        <x:v>1</x:v>
      </x:c>
      <x:c r="I246" s="30" t="str">
        <x:v>C117</x:v>
      </x:c>
      <x:c r="J246" s="31" t="str">
        <x:v>stock your team covered with the highest market cap ( and i pitched a stock) | other sector you followed? pitch a stock in that sector (i wanna pitch one listed in mainland, she said No, can only pitch stock listed in hk) | grill on stoc...</x:v>
      </x:c>
    </x:row>
    <x:row r="247" ht="32" customHeight="1">
      <x:c r="A247" s="30" t="str">
        <x:v>QB0381</x:v>
      </x:c>
      <x:c r="B247" s="30" t="str">
        <x:v>MS GCM</x:v>
      </x:c>
      <x:c r="C247" s="30" t="str">
        <x:v>IBD / GCM</x:v>
      </x:c>
      <x:c r="D247" s="31" t="str">
        <x:v>Self intro</x:v>
      </x:c>
      <x:c r="E247" s="31" t="str">
        <x:v>Tell me about yourself / walk me through your resume</x:v>
      </x:c>
      <x:c r="F247" s="31" t="str">
        <x:v>Resume &amp; Experience</x:v>
      </x:c>
      <x:c r="G247" s="30" t="str">
        <x:v>CL0001</x:v>
      </x:c>
      <x:c r="H247" s="32" t="n">
        <x:f>COUNTIF($G$5:$G$1725,G247)</x:f>
        <x:v>170</x:v>
      </x:c>
      <x:c r="I247" s="30" t="str">
        <x:v>A118</x:v>
      </x:c>
      <x:c r="J247" s="31" t="str">
        <x:v>Tell me about a deal done by MS | 反问 | Amber Xi, ED in ECM</x:v>
      </x:c>
    </x:row>
    <x:row r="248" ht="68" customHeight="1">
      <x:c r="A248" s="30" t="str">
        <x:v>QB0382</x:v>
      </x:c>
      <x:c r="B248" s="30" t="str">
        <x:v>MS GCM</x:v>
      </x:c>
      <x:c r="C248" s="30" t="str">
        <x:v>IBD / GCM</x:v>
      </x:c>
      <x:c r="D248" s="31" t="str">
        <x:v>how do you define value stock/growth stock?</x:v>
      </x:c>
      <x:c r="E248" s="31" t="str">
        <x:v>How do you define value stock/growth stock</x:v>
      </x:c>
      <x:c r="F248" s="31" t="str">
        <x:v>Company, Industry &amp; Deals</x:v>
      </x:c>
      <x:c r="G248" s="30" t="str">
        <x:v>CL0404</x:v>
      </x:c>
      <x:c r="H248" s="32" t="n">
        <x:f>COUNTIF($G$5:$G$1725,G248)</x:f>
        <x:v>1</x:v>
      </x:c>
      <x:c r="I248" s="30" t="str">
        <x:v>C118</x:v>
      </x:c>
      <x:c r="J248" s="31" t="str">
        <x:v>other sector you followed? pitch a stock in that sector (i wanna pitch one listed in mainland, she said No, can only pitch stock listed in hk) | grill on stock pitch (many follow-up questions) | is this stock value stock or growth stock?</x:v>
      </x:c>
    </x:row>
    <x:row r="249" ht="32" customHeight="1">
      <x:c r="A249" s="30" t="str">
        <x:v>QB0383</x:v>
      </x:c>
      <x:c r="B249" s="30" t="str">
        <x:v>MS GCM</x:v>
      </x:c>
      <x:c r="C249" s="30" t="str">
        <x:v>IBD / GCM</x:v>
      </x:c>
      <x:c r="D249" s="31" t="str">
        <x:v>Walk me through a typical process of a HK IPO</x:v>
      </x:c>
      <x:c r="E249" s="31" t="str">
        <x:v>Walk me through a typical process of a HK IPO</x:v>
      </x:c>
      <x:c r="F249" s="31" t="str">
        <x:v>Capital Markets &amp; Financing</x:v>
      </x:c>
      <x:c r="G249" s="30" t="str">
        <x:v>CL0829</x:v>
      </x:c>
      <x:c r="H249" s="32" t="n">
        <x:f>COUNTIF($G$5:$G$1725,G249)</x:f>
        <x:v>1</x:v>
      </x:c>
      <x:c r="I249" s="30" t="str">
        <x:v>A119</x:v>
      </x:c>
      <x:c r="J249" s="31" t="str">
        <x:v>反问 | Amber Xi, ED in ECM | Self intro</x:v>
      </x:c>
    </x:row>
    <x:row r="250" ht="48" customHeight="1">
      <x:c r="A250" s="30" t="str">
        <x:v>QB0384</x:v>
      </x:c>
      <x:c r="B250" s="30" t="str">
        <x:v>MS GCM</x:v>
      </x:c>
      <x:c r="C250" s="30" t="str">
        <x:v>IBD / GCM</x:v>
      </x:c>
      <x:c r="D250" s="31" t="str">
        <x:v>how to find comps</x:v>
      </x:c>
      <x:c r="E250" s="31" t="str">
        <x:v>How do you select comparable companies?</x:v>
      </x:c>
      <x:c r="F250" s="31" t="str">
        <x:v>Valuation</x:v>
      </x:c>
      <x:c r="G250" s="30" t="str">
        <x:v>CL0012</x:v>
      </x:c>
      <x:c r="H250" s="32" t="n">
        <x:f>COUNTIF($G$5:$G$1725,G250)</x:f>
        <x:v>12</x:v>
      </x:c>
      <x:c r="I250" s="30" t="str">
        <x:v>C119</x:v>
      </x:c>
      <x:c r="J250" s="31" t="str">
        <x:v>grill on stock pitch (many follow-up questions) | is this stock value stock or growth stock? | how do you define value stock/growth stock?</x:v>
      </x:c>
    </x:row>
    <x:row r="251" ht="32" customHeight="1">
      <x:c r="A251" s="30" t="str">
        <x:v>QB0385</x:v>
      </x:c>
      <x:c r="B251" s="30" t="str">
        <x:v>MS GCM</x:v>
      </x:c>
      <x:c r="C251" s="30" t="str">
        <x:v>IBD / GCM</x:v>
      </x:c>
      <x:c r="D251" s="31" t="str">
        <x:v>What are the pros and cons of raising capital through equity/debt?</x:v>
      </x:c>
      <x:c r="E251" s="31" t="str">
        <x:v>How should a company choose between debt and equity financing?</x:v>
      </x:c>
      <x:c r="F251" s="31" t="str">
        <x:v>Capital Markets &amp; Financing</x:v>
      </x:c>
      <x:c r="G251" s="30" t="str">
        <x:v>CL0005</x:v>
      </x:c>
      <x:c r="H251" s="32" t="n">
        <x:f>COUNTIF($G$5:$G$1725,G251)</x:f>
        <x:v>21</x:v>
      </x:c>
      <x:c r="I251" s="30" t="str">
        <x:v>A120</x:v>
      </x:c>
      <x:c r="J251" s="31" t="str">
        <x:v>Amber Xi, ED in ECM | Self intro | Walk me through a typical process of a HK IPO</x:v>
      </x:c>
    </x:row>
    <x:row r="252" ht="48" customHeight="1">
      <x:c r="A252" s="30" t="str">
        <x:v>QB0386</x:v>
      </x:c>
      <x:c r="B252" s="30" t="str">
        <x:v>MS GCM</x:v>
      </x:c>
      <x:c r="C252" s="30" t="str">
        <x:v>IBD / GCM</x:v>
      </x:c>
      <x:c r="D252" s="31" t="str">
        <x:v>what multiples you used for valuation of this stcok</x:v>
      </x:c>
      <x:c r="E252" s="31" t="str">
        <x:v>What multiples you used for valuation of this stcok</x:v>
      </x:c>
      <x:c r="F252" s="31" t="str">
        <x:v>Valuation</x:v>
      </x:c>
      <x:c r="G252" s="30" t="str">
        <x:v>CL1020</x:v>
      </x:c>
      <x:c r="H252" s="32" t="n">
        <x:f>COUNTIF($G$5:$G$1725,G252)</x:f>
        <x:v>1</x:v>
      </x:c>
      <x:c r="I252" s="30" t="str">
        <x:v>C120</x:v>
      </x:c>
      <x:c r="J252" s="31" t="str">
        <x:v>is this stock value stock or growth stock? | how do you define value stock/growth stock? | how to find comps</x:v>
      </x:c>
    </x:row>
    <x:row r="253" ht="48" customHeight="1">
      <x:c r="A253" s="30" t="str">
        <x:v>QB0387</x:v>
      </x:c>
      <x:c r="B253" s="30" t="str">
        <x:v>MS GCM</x:v>
      </x:c>
      <x:c r="C253" s="30" t="str">
        <x:v>IBD / GCM</x:v>
      </x:c>
      <x:c r="D253" s="31" t="str">
        <x:v>Tell me about a deal done by MS</x:v>
      </x:c>
      <x:c r="E253" s="31" t="str">
        <x:v>Discuss a recent deal completed by this firm</x:v>
      </x:c>
      <x:c r="F253" s="31" t="str">
        <x:v>Company, Industry &amp; Deals</x:v>
      </x:c>
      <x:c r="G253" s="30" t="str">
        <x:v>CL0008</x:v>
      </x:c>
      <x:c r="H253" s="32" t="n">
        <x:f>COUNTIF($G$5:$G$1725,G253)</x:f>
        <x:v>14</x:v>
      </x:c>
      <x:c r="I253" s="30" t="str">
        <x:v>A121</x:v>
      </x:c>
      <x:c r="J253" s="31" t="str">
        <x:v>Self intro | Walk me through a typical process of a HK IPO | What are the pros and cons of raising capital through equity/debt?</x:v>
      </x:c>
    </x:row>
    <x:row r="254" ht="48" customHeight="1">
      <x:c r="A254" s="30" t="str">
        <x:v>QB0388</x:v>
      </x:c>
      <x:c r="B254" s="30" t="str">
        <x:v>MS GCM</x:v>
      </x:c>
      <x:c r="C254" s="30" t="str">
        <x:v>IBD / GCM</x:v>
      </x:c>
      <x:c r="D254" s="31" t="str">
        <x:v>explain different multiples and their applications</x:v>
      </x:c>
      <x:c r="E254" s="31" t="str">
        <x:v>Explain different multiples and their applications</x:v>
      </x:c>
      <x:c r="F254" s="31" t="str">
        <x:v>Valuation</x:v>
      </x:c>
      <x:c r="G254" s="30" t="str">
        <x:v>CL0320</x:v>
      </x:c>
      <x:c r="H254" s="32" t="n">
        <x:f>COUNTIF($G$5:$G$1725,G254)</x:f>
        <x:v>1</x:v>
      </x:c>
      <x:c r="I254" s="30" t="str">
        <x:v>C121</x:v>
      </x:c>
      <x:c r="J254" s="31" t="str">
        <x:v>how do you define value stock/growth stock? | how to find comps | what multiples you used for valuation of this stcok</x:v>
      </x:c>
    </x:row>
    <x:row r="255" ht="48" customHeight="1">
      <x:c r="A255" s="30" t="str">
        <x:v>QB0389</x:v>
      </x:c>
      <x:c r="B255" s="30" t="str">
        <x:v>MS GCM</x:v>
      </x:c>
      <x:c r="C255" s="30" t="str">
        <x:v>IBD / GCM</x:v>
      </x:c>
      <x:c r="D255" s="31" t="str">
        <x:v>Why GCM?</x:v>
      </x:c>
      <x:c r="E255" s="31" t="str">
        <x:v>Why global capital markets?</x:v>
      </x:c>
      <x:c r="F255" s="31" t="str">
        <x:v>Fit &amp; Motivation</x:v>
      </x:c>
      <x:c r="G255" s="30" t="str">
        <x:v>CL0009</x:v>
      </x:c>
      <x:c r="H255" s="32" t="n">
        <x:f>COUNTIF($G$5:$G$1725,G255)</x:f>
        <x:v>14</x:v>
      </x:c>
      <x:c r="I255" s="30" t="str">
        <x:v>A122</x:v>
      </x:c>
      <x:c r="J255" s="31" t="str">
        <x:v>Walk me through a typical process of a HK IPO | What are the pros and cons of raising capital through equity/debt? | Tell me about a deal done by MS</x:v>
      </x:c>
    </x:row>
    <x:row r="256" ht="48" customHeight="1">
      <x:c r="A256" s="30" t="str">
        <x:v>QB0390</x:v>
      </x:c>
      <x:c r="B256" s="30" t="str">
        <x:v>MS GCM</x:v>
      </x:c>
      <x:c r="C256" s="30" t="str">
        <x:v>IBD / GCM</x:v>
      </x:c>
      <x:c r="D256" s="31" t="str">
        <x:v>some other follow-up questions on my previous stock pitch</x:v>
      </x:c>
      <x:c r="E256" s="31" t="str">
        <x:v>Pitch me a stock</x:v>
      </x:c>
      <x:c r="F256" s="31" t="str">
        <x:v>Investment Pitch</x:v>
      </x:c>
      <x:c r="G256" s="30" t="str">
        <x:v>CL0006</x:v>
      </x:c>
      <x:c r="H256" s="32" t="n">
        <x:f>COUNTIF($G$5:$G$1725,G256)</x:f>
        <x:v>19</x:v>
      </x:c>
      <x:c r="I256" s="30" t="str">
        <x:v>C122</x:v>
      </x:c>
      <x:c r="J256" s="31" t="str">
        <x:v>how to find comps | what multiples you used for valuation of this stcok | explain different multiples and their applications</x:v>
      </x:c>
    </x:row>
    <x:row r="257" ht="68" customHeight="1">
      <x:c r="A257" s="30" t="str">
        <x:v>QB0392</x:v>
      </x:c>
      <x:c r="B257" s="30" t="str">
        <x:v>MS GCM</x:v>
      </x:c>
      <x:c r="C257" s="30" t="str">
        <x:v>IBD / GCM</x:v>
      </x:c>
      <x:c r="D257" s="31" t="str">
        <x:v>how to find comps for a hypothetical case</x:v>
      </x:c>
      <x:c r="E257" s="31" t="str">
        <x:v>How do you select comparable companies?</x:v>
      </x:c>
      <x:c r="F257" s="31" t="str">
        <x:v>Valuation</x:v>
      </x:c>
      <x:c r="G257" s="30" t="str">
        <x:v>CL0012</x:v>
      </x:c>
      <x:c r="H257" s="32" t="n">
        <x:f>COUNTIF($G$5:$G$1725,G257)</x:f>
        <x:v>12</x:v>
      </x:c>
      <x:c r="I257" s="30" t="str">
        <x:v>C123</x:v>
      </x:c>
      <x:c r="J257" s="31" t="str">
        <x:v>what multiples you used for valuation of this stcok | explain different multiples and their applications | some other follow-up questions on my previous stock pitch</x:v>
      </x:c>
    </x:row>
    <x:row r="258" ht="32" customHeight="1">
      <x:c r="A258" s="30" t="str">
        <x:v>QB0394</x:v>
      </x:c>
      <x:c r="B258" s="30" t="str">
        <x:v>MS GCM</x:v>
      </x:c>
      <x:c r="C258" s="30" t="str">
        <x:v>IBD / GCM</x:v>
      </x:c>
      <x:c r="D258" s="31" t="str">
        <x:v>Dick Lee, MD and APAC Head of Corporate Equity Derivatives</x:v>
      </x:c>
      <x:c r="E258" s="31" t="str">
        <x:v>Dick Lee, MD and APAC Head of Corporate Equity Derivatives</x:v>
      </x:c>
      <x:c r="F258" s="31" t="str">
        <x:v>Sales &amp; Trading</x:v>
      </x:c>
      <x:c r="G258" s="30" t="str">
        <x:v>CL0234</x:v>
      </x:c>
      <x:c r="H258" s="32" t="n">
        <x:f>COUNTIF($G$5:$G$1725,G258)</x:f>
        <x:v>1</x:v>
      </x:c>
      <x:c r="I258" s="30" t="str">
        <x:v>A125</x:v>
      </x:c>
      <x:c r="J258" s="31" t="str">
        <x:v>Tell me about a deal done by MS | Why GCM? | 反问</x:v>
      </x:c>
    </x:row>
    <x:row r="259" ht="32" customHeight="1">
      <x:c r="A259" s="30" t="str">
        <x:v>QB0395</x:v>
      </x:c>
      <x:c r="B259" s="30" t="str">
        <x:v>MS GCM</x:v>
      </x:c>
      <x:c r="C259" s="30" t="str">
        <x:v>IBD / GCM</x:v>
      </x:c>
      <x:c r="D259" s="31" t="str">
        <x:v>Self intro</x:v>
      </x:c>
      <x:c r="E259" s="31" t="str">
        <x:v>Tell me about yourself / walk me through your resume</x:v>
      </x:c>
      <x:c r="F259" s="31" t="str">
        <x:v>Resume &amp; Experience</x:v>
      </x:c>
      <x:c r="G259" s="30" t="str">
        <x:v>CL0001</x:v>
      </x:c>
      <x:c r="H259" s="32" t="n">
        <x:f>COUNTIF($G$5:$G$1725,G259)</x:f>
        <x:v>170</x:v>
      </x:c>
      <x:c r="I259" s="30" t="str">
        <x:v>A126</x:v>
      </x:c>
      <x:c r="J259" s="31" t="str">
        <x:v>Why GCM? | 反问 | Dick Lee, MD and APAC Head of Corporate Equity Derivatives</x:v>
      </x:c>
    </x:row>
    <x:row r="260" ht="32" customHeight="1">
      <x:c r="A260" s="30" t="str">
        <x:v>QB0396</x:v>
      </x:c>
      <x:c r="B260" s="30" t="str">
        <x:v>MS GCM</x:v>
      </x:c>
      <x:c r="C260" s="30" t="str">
        <x:v>IBD / GCM</x:v>
      </x:c>
      <x:c r="D260" s="31" t="str">
        <x:v>Tell me about a deal done by MS</x:v>
      </x:c>
      <x:c r="E260" s="31" t="str">
        <x:v>Discuss a recent deal completed by this firm</x:v>
      </x:c>
      <x:c r="F260" s="31" t="str">
        <x:v>Company, Industry &amp; Deals</x:v>
      </x:c>
      <x:c r="G260" s="30" t="str">
        <x:v>CL0008</x:v>
      </x:c>
      <x:c r="H260" s="32" t="n">
        <x:f>COUNTIF($G$5:$G$1725,G260)</x:f>
        <x:v>14</x:v>
      </x:c>
      <x:c r="I260" s="30" t="str">
        <x:v>A127</x:v>
      </x:c>
      <x:c r="J260" s="31" t="str">
        <x:v>反问 | Dick Lee, MD and APAC Head of Corporate Equity Derivatives | Self intro</x:v>
      </x:c>
    </x:row>
    <x:row r="261" ht="48" customHeight="1">
      <x:c r="A261" s="30" t="str">
        <x:v>QB0398</x:v>
      </x:c>
      <x:c r="B261" s="30" t="str">
        <x:v>MS GCM</x:v>
      </x:c>
      <x:c r="C261" s="30" t="str">
        <x:v>IBD / GCM</x:v>
      </x:c>
      <x:c r="D261" s="31" t="str">
        <x:v>Which team do you prefer</x:v>
      </x:c>
      <x:c r="E261" s="31" t="str">
        <x:v>Which team do you prefer</x:v>
      </x:c>
      <x:c r="F261" s="31" t="str">
        <x:v>Fit &amp; Motivation</x:v>
      </x:c>
      <x:c r="G261" s="30" t="str">
        <x:v>CL0050</x:v>
      </x:c>
      <x:c r="H261" s="32" t="n">
        <x:f>COUNTIF($G$5:$G$1725,G261)</x:f>
        <x:v>2</x:v>
      </x:c>
      <x:c r="I261" s="30" t="str">
        <x:v>A128</x:v>
      </x:c>
      <x:c r="J261" s="31" t="str">
        <x:v>Dick Lee, MD and APAC Head of Corporate Equity Derivatives | Self intro | Tell me about a deal done by MS</x:v>
      </x:c>
    </x:row>
    <x:row r="262" ht="48" customHeight="1">
      <x:c r="A262" s="30" t="str">
        <x:v>QB0399</x:v>
      </x:c>
      <x:c r="B262" s="30" t="str">
        <x:v>MS GCM</x:v>
      </x:c>
      <x:c r="C262" s="30" t="str">
        <x:v>IBD / GCM</x:v>
      </x:c>
      <x:c r="D262" s="31" t="str">
        <x:v>self intro</x:v>
      </x:c>
      <x:c r="E262" s="31" t="str">
        <x:v>Tell me about yourself / walk me through your resume</x:v>
      </x:c>
      <x:c r="F262" s="31" t="str">
        <x:v>Resume &amp; Experience</x:v>
      </x:c>
      <x:c r="G262" s="30" t="str">
        <x:v>CL0001</x:v>
      </x:c>
      <x:c r="H262" s="32" t="n">
        <x:f>COUNTIF($G$5:$G$1725,G262)</x:f>
        <x:v>170</x:v>
      </x:c>
      <x:c r="I262" s="30" t="str">
        <x:v>C128</x:v>
      </x:c>
      <x:c r="J262" s="31" t="str">
        <x:v>how to find comps for a hypothetical case | No Q&amp;A | Interviewer 2: Nicki Zhong (ED, ECM) she is chiller</x:v>
      </x:c>
    </x:row>
    <x:row r="263" ht="32" customHeight="1">
      <x:c r="A263" s="30" t="str">
        <x:v>QB0400</x:v>
      </x:c>
      <x:c r="B263" s="30" t="str">
        <x:v>MS GCM</x:v>
      </x:c>
      <x:c r="C263" s="30" t="str">
        <x:v>IBD / GCM</x:v>
      </x:c>
      <x:c r="D263" s="31" t="str">
        <x:v>I am doing convertibles - any ideas or have been following any updates in this field?</x:v>
      </x:c>
      <x:c r="E263" s="31" t="str">
        <x:v>Explain convertible bonds and why an issuer might use them</x:v>
      </x:c>
      <x:c r="F263" s="31" t="str">
        <x:v>Capital Markets &amp; Financing</x:v>
      </x:c>
      <x:c r="G263" s="30" t="str">
        <x:v>CL0016</x:v>
      </x:c>
      <x:c r="H263" s="32" t="n">
        <x:f>COUNTIF($G$5:$G$1725,G263)</x:f>
        <x:v>8</x:v>
      </x:c>
      <x:c r="I263" s="30" t="str">
        <x:v>A129</x:v>
      </x:c>
      <x:c r="J263" s="31" t="str">
        <x:v>Self intro | Tell me about a deal done by MS | Which team do you prefer</x:v>
      </x:c>
    </x:row>
    <x:row r="264" ht="32" customHeight="1">
      <x:c r="A264" s="30" t="str">
        <x:v>QB0401</x:v>
      </x:c>
      <x:c r="B264" s="30" t="str">
        <x:v>MS GCM</x:v>
      </x:c>
      <x:c r="C264" s="30" t="str">
        <x:v>IBD / GCM</x:v>
      </x:c>
      <x:c r="D264" s="31" t="str">
        <x:v>why GCM, why not IBD/PE</x:v>
      </x:c>
      <x:c r="E264" s="31" t="str">
        <x:v>Why global capital markets?</x:v>
      </x:c>
      <x:c r="F264" s="31" t="str">
        <x:v>Fit &amp; Motivation</x:v>
      </x:c>
      <x:c r="G264" s="30" t="str">
        <x:v>CL0009</x:v>
      </x:c>
      <x:c r="H264" s="32" t="n">
        <x:f>COUNTIF($G$5:$G$1725,G264)</x:f>
        <x:v>14</x:v>
      </x:c>
      <x:c r="I264" s="30" t="str">
        <x:v>C129</x:v>
      </x:c>
      <x:c r="J264" s="31" t="str">
        <x:v>No Q&amp;A | Interviewer 2: Nicki Zhong (ED, ECM) she is chiller | self intro</x:v>
      </x:c>
    </x:row>
    <x:row r="265" ht="48" customHeight="1">
      <x:c r="A265" s="30" t="str">
        <x:v>QB0402</x:v>
      </x:c>
      <x:c r="B265" s="30" t="str">
        <x:v>MS GCM</x:v>
      </x:c>
      <x:c r="C265" s="30" t="str">
        <x:v>IBD / GCM</x:v>
      </x:c>
      <x:c r="D265" s="31" t="str">
        <x:v>(i said honestly no, but i do know that the convertible market in Asia in on a upward trend cuz it has lots of benefits)</x:v>
      </x:c>
      <x:c r="E265" s="31" t="str">
        <x:v>Explain convertible bonds and why an issuer might use them</x:v>
      </x:c>
      <x:c r="F265" s="31" t="str">
        <x:v>Fit &amp; Motivation</x:v>
      </x:c>
      <x:c r="G265" s="30" t="str">
        <x:v>CL0016</x:v>
      </x:c>
      <x:c r="H265" s="32" t="n">
        <x:f>COUNTIF($G$5:$G$1725,G265)</x:f>
        <x:v>8</x:v>
      </x:c>
      <x:c r="I265" s="30" t="str">
        <x:v>A130</x:v>
      </x:c>
      <x:c r="J265" s="31" t="str">
        <x:v>Tell me about a deal done by MS | Which team do you prefer | I am doing convertibles - any ideas or have been following any updates in this field?</x:v>
      </x:c>
    </x:row>
    <x:row r="266" ht="48" customHeight="1">
      <x:c r="A266" s="30" t="str">
        <x:v>QB0407</x:v>
      </x:c>
      <x:c r="B266" s="30" t="str">
        <x:v>MS GCM</x:v>
      </x:c>
      <x:c r="C266" s="30" t="str">
        <x:v>IBD / GCM</x:v>
      </x:c>
      <x:c r="D266" s="31" t="str">
        <x:v>pitch a thematic in my previous internship (with follow-up questions)</x:v>
      </x:c>
      <x:c r="E266" s="31" t="str">
        <x:v>Pitch a thematic in my previous internship (with follow-up questions)</x:v>
      </x:c>
      <x:c r="F266" s="31" t="str">
        <x:v>Resume &amp; Experience</x:v>
      </x:c>
      <x:c r="G266" s="30" t="str">
        <x:v>CL0632</x:v>
      </x:c>
      <x:c r="H266" s="32" t="n">
        <x:f>COUNTIF($G$5:$G$1725,G266)</x:f>
        <x:v>1</x:v>
      </x:c>
      <x:c r="I266" s="30" t="str">
        <x:v>C132</x:v>
      </x:c>
      <x:c r="J266" s="31" t="str">
        <x:v>why GCM, why not IBD/PE | multitasking experience | leadership style + what's my leadership style in the case study earlier</x:v>
      </x:c>
    </x:row>
    <x:row r="267" ht="68" customHeight="1">
      <x:c r="A267" s="30" t="str">
        <x:v>QB0408</x:v>
      </x:c>
      <x:c r="B267" s="30" t="str">
        <x:v>MS GCM</x:v>
      </x:c>
      <x:c r="C267" s="30" t="str">
        <x:v>IBD / GCM</x:v>
      </x:c>
      <x:c r="D267" s="31" t="str">
        <x:v>what are other stocks in that value chain? pitch one (with follow-up questions)</x:v>
      </x:c>
      <x:c r="E267" s="31" t="str">
        <x:v>What are other stocks in that value chain? pitch one (with follow-up questions)</x:v>
      </x:c>
      <x:c r="F267" s="31" t="str">
        <x:v>Other Question</x:v>
      </x:c>
      <x:c r="G267" s="30" t="str">
        <x:v>CL0865</x:v>
      </x:c>
      <x:c r="H267" s="32" t="n">
        <x:f>COUNTIF($G$5:$G$1725,G267)</x:f>
        <x:v>1</x:v>
      </x:c>
      <x:c r="I267" s="30" t="str">
        <x:v>C133</x:v>
      </x:c>
      <x:c r="J267" s="31" t="str">
        <x:v>multitasking experience | leadership style + what's my leadership style in the case study earlier | pitch a thematic in my previous internship (with follow-up questions)</x:v>
      </x:c>
    </x:row>
    <x:row r="268" ht="68" customHeight="1">
      <x:c r="A268" s="30" t="str">
        <x:v>QB0409</x:v>
      </x:c>
      <x:c r="B268" s="30" t="str">
        <x:v>MS GCM</x:v>
      </x:c>
      <x:c r="C268" s="30" t="str">
        <x:v>IBD / GCM</x:v>
      </x:c>
      <x:c r="D268" s="31" t="str">
        <x:v>how to find comps</x:v>
      </x:c>
      <x:c r="E268" s="31" t="str">
        <x:v>How do you select comparable companies?</x:v>
      </x:c>
      <x:c r="F268" s="31" t="str">
        <x:v>Valuation</x:v>
      </x:c>
      <x:c r="G268" s="30" t="str">
        <x:v>CL0012</x:v>
      </x:c>
      <x:c r="H268" s="32" t="n">
        <x:f>COUNTIF($G$5:$G$1725,G268)</x:f>
        <x:v>12</x:v>
      </x:c>
      <x:c r="I268" s="30" t="str">
        <x:v>C134</x:v>
      </x:c>
      <x:c r="J268" s="31" t="str">
        <x:v>leadership style + what's my leadership style in the case study earlier | pitch a thematic in my previous internship (with follow-up questions) | what are other stocks in that value chain? pitch one (with follow-up questions)</x:v>
      </x:c>
    </x:row>
    <x:row r="269" ht="68" customHeight="1">
      <x:c r="A269" s="30" t="str">
        <x:v>QB0410</x:v>
      </x:c>
      <x:c r="B269" s="30" t="str">
        <x:v>MS GCM</x:v>
      </x:c>
      <x:c r="C269" s="30" t="str">
        <x:v>IBD / GCM</x:v>
      </x:c>
      <x:c r="D269" s="31" t="str">
        <x:v>The stock I pitched wants to do an IPO. However, investors are only willing to pay a price much lower than what the issuer expects. How would you convince the investors?</x:v>
      </x:c>
      <x:c r="E269" s="31" t="str">
        <x:v>The stock I pitched wants to do an IPO. However, investors are only willing to pay a price much lower than what the issuer expects. How would you convince the investors</x:v>
      </x:c>
      <x:c r="F269" s="31" t="str">
        <x:v>Capital Markets &amp; Financing</x:v>
      </x:c>
      <x:c r="G269" s="30" t="str">
        <x:v>CL0782</x:v>
      </x:c>
      <x:c r="H269" s="32" t="n">
        <x:f>COUNTIF($G$5:$G$1725,G269)</x:f>
        <x:v>1</x:v>
      </x:c>
      <x:c r="I269" s="30" t="str">
        <x:v>C135</x:v>
      </x:c>
      <x:c r="J269" s="31" t="str">
        <x:v>pitch a thematic in my previous internship (with follow-up questions) | what are other stocks in that value chain? pitch one (with follow-up questions) | how to find comps</x:v>
      </x:c>
    </x:row>
    <x:row r="270" ht="92" customHeight="1">
      <x:c r="A270" s="30" t="str">
        <x:v>QB0411</x:v>
      </x:c>
      <x:c r="B270" s="30" t="str">
        <x:v>MS GCM</x:v>
      </x:c>
      <x:c r="C270" s="30" t="str">
        <x:v>IBD / GCM</x:v>
      </x:c>
      <x:c r="D270" s="31" t="str">
        <x:v>Now investors raise their pricing, but the issuers' expectations are still high, how would you convince the issuers?</x:v>
      </x:c>
      <x:c r="E270" s="31" t="str">
        <x:v>Now investors raise their pricing, but the issuers' expectations are still high, how would you convince the issuers</x:v>
      </x:c>
      <x:c r="F270" s="31" t="str">
        <x:v>Other Question</x:v>
      </x:c>
      <x:c r="G270" s="30" t="str">
        <x:v>CL0622</x:v>
      </x:c>
      <x:c r="H270" s="32" t="n">
        <x:f>COUNTIF($G$5:$G$1725,G270)</x:f>
        <x:v>1</x:v>
      </x:c>
      <x:c r="I270" s="30" t="str">
        <x:v>C136</x:v>
      </x:c>
      <x:c r="J270" s="31" t="str">
        <x:v>what are other stocks in that value chain? pitch one (with follow-up questions) | how to find comps | The stock I pitched wants to do an IPO. However, investors are only willing to pay a price much lower than what the issuer expects. How...</x:v>
      </x:c>
    </x:row>
    <x:row r="271" ht="68" customHeight="1">
      <x:c r="A271" s="30" t="str">
        <x:v>QB0414</x:v>
      </x:c>
      <x:c r="B271" s="30" t="str">
        <x:v>MS GCM</x:v>
      </x:c>
      <x:c r="C271" s="30" t="str">
        <x:v>IBD / GCM</x:v>
      </x:c>
      <x:c r="D271" s="31" t="str">
        <x:v>self intro</x:v>
      </x:c>
      <x:c r="E271" s="31" t="str">
        <x:v>Tell me about yourself / walk me through your resume</x:v>
      </x:c>
      <x:c r="F271" s="31" t="str">
        <x:v>Resume &amp; Experience</x:v>
      </x:c>
      <x:c r="G271" s="30" t="str">
        <x:v>CL0001</x:v>
      </x:c>
      <x:c r="H271" s="32" t="n">
        <x:f>COUNTIF($G$5:$G$1725,G271)</x:f>
        <x:v>170</x:v>
      </x:c>
      <x:c r="I271" s="30" t="str">
        <x:v>C140</x:v>
      </x:c>
      <x:c r="J271" s="31" t="str">
        <x:v>Now investors raise their pricing, but the issuers' expectations are still high, how would you convince the issuers? | Q&amp;A | Interviewer 3: Michael Leong (serious guy)</x:v>
      </x:c>
    </x:row>
    <x:row r="272" ht="48" customHeight="1">
      <x:c r="A272" s="30" t="str">
        <x:v>QB0416</x:v>
      </x:c>
      <x:c r="B272" s="30" t="str">
        <x:v>MS GCM</x:v>
      </x:c>
      <x:c r="C272" s="30" t="str">
        <x:v>IBD / GCM</x:v>
      </x:c>
      <x:c r="D272" s="31" t="str">
        <x:v>how do you assess the performance of a company</x:v>
      </x:c>
      <x:c r="E272" s="31" t="str">
        <x:v>How do you assess the performance of a company</x:v>
      </x:c>
      <x:c r="F272" s="31" t="str">
        <x:v>Company, Industry &amp; Deals</x:v>
      </x:c>
      <x:c r="G272" s="30" t="str">
        <x:v>CL0400</x:v>
      </x:c>
      <x:c r="H272" s="32" t="n">
        <x:f>COUNTIF($G$5:$G$1725,G272)</x:f>
        <x:v>1</x:v>
      </x:c>
      <x:c r="I272" s="30" t="str">
        <x:v>C142</x:v>
      </x:c>
      <x:c r="J272" s="31" t="str">
        <x:v>Interviewer 3: Michael Leong (serious guy) | self intro | Financial modelling with follow up questions</x:v>
      </x:c>
    </x:row>
    <x:row r="273" ht="68" customHeight="1">
      <x:c r="A273" s="30" t="str">
        <x:v>QB0418</x:v>
      </x:c>
      <x:c r="B273" s="30" t="str">
        <x:v>MS GCM</x:v>
      </x:c>
      <x:c r="C273" s="30" t="str">
        <x:v>IBD / GCM</x:v>
      </x:c>
      <x:c r="D273" s="31" t="str">
        <x:v>tell me about your understanding of debt and equity (after i gave my opinions, he asked me to use one sentence to summarise)</x:v>
      </x:c>
      <x:c r="E273" s="31" t="str">
        <x:v>How should a company choose between debt and equity financing?</x:v>
      </x:c>
      <x:c r="F273" s="31" t="str">
        <x:v>Other Question</x:v>
      </x:c>
      <x:c r="G273" s="30" t="str">
        <x:v>CL0005</x:v>
      </x:c>
      <x:c r="H273" s="32" t="n">
        <x:f>COUNTIF($G$5:$G$1725,G273)</x:f>
        <x:v>21</x:v>
      </x:c>
      <x:c r="I273" s="30" t="str">
        <x:v>C144</x:v>
      </x:c>
      <x:c r="J273" s="31" t="str">
        <x:v>Financial modelling with follow up questions | how do you assess the performance of a company | you mentioned many ratios, explain them one by one and the formula for the ratios</x:v>
      </x:c>
    </x:row>
    <x:row r="274" ht="68" customHeight="1">
      <x:c r="A274" s="30" t="str">
        <x:v>QB0419</x:v>
      </x:c>
      <x:c r="B274" s="30" t="str">
        <x:v>MS GCM</x:v>
      </x:c>
      <x:c r="C274" s="30" t="str">
        <x:v>IBD / GCM</x:v>
      </x:c>
      <x:c r="D274" s="31" t="str">
        <x:v>WACC calculation</x:v>
      </x:c>
      <x:c r="E274" s="31" t="str">
        <x:v>How do you calculate WACC?</x:v>
      </x:c>
      <x:c r="F274" s="31" t="str">
        <x:v>Valuation</x:v>
      </x:c>
      <x:c r="G274" s="30" t="str">
        <x:v>CL0011</x:v>
      </x:c>
      <x:c r="H274" s="32" t="n">
        <x:f>COUNTIF($G$5:$G$1725,G274)</x:f>
        <x:v>12</x:v>
      </x:c>
      <x:c r="I274" s="30" t="str">
        <x:v>C145</x:v>
      </x:c>
      <x:c r="J274" s="31" t="str">
        <x:v>how do you assess the performance of a company | you mentioned many ratios, explain them one by one and the formula for the ratios | tell me about your understanding of debt and equity (after i gave my opinions, he asked me to use one se...</x:v>
      </x:c>
    </x:row>
    <x:row r="275" ht="68" customHeight="1">
      <x:c r="A275" s="30" t="str">
        <x:v>QB0420</x:v>
      </x:c>
      <x:c r="B275" s="30" t="str">
        <x:v>MS GCM</x:v>
      </x:c>
      <x:c r="C275" s="30" t="str">
        <x:v>IBD / GCM</x:v>
      </x:c>
      <x:c r="D275" s="31" t="str">
        <x:v>how to find beta</x:v>
      </x:c>
      <x:c r="E275" s="31" t="str">
        <x:v>How to find beta</x:v>
      </x:c>
      <x:c r="F275" s="31" t="str">
        <x:v>Valuation</x:v>
      </x:c>
      <x:c r="G275" s="30" t="str">
        <x:v>CL0033</x:v>
      </x:c>
      <x:c r="H275" s="32" t="n">
        <x:f>COUNTIF($G$5:$G$1725,G275)</x:f>
        <x:v>2</x:v>
      </x:c>
      <x:c r="I275" s="30" t="str">
        <x:v>C146</x:v>
      </x:c>
      <x:c r="J275" s="31" t="str">
        <x:v>you mentioned many ratios, explain them one by one and the formula for the ratios | tell me about your understanding of debt and equity (after i gave my opinions, he asked me to use one sentence to summarise) | WACC calculation</x:v>
      </x:c>
    </x:row>
    <x:row r="276" ht="68" customHeight="1">
      <x:c r="A276" s="30" t="str">
        <x:v>QB0421</x:v>
      </x:c>
      <x:c r="B276" s="30" t="str">
        <x:v>MS GCM</x:v>
      </x:c>
      <x:c r="C276" s="30" t="str">
        <x:v>IBD / GCM</x:v>
      </x:c>
      <x:c r="D276" s="31" t="str">
        <x:v>market grill (forgot the question, prob about interest rate)</x:v>
      </x:c>
      <x:c r="E276" s="31" t="str">
        <x:v>Market grill (forgot the question, prob about interest rate)</x:v>
      </x:c>
      <x:c r="F276" s="31" t="str">
        <x:v>Markets &amp; Macro</x:v>
      </x:c>
      <x:c r="G276" s="30" t="str">
        <x:v>CL0601</x:v>
      </x:c>
      <x:c r="H276" s="32" t="n">
        <x:f>COUNTIF($G$5:$G$1725,G276)</x:f>
        <x:v>1</x:v>
      </x:c>
      <x:c r="I276" s="30" t="str">
        <x:v>C147</x:v>
      </x:c>
      <x:c r="J276" s="31" t="str">
        <x:v>tell me about your understanding of debt and equity (after i gave my opinions, he asked me to use one sentence to summarise) | WACC calculation | how to find beta</x:v>
      </x:c>
    </x:row>
    <x:row r="277" ht="48" customHeight="1">
      <x:c r="A277" s="30" t="str">
        <x:v>QB0423</x:v>
      </x:c>
      <x:c r="B277" s="30" t="str">
        <x:v>MS GCM</x:v>
      </x:c>
      <x:c r="C277" s="30" t="str">
        <x:v>IBD / GCM</x:v>
      </x:c>
      <x:c r="D277" s="31" t="str">
        <x:v>the world is inflationary or deflationary right now?</x:v>
      </x:c>
      <x:c r="E277" s="31" t="str">
        <x:v>The world is inflationary or deflationary right now</x:v>
      </x:c>
      <x:c r="F277" s="31" t="str">
        <x:v>Accounting &amp; Financial Statements</x:v>
      </x:c>
      <x:c r="G277" s="30" t="str">
        <x:v>CL0785</x:v>
      </x:c>
      <x:c r="H277" s="32" t="n">
        <x:f>COUNTIF($G$5:$G$1725,G277)</x:f>
        <x:v>1</x:v>
      </x:c>
      <x:c r="I277" s="30" t="str">
        <x:v>C149</x:v>
      </x:c>
      <x:c r="J277" s="31" t="str">
        <x:v>how to find beta | market grill (forgot the question, prob about interest rate) | CV based questions</x:v>
      </x:c>
    </x:row>
    <x:row r="278" ht="32" customHeight="1">
      <x:c r="A278" s="30" t="str">
        <x:v>QB0434</x:v>
      </x:c>
      <x:c r="B278" s="30" t="str">
        <x:v>UBS IBD</x:v>
      </x:c>
      <x:c r="C278" s="30" t="str">
        <x:v>IBD / GCM</x:v>
      </x:c>
      <x:c r="D278" s="31" t="str">
        <x:v>How's your holiday</x:v>
      </x:c>
      <x:c r="E278" s="31" t="str">
        <x:v>How's your holiday</x:v>
      </x:c>
      <x:c r="F278" s="31" t="str">
        <x:v>Other Question</x:v>
      </x:c>
      <x:c r="G278" s="30" t="str">
        <x:v>CL0503</x:v>
      </x:c>
      <x:c r="H278" s="32" t="n">
        <x:f>COUNTIF($G$5:$G$1725,G278)</x:f>
        <x:v>1</x:v>
      </x:c>
      <x:c r="I278" s="30" t="str">
        <x:v>K3</x:v>
      </x:c>
      <x:c r="J278" s="31" t="str">
        <x:v>28 Phone Interview (Beata) with Flora Lin</x:v>
      </x:c>
    </x:row>
    <x:row r="279" ht="32" customHeight="1">
      <x:c r="A279" s="30" t="str">
        <x:v>QB0435</x:v>
      </x:c>
      <x:c r="B279" s="30" t="str">
        <x:v>UBS IBD</x:v>
      </x:c>
      <x:c r="C279" s="30" t="str">
        <x:v>IBD / GCM</x:v>
      </x:c>
      <x:c r="D279" s="31" t="str">
        <x:v>Self intro</x:v>
      </x:c>
      <x:c r="E279" s="31" t="str">
        <x:v>Tell me about yourself / walk me through your resume</x:v>
      </x:c>
      <x:c r="F279" s="31" t="str">
        <x:v>Resume &amp; Experience</x:v>
      </x:c>
      <x:c r="G279" s="30" t="str">
        <x:v>CL0001</x:v>
      </x:c>
      <x:c r="H279" s="32" t="n">
        <x:f>COUNTIF($G$5:$G$1725,G279)</x:f>
        <x:v>170</x:v>
      </x:c>
      <x:c r="I279" s="30" t="str">
        <x:v>A4</x:v>
      </x:c>
      <x:c r="J279" s="31" t="str">
        <x:v>2024 SA | 1st round | Emily - Anqi Xu</x:v>
      </x:c>
    </x:row>
    <x:row r="280" ht="32" customHeight="1">
      <x:c r="A280" s="30" t="str">
        <x:v>QB0436</x:v>
      </x:c>
      <x:c r="B280" s="30" t="str">
        <x:v>UBS IBD</x:v>
      </x:c>
      <x:c r="C280" s="30" t="str">
        <x:v>IBD / GCM</x:v>
      </x:c>
      <x:c r="D280" s="31" t="str">
        <x:v>Which sector would you recommend investing? (globally)</x:v>
      </x:c>
      <x:c r="E280" s="31" t="str">
        <x:v>Which sector would you recommend investing? (globally)</x:v>
      </x:c>
      <x:c r="F280" s="31" t="str">
        <x:v>Company, Industry &amp; Deals</x:v>
      </x:c>
      <x:c r="G280" s="30" t="str">
        <x:v>CL1101</x:v>
      </x:c>
      <x:c r="H280" s="32" t="n">
        <x:f>COUNTIF($G$5:$G$1725,G280)</x:f>
        <x:v>1</x:v>
      </x:c>
      <x:c r="I280" s="30" t="str">
        <x:v>D4</x:v>
      </x:c>
      <x:c r="J280" s="31" t="str">
        <x:v>19 UBS SPD Emily | Technical</x:v>
      </x:c>
    </x:row>
    <x:row r="281" ht="32" customHeight="1">
      <x:c r="A281" s="30" t="str">
        <x:v>QB0437</x:v>
      </x:c>
      <x:c r="B281" s="30" t="str">
        <x:v>UBS IBD</x:v>
      </x:c>
      <x:c r="C281" s="30" t="str">
        <x:v>IBD / GCM</x:v>
      </x:c>
      <x:c r="D281" s="31" t="str">
        <x:v>Why UBS</x:v>
      </x:c>
      <x:c r="E281" s="31" t="str">
        <x:v>Why this firm?</x:v>
      </x:c>
      <x:c r="F281" s="31" t="str">
        <x:v>Fit &amp; Motivation</x:v>
      </x:c>
      <x:c r="G281" s="30" t="str">
        <x:v>CL0002</x:v>
      </x:c>
      <x:c r="H281" s="32" t="n">
        <x:f>COUNTIF($G$5:$G$1725,G281)</x:f>
        <x:v>39</x:v>
      </x:c>
      <x:c r="I281" s="30" t="str">
        <x:v>G4</x:v>
      </x:c>
      <x:c r="J281" s="31" t="str">
        <x:v>24 Emily Call with Emily and Horce | Self Into</x:v>
      </x:c>
    </x:row>
    <x:row r="282" ht="32" customHeight="1">
      <x:c r="A282" s="30" t="str">
        <x:v>QB0438</x:v>
      </x:c>
      <x:c r="B282" s="30" t="str">
        <x:v>UBS IBD</x:v>
      </x:c>
      <x:c r="C282" s="30" t="str">
        <x:v>IBD / GCM</x:v>
      </x:c>
      <x:c r="D282" s="31" t="str">
        <x:v>Self Intro</x:v>
      </x:c>
      <x:c r="E282" s="31" t="str">
        <x:v>Tell me about yourself / walk me through your resume</x:v>
      </x:c>
      <x:c r="F282" s="31" t="str">
        <x:v>Resume &amp; Experience</x:v>
      </x:c>
      <x:c r="G282" s="30" t="str">
        <x:v>CL0001</x:v>
      </x:c>
      <x:c r="H282" s="32" t="n">
        <x:f>COUNTIF($G$5:$G$1725,G282)</x:f>
        <x:v>170</x:v>
      </x:c>
      <x:c r="I282" s="30" t="str">
        <x:v>K4</x:v>
      </x:c>
      <x:c r="J282" s="31" t="str">
        <x:v>28 Phone Interview (Beata) with Flora Lin | How's your holiday</x:v>
      </x:c>
    </x:row>
    <x:row r="283" ht="32" customHeight="1">
      <x:c r="A283" s="30" t="str">
        <x:v>QB0439</x:v>
      </x:c>
      <x:c r="B283" s="30" t="str">
        <x:v>UBS IBD</x:v>
      </x:c>
      <x:c r="C283" s="30" t="str">
        <x:v>IBD / GCM</x:v>
      </x:c>
      <x:c r="D283" s="31" t="str">
        <x:v>Walk me thru ur first deal, closed?</x:v>
      </x:c>
      <x:c r="E283" s="31" t="str">
        <x:v>Walk me through a deal you worked on</x:v>
      </x:c>
      <x:c r="F283" s="31" t="str">
        <x:v>Resume &amp; Experience</x:v>
      </x:c>
      <x:c r="G283" s="30" t="str">
        <x:v>CL0017</x:v>
      </x:c>
      <x:c r="H283" s="32" t="n">
        <x:f>COUNTIF($G$5:$G$1725,G283)</x:f>
        <x:v>8</x:v>
      </x:c>
      <x:c r="I283" s="30" t="str">
        <x:v>A5</x:v>
      </x:c>
      <x:c r="J283" s="31" t="str">
        <x:v>1st round | Emily - Anqi Xu | Self intro</x:v>
      </x:c>
    </x:row>
    <x:row r="284" ht="32" customHeight="1">
      <x:c r="A284" s="30" t="str">
        <x:v>QB0440</x:v>
      </x:c>
      <x:c r="B284" s="30" t="str">
        <x:v>UBS IBD</x:v>
      </x:c>
      <x:c r="C284" s="30" t="str">
        <x:v>IBD / GCM</x:v>
      </x:c>
      <x:c r="D284" s="31" t="str">
        <x:v>Industry overview of energy storage (globally)</x:v>
      </x:c>
      <x:c r="E284" s="31" t="str">
        <x:v>Industry overview of energy storage (globally)</x:v>
      </x:c>
      <x:c r="F284" s="31" t="str">
        <x:v>Company, Industry &amp; Deals</x:v>
      </x:c>
      <x:c r="G284" s="30" t="str">
        <x:v>CL0543</x:v>
      </x:c>
      <x:c r="H284" s="32" t="n">
        <x:f>COUNTIF($G$5:$G$1725,G284)</x:f>
        <x:v>1</x:v>
      </x:c>
      <x:c r="I284" s="30" t="str">
        <x:v>D5</x:v>
      </x:c>
      <x:c r="J284" s="31" t="str">
        <x:v>19 UBS SPD Emily | Technical | Which sector would you recommend investing? (globally)</x:v>
      </x:c>
    </x:row>
    <x:row r="285" ht="32" customHeight="1">
      <x:c r="A285" s="30" t="str">
        <x:v>QB0442</x:v>
      </x:c>
      <x:c r="B285" s="30" t="str">
        <x:v>UBS IBD</x:v>
      </x:c>
      <x:c r="C285" s="30" t="str">
        <x:v>IBD / GCM</x:v>
      </x:c>
      <x:c r="D285" s="31" t="str">
        <x:v>Why IBD how do you compare it with other industries</x:v>
      </x:c>
      <x:c r="E285" s="31" t="str">
        <x:v>Why investment banking?</x:v>
      </x:c>
      <x:c r="F285" s="31" t="str">
        <x:v>Fit &amp; Motivation</x:v>
      </x:c>
      <x:c r="G285" s="30" t="str">
        <x:v>CL0003</x:v>
      </x:c>
      <x:c r="H285" s="32" t="n">
        <x:f>COUNTIF($G$5:$G$1725,G285)</x:f>
        <x:v>34</x:v>
      </x:c>
      <x:c r="I285" s="30" t="str">
        <x:v>K5</x:v>
      </x:c>
      <x:c r="J285" s="31" t="str">
        <x:v>28 Phone Interview (Beata) with Flora Lin | How's your holiday | Self Intro</x:v>
      </x:c>
    </x:row>
    <x:row r="286" ht="32" customHeight="1">
      <x:c r="A286" s="30" t="str">
        <x:v>QB0443</x:v>
      </x:c>
      <x:c r="B286" s="30" t="str">
        <x:v>UBS IBD</x:v>
      </x:c>
      <x:c r="C286" s="30" t="str">
        <x:v>IBD / GCM</x:v>
      </x:c>
      <x:c r="D286" s="31" t="str">
        <x:v>Why afterwards HKEX and Equity research?</x:v>
      </x:c>
      <x:c r="E286" s="31" t="str">
        <x:v>Why afterwards HKEX and Equity research</x:v>
      </x:c>
      <x:c r="F286" s="31" t="str">
        <x:v>Fit &amp; Motivation</x:v>
      </x:c>
      <x:c r="G286" s="30" t="str">
        <x:v>CL1112</x:v>
      </x:c>
      <x:c r="H286" s="32" t="n">
        <x:f>COUNTIF($G$5:$G$1725,G286)</x:f>
        <x:v>1</x:v>
      </x:c>
      <x:c r="I286" s="30" t="str">
        <x:v>A6</x:v>
      </x:c>
      <x:c r="J286" s="31" t="str">
        <x:v>Emily - Anqi Xu | Self intro | Walk me thru ur first deal, closed?</x:v>
      </x:c>
    </x:row>
    <x:row r="287" ht="48" customHeight="1">
      <x:c r="A287" s="30" t="str">
        <x:v>QB0444</x:v>
      </x:c>
      <x:c r="B287" s="30" t="str">
        <x:v>UBS IBD</x:v>
      </x:c>
      <x:c r="C287" s="30" t="str">
        <x:v>IBD / GCM</x:v>
      </x:c>
      <x:c r="D287" s="31" t="str">
        <x:v>How do you do you find comparable companies</x:v>
      </x:c>
      <x:c r="E287" s="31" t="str">
        <x:v>How do you do you find comparable companies</x:v>
      </x:c>
      <x:c r="F287" s="31" t="str">
        <x:v>Valuation</x:v>
      </x:c>
      <x:c r="G287" s="30" t="str">
        <x:v>CL0408</x:v>
      </x:c>
      <x:c r="H287" s="32" t="n">
        <x:f>COUNTIF($G$5:$G$1725,G287)</x:f>
        <x:v>1</x:v>
      </x:c>
      <x:c r="I287" s="30" t="str">
        <x:v>D6</x:v>
      </x:c>
      <x:c r="J287" s="31" t="str">
        <x:v>Technical | Which sector would you recommend investing? (globally) | Industry overview of energy storage (globally)</x:v>
      </x:c>
    </x:row>
    <x:row r="288" ht="32" customHeight="1">
      <x:c r="A288" s="30" t="str">
        <x:v>QB0446</x:v>
      </x:c>
      <x:c r="B288" s="30" t="str">
        <x:v>UBS IBD</x:v>
      </x:c>
      <x:c r="C288" s="30" t="str">
        <x:v>IBD / GCM</x:v>
      </x:c>
      <x:c r="D288" s="31" t="str">
        <x:v>Only asked about one internship experience but asked about all the bullet points</x:v>
      </x:c>
      <x:c r="E288" s="31" t="str">
        <x:v>Only asked about one internship experience but asked about all the bullet points</x:v>
      </x:c>
      <x:c r="F288" s="31" t="str">
        <x:v>Resume &amp; Experience</x:v>
      </x:c>
      <x:c r="G288" s="30" t="str">
        <x:v>CL0627</x:v>
      </x:c>
      <x:c r="H288" s="32" t="n">
        <x:f>COUNTIF($G$5:$G$1725,G288)</x:f>
        <x:v>1</x:v>
      </x:c>
      <x:c r="I288" s="30" t="str">
        <x:v>K6</x:v>
      </x:c>
      <x:c r="J288" s="31" t="str">
        <x:v>How's your holiday | Self Intro | Why IBD how do you compare it with other industries</x:v>
      </x:c>
    </x:row>
    <x:row r="289" ht="48" customHeight="1">
      <x:c r="A289" s="30" t="str">
        <x:v>QB0447</x:v>
      </x:c>
      <x:c r="B289" s="30" t="str">
        <x:v>UBS IBD</x:v>
      </x:c>
      <x:c r="C289" s="30" t="str">
        <x:v>IBD / GCM</x:v>
      </x:c>
      <x:c r="D289" s="31" t="str">
        <x:v>What's ur strength and weaknesses</x:v>
      </x:c>
      <x:c r="E289" s="31" t="str">
        <x:v>What are your greatest strengths and weaknesses?</x:v>
      </x:c>
      <x:c r="F289" s="31" t="str">
        <x:v>Behavioral &amp; Situational</x:v>
      </x:c>
      <x:c r="G289" s="30" t="str">
        <x:v>CL0025</x:v>
      </x:c>
      <x:c r="H289" s="32" t="n">
        <x:f>COUNTIF($G$5:$G$1725,G289)</x:f>
        <x:v>3</x:v>
      </x:c>
      <x:c r="I289" s="30" t="str">
        <x:v>A7</x:v>
      </x:c>
      <x:c r="J289" s="31" t="str">
        <x:v>Self intro | Walk me thru ur first deal, closed? | Why afterwards HKEX and Equity research?</x:v>
      </x:c>
    </x:row>
    <x:row r="290" ht="48" customHeight="1">
      <x:c r="A290" s="30" t="str">
        <x:v>QB0448</x:v>
      </x:c>
      <x:c r="B290" s="30" t="str">
        <x:v>UBS IBD</x:v>
      </x:c>
      <x:c r="C290" s="30" t="str">
        <x:v>IBD / GCM</x:v>
      </x:c>
      <x:c r="D290" s="31" t="str">
        <x:v>How do find the WACC?</x:v>
      </x:c>
      <x:c r="E290" s="31" t="str">
        <x:v>How do you calculate WACC?</x:v>
      </x:c>
      <x:c r="F290" s="31" t="str">
        <x:v>Valuation</x:v>
      </x:c>
      <x:c r="G290" s="30" t="str">
        <x:v>CL0011</x:v>
      </x:c>
      <x:c r="H290" s="32" t="n">
        <x:f>COUNTIF($G$5:$G$1725,G290)</x:f>
        <x:v>12</x:v>
      </x:c>
      <x:c r="I290" s="30" t="str">
        <x:v>D7</x:v>
      </x:c>
      <x:c r="J290" s="31" t="str">
        <x:v>Which sector would you recommend investing? (globally) | Industry overview of energy storage (globally) | How do you do you find comparable companies</x:v>
      </x:c>
    </x:row>
    <x:row r="291" ht="32" customHeight="1">
      <x:c r="A291" s="30" t="str">
        <x:v>QB0449</x:v>
      </x:c>
      <x:c r="B291" s="30" t="str">
        <x:v>UBS IBD</x:v>
      </x:c>
      <x:c r="C291" s="30" t="str">
        <x:v>IBD / GCM</x:v>
      </x:c>
      <x:c r="D291" s="31" t="str">
        <x:v>Any sectors with opportunities?</x:v>
      </x:c>
      <x:c r="E291" s="31" t="str">
        <x:v>Any sectors with opportunities</x:v>
      </x:c>
      <x:c r="F291" s="31" t="str">
        <x:v>Company, Industry &amp; Deals</x:v>
      </x:c>
      <x:c r="G291" s="30" t="str">
        <x:v>CL0123</x:v>
      </x:c>
      <x:c r="H291" s="32" t="n">
        <x:f>COUNTIF($G$5:$G$1725,G291)</x:f>
        <x:v>1</x:v>
      </x:c>
      <x:c r="I291" s="30" t="str">
        <x:v>G7</x:v>
      </x:c>
      <x:c r="J291" s="31" t="str">
        <x:v>Why UBS | Mandarin: | Outlook of investment banking segment</x:v>
      </x:c>
    </x:row>
    <x:row r="292" ht="48" customHeight="1">
      <x:c r="A292" s="30" t="str">
        <x:v>QB0450</x:v>
      </x:c>
      <x:c r="B292" s="30" t="str">
        <x:v>UBS IBD</x:v>
      </x:c>
      <x:c r="C292" s="30" t="str">
        <x:v>IBD / GCM</x:v>
      </x:c>
      <x:c r="D292" s="31" t="str">
        <x:v>For that internship experience ask about DCF and comps in detail</x:v>
      </x:c>
      <x:c r="E292" s="31" t="str">
        <x:v>For that internship experience ask about DCF and comps in detail</x:v>
      </x:c>
      <x:c r="F292" s="31" t="str">
        <x:v>Resume &amp; Experience</x:v>
      </x:c>
      <x:c r="G292" s="30" t="str">
        <x:v>CL0332</x:v>
      </x:c>
      <x:c r="H292" s="32" t="n">
        <x:f>COUNTIF($G$5:$G$1725,G292)</x:f>
        <x:v>1</x:v>
      </x:c>
      <x:c r="I292" s="30" t="str">
        <x:v>K7</x:v>
      </x:c>
      <x:c r="J292" s="31" t="str">
        <x:v>Self Intro | Why IBD how do you compare it with other industries | Only asked about one internship experience but asked about all the bullet points</x:v>
      </x:c>
    </x:row>
    <x:row r="293" ht="48" customHeight="1">
      <x:c r="A293" s="30" t="str">
        <x:v>QB0451</x:v>
      </x:c>
      <x:c r="B293" s="30" t="str">
        <x:v>UBS IBD</x:v>
      </x:c>
      <x:c r="C293" s="30" t="str">
        <x:v>IBD / GCM</x:v>
      </x:c>
      <x:c r="D293" s="31" t="str">
        <x:v>Why UBS?</x:v>
      </x:c>
      <x:c r="E293" s="31" t="str">
        <x:v>Why this firm?</x:v>
      </x:c>
      <x:c r="F293" s="31" t="str">
        <x:v>Fit &amp; Motivation</x:v>
      </x:c>
      <x:c r="G293" s="30" t="str">
        <x:v>CL0002</x:v>
      </x:c>
      <x:c r="H293" s="32" t="n">
        <x:f>COUNTIF($G$5:$G$1725,G293)</x:f>
        <x:v>39</x:v>
      </x:c>
      <x:c r="I293" s="30" t="str">
        <x:v>A8</x:v>
      </x:c>
      <x:c r="J293" s="31" t="str">
        <x:v>Walk me thru ur first deal, closed? | Why afterwards HKEX and Equity research? | What's ur strength and weaknesses</x:v>
      </x:c>
    </x:row>
    <x:row r="294" ht="48" customHeight="1">
      <x:c r="A294" s="30" t="str">
        <x:v>QB0452</x:v>
      </x:c>
      <x:c r="B294" s="30" t="str">
        <x:v>UBS IBD</x:v>
      </x:c>
      <x:c r="C294" s="30" t="str">
        <x:v>IBD / GCM</x:v>
      </x:c>
      <x:c r="D294" s="31" t="str">
        <x:v>How do you find cost of debt?</x:v>
      </x:c>
      <x:c r="E294" s="31" t="str">
        <x:v>How do you find cost of debt</x:v>
      </x:c>
      <x:c r="F294" s="31" t="str">
        <x:v>Valuation</x:v>
      </x:c>
      <x:c r="G294" s="30" t="str">
        <x:v>CL0410</x:v>
      </x:c>
      <x:c r="H294" s="32" t="n">
        <x:f>COUNTIF($G$5:$G$1725,G294)</x:f>
        <x:v>1</x:v>
      </x:c>
      <x:c r="I294" s="30" t="str">
        <x:v>D8</x:v>
      </x:c>
      <x:c r="J294" s="31" t="str">
        <x:v>Industry overview of energy storage (globally) | How do you do you find comparable companies | How do find the WACC?</x:v>
      </x:c>
    </x:row>
    <x:row r="295" ht="68" customHeight="1">
      <x:c r="A295" s="30" t="str">
        <x:v>QB0454</x:v>
      </x:c>
      <x:c r="B295" s="30" t="str">
        <x:v>UBS IBD</x:v>
      </x:c>
      <x:c r="C295" s="30" t="str">
        <x:v>IBD / GCM</x:v>
      </x:c>
      <x:c r="D295" s="31" t="str">
        <x:v>e.g., how did you do comps, how did you select the comparables, how did you find WACC in DCF, how did you find beta in WACC, what assumptions did you make in projections</x:v>
      </x:c>
      <x:c r="E295" s="31" t="str">
        <x:v>How do you select comparable companies?</x:v>
      </x:c>
      <x:c r="F295" s="31" t="str">
        <x:v>Valuation</x:v>
      </x:c>
      <x:c r="G295" s="30" t="str">
        <x:v>CL0012</x:v>
      </x:c>
      <x:c r="H295" s="32" t="n">
        <x:f>COUNTIF($G$5:$G$1725,G295)</x:f>
        <x:v>12</x:v>
      </x:c>
      <x:c r="I295" s="30" t="str">
        <x:v>K8</x:v>
      </x:c>
      <x:c r="J295" s="31" t="str">
        <x:v>Why IBD how do you compare it with other industries | Only asked about one internship experience but asked about all the bullet points | For that internship experience ask about DCF and comps in detail</x:v>
      </x:c>
    </x:row>
    <x:row r="296" ht="32" customHeight="1">
      <x:c r="A296" s="30" t="str">
        <x:v>QB0455</x:v>
      </x:c>
      <x:c r="B296" s="30" t="str">
        <x:v>UBS IBD</x:v>
      </x:c>
      <x:c r="C296" s="30" t="str">
        <x:v>IBD / GCM</x:v>
      </x:c>
      <x:c r="D296" s="31" t="str">
        <x:v>Tell me about a leadership experiences in your societies</x:v>
      </x:c>
      <x:c r="E296" s="31" t="str">
        <x:v>Tell me about a leadership experiences in your societies</x:v>
      </x:c>
      <x:c r="F296" s="31" t="str">
        <x:v>Resume &amp; Experience</x:v>
      </x:c>
      <x:c r="G296" s="30" t="str">
        <x:v>CL0723</x:v>
      </x:c>
      <x:c r="H296" s="32" t="n">
        <x:f>COUNTIF($G$5:$G$1725,G296)</x:f>
        <x:v>1</x:v>
      </x:c>
      <x:c r="I296" s="30" t="str">
        <x:v>A9</x:v>
      </x:c>
      <x:c r="J296" s="31" t="str">
        <x:v>Why afterwards HKEX and Equity research? | What's ur strength and weaknesses | Why UBS?</x:v>
      </x:c>
    </x:row>
    <x:row r="297" ht="48" customHeight="1">
      <x:c r="A297" s="30" t="str">
        <x:v>QB0456</x:v>
      </x:c>
      <x:c r="B297" s="30" t="str">
        <x:v>UBS IBD</x:v>
      </x:c>
      <x:c r="C297" s="30" t="str">
        <x:v>IBD / GCM</x:v>
      </x:c>
      <x:c r="D297" s="31" t="str">
        <x:v>Shouldn't you use interest expense / debt?</x:v>
      </x:c>
      <x:c r="E297" s="31" t="str">
        <x:v>Shouldn't you use interest expense / debt</x:v>
      </x:c>
      <x:c r="F297" s="31" t="str">
        <x:v>Other Question</x:v>
      </x:c>
      <x:c r="G297" s="30" t="str">
        <x:v>CL0677</x:v>
      </x:c>
      <x:c r="H297" s="32" t="n">
        <x:f>COUNTIF($G$5:$G$1725,G297)</x:f>
        <x:v>1</x:v>
      </x:c>
      <x:c r="I297" s="30" t="str">
        <x:v>D9</x:v>
      </x:c>
      <x:c r="J297" s="31" t="str">
        <x:v>How do you do you find comparable companies | How do find the WACC? | How do you find cost of debt?</x:v>
      </x:c>
    </x:row>
    <x:row r="298" ht="92" customHeight="1">
      <x:c r="A298" s="30" t="str">
        <x:v>QB0458</x:v>
      </x:c>
      <x:c r="B298" s="30" t="str">
        <x:v>UBS IBD</x:v>
      </x:c>
      <x:c r="C298" s="30" t="str">
        <x:v>IBD / GCM</x:v>
      </x:c>
      <x:c r="D298" s="31" t="str">
        <x:v>Give me an example showing that you're detail oriented</x:v>
      </x:c>
      <x:c r="E298" s="31" t="str">
        <x:v>Give me an example showing that you're detail oriented</x:v>
      </x:c>
      <x:c r="F298" s="31" t="str">
        <x:v>Behavioral &amp; Situational</x:v>
      </x:c>
      <x:c r="G298" s="30" t="str">
        <x:v>CL0346</x:v>
      </x:c>
      <x:c r="H298" s="32" t="n">
        <x:f>COUNTIF($G$5:$G$1725,G298)</x:f>
        <x:v>1</x:v>
      </x:c>
      <x:c r="I298" s="30" t="str">
        <x:v>K9</x:v>
      </x:c>
      <x:c r="J298" s="31" t="str">
        <x:v>Only asked about one internship experience but asked about all the bullet points | For that internship experience ask about DCF and comps in detail | e.g., how did you do comps, how did you select the comparables, how did you find WACC i...</x:v>
      </x:c>
    </x:row>
    <x:row r="299" ht="48" customHeight="1">
      <x:c r="A299" s="30" t="str">
        <x:v>QB0459</x:v>
      </x:c>
      <x:c r="B299" s="30" t="str">
        <x:v>UBS IBD</x:v>
      </x:c>
      <x:c r="C299" s="30" t="str">
        <x:v>IBD / GCM</x:v>
      </x:c>
      <x:c r="D299" s="31" t="str">
        <x:v>Walk me through industry in energy storage and what you did in stock pitch and investment thesis</x:v>
      </x:c>
      <x:c r="E299" s="31" t="str">
        <x:v>Pitch me a stock</x:v>
      </x:c>
      <x:c r="F299" s="31" t="str">
        <x:v>Resume &amp; Experience</x:v>
      </x:c>
      <x:c r="G299" s="30" t="str">
        <x:v>CL0006</x:v>
      </x:c>
      <x:c r="H299" s="32" t="n">
        <x:f>COUNTIF($G$5:$G$1725,G299)</x:f>
        <x:v>19</x:v>
      </x:c>
      <x:c r="I299" s="30" t="str">
        <x:v>A10</x:v>
      </x:c>
      <x:c r="J299" s="31" t="str">
        <x:v>What's ur strength and weaknesses | Why UBS? | Tell me about a leadership experiences in your societies</x:v>
      </x:c>
    </x:row>
    <x:row r="300" ht="48" customHeight="1">
      <x:c r="A300" s="30" t="str">
        <x:v>QB0460</x:v>
      </x:c>
      <x:c r="B300" s="30" t="str">
        <x:v>UBS IBD</x:v>
      </x:c>
      <x:c r="C300" s="30" t="str">
        <x:v>IBD / GCM</x:v>
      </x:c>
      <x:c r="D300" s="31" t="str">
        <x:v>Accounting question: Revenue 100, impact on 3 statement, make your own assumptuons</x:v>
      </x:c>
      <x:c r="E300" s="31" t="str">
        <x:v>Accounting question: Revenue 100, impact on 3 statement, make your own assumptuons</x:v>
      </x:c>
      <x:c r="F300" s="31" t="str">
        <x:v>Accounting &amp; Financial Statements</x:v>
      </x:c>
      <x:c r="G300" s="30" t="str">
        <x:v>CL0098</x:v>
      </x:c>
      <x:c r="H300" s="32" t="n">
        <x:f>COUNTIF($G$5:$G$1725,G300)</x:f>
        <x:v>1</x:v>
      </x:c>
      <x:c r="I300" s="30" t="str">
        <x:v>D10</x:v>
      </x:c>
      <x:c r="J300" s="31" t="str">
        <x:v>How do find the WACC? | How do you find cost of debt? | Shouldn't you use interest expense / debt?</x:v>
      </x:c>
    </x:row>
    <x:row r="301" ht="92" customHeight="1">
      <x:c r="A301" s="30" t="str">
        <x:v>QB0461</x:v>
      </x:c>
      <x:c r="B301" s="30" t="str">
        <x:v>UBS IBD</x:v>
      </x:c>
      <x:c r="C301" s="30" t="str">
        <x:v>IBD / GCM</x:v>
      </x:c>
      <x:c r="D301" s="31" t="str">
        <x:v>What did you do in HKUIBC</x:v>
      </x:c>
      <x:c r="E301" s="31" t="str">
        <x:v>What did you do in HKUIBC</x:v>
      </x:c>
      <x:c r="F301" s="31" t="str">
        <x:v>Resume &amp; Experience</x:v>
      </x:c>
      <x:c r="G301" s="30" t="str">
        <x:v>CL0900</x:v>
      </x:c>
      <x:c r="H301" s="32" t="n">
        <x:f>COUNTIF($G$5:$G$1725,G301)</x:f>
        <x:v>1</x:v>
      </x:c>
      <x:c r="I301" s="30" t="str">
        <x:v>K10</x:v>
      </x:c>
      <x:c r="J301" s="31" t="str">
        <x:v>For that internship experience ask about DCF and comps in detail | e.g., how did you do comps, how did you select the comparables, how did you find WACC in DCF, how did you find beta in WACC, what assumptions did you make in projections ...</x:v>
      </x:c>
    </x:row>
    <x:row r="302" ht="68" customHeight="1">
      <x:c r="A302" s="30" t="str">
        <x:v>QB0462</x:v>
      </x:c>
      <x:c r="B302" s="30" t="str">
        <x:v>UBS IBD</x:v>
      </x:c>
      <x:c r="C302" s="30" t="str">
        <x:v>IBD / GCM</x:v>
      </x:c>
      <x:c r="D302" s="31" t="str">
        <x:v>Walk me through industry in electroplating equipment and what you did in stock pitch and investment thesis</x:v>
      </x:c>
      <x:c r="E302" s="31" t="str">
        <x:v>Pitch me a stock</x:v>
      </x:c>
      <x:c r="F302" s="31" t="str">
        <x:v>Resume &amp; Experience</x:v>
      </x:c>
      <x:c r="G302" s="30" t="str">
        <x:v>CL0006</x:v>
      </x:c>
      <x:c r="H302" s="32" t="n">
        <x:f>COUNTIF($G$5:$G$1725,G302)</x:f>
        <x:v>19</x:v>
      </x:c>
      <x:c r="I302" s="30" t="str">
        <x:v>A11</x:v>
      </x:c>
      <x:c r="J302" s="31" t="str">
        <x:v>Why UBS? | Tell me about a leadership experiences in your societies | Walk me through industry in energy storage and what you did in stock pitch and investment thesis</x:v>
      </x:c>
    </x:row>
    <x:row r="303" ht="92" customHeight="1">
      <x:c r="A303" s="30" t="str">
        <x:v>QB0464</x:v>
      </x:c>
      <x:c r="B303" s="30" t="str">
        <x:v>UBS IBD</x:v>
      </x:c>
      <x:c r="C303" s="30" t="str">
        <x:v>IBD / GCM</x:v>
      </x:c>
      <x:c r="D303" s="31" t="str">
        <x:v>How did you do revenue and cost breakdown for it?</x:v>
      </x:c>
      <x:c r="E303" s="31" t="str">
        <x:v>How did you do revenue and cost breakdown for it</x:v>
      </x:c>
      <x:c r="F303" s="31" t="str">
        <x:v>Company, Industry &amp; Deals</x:v>
      </x:c>
      <x:c r="G303" s="30" t="str">
        <x:v>CL0383</x:v>
      </x:c>
      <x:c r="H303" s="32" t="n">
        <x:f>COUNTIF($G$5:$G$1725,G303)</x:f>
        <x:v>1</x:v>
      </x:c>
      <x:c r="I303" s="30" t="str">
        <x:v>A12</x:v>
      </x:c>
      <x:c r="J303" s="31" t="str">
        <x:v>Tell me about a leadership experiences in your societies | Walk me through industry in energy storage and what you did in stock pitch and investment thesis | Walk me through industry in electroplating equipment and what you did in stock ...</x:v>
      </x:c>
    </x:row>
    <x:row r="304" ht="48" customHeight="1">
      <x:c r="A304" s="30" t="str">
        <x:v>QB0468</x:v>
      </x:c>
      <x:c r="B304" s="30" t="str">
        <x:v>UBS IBD</x:v>
      </x:c>
      <x:c r="C304" s="30" t="str">
        <x:v>IBD / GCM</x:v>
      </x:c>
      <x:c r="D304" s="31" t="str">
        <x:v>Self Intro</x:v>
      </x:c>
      <x:c r="E304" s="31" t="str">
        <x:v>Tell me about yourself / walk me through your resume</x:v>
      </x:c>
      <x:c r="F304" s="31" t="str">
        <x:v>Resume &amp; Experience</x:v>
      </x:c>
      <x:c r="G304" s="30" t="str">
        <x:v>CL0001</x:v>
      </x:c>
      <x:c r="H304" s="32" t="n">
        <x:f>COUNTIF($G$5:$G$1725,G304)</x:f>
        <x:v>170</x:v>
      </x:c>
      <x:c r="I304" s="30" t="str">
        <x:v>D13</x:v>
      </x:c>
      <x:c r="J304" s="31" t="str">
        <x:v>Shouldn't you use interest expense / debt? | Accounting question: Revenue 100, impact on 3 statement, make your own assumptuons | Behavioural</x:v>
      </x:c>
    </x:row>
    <x:row r="305" ht="68" customHeight="1">
      <x:c r="A305" s="30" t="str">
        <x:v>QB0469</x:v>
      </x:c>
      <x:c r="B305" s="30" t="str">
        <x:v>UBS IBD</x:v>
      </x:c>
      <x:c r="C305" s="30" t="str">
        <x:v>IBD / GCM</x:v>
      </x:c>
      <x:c r="D305" s="31" t="str">
        <x:v>What skills do you think are applicable to IBD</x:v>
      </x:c>
      <x:c r="E305" s="31" t="str">
        <x:v>What skills do you think are applicable to IBD</x:v>
      </x:c>
      <x:c r="F305" s="31" t="str">
        <x:v>Other Question</x:v>
      </x:c>
      <x:c r="G305" s="30" t="str">
        <x:v>CL1029</x:v>
      </x:c>
      <x:c r="H305" s="32" t="n">
        <x:f>COUNTIF($G$5:$G$1725,G305)</x:f>
        <x:v>1</x:v>
      </x:c>
      <x:c r="I305" s="30" t="str">
        <x:v>K13</x:v>
      </x:c>
      <x:c r="J305" s="31" t="str">
        <x:v>What did you do in HKUIBC | You have done two case comps but seems like that you were interested in marketing why | (i said sthsth and also said the skills were transferrable)</x:v>
      </x:c>
    </x:row>
    <x:row r="306" ht="68" customHeight="1">
      <x:c r="A306" s="30" t="str">
        <x:v>QB0470</x:v>
      </x:c>
      <x:c r="B306" s="30" t="str">
        <x:v>UBS IBD</x:v>
      </x:c>
      <x:c r="C306" s="30" t="str">
        <x:v>IBD / GCM</x:v>
      </x:c>
      <x:c r="D306" s="31" t="str">
        <x:v>Tell me a time you worked with a team</x:v>
      </x:c>
      <x:c r="E306" s="31" t="str">
        <x:v>Tell me a time you worked with a team</x:v>
      </x:c>
      <x:c r="F306" s="31" t="str">
        <x:v>Other Question</x:v>
      </x:c>
      <x:c r="G306" s="30" t="str">
        <x:v>CL0719</x:v>
      </x:c>
      <x:c r="H306" s="32" t="n">
        <x:f>COUNTIF($G$5:$G$1725,G306)</x:f>
        <x:v>1</x:v>
      </x:c>
      <x:c r="I306" s="30" t="str">
        <x:v>A14</x:v>
      </x:c>
      <x:c r="J306" s="31" t="str">
        <x:v>Walk me through industry in electroplating equipment and what you did in stock pitch and investment thesis | How did you do revenue and cost breakdown for it? | Most fun experience in Epee fencing</x:v>
      </x:c>
    </x:row>
    <x:row r="307" ht="48" customHeight="1">
      <x:c r="A307" s="30" t="str">
        <x:v>QB0471</x:v>
      </x:c>
      <x:c r="B307" s="30" t="str">
        <x:v>UBS IBD</x:v>
      </x:c>
      <x:c r="C307" s="30" t="str">
        <x:v>IBD / GCM</x:v>
      </x:c>
      <x:c r="D307" s="31" t="str">
        <x:v>Tell me a time you made a sustainable decision?</x:v>
      </x:c>
      <x:c r="E307" s="31" t="str">
        <x:v>Tell me a time you made a sustainable decision</x:v>
      </x:c>
      <x:c r="F307" s="31" t="str">
        <x:v>Other Question</x:v>
      </x:c>
      <x:c r="G307" s="30" t="str">
        <x:v>CL0717</x:v>
      </x:c>
      <x:c r="H307" s="32" t="n">
        <x:f>COUNTIF($G$5:$G$1725,G307)</x:f>
        <x:v>1</x:v>
      </x:c>
      <x:c r="I307" s="30" t="str">
        <x:v>D14</x:v>
      </x:c>
      <x:c r="J307" s="31" t="str">
        <x:v>Accounting question: Revenue 100, impact on 3 statement, make your own assumptuons | Behavioural | Self Intro</x:v>
      </x:c>
    </x:row>
    <x:row r="308" ht="68" customHeight="1">
      <x:c r="A308" s="30" t="str">
        <x:v>QB0472</x:v>
      </x:c>
      <x:c r="B308" s="30" t="str">
        <x:v>UBS IBD</x:v>
      </x:c>
      <x:c r="C308" s="30" t="str">
        <x:v>IBD / GCM</x:v>
      </x:c>
      <x:c r="D308" s="31" t="str">
        <x:v>What team do you wanna do if you join us</x:v>
      </x:c>
      <x:c r="E308" s="31" t="str">
        <x:v>What team do you wanna do if you join us</x:v>
      </x:c>
      <x:c r="F308" s="31" t="str">
        <x:v>Behavioral &amp; Situational</x:v>
      </x:c>
      <x:c r="G308" s="30" t="str">
        <x:v>CL1030</x:v>
      </x:c>
      <x:c r="H308" s="32" t="n">
        <x:f>COUNTIF($G$5:$G$1725,G308)</x:f>
        <x:v>1</x:v>
      </x:c>
      <x:c r="I308" s="30" t="str">
        <x:v>K14</x:v>
      </x:c>
      <x:c r="J308" s="31" t="str">
        <x:v>You have done two case comps but seems like that you were interested in marketing why | (i said sthsth and also said the skills were transferrable) | What skills do you think are applicable to IBD</x:v>
      </x:c>
    </x:row>
    <x:row r="309" ht="48" customHeight="1">
      <x:c r="A309" s="30" t="str">
        <x:v>QB0477</x:v>
      </x:c>
      <x:c r="B309" s="30" t="str">
        <x:v>UBS IBD</x:v>
      </x:c>
      <x:c r="C309" s="30" t="str">
        <x:v>IBD / GCM</x:v>
      </x:c>
      <x:c r="D309" s="31" t="str">
        <x:v>Tell me a time you had to make a decision with risks</x:v>
      </x:c>
      <x:c r="E309" s="31" t="str">
        <x:v>Tell me a time you had to make a decision with risks</x:v>
      </x:c>
      <x:c r="F309" s="31" t="str">
        <x:v>Behavioral &amp; Situational</x:v>
      </x:c>
      <x:c r="G309" s="30" t="str">
        <x:v>CL0713</x:v>
      </x:c>
      <x:c r="H309" s="32" t="n">
        <x:f>COUNTIF($G$5:$G$1725,G309)</x:f>
        <x:v>1</x:v>
      </x:c>
      <x:c r="I309" s="30" t="str">
        <x:v>D16</x:v>
      </x:c>
      <x:c r="J309" s="31" t="str">
        <x:v>Self Intro | Tell me a time you made a sustainable decision? | Sustainable as in good for your growth (clarified)</x:v>
      </x:c>
    </x:row>
    <x:row r="310" ht="48" customHeight="1">
      <x:c r="A310" s="30" t="str">
        <x:v>QB0479</x:v>
      </x:c>
      <x:c r="B310" s="30" t="str">
        <x:v>UBS IBD</x:v>
      </x:c>
      <x:c r="C310" s="30" t="str">
        <x:v>IBD / GCM</x:v>
      </x:c>
      <x:c r="D310" s="31" t="str">
        <x:v>Tell me a time you faced challenges</x:v>
      </x:c>
      <x:c r="E310" s="31" t="str">
        <x:v>Tell me about a challenge, setback, or failure</x:v>
      </x:c>
      <x:c r="F310" s="31" t="str">
        <x:v>Behavioral &amp; Situational</x:v>
      </x:c>
      <x:c r="G310" s="30" t="str">
        <x:v>CL0007</x:v>
      </x:c>
      <x:c r="H310" s="32" t="n">
        <x:f>COUNTIF($G$5:$G$1725,G310)</x:f>
        <x:v>16</x:v>
      </x:c>
      <x:c r="I310" s="30" t="str">
        <x:v>D17</x:v>
      </x:c>
      <x:c r="J310" s="31" t="str">
        <x:v>Tell me a time you made a sustainable decision? | Sustainable as in good for your growth (clarified) | Tell me a time you had to make a decision with risks</x:v>
      </x:c>
    </x:row>
    <x:row r="311" ht="32" customHeight="1">
      <x:c r="A311" s="30" t="str">
        <x:v>QB0480</x:v>
      </x:c>
      <x:c r="B311" s="30" t="str">
        <x:v>UBS IBD</x:v>
      </x:c>
      <x:c r="C311" s="30" t="str">
        <x:v>IBD / GCM</x:v>
      </x:c>
      <x:c r="D311" s="31" t="str">
        <x:v>Walk me through ur CV</x:v>
      </x:c>
      <x:c r="E311" s="31" t="str">
        <x:v>Tell me about yourself / walk me through your resume</x:v>
      </x:c>
      <x:c r="F311" s="31" t="str">
        <x:v>Resume &amp; Experience</x:v>
      </x:c>
      <x:c r="G311" s="30" t="str">
        <x:v>CL0001</x:v>
      </x:c>
      <x:c r="H311" s="32" t="n">
        <x:f>COUNTIF($G$5:$G$1725,G311)</x:f>
        <x:v>170</x:v>
      </x:c>
      <x:c r="I311" s="30" t="str">
        <x:v>A18</x:v>
      </x:c>
      <x:c r="J311" s="31" t="str">
        <x:v>Tell me a time you worked with a team | Regan | ubs kayee kam</x:v>
      </x:c>
    </x:row>
    <x:row r="312" ht="32" customHeight="1">
      <x:c r="A312" s="30" t="str">
        <x:v>QB0482</x:v>
      </x:c>
      <x:c r="B312" s="30" t="str">
        <x:v>UBS IBD</x:v>
      </x:c>
      <x:c r="C312" s="30" t="str">
        <x:v>IBD / GCM</x:v>
      </x:c>
      <x:c r="D312" s="31" t="str">
        <x:v>How did you do company comparable analysis for the companies you looked at</x:v>
      </x:c>
      <x:c r="E312" s="31" t="str">
        <x:v>How did you do company comparable analysis for the companies you looked at</x:v>
      </x:c>
      <x:c r="F312" s="31" t="str">
        <x:v>Valuation</x:v>
      </x:c>
      <x:c r="G312" s="30" t="str">
        <x:v>CL0380</x:v>
      </x:c>
      <x:c r="H312" s="32" t="n">
        <x:f>COUNTIF($G$5:$G$1725,G312)</x:f>
        <x:v>1</x:v>
      </x:c>
      <x:c r="I312" s="30" t="str">
        <x:v>A19</x:v>
      </x:c>
      <x:c r="J312" s="31" t="str">
        <x:v>Regan | ubs kayee kam | Walk me through ur CV</x:v>
      </x:c>
    </x:row>
    <x:row r="313" ht="48" customHeight="1">
      <x:c r="A313" s="30" t="str">
        <x:v>QB0483</x:v>
      </x:c>
      <x:c r="B313" s="30" t="str">
        <x:v>UBS IBD</x:v>
      </x:c>
      <x:c r="C313" s="30" t="str">
        <x:v>IBD / GCM</x:v>
      </x:c>
      <x:c r="D313" s="31" t="str">
        <x:v>Tell me a time you created an innovative approach to solve a problem</x:v>
      </x:c>
      <x:c r="E313" s="31" t="str">
        <x:v>Tell me a time you created an innovative approach to solve a problem</x:v>
      </x:c>
      <x:c r="F313" s="31" t="str">
        <x:v>Behavioral &amp; Situational</x:v>
      </x:c>
      <x:c r="G313" s="30" t="str">
        <x:v>CL0711</x:v>
      </x:c>
      <x:c r="H313" s="32" t="n">
        <x:f>COUNTIF($G$5:$G$1725,G313)</x:f>
        <x:v>1</x:v>
      </x:c>
      <x:c r="I313" s="30" t="str">
        <x:v>D19</x:v>
      </x:c>
      <x:c r="J313" s="31" t="str">
        <x:v>Tell me a time you had to make a decision with risks | Tell me a time you faced challenges | Gold innovative award for BOCHK, what is the comp about</x:v>
      </x:c>
    </x:row>
    <x:row r="314" ht="48" customHeight="1">
      <x:c r="A314" s="30" t="str">
        <x:v>QB0484</x:v>
      </x:c>
      <x:c r="B314" s="30" t="str">
        <x:v>UBS IBD</x:v>
      </x:c>
      <x:c r="C314" s="30" t="str">
        <x:v>IBD / GCM</x:v>
      </x:c>
      <x:c r="D314" s="31" t="str">
        <x:v>Walk me through the DCF for the biotech company u looked at</x:v>
      </x:c>
      <x:c r="E314" s="31" t="str">
        <x:v>Walk me through the DCF for the biotech company u looked at</x:v>
      </x:c>
      <x:c r="F314" s="31" t="str">
        <x:v>Valuation</x:v>
      </x:c>
      <x:c r="G314" s="30" t="str">
        <x:v>CL0837</x:v>
      </x:c>
      <x:c r="H314" s="32" t="n">
        <x:f>COUNTIF($G$5:$G$1725,G314)</x:f>
        <x:v>1</x:v>
      </x:c>
      <x:c r="I314" s="30" t="str">
        <x:v>A20</x:v>
      </x:c>
      <x:c r="J314" s="31" t="str">
        <x:v>ubs kayee kam | Walk me through ur CV | How did you do company comparable analysis for the companies you looked at</x:v>
      </x:c>
    </x:row>
    <x:row r="315" ht="48" customHeight="1">
      <x:c r="A315" s="30" t="str">
        <x:v>QB0485</x:v>
      </x:c>
      <x:c r="B315" s="30" t="str">
        <x:v>UBS IBD</x:v>
      </x:c>
      <x:c r="C315" s="30" t="str">
        <x:v>IBD / GCM</x:v>
      </x:c>
      <x:c r="D315" s="31" t="str">
        <x:v>How many years did you project it</x:v>
      </x:c>
      <x:c r="E315" s="31" t="str">
        <x:v>How many years did you project it</x:v>
      </x:c>
      <x:c r="F315" s="31" t="str">
        <x:v>Other Question</x:v>
      </x:c>
      <x:c r="G315" s="30" t="str">
        <x:v>CL0457</x:v>
      </x:c>
      <x:c r="H315" s="32" t="n">
        <x:f>COUNTIF($G$5:$G$1725,G315)</x:f>
        <x:v>1</x:v>
      </x:c>
      <x:c r="I315" s="30" t="str">
        <x:v>A21</x:v>
      </x:c>
      <x:c r="J315" s="31" t="str">
        <x:v>Walk me through ur CV | How did you do company comparable analysis for the companies you looked at | Walk me through the DCF for the biotech company u looked at</x:v>
      </x:c>
    </x:row>
    <x:row r="316" ht="68" customHeight="1">
      <x:c r="A316" s="30" t="str">
        <x:v>QB0486</x:v>
      </x:c>
      <x:c r="B316" s="30" t="str">
        <x:v>UBS IBD</x:v>
      </x:c>
      <x:c r="C316" s="30" t="str">
        <x:v>IBD / GCM</x:v>
      </x:c>
      <x:c r="D316" s="31" t="str">
        <x:v>Tell me a time you had to to face conflciting and high pressure deadline? How do you deal with it?</x:v>
      </x:c>
      <x:c r="E316" s="31" t="str">
        <x:v>Tell me a time you had to to face conflciting and high pressure deadline? How do you deal with it</x:v>
      </x:c>
      <x:c r="F316" s="31" t="str">
        <x:v>Company, Industry &amp; Deals</x:v>
      </x:c>
      <x:c r="G316" s="30" t="str">
        <x:v>CL0714</x:v>
      </x:c>
      <x:c r="H316" s="32" t="n">
        <x:f>COUNTIF($G$5:$G$1725,G316)</x:f>
        <x:v>1</x:v>
      </x:c>
      <x:c r="I316" s="30" t="str">
        <x:v>D21</x:v>
      </x:c>
      <x:c r="J316" s="31" t="str">
        <x:v>Tell me a time you faced challenges | Gold innovative award for BOCHK, what is the comp about | Tell me a time you created an innovative approach to solve a problem</x:v>
      </x:c>
    </x:row>
    <x:row r="317" ht="68" customHeight="1">
      <x:c r="A317" s="30" t="str">
        <x:v>QB0487</x:v>
      </x:c>
      <x:c r="B317" s="30" t="str">
        <x:v>UBS IBD</x:v>
      </x:c>
      <x:c r="C317" s="30" t="str">
        <x:v>IBD / GCM</x:v>
      </x:c>
      <x:c r="D317" s="31" t="str">
        <x:v>Tell me about a recent piece of news in Chinese</x:v>
      </x:c>
      <x:c r="E317" s="31" t="str">
        <x:v>Tell me about a recent piece of news in Chinese</x:v>
      </x:c>
      <x:c r="F317" s="31" t="str">
        <x:v>Other Question</x:v>
      </x:c>
      <x:c r="G317" s="30" t="str">
        <x:v>CL0727</x:v>
      </x:c>
      <x:c r="H317" s="32" t="n">
        <x:f>COUNTIF($G$5:$G$1725,G317)</x:f>
        <x:v>1</x:v>
      </x:c>
      <x:c r="I317" s="30" t="str">
        <x:v>A22</x:v>
      </x:c>
      <x:c r="J317" s="31" t="str">
        <x:v>How did you do company comparable analysis for the companies you looked at | Walk me through the DCF for the biotech company u looked at | How many years did you project it</x:v>
      </x:c>
    </x:row>
    <x:row r="318" ht="68" customHeight="1">
      <x:c r="A318" s="30" t="str">
        <x:v>QB0488</x:v>
      </x:c>
      <x:c r="B318" s="30" t="str">
        <x:v>UBS IBD</x:v>
      </x:c>
      <x:c r="C318" s="30" t="str">
        <x:v>IBD / GCM</x:v>
      </x:c>
      <x:c r="D318" s="31" t="str">
        <x:v>What if there are like 4 MDs reaching out to you, what would you do?</x:v>
      </x:c>
      <x:c r="E318" s="31" t="str">
        <x:v>What if there are like 4 MDs reaching out to you, what would you do</x:v>
      </x:c>
      <x:c r="F318" s="31" t="str">
        <x:v>Other Question</x:v>
      </x:c>
      <x:c r="G318" s="30" t="str">
        <x:v>CL0956</x:v>
      </x:c>
      <x:c r="H318" s="32" t="n">
        <x:f>COUNTIF($G$5:$G$1725,G318)</x:f>
        <x:v>1</x:v>
      </x:c>
      <x:c r="I318" s="30" t="str">
        <x:v>D22</x:v>
      </x:c>
      <x:c r="J318" s="31" t="str">
        <x:v>Gold innovative award for BOCHK, what is the comp about | Tell me a time you created an innovative approach to solve a problem | Tell me a time you had to to face conflciting and high pressure deadline? How do you deal with it?</x:v>
      </x:c>
    </x:row>
    <x:row r="319" ht="48" customHeight="1">
      <x:c r="A319" s="30" t="str">
        <x:v>QB0489</x:v>
      </x:c>
      <x:c r="B319" s="30" t="str">
        <x:v>UBS IBD</x:v>
      </x:c>
      <x:c r="C319" s="30" t="str">
        <x:v>IBD / GCM</x:v>
      </x:c>
      <x:c r="D319" s="31" t="str">
        <x:v>Why IBD not PE</x:v>
      </x:c>
      <x:c r="E319" s="31" t="str">
        <x:v>Why investment banking?</x:v>
      </x:c>
      <x:c r="F319" s="31" t="str">
        <x:v>Fit &amp; Motivation</x:v>
      </x:c>
      <x:c r="G319" s="30" t="str">
        <x:v>CL0003</x:v>
      </x:c>
      <x:c r="H319" s="32" t="n">
        <x:f>COUNTIF($G$5:$G$1725,G319)</x:f>
        <x:v>34</x:v>
      </x:c>
      <x:c r="I319" s="30" t="str">
        <x:v>A23</x:v>
      </x:c>
      <x:c r="J319" s="31" t="str">
        <x:v>Walk me through the DCF for the biotech company u looked at | How many years did you project it | Tell me about a recent piece of news in Chinese</x:v>
      </x:c>
    </x:row>
    <x:row r="320" ht="68" customHeight="1">
      <x:c r="A320" s="30" t="str">
        <x:v>QB0495</x:v>
      </x:c>
      <x:c r="B320" s="30" t="str">
        <x:v>UBS IBD</x:v>
      </x:c>
      <x:c r="C320" s="30" t="str">
        <x:v>IBD / GCM</x:v>
      </x:c>
      <x:c r="D320" s="31" t="str">
        <x:v>Why do you think the company is undervalued</x:v>
      </x:c>
      <x:c r="E320" s="31" t="str">
        <x:v>Why do you think the company is undervalued</x:v>
      </x:c>
      <x:c r="F320" s="31" t="str">
        <x:v>Fit &amp; Motivation</x:v>
      </x:c>
      <x:c r="G320" s="30" t="str">
        <x:v>CL1130</x:v>
      </x:c>
      <x:c r="H320" s="32" t="n">
        <x:f>COUNTIF($G$5:$G$1725,G320)</x:f>
        <x:v>1</x:v>
      </x:c>
      <x:c r="I320" s="30" t="str">
        <x:v>D26</x:v>
      </x:c>
      <x:c r="J320" s="31" t="str">
        <x:v>What if there are like 4 MDs reaching out to you, what would you do? | Case study | (I fucked up really badly so he is just asking wtf r u doing lol and guiding me to solve it)</x:v>
      </x:c>
    </x:row>
    <x:row r="321" ht="48" customHeight="1">
      <x:c r="A321" s="30" t="str">
        <x:v>QB0496</x:v>
      </x:c>
      <x:c r="B321" s="30" t="str">
        <x:v>UBS IBD</x:v>
      </x:c>
      <x:c r="C321" s="30" t="str">
        <x:v>IBD / GCM</x:v>
      </x:c>
      <x:c r="D321" s="31" t="str">
        <x:v>why ubs</x:v>
      </x:c>
      <x:c r="E321" s="31" t="str">
        <x:v>Why this firm?</x:v>
      </x:c>
      <x:c r="F321" s="31" t="str">
        <x:v>Fit &amp; Motivation</x:v>
      </x:c>
      <x:c r="G321" s="30" t="str">
        <x:v>CL0002</x:v>
      </x:c>
      <x:c r="H321" s="32" t="n">
        <x:f>COUNTIF($G$5:$G$1725,G321)</x:f>
        <x:v>39</x:v>
      </x:c>
      <x:c r="I321" s="30" t="str">
        <x:v>A27</x:v>
      </x:c>
      <x:c r="J321" s="31" t="str">
        <x:v>Best feedback vs worst feedback u received | Any questions | if ubs and barclays both gave you an offer, which would you choose</x:v>
      </x:c>
    </x:row>
    <x:row r="322" ht="48" customHeight="1">
      <x:c r="A322" s="30" t="str">
        <x:v>QB0497</x:v>
      </x:c>
      <x:c r="B322" s="30" t="str">
        <x:v>UBS IBD</x:v>
      </x:c>
      <x:c r="C322" s="30" t="str">
        <x:v>IBD / GCM</x:v>
      </x:c>
      <x:c r="D322" s="31" t="str">
        <x:v>How would you value the company</x:v>
      </x:c>
      <x:c r="E322" s="31" t="str">
        <x:v>How would you value the company</x:v>
      </x:c>
      <x:c r="F322" s="31" t="str">
        <x:v>Company, Industry &amp; Deals</x:v>
      </x:c>
      <x:c r="G322" s="30" t="str">
        <x:v>CL0500</x:v>
      </x:c>
      <x:c r="H322" s="32" t="n">
        <x:f>COUNTIF($G$5:$G$1725,G322)</x:f>
        <x:v>1</x:v>
      </x:c>
      <x:c r="I322" s="30" t="str">
        <x:v>D27</x:v>
      </x:c>
      <x:c r="J322" s="31" t="str">
        <x:v>Case study | (I fucked up really badly so he is just asking wtf r u doing lol and guiding me to solve it) | Why do you think the company is undervalued</x:v>
      </x:c>
    </x:row>
    <x:row r="323" ht="68" customHeight="1">
      <x:c r="A323" s="30" t="str">
        <x:v>QB0498</x:v>
      </x:c>
      <x:c r="B323" s="30" t="str">
        <x:v>UBS IBD</x:v>
      </x:c>
      <x:c r="C323" s="30" t="str">
        <x:v>IBD / GCM</x:v>
      </x:c>
      <x:c r="D323" s="31" t="str">
        <x:v>Calculate the EV/EBITDA by using target price</x:v>
      </x:c>
      <x:c r="E323" s="31" t="str">
        <x:v>Calculate the EV/EBITDA by using target price</x:v>
      </x:c>
      <x:c r="F323" s="31" t="str">
        <x:v>Other Technical</x:v>
      </x:c>
      <x:c r="G323" s="30" t="str">
        <x:v>CL0182</x:v>
      </x:c>
      <x:c r="H323" s="32" t="n">
        <x:f>COUNTIF($G$5:$G$1725,G323)</x:f>
        <x:v>1</x:v>
      </x:c>
      <x:c r="I323" s="30" t="str">
        <x:v>D28</x:v>
      </x:c>
      <x:c r="J323" s="31" t="str">
        <x:v>(I fucked up really badly so he is just asking wtf r u doing lol and guiding me to solve it) | Why do you think the company is undervalued | How would you value the company</x:v>
      </x:c>
    </x:row>
    <x:row r="324" ht="48" customHeight="1">
      <x:c r="A324" s="30" t="str">
        <x:v>QB0499</x:v>
      </x:c>
      <x:c r="B324" s="30" t="str">
        <x:v>UBS IBD</x:v>
      </x:c>
      <x:c r="C324" s="30" t="str">
        <x:v>IBD / GCM</x:v>
      </x:c>
      <x:c r="D324" s="31" t="str">
        <x:v>How do you find the FCF of 2022E</x:v>
      </x:c>
      <x:c r="E324" s="31" t="str">
        <x:v>How do you find the FCF of 2022E</x:v>
      </x:c>
      <x:c r="F324" s="31" t="str">
        <x:v>Other Question</x:v>
      </x:c>
      <x:c r="G324" s="30" t="str">
        <x:v>CL0412</x:v>
      </x:c>
      <x:c r="H324" s="32" t="n">
        <x:f>COUNTIF($G$5:$G$1725,G324)</x:f>
        <x:v>1</x:v>
      </x:c>
      <x:c r="I324" s="30" t="str">
        <x:v>D29</x:v>
      </x:c>
      <x:c r="J324" s="31" t="str">
        <x:v>Why do you think the company is undervalued | How would you value the company | Calculate the EV/EBITDA by using target price</x:v>
      </x:c>
    </x:row>
    <x:row r="325" ht="92" customHeight="1">
      <x:c r="A325" s="30" t="str">
        <x:v>QB0503</x:v>
      </x:c>
      <x:c r="B325" s="30" t="str">
        <x:v>UBS IBD</x:v>
      </x:c>
      <x:c r="C325" s="30" t="str">
        <x:v>IBD / GCM</x:v>
      </x:c>
      <x:c r="D325" s="31" t="str">
        <x:v>considering the continued growth in ASEAN as opposed to the stagnant developments of the Greater China markets, do you think Singapore will overtake HK as an international financial hub in the future? What are the respective strengths and weaknesses of these 2 cities?</x:v>
      </x:c>
      <x:c r="E325" s="31" t="str">
        <x:v>What are your greatest strengths and weaknesses?</x:v>
      </x:c>
      <x:c r="F325" s="31" t="str">
        <x:v>Behavioral &amp; Situational</x:v>
      </x:c>
      <x:c r="G325" s="30" t="str">
        <x:v>CL0025</x:v>
      </x:c>
      <x:c r="H325" s="32" t="n">
        <x:f>COUNTIF($G$5:$G$1725,G325)</x:f>
        <x:v>3</x:v>
      </x:c>
      <x:c r="I325" s="30" t="str">
        <x:v>A34</x:v>
      </x:c>
      <x:c r="J325" s="31" t="str">
        <x:v>2025 SA | 1st round | 9 Germaine (webinar with 2 rounds of group discussions)</x:v>
      </x:c>
    </x:row>
    <x:row r="326" ht="118" customHeight="1">
      <x:c r="A326" s="30" t="str">
        <x:v>QB0505</x:v>
      </x:c>
      <x:c r="B326" s="30" t="str">
        <x:v>UBS IBD</x:v>
      </x:c>
      <x:c r="C326" s="30" t="str">
        <x:v>IBD / GCM</x:v>
      </x:c>
      <x:c r="D326" s="31" t="str">
        <x:v>this year we saw a substantial surge in USD/JPY, until an abrupt correction in July. What do you think is the cause and how do you see this impacting businesses in Japan and financial markets around the world?</x:v>
      </x:c>
      <x:c r="E326" s="31" t="str">
        <x:v>This year we saw a substantial surge in USD/JPY, until an abrupt correction in July. What do you think is the cause and how do you see this impacting businesses in Japan and financial markets around the world</x:v>
      </x:c>
      <x:c r="F326" s="31" t="str">
        <x:v>Accounting &amp; Financial Statements</x:v>
      </x:c>
      <x:c r="G326" s="30" t="str">
        <x:v>CL0794</x:v>
      </x:c>
      <x:c r="H326" s="32" t="n">
        <x:f>COUNTIF($G$5:$G$1725,G326)</x:f>
        <x:v>1</x:v>
      </x:c>
      <x:c r="I326" s="30" t="str">
        <x:v>A36</x:v>
      </x:c>
      <x:c r="J326" s="31" t="str">
        <x:v>9 Germaine (webinar with 2 rounds of group discussions) | considering the continued growth in ASEAN as opposed to the stagnant developments of the Greater China markets, do you think Singapore will overtake HK as an international financi...</x:v>
      </x:c>
    </x:row>
    <x:row r="327" ht="118" customHeight="1">
      <x:c r="A327" s="30" t="str">
        <x:v>QB0506</x:v>
      </x:c>
      <x:c r="B327" s="30" t="str">
        <x:v>UBS IBD</x:v>
      </x:c>
      <x:c r="C327" s="30" t="str">
        <x:v>IBD / GCM</x:v>
      </x:c>
      <x:c r="D327" s="31" t="str">
        <x:v>please discuss how the US' current account and fiscal deficits, coupled with its increasing national debt burden, will impact its role in the global economy and monetary system, in particular the role of USD as the world's reserve currency?</x:v>
      </x:c>
      <x:c r="E327" s="31" t="str">
        <x:v>Please discuss how the US' current account and fiscal deficits, coupled with its increasing national debt burden, will impact its role in the global economy and monetary system, in particular the role of USD as the world's reserve currency</x:v>
      </x:c>
      <x:c r="F327" s="31" t="str">
        <x:v>Markets &amp; Macro</x:v>
      </x:c>
      <x:c r="G327" s="30" t="str">
        <x:v>CL0641</x:v>
      </x:c>
      <x:c r="H327" s="32" t="n">
        <x:f>COUNTIF($G$5:$G$1725,G327)</x:f>
        <x:v>1</x:v>
      </x:c>
      <x:c r="I327" s="30" t="str">
        <x:v>A37</x:v>
      </x:c>
      <x:c r="J327" s="31" t="str">
        <x:v>considering the continued growth in ASEAN as opposed to the stagnant developments of the Greater China markets, do you think Singapore will overtake HK as an international financial hub in the future? What are the respective strengths an...</x:v>
      </x:c>
    </x:row>
    <x:row r="328" ht="118" customHeight="1">
      <x:c r="A328" s="30" t="str">
        <x:v>QB0507</x:v>
      </x:c>
      <x:c r="B328" s="30" t="str">
        <x:v>UBS IBD</x:v>
      </x:c>
      <x:c r="C328" s="30" t="str">
        <x:v>IBD / GCM</x:v>
      </x:c>
      <x:c r="D328" s="31" t="str">
        <x:v>in anticipation of macro and geopolitical uncertainties such as outcome of US presidential election, what do you think is the key for investment banks to stay relevant and competitive?</x:v>
      </x:c>
      <x:c r="E328" s="31" t="str">
        <x:v>In anticipation of macro and geopolitical uncertainties such as outcome of US presidential election, what do you think is the key for investment banks to stay relevant and competitive</x:v>
      </x:c>
      <x:c r="F328" s="31" t="str">
        <x:v>Accounting &amp; Financial Statements</x:v>
      </x:c>
      <x:c r="G328" s="30" t="str">
        <x:v>CL0537</x:v>
      </x:c>
      <x:c r="H328" s="32" t="n">
        <x:f>COUNTIF($G$5:$G$1725,G328)</x:f>
        <x:v>1</x:v>
      </x:c>
      <x:c r="I328" s="30" t="str">
        <x:v>A38</x:v>
      </x:c>
      <x:c r="J328" s="31" t="str">
        <x:v>FOLLOW UP: how should hong kong position itself to differentiate itself from singapore? what financial products or sectors should it focus on? | this year we saw a substantial surge in USD/JPY, until an abrupt correction in July. What do...</x:v>
      </x:c>
    </x:row>
    <x:row r="329" ht="118" customHeight="1">
      <x:c r="A329" s="30" t="str">
        <x:v>QB0508</x:v>
      </x:c>
      <x:c r="B329" s="30" t="str">
        <x:v>UBS IBD</x:v>
      </x:c>
      <x:c r="C329" s="30" t="str">
        <x:v>IBD / GCM</x:v>
      </x:c>
      <x:c r="D329" s="31" t="str">
        <x:v>in light of continued challenging developments of china real estate space, what do you think is the medium term impact on the overall chinese economy and ultimately financial markets and companies valuation</x:v>
      </x:c>
      <x:c r="E329" s="31" t="str">
        <x:v>Tell me about a challenge, setback, or failure</x:v>
      </x:c>
      <x:c r="F329" s="31" t="str">
        <x:v>Behavioral &amp; Situational</x:v>
      </x:c>
      <x:c r="G329" s="30" t="str">
        <x:v>CL0007</x:v>
      </x:c>
      <x:c r="H329" s="32" t="n">
        <x:f>COUNTIF($G$5:$G$1725,G329)</x:f>
        <x:v>16</x:v>
      </x:c>
      <x:c r="I329" s="30" t="str">
        <x:v>A39</x:v>
      </x:c>
      <x:c r="J329" s="31" t="str">
        <x:v>this year we saw a substantial surge in USD/JPY, until an abrupt correction in July. What do you think is the cause and how do you see this impacting businesses in Japan and financial markets around the world? | please discuss how the US...</x:v>
      </x:c>
    </x:row>
    <x:row r="330" ht="118" customHeight="1">
      <x:c r="A330" s="30" t="str">
        <x:v>QB0509</x:v>
      </x:c>
      <x:c r="B330" s="30" t="str">
        <x:v>UBS IBD</x:v>
      </x:c>
      <x:c r="C330" s="30" t="str">
        <x:v>IBD / GCM</x:v>
      </x:c>
      <x:c r="D330" s="31" t="str">
        <x:v>how would you compare the outlook of starting your career in investment banking vs. PE/VC companies?</x:v>
      </x:c>
      <x:c r="E330" s="31" t="str">
        <x:v>How would you compare the outlook of starting your career in investment banking vs. PE/VC companies</x:v>
      </x:c>
      <x:c r="F330" s="31" t="str">
        <x:v>Company, Industry &amp; Deals</x:v>
      </x:c>
      <x:c r="G330" s="30" t="str">
        <x:v>CL0496</x:v>
      </x:c>
      <x:c r="H330" s="32" t="n">
        <x:f>COUNTIF($G$5:$G$1725,G330)</x:f>
        <x:v>1</x:v>
      </x:c>
      <x:c r="I330" s="30" t="str">
        <x:v>A40</x:v>
      </x:c>
      <x:c r="J330" s="31" t="str">
        <x:v>please discuss how the US' current account and fiscal deficits, coupled with its increasing national debt burden, will impact its role in the global economy and monetary system, in particular the role of USD as the world's reserve curren...</x:v>
      </x:c>
    </x:row>
    <x:row r="331" ht="68" customHeight="1">
      <x:c r="A331" s="30" t="str">
        <x:v>QB0513</x:v>
      </x:c>
      <x:c r="B331" s="30" t="str">
        <x:v>UBS IBD</x:v>
      </x:c>
      <x:c r="C331" s="30" t="str">
        <x:v>IBD / GCM</x:v>
      </x:c>
      <x:c r="D331" s="31" t="str">
        <x:v>I don't have the case with me as I did it in person but it was about xiabuxiabu (hotpot) being privatised by a PE firm and do basic valuation to see if the offer price was reasonable</x:v>
      </x:c>
      <x:c r="E331" s="31" t="str">
        <x:v>I don't have the case with me as I did it in person but it was about xiabuxiabu (hotpot) being privatised by a PE firm and do basic valuation to see if the offer price was reasonable</x:v>
      </x:c>
      <x:c r="F331" s="31" t="str">
        <x:v>Valuation</x:v>
      </x:c>
      <x:c r="G331" s="30" t="str">
        <x:v>CL0505</x:v>
      </x:c>
      <x:c r="H331" s="32" t="n">
        <x:f>COUNTIF($G$5:$G$1725,G331)</x:f>
        <x:v>1</x:v>
      </x:c>
      <x:c r="I331" s="30" t="str">
        <x:v>A44</x:v>
      </x:c>
      <x:c r="J331" s="31" t="str">
        <x:v>SPD | 9 Germaine | Case Study (Sam Luk, HK Coverage Director)</x:v>
      </x:c>
    </x:row>
    <x:row r="332" ht="92" customHeight="1">
      <x:c r="A332" s="30" t="str">
        <x:v>QB0515</x:v>
      </x:c>
      <x:c r="B332" s="30" t="str">
        <x:v>UBS IBD</x:v>
      </x:c>
      <x:c r="C332" s="30" t="str">
        <x:v>IBD / GCM</x:v>
      </x:c>
      <x:c r="D332" s="31" t="str">
        <x:v>Self Intro</x:v>
      </x:c>
      <x:c r="E332" s="31" t="str">
        <x:v>Tell me about yourself / walk me through your resume</x:v>
      </x:c>
      <x:c r="F332" s="31" t="str">
        <x:v>Resume &amp; Experience</x:v>
      </x:c>
      <x:c r="G332" s="30" t="str">
        <x:v>CL0001</x:v>
      </x:c>
      <x:c r="H332" s="32" t="n">
        <x:f>COUNTIF($G$5:$G$1725,G332)</x:f>
        <x:v>170</x:v>
      </x:c>
      <x:c r="I332" s="30" t="str">
        <x:v>A46</x:v>
      </x:c>
      <x:c r="J332" s="31" t="str">
        <x:v>Case Study (Sam Luk, HK Coverage Director) | I don't have the case with me as I did it in person but it was about xiabuxiabu (hotpot) being privatised by a PE firm and do basic valuation to see if the offer price was reasonable | Commerc...</x:v>
      </x:c>
    </x:row>
    <x:row r="333" ht="68" customHeight="1">
      <x:c r="A333" s="30" t="str">
        <x:v>QB0516</x:v>
      </x:c>
      <x:c r="B333" s="30" t="str">
        <x:v>UBS IBD</x:v>
      </x:c>
      <x:c r="C333" s="30" t="str">
        <x:v>IBD / GCM</x:v>
      </x:c>
      <x:c r="D333" s="31" t="str">
        <x:v>What new policies did China just implement? (rate cuts, lower rrr etc)</x:v>
      </x:c>
      <x:c r="E333" s="31" t="str">
        <x:v>What new policies did China just implement? (rate cuts, lower rrr etc)</x:v>
      </x:c>
      <x:c r="F333" s="31" t="str">
        <x:v>Other Question</x:v>
      </x:c>
      <x:c r="G333" s="30" t="str">
        <x:v>CL1021</x:v>
      </x:c>
      <x:c r="H333" s="32" t="n">
        <x:f>COUNTIF($G$5:$G$1725,G333)</x:f>
        <x:v>1</x:v>
      </x:c>
      <x:c r="I333" s="30" t="str">
        <x:v>A47</x:v>
      </x:c>
      <x:c r="J333" s="31" t="str">
        <x:v>I don't have the case with me as I did it in person but it was about xiabuxiabu (hotpot) being privatised by a PE firm and do basic valuation to see if the offer price was reasonable | Commercial (idk she just said her name is Catherine ...</x:v>
      </x:c>
    </x:row>
    <x:row r="334" ht="48" customHeight="1">
      <x:c r="A334" s="30" t="str">
        <x:v>QB0517</x:v>
      </x:c>
      <x:c r="B334" s="30" t="str">
        <x:v>UBS IBD</x:v>
      </x:c>
      <x:c r="C334" s="30" t="str">
        <x:v>IBD / GCM</x:v>
      </x:c>
      <x:c r="D334" s="31" t="str">
        <x:v>Do you think it's going to be effective? Why would this round of policy stimulus be different?</x:v>
      </x:c>
      <x:c r="E334" s="31" t="str">
        <x:v>Do you think it's going to be effective? Why would this round of policy stimulus be different</x:v>
      </x:c>
      <x:c r="F334" s="31" t="str">
        <x:v>Fit &amp; Motivation</x:v>
      </x:c>
      <x:c r="G334" s="30" t="str">
        <x:v>CL0295</x:v>
      </x:c>
      <x:c r="H334" s="32" t="n">
        <x:f>COUNTIF($G$5:$G$1725,G334)</x:f>
        <x:v>1</x:v>
      </x:c>
      <x:c r="I334" s="30" t="str">
        <x:v>A48</x:v>
      </x:c>
      <x:c r="J334" s="31" t="str">
        <x:v>Commercial (idk she just said her name is Catherine lol) | Self Intro | What new policies did China just implement? (rate cuts, lower rrr etc)</x:v>
      </x:c>
    </x:row>
    <x:row r="335" ht="68" customHeight="1">
      <x:c r="A335" s="30" t="str">
        <x:v>QB0518</x:v>
      </x:c>
      <x:c r="B335" s="30" t="str">
        <x:v>UBS IBD</x:v>
      </x:c>
      <x:c r="C335" s="30" t="str">
        <x:v>IBD / GCM</x:v>
      </x:c>
      <x:c r="D335" s="31" t="str">
        <x:v>China Real Estate - why is tackling this important?</x:v>
      </x:c>
      <x:c r="E335" s="31" t="str">
        <x:v>China Real Estate - why is tackling this important</x:v>
      </x:c>
      <x:c r="F335" s="31" t="str">
        <x:v>Fit &amp; Motivation</x:v>
      </x:c>
      <x:c r="G335" s="30" t="str">
        <x:v>CL0198</x:v>
      </x:c>
      <x:c r="H335" s="32" t="n">
        <x:f>COUNTIF($G$5:$G$1725,G335)</x:f>
        <x:v>1</x:v>
      </x:c>
      <x:c r="I335" s="30" t="str">
        <x:v>A49</x:v>
      </x:c>
      <x:c r="J335" s="31" t="str">
        <x:v>Self Intro | What new policies did China just implement? (rate cuts, lower rrr etc) | Do you think it's going to be effective? Why would this round of policy stimulus be different?</x:v>
      </x:c>
    </x:row>
    <x:row r="336" ht="68" customHeight="1">
      <x:c r="A336" s="30" t="str">
        <x:v>QB0520</x:v>
      </x:c>
      <x:c r="B336" s="30" t="str">
        <x:v>UBS IBD</x:v>
      </x:c>
      <x:c r="C336" s="30" t="str">
        <x:v>IBD / GCM</x:v>
      </x:c>
      <x:c r="D336" s="31" t="str">
        <x:v>For companies like Tencent, 3 main items of financial statements to look at</x:v>
      </x:c>
      <x:c r="E336" s="31" t="str">
        <x:v>For companies like Tencent, 3 main items of financial statements to look at</x:v>
      </x:c>
      <x:c r="F336" s="31" t="str">
        <x:v>Accounting &amp; Financial Statements</x:v>
      </x:c>
      <x:c r="G336" s="30" t="str">
        <x:v>CL0328</x:v>
      </x:c>
      <x:c r="H336" s="32" t="n">
        <x:f>COUNTIF($G$5:$G$1725,G336)</x:f>
        <x:v>1</x:v>
      </x:c>
      <x:c r="I336" s="30" t="str">
        <x:v>A51</x:v>
      </x:c>
      <x:c r="J336" s="31" t="str">
        <x:v>Do you think it's going to be effective? Why would this round of policy stimulus be different? | China Real Estate - why is tackling this important? | Industry pitch for Chinese market</x:v>
      </x:c>
    </x:row>
    <x:row r="337" ht="68" customHeight="1">
      <x:c r="A337" s="30" t="str">
        <x:v>QB0521</x:v>
      </x:c>
      <x:c r="B337" s="30" t="str">
        <x:v>UBS IBD</x:v>
      </x:c>
      <x:c r="C337" s="30" t="str">
        <x:v>IBD / GCM</x:v>
      </x:c>
      <x:c r="D337" s="31" t="str">
        <x:v>Do you follow the stock market closely? What's a stock you've been following closely?</x:v>
      </x:c>
      <x:c r="E337" s="31" t="str">
        <x:v>Do you follow the stock market closely? What's a stock you've been following closely</x:v>
      </x:c>
      <x:c r="F337" s="31" t="str">
        <x:v>Markets &amp; Macro</x:v>
      </x:c>
      <x:c r="G337" s="30" t="str">
        <x:v>CL0269</x:v>
      </x:c>
      <x:c r="H337" s="32" t="n">
        <x:f>COUNTIF($G$5:$G$1725,G337)</x:f>
        <x:v>1</x:v>
      </x:c>
      <x:c r="I337" s="30" t="str">
        <x:v>A52</x:v>
      </x:c>
      <x:c r="J337" s="31" t="str">
        <x:v>China Real Estate - why is tackling this important? | Industry pitch for Chinese market | For companies like Tencent, 3 main items of financial statements to look at</x:v>
      </x:c>
    </x:row>
    <x:row r="338" ht="68" customHeight="1">
      <x:c r="A338" s="30" t="str">
        <x:v>QB0522</x:v>
      </x:c>
      <x:c r="B338" s="30" t="str">
        <x:v>UBS IBD</x:v>
      </x:c>
      <x:c r="C338" s="30" t="str">
        <x:v>IBD / GCM</x:v>
      </x:c>
      <x:c r="D338" s="31" t="str">
        <x:v>What is special about Nike? (I mentioned Nike)</x:v>
      </x:c>
      <x:c r="E338" s="31" t="str">
        <x:v>What is special about Nike? (I mentioned Nike)</x:v>
      </x:c>
      <x:c r="F338" s="31" t="str">
        <x:v>Accounting &amp; Financial Statements</x:v>
      </x:c>
      <x:c r="G338" s="30" t="str">
        <x:v>CL0972</x:v>
      </x:c>
      <x:c r="H338" s="32" t="n">
        <x:f>COUNTIF($G$5:$G$1725,G338)</x:f>
        <x:v>1</x:v>
      </x:c>
      <x:c r="I338" s="30" t="str">
        <x:v>A53</x:v>
      </x:c>
      <x:c r="J338" s="31" t="str">
        <x:v>Industry pitch for Chinese market | For companies like Tencent, 3 main items of financial statements to look at | Do you follow the stock market closely? What's a stock you've been following closely?</x:v>
      </x:c>
    </x:row>
    <x:row r="339" ht="68" customHeight="1">
      <x:c r="A339" s="30" t="str">
        <x:v>QB0523</x:v>
      </x:c>
      <x:c r="B339" s="30" t="str">
        <x:v>UBS IBD</x:v>
      </x:c>
      <x:c r="C339" s="30" t="str">
        <x:v>IBD / GCM</x:v>
      </x:c>
      <x:c r="D339" s="31" t="str">
        <x:v>Nike and Starbucks both just changed CEOs and their stock price rose, what do you think is the reason behind? (it's like their new CEOs are all F&amp;B veterans whereas their old ones came from consulting background and didn't understand the industry in real life)</x:v>
      </x:c>
      <x:c r="E339" s="31" t="str">
        <x:v>Nike and Starbucks both just changed CEOs and their stock price rose, what do you think is the reason behind? (it's like their new CEOs are all F&amp;B veterans whereas their old ones came from consulting background and didn't understand the industry in real life)</x:v>
      </x:c>
      <x:c r="F339" s="31" t="str">
        <x:v>Resume &amp; Experience</x:v>
      </x:c>
      <x:c r="G339" s="30" t="str">
        <x:v>CL0620</x:v>
      </x:c>
      <x:c r="H339" s="32" t="n">
        <x:f>COUNTIF($G$5:$G$1725,G339)</x:f>
        <x:v>1</x:v>
      </x:c>
      <x:c r="I339" s="30" t="str">
        <x:v>A54</x:v>
      </x:c>
      <x:c r="J339" s="31" t="str">
        <x:v>For companies like Tencent, 3 main items of financial statements to look at | Do you follow the stock market closely? What's a stock you've been following closely? | What is special about Nike? (I mentioned Nike)</x:v>
      </x:c>
    </x:row>
    <x:row r="340" ht="118" customHeight="1">
      <x:c r="A340" s="30" t="str">
        <x:v>QB0524</x:v>
      </x:c>
      <x:c r="B340" s="30" t="str">
        <x:v>UBS IBD</x:v>
      </x:c>
      <x:c r="C340" s="30" t="str">
        <x:v>IBD / GCM</x:v>
      </x:c>
      <x:c r="D340" s="31" t="str">
        <x:v>She suddenly asked some behavioural questions like if you experience too much workload from seniors how do you manage</x:v>
      </x:c>
      <x:c r="E340" s="31" t="str">
        <x:v>She suddenly asked some behavioural questions like if you experience too much workload from seniors how do you manage</x:v>
      </x:c>
      <x:c r="F340" s="31" t="str">
        <x:v>Resume &amp; Experience</x:v>
      </x:c>
      <x:c r="G340" s="30" t="str">
        <x:v>CL0676</x:v>
      </x:c>
      <x:c r="H340" s="32" t="n">
        <x:f>COUNTIF($G$5:$G$1725,G340)</x:f>
        <x:v>1</x:v>
      </x:c>
      <x:c r="I340" s="30" t="str">
        <x:v>A55</x:v>
      </x:c>
      <x:c r="J340" s="31" t="str">
        <x:v>Do you follow the stock market closely? What's a stock you've been following closely? | What is special about Nike? (I mentioned Nike) | Nike and Starbucks both just changed CEOs and their stock price rose, what do you think is the reaso...</x:v>
      </x:c>
    </x:row>
    <x:row r="341" ht="118" customHeight="1">
      <x:c r="A341" s="30" t="str">
        <x:v>QB0526</x:v>
      </x:c>
      <x:c r="B341" s="30" t="str">
        <x:v>UBS IBD</x:v>
      </x:c>
      <x:c r="C341" s="30" t="str">
        <x:v>IBD / GCM</x:v>
      </x:c>
      <x:c r="D341" s="31" t="str">
        <x:v>Self Intro</x:v>
      </x:c>
      <x:c r="E341" s="31" t="str">
        <x:v>Tell me about yourself / walk me through your resume</x:v>
      </x:c>
      <x:c r="F341" s="31" t="str">
        <x:v>Resume &amp; Experience</x:v>
      </x:c>
      <x:c r="G341" s="30" t="str">
        <x:v>CL0001</x:v>
      </x:c>
      <x:c r="H341" s="32" t="n">
        <x:f>COUNTIF($G$5:$G$1725,G341)</x:f>
        <x:v>170</x:v>
      </x:c>
      <x:c r="I341" s="30" t="str">
        <x:v>A57</x:v>
      </x:c>
      <x:c r="J341" s="31" t="str">
        <x:v>Nike and Starbucks both just changed CEOs and their stock price rose, what do you think is the reason behind? (it's like their new CEOs are all F&amp;B veterans whereas their old ones came from consulting background and didn't understand the...</x:v>
      </x:c>
    </x:row>
    <x:row r="342" ht="68" customHeight="1">
      <x:c r="A342" s="30" t="str">
        <x:v>QB0527</x:v>
      </x:c>
      <x:c r="B342" s="30" t="str">
        <x:v>UBS IBD</x:v>
      </x:c>
      <x:c r="C342" s="30" t="str">
        <x:v>IBD / GCM</x:v>
      </x:c>
      <x:c r="D342" s="31" t="str">
        <x:v>Basically just asked about each internship experience one by one</x:v>
      </x:c>
      <x:c r="E342" s="31" t="str">
        <x:v>Basically just asked about each internship experience one by one</x:v>
      </x:c>
      <x:c r="F342" s="31" t="str">
        <x:v>Resume &amp; Experience</x:v>
      </x:c>
      <x:c r="G342" s="30" t="str">
        <x:v>CL0156</x:v>
      </x:c>
      <x:c r="H342" s="32" t="n">
        <x:f>COUNTIF($G$5:$G$1725,G342)</x:f>
        <x:v>1</x:v>
      </x:c>
      <x:c r="I342" s="30" t="str">
        <x:v>A58</x:v>
      </x:c>
      <x:c r="J342" s="31" t="str">
        <x:v>She suddenly asked some behavioural questions like if you experience too much workload from seniors how do you manage | Competency (Stephanie Cho, M&amp;A Director) | Self Intro</x:v>
      </x:c>
    </x:row>
    <x:row r="343" ht="48" customHeight="1">
      <x:c r="A343" s="30" t="str">
        <x:v>QB0528</x:v>
      </x:c>
      <x:c r="B343" s="30" t="str">
        <x:v>UBS IBD</x:v>
      </x:c>
      <x:c r="C343" s="30" t="str">
        <x:v>IBD / GCM</x:v>
      </x:c>
      <x:c r="D343" s="31" t="str">
        <x:v>PwC ESG Challenge - why this case competition? do you care a lot about ESG?</x:v>
      </x:c>
      <x:c r="E343" s="31" t="str">
        <x:v>Tell me about a challenge, setback, or failure</x:v>
      </x:c>
      <x:c r="F343" s="31" t="str">
        <x:v>Fit &amp; Motivation</x:v>
      </x:c>
      <x:c r="G343" s="30" t="str">
        <x:v>CL0007</x:v>
      </x:c>
      <x:c r="H343" s="32" t="n">
        <x:f>COUNTIF($G$5:$G$1725,G343)</x:f>
        <x:v>16</x:v>
      </x:c>
      <x:c r="I343" s="30" t="str">
        <x:v>A59</x:v>
      </x:c>
      <x:c r="J343" s="31" t="str">
        <x:v>Competency (Stephanie Cho, M&amp;A Director) | Self Intro | Basically just asked about each internship experience one by one</x:v>
      </x:c>
    </x:row>
    <x:row r="344" ht="48" customHeight="1">
      <x:c r="A344" s="30" t="str">
        <x:v>QB0529</x:v>
      </x:c>
      <x:c r="B344" s="30" t="str">
        <x:v>UBS IBD</x:v>
      </x:c>
      <x:c r="C344" s="30" t="str">
        <x:v>IBD / GCM</x:v>
      </x:c>
      <x:c r="D344" s="31" t="str">
        <x:v>Why use this competition to know more about ESG?</x:v>
      </x:c>
      <x:c r="E344" s="31" t="str">
        <x:v>Why use this competition to know more about ESG</x:v>
      </x:c>
      <x:c r="F344" s="31" t="str">
        <x:v>Fit &amp; Motivation</x:v>
      </x:c>
      <x:c r="G344" s="30" t="str">
        <x:v>CL1172</x:v>
      </x:c>
      <x:c r="H344" s="32" t="n">
        <x:f>COUNTIF($G$5:$G$1725,G344)</x:f>
        <x:v>1</x:v>
      </x:c>
      <x:c r="I344" s="30" t="str">
        <x:v>A60</x:v>
      </x:c>
      <x:c r="J344" s="31" t="str">
        <x:v>Self Intro | Basically just asked about each internship experience one by one | PwC ESG Challenge - why this case competition? do you care a lot about ESG?</x:v>
      </x:c>
    </x:row>
    <x:row r="345" ht="68" customHeight="1">
      <x:c r="A345" s="30" t="str">
        <x:v>QB0530</x:v>
      </x:c>
      <x:c r="B345" s="30" t="str">
        <x:v>UBS IBD</x:v>
      </x:c>
      <x:c r="C345" s="30" t="str">
        <x:v>IBD / GCM</x:v>
      </x:c>
      <x:c r="D345" s="31" t="str">
        <x:v>Tell me about a time where you faced challenges and how you overcame it</x:v>
      </x:c>
      <x:c r="E345" s="31" t="str">
        <x:v>Tell me about a challenge, setback, or failure</x:v>
      </x:c>
      <x:c r="F345" s="31" t="str">
        <x:v>Behavioral &amp; Situational</x:v>
      </x:c>
      <x:c r="G345" s="30" t="str">
        <x:v>CL0007</x:v>
      </x:c>
      <x:c r="H345" s="32" t="n">
        <x:f>COUNTIF($G$5:$G$1725,G345)</x:f>
        <x:v>16</x:v>
      </x:c>
      <x:c r="I345" s="30" t="str">
        <x:v>A61</x:v>
      </x:c>
      <x:c r="J345" s="31" t="str">
        <x:v>Basically just asked about each internship experience one by one | PwC ESG Challenge - why this case competition? do you care a lot about ESG? | Why use this competition to know more about ESG?</x:v>
      </x:c>
    </x:row>
    <x:row r="346" ht="48" customHeight="1">
      <x:c r="A346" s="30" t="str">
        <x:v>QB0534</x:v>
      </x:c>
      <x:c r="B346" s="30" t="str">
        <x:v>UBS IBD</x:v>
      </x:c>
      <x:c r="C346" s="30" t="str">
        <x:v>IBD / GCM</x:v>
      </x:c>
      <x:c r="D346" s="31" t="str">
        <x:v>In light of decent deglobalisation trends, what is your view of the role of HK as a global financial hub going forward</x:v>
      </x:c>
      <x:c r="E346" s="31" t="str">
        <x:v>In light of decent deglobalisation trends, what is your view of the role of HK as a global financial hub going forward</x:v>
      </x:c>
      <x:c r="F346" s="31" t="str">
        <x:v>Accounting &amp; Financial Statements</x:v>
      </x:c>
      <x:c r="G346" s="30" t="str">
        <x:v>CL0539</x:v>
      </x:c>
      <x:c r="H346" s="32" t="n">
        <x:f>COUNTIF($G$5:$G$1725,G346)</x:f>
        <x:v>1</x:v>
      </x:c>
      <x:c r="I346" s="30" t="str">
        <x:v>A67</x:v>
      </x:c>
      <x:c r="J346" s="31" t="str">
        <x:v>2026 SA | 1st round | 10/18 Kate (webinar with 2 rounds of group discussions)</x:v>
      </x:c>
    </x:row>
    <x:row r="347" ht="92" customHeight="1">
      <x:c r="A347" s="30" t="str">
        <x:v>QB0535</x:v>
      </x:c>
      <x:c r="B347" s="30" t="str">
        <x:v>UBS IBD</x:v>
      </x:c>
      <x:c r="C347" s="30" t="str">
        <x:v>IBD / GCM</x:v>
      </x:c>
      <x:c r="D347" s="31" t="str">
        <x:v>In light of continued challenging situations of internally, say the real estate slump, and externally, say the trade tensions that's impacting the Chinese economy. What do you think is the medium-term impact on the overall Chinese economy. What’s the ultimate impact on financial markets and valuations</x:v>
      </x:c>
      <x:c r="E347" s="31" t="str">
        <x:v>Tell me about a challenge, setback, or failure</x:v>
      </x:c>
      <x:c r="F347" s="31" t="str">
        <x:v>Behavioral &amp; Situational</x:v>
      </x:c>
      <x:c r="G347" s="30" t="str">
        <x:v>CL0007</x:v>
      </x:c>
      <x:c r="H347" s="32" t="n">
        <x:f>COUNTIF($G$5:$G$1725,G347)</x:f>
        <x:v>16</x:v>
      </x:c>
      <x:c r="I347" s="30" t="str">
        <x:v>A68</x:v>
      </x:c>
      <x:c r="J347" s="31" t="str">
        <x:v>1st round | 10/18 Kate (webinar with 2 rounds of group discussions) | In light of decent deglobalisation trends, what is your view of the role of HK as a global financial hub going forward</x:v>
      </x:c>
    </x:row>
    <x:row r="348" ht="118" customHeight="1">
      <x:c r="A348" s="30" t="str">
        <x:v>QB0536</x:v>
      </x:c>
      <x:c r="B348" s="30" t="str">
        <x:v>UBS IBD</x:v>
      </x:c>
      <x:c r="C348" s="30" t="str">
        <x:v>IBD / GCM</x:v>
      </x:c>
      <x:c r="D348" s="31" t="str">
        <x:v>Discuss how the US tariffs announcements and the overall erratic policy will impact its role in the global economy and monetary system in the medium or long term.</x:v>
      </x:c>
      <x:c r="E348" s="31" t="str">
        <x:v>Discuss how the US tariffs announcements and the overall erratic policy will impact its role in the global economy and monetary system in the medium or long term</x:v>
      </x:c>
      <x:c r="F348" s="31" t="str">
        <x:v>Markets &amp; Macro</x:v>
      </x:c>
      <x:c r="G348" s="30" t="str">
        <x:v>CL0258</x:v>
      </x:c>
      <x:c r="H348" s="32" t="n">
        <x:f>COUNTIF($G$5:$G$1725,G348)</x:f>
        <x:v>1</x:v>
      </x:c>
      <x:c r="I348" s="30" t="str">
        <x:v>A69</x:v>
      </x:c>
      <x:c r="J348" s="31" t="str">
        <x:v>10/18 Kate (webinar with 2 rounds of group discussions) | In light of decent deglobalisation trends, what is your view of the role of HK as a global financial hub going forward | In light of continued challenging situations of internally...</x:v>
      </x:c>
    </x:row>
    <x:row r="349" ht="118" customHeight="1">
      <x:c r="A349" s="30" t="str">
        <x:v>QB0537</x:v>
      </x:c>
      <x:c r="B349" s="30" t="str">
        <x:v>UBS IBD</x:v>
      </x:c>
      <x:c r="C349" s="30" t="str">
        <x:v>IBD / GCM</x:v>
      </x:c>
      <x:c r="D349" s="31" t="str">
        <x:v>What do you think is the key move of investment banks to stay relevant and compete competitively</x:v>
      </x:c>
      <x:c r="E349" s="31" t="str">
        <x:v>What do you think is the key move of investment banks to stay relevant and compete competitively</x:v>
      </x:c>
      <x:c r="F349" s="31" t="str">
        <x:v>Accounting &amp; Financial Statements</x:v>
      </x:c>
      <x:c r="G349" s="30" t="str">
        <x:v>CL0931</x:v>
      </x:c>
      <x:c r="H349" s="32" t="n">
        <x:f>COUNTIF($G$5:$G$1725,G349)</x:f>
        <x:v>1</x:v>
      </x:c>
      <x:c r="I349" s="30" t="str">
        <x:v>A70</x:v>
      </x:c>
      <x:c r="J349" s="31" t="str">
        <x:v>In light of decent deglobalisation trends, what is your view of the role of HK as a global financial hub going forward | In light of continued challenging situations of internally, say the real estate slump, and externally, say the trade...</x:v>
      </x:c>
    </x:row>
    <x:row r="350" ht="118" customHeight="1">
      <x:c r="A350" s="30" t="str">
        <x:v>QB0538</x:v>
      </x:c>
      <x:c r="B350" s="30" t="str">
        <x:v>UBS IBD</x:v>
      </x:c>
      <x:c r="C350" s="30" t="str">
        <x:v>IBD / GCM</x:v>
      </x:c>
      <x:c r="D350" s="31" t="str">
        <x:v>What do you think would be the impact or consequences of tariffs on Asian economies in the short/medium/long term</x:v>
      </x:c>
      <x:c r="E350" s="31" t="str">
        <x:v>What do you think would be the impact or consequences of tariffs on Asian economies in the short/medium/long term</x:v>
      </x:c>
      <x:c r="F350" s="31" t="str">
        <x:v>Markets &amp; Macro</x:v>
      </x:c>
      <x:c r="G350" s="30" t="str">
        <x:v>CL0933</x:v>
      </x:c>
      <x:c r="H350" s="32" t="n">
        <x:f>COUNTIF($G$5:$G$1725,G350)</x:f>
        <x:v>1</x:v>
      </x:c>
      <x:c r="I350" s="30" t="str">
        <x:v>A71</x:v>
      </x:c>
      <x:c r="J350" s="31" t="str">
        <x:v>In light of continued challenging situations of internally, say the real estate slump, and externally, say the trade tensions that's impacting the Chinese economy. What do you think is the medium-term impact on the overall Chinese econom...</x:v>
      </x:c>
    </x:row>
    <x:row r="351" ht="92" customHeight="1">
      <x:c r="A351" s="30" t="str">
        <x:v>QB0539</x:v>
      </x:c>
      <x:c r="B351" s="30" t="str">
        <x:v>UBS IBD</x:v>
      </x:c>
      <x:c r="C351" s="30" t="str">
        <x:v>IBD / GCM</x:v>
      </x:c>
      <x:c r="D351" s="31" t="str">
        <x:v>How would you compare the outlook of starting your career in investment banking v.s. PE/VC?</x:v>
      </x:c>
      <x:c r="E351" s="31" t="str">
        <x:v>How would you compare the outlook of starting your career in investment banking v.s. PE/VC</x:v>
      </x:c>
      <x:c r="F351" s="31" t="str">
        <x:v>Other Question</x:v>
      </x:c>
      <x:c r="G351" s="30" t="str">
        <x:v>CL0495</x:v>
      </x:c>
      <x:c r="H351" s="32" t="n">
        <x:f>COUNTIF($G$5:$G$1725,G351)</x:f>
        <x:v>1</x:v>
      </x:c>
      <x:c r="I351" s="30" t="str">
        <x:v>A72</x:v>
      </x:c>
      <x:c r="J351" s="31" t="str">
        <x:v>Discuss how the US tariffs announcements and the overall erratic policy will impact its role in the global economy and monetary system in the medium or long term. | What do you think is the key move of investment banks to stay relevant a...</x:v>
      </x:c>
    </x:row>
    <x:row r="352" ht="92" customHeight="1">
      <x:c r="A352" s="30" t="str">
        <x:v>QB0540</x:v>
      </x:c>
      <x:c r="B352" s="30" t="str">
        <x:v>UBS IBD</x:v>
      </x:c>
      <x:c r="C352" s="30" t="str">
        <x:v>IBD / GCM</x:v>
      </x:c>
      <x:c r="D352" s="31" t="str">
        <x:v>In current market, what is current valuation level of different asset classes? Which one do you prefer to invest?</x:v>
      </x:c>
      <x:c r="E352" s="31" t="str">
        <x:v>In current market, what is current valuation level of different asset classes? Which one do you prefer to invest</x:v>
      </x:c>
      <x:c r="F352" s="31" t="str">
        <x:v>Accounting &amp; Financial Statements</x:v>
      </x:c>
      <x:c r="G352" s="30" t="str">
        <x:v>CL0538</x:v>
      </x:c>
      <x:c r="H352" s="32" t="n">
        <x:f>COUNTIF($G$5:$G$1725,G352)</x:f>
        <x:v>1</x:v>
      </x:c>
      <x:c r="I352" s="30" t="str">
        <x:v>A73</x:v>
      </x:c>
      <x:c r="J352" s="31" t="str">
        <x:v>What do you think is the key move of investment banks to stay relevant and compete competitively | What do you think would be the impact or consequences of tariffs on Asian economies in the short/medium/long term | How would you compare ...</x:v>
      </x:c>
    </x:row>
    <x:row r="353" ht="92" customHeight="1">
      <x:c r="A353" s="30" t="str">
        <x:v>QB0541</x:v>
      </x:c>
      <x:c r="B353" s="30" t="str">
        <x:v>UBS IBD</x:v>
      </x:c>
      <x:c r="C353" s="30" t="str">
        <x:v>IBD / GCM</x:v>
      </x:c>
      <x:c r="D353" s="31" t="str">
        <x:v>What’s your view on digital assets development? If you’re the management team member, what’s your policy in terms of digital assets?</x:v>
      </x:c>
      <x:c r="E353" s="31" t="str">
        <x:v>What’s your view on digital assets development? If you’re the management team member, what’s your policy in terms of digital assets</x:v>
      </x:c>
      <x:c r="F353" s="31" t="str">
        <x:v>Behavioral &amp; Situational</x:v>
      </x:c>
      <x:c r="G353" s="30" t="str">
        <x:v>CL1070</x:v>
      </x:c>
      <x:c r="H353" s="32" t="n">
        <x:f>COUNTIF($G$5:$G$1725,G353)</x:f>
        <x:v>1</x:v>
      </x:c>
      <x:c r="I353" s="30" t="str">
        <x:v>A74</x:v>
      </x:c>
      <x:c r="J353" s="31" t="str">
        <x:v>What do you think would be the impact or consequences of tariffs on Asian economies in the short/medium/long term | How would you compare the outlook of starting your career in investment banking v.s. PE/VC? | In current market, what is ...</x:v>
      </x:c>
    </x:row>
    <x:row r="354" ht="68" customHeight="1">
      <x:c r="A354" s="30" t="str">
        <x:v>QB0547</x:v>
      </x:c>
      <x:c r="B354" s="30" t="str">
        <x:v>UBS IBD</x:v>
      </x:c>
      <x:c r="C354" s="30" t="str">
        <x:v>IBD / GCM</x:v>
      </x:c>
      <x:c r="D354" s="31" t="str">
        <x:v>Interrupted again when I mentioned SOTP → asked why SOTP and how I mapped the 4 comp sets, how the business model matches</x:v>
      </x:c>
      <x:c r="E354" s="31" t="str">
        <x:v>Interrupted again when I mentioned SOTP → asked why SOTP and how I mapped the 4 comp sets, how the business model matches</x:v>
      </x:c>
      <x:c r="F354" s="31" t="str">
        <x:v>Fit &amp; Motivation</x:v>
      </x:c>
      <x:c r="G354" s="30" t="str">
        <x:v>CL0549</x:v>
      </x:c>
      <x:c r="H354" s="32" t="n">
        <x:f>COUNTIF($G$5:$G$1725,G354)</x:f>
        <x:v>1</x:v>
      </x:c>
      <x:c r="I354" s="30" t="str">
        <x:v>A81</x:v>
      </x:c>
      <x:c r="J354" s="31" t="str">
        <x:v>Case Study (M&amp;A Director) - 30 mins prep time, can refer to the case here UBS_26 Summer.pdf | Asked me to present directly | Interrupted my intro → asked my target price, % premium, and how I arrived at it</x:v>
      </x:c>
    </x:row>
    <x:row r="355" ht="68" customHeight="1">
      <x:c r="A355" s="30" t="str">
        <x:v>QB0548</x:v>
      </x:c>
      <x:c r="B355" s="30" t="str">
        <x:v>UBS IBD</x:v>
      </x:c>
      <x:c r="C355" s="30" t="str">
        <x:v>IBD / GCM</x:v>
      </x:c>
      <x:c r="D355" s="31" t="str">
        <x:v>How I justify using 75th percentile and what may be the reasons that its current trading price is low</x:v>
      </x:c>
      <x:c r="E355" s="31" t="str">
        <x:v>How I justify using 75th percentile and what may be the reasons that its current trading price is low</x:v>
      </x:c>
      <x:c r="F355" s="31" t="str">
        <x:v>Accounting &amp; Financial Statements</x:v>
      </x:c>
      <x:c r="G355" s="30" t="str">
        <x:v>CL0442</x:v>
      </x:c>
      <x:c r="H355" s="32" t="n">
        <x:f>COUNTIF($G$5:$G$1725,G355)</x:f>
        <x:v>1</x:v>
      </x:c>
      <x:c r="I355" s="30" t="str">
        <x:v>A82</x:v>
      </x:c>
      <x:c r="J355" s="31" t="str">
        <x:v>Asked me to present directly | Interrupted my intro → asked my target price, % premium, and how I arrived at it | Interrupted again when I mentioned SOTP → asked why SOTP and how I mapped the 4 comp sets, how the business model matches</x:v>
      </x:c>
    </x:row>
    <x:row r="356" ht="92" customHeight="1">
      <x:c r="A356" s="30" t="str">
        <x:v>QB0549</x:v>
      </x:c>
      <x:c r="B356" s="30" t="str">
        <x:v>UBS IBD</x:v>
      </x:c>
      <x:c r="C356" s="30" t="str">
        <x:v>IBD / GCM</x:v>
      </x:c>
      <x:c r="D356" s="31" t="str">
        <x:v>How I would build a DCF for this company, how to make the model dynamic (mainly the revenue build-up), and other key inputs needed</x:v>
      </x:c>
      <x:c r="E356" s="31" t="str">
        <x:v>How I would build a DCF for this company, how to make the model dynamic (mainly the revenue build-up), and other key inputs needed</x:v>
      </x:c>
      <x:c r="F356" s="31" t="str">
        <x:v>Valuation</x:v>
      </x:c>
      <x:c r="G356" s="30" t="str">
        <x:v>CL0443</x:v>
      </x:c>
      <x:c r="H356" s="32" t="n">
        <x:f>COUNTIF($G$5:$G$1725,G356)</x:f>
        <x:v>1</x:v>
      </x:c>
      <x:c r="I356" s="30" t="str">
        <x:v>A83</x:v>
      </x:c>
      <x:c r="J356" s="31" t="str">
        <x:v>Interrupted my intro → asked my target price, % premium, and how I arrived at it | Interrupted again when I mentioned SOTP → asked why SOTP and how I mapped the 4 comp sets, how the business model matches | How I justify using 75th perce...</x:v>
      </x:c>
    </x:row>
    <x:row r="357" ht="118" customHeight="1">
      <x:c r="A357" s="30" t="str">
        <x:v>QB0550</x:v>
      </x:c>
      <x:c r="B357" s="30" t="str">
        <x:v>UBS IBD</x:v>
      </x:c>
      <x:c r="C357" s="30" t="str">
        <x:v>IBD / GCM</x:v>
      </x:c>
      <x:c r="D357" s="31" t="str">
        <x:v>Earn-out discussion → asked if the company keeps majority or minority. I said minority - she pushed back, saying it makes no sense for management to stay passive. I said incentives align via milestone gains and retention, but she strongly disagreed and said she would not advise clients that way. Asked many clarifications throughout as well - how to set milestones/how many milestones, and how do I tie the valuation to milestones</x:v>
      </x:c>
      <x:c r="E357" s="31" t="str">
        <x:v>Tell me about a team conflict and how you handled it</x:v>
      </x:c>
      <x:c r="F357" s="31" t="str">
        <x:v>Valuation</x:v>
      </x:c>
      <x:c r="G357" s="30" t="str">
        <x:v>CL0023</x:v>
      </x:c>
      <x:c r="H357" s="32" t="n">
        <x:f>COUNTIF($G$5:$G$1725,G357)</x:f>
        <x:v>3</x:v>
      </x:c>
      <x:c r="I357" s="30" t="str">
        <x:v>A84</x:v>
      </x:c>
      <x:c r="J357" s="31" t="str">
        <x:v>Interrupted again when I mentioned SOTP → asked why SOTP and how I mapped the 4 comp sets, how the business model matches | How I justify using 75th percentile and what may be the reasons that its current trading price is low | How I wou...</x:v>
      </x:c>
    </x:row>
    <x:row r="358" ht="118" customHeight="1">
      <x:c r="A358" s="30" t="str">
        <x:v>QB0552</x:v>
      </x:c>
      <x:c r="B358" s="30" t="str">
        <x:v>UBS IBD</x:v>
      </x:c>
      <x:c r="C358" s="30" t="str">
        <x:v>IBD / GCM</x:v>
      </x:c>
      <x:c r="D358" s="31" t="str">
        <x:v>She asked which segment I would spin off and why. Why not just do shares buy back?</x:v>
      </x:c>
      <x:c r="E358" s="31" t="str">
        <x:v>She asked which segment I would spin off and why. Why not just do shares buy back</x:v>
      </x:c>
      <x:c r="F358" s="31" t="str">
        <x:v>Fit &amp; Motivation</x:v>
      </x:c>
      <x:c r="G358" s="30" t="str">
        <x:v>CL0675</x:v>
      </x:c>
      <x:c r="H358" s="32" t="n">
        <x:f>COUNTIF($G$5:$G$1725,G358)</x:f>
        <x:v>1</x:v>
      </x:c>
      <x:c r="I358" s="30" t="str">
        <x:v>A86</x:v>
      </x:c>
      <x:c r="J358" s="31" t="str">
        <x:v>How I would build a DCF for this company, how to make the model dynamic (mainly the revenue build-up), and other key inputs needed | Earn-out discussion → asked if the company keeps majority or minority. I said minority - she pushed back...</x:v>
      </x:c>
    </x:row>
    <x:row r="359" ht="68" customHeight="1">
      <x:c r="A359" s="30" t="str">
        <x:v>QB0554</x:v>
      </x:c>
      <x:c r="B359" s="30" t="str">
        <x:v>UBS IBD</x:v>
      </x:c>
      <x:c r="C359" s="30" t="str">
        <x:v>IBD / GCM</x:v>
      </x:c>
      <x:c r="D359" s="31" t="str">
        <x:v>Additional ways to look at valuation. I mentioned historical cost</x:v>
      </x:c>
      <x:c r="E359" s="31" t="str">
        <x:v>Additional ways to look at valuation. I mentioned historical cost</x:v>
      </x:c>
      <x:c r="F359" s="31" t="str">
        <x:v>Valuation</x:v>
      </x:c>
      <x:c r="G359" s="30" t="str">
        <x:v>CL0100</x:v>
      </x:c>
      <x:c r="H359" s="32" t="n">
        <x:f>COUNTIF($G$5:$G$1725,G359)</x:f>
        <x:v>1</x:v>
      </x:c>
      <x:c r="I359" s="30" t="str">
        <x:v>A88</x:v>
      </x:c>
      <x:c r="J359" s="31" t="str">
        <x:v>As she disliked the last one I also mentioned spin-off and set up JV. | She asked which segment I would spin off and why. Why not just do shares buy back? | The intention difference between Tesla acquiring a controlling stake vs acquirin...</x:v>
      </x:c>
    </x:row>
    <x:row r="360" ht="68" customHeight="1">
      <x:c r="A360" s="30" t="str">
        <x:v>QB0555</x:v>
      </x:c>
      <x:c r="B360" s="30" t="str">
        <x:v>UBS IBD</x:v>
      </x:c>
      <x:c r="C360" s="30" t="str">
        <x:v>IBD / GCM</x:v>
      </x:c>
      <x:c r="D360" s="31" t="str">
        <x:v>Investment accounting: 10 percent vs 60 percent, differences in 3 statements, and net income impact</x:v>
      </x:c>
      <x:c r="E360" s="31" t="str">
        <x:v>How does a transaction flow through the three financial statements?</x:v>
      </x:c>
      <x:c r="F360" s="31" t="str">
        <x:v>Accounting &amp; Financial Statements</x:v>
      </x:c>
      <x:c r="G360" s="30" t="str">
        <x:v>CL0004</x:v>
      </x:c>
      <x:c r="H360" s="32" t="n">
        <x:f>COUNTIF($G$5:$G$1725,G360)</x:f>
        <x:v>21</x:v>
      </x:c>
      <x:c r="I360" s="30" t="str">
        <x:v>A89</x:v>
      </x:c>
      <x:c r="J360" s="31" t="str">
        <x:v>She asked which segment I would spin off and why. Why not just do shares buy back? | The intention difference between Tesla acquiring a controlling stake vs acquiring 100 percent | Additional ways to look at valuation. I mentioned histor...</x:v>
      </x:c>
    </x:row>
    <x:row r="361" ht="92" customHeight="1">
      <x:c r="A361" s="30" t="str">
        <x:v>QB0556</x:v>
      </x:c>
      <x:c r="B361" s="30" t="str">
        <x:v>UBS IBD</x:v>
      </x:c>
      <x:c r="C361" s="30" t="str">
        <x:v>IBD / GCM</x:v>
      </x:c>
      <x:c r="D361" s="31" t="str">
        <x:v>Convertible bond: strike price 50, should they convert, how it affects the 3 statements, net debt increases or decreases</x:v>
      </x:c>
      <x:c r="E361" s="31" t="str">
        <x:v>How does a transaction flow through the three financial statements?</x:v>
      </x:c>
      <x:c r="F361" s="31" t="str">
        <x:v>Accounting &amp; Financial Statements</x:v>
      </x:c>
      <x:c r="G361" s="30" t="str">
        <x:v>CL0004</x:v>
      </x:c>
      <x:c r="H361" s="32" t="n">
        <x:f>COUNTIF($G$5:$G$1725,G361)</x:f>
        <x:v>21</x:v>
      </x:c>
      <x:c r="I361" s="30" t="str">
        <x:v>A90</x:v>
      </x:c>
      <x:c r="J361" s="31" t="str">
        <x:v>The intention difference between Tesla acquiring a controlling stake vs acquiring 100 percent | Additional ways to look at valuation. I mentioned historical cost | Investment accounting: 10 percent vs 60 percent, differences in 3 stateme...</x:v>
      </x:c>
    </x:row>
    <x:row r="362" ht="92" customHeight="1">
      <x:c r="A362" s="30" t="str">
        <x:v>QB0557</x:v>
      </x:c>
      <x:c r="B362" s="30" t="str">
        <x:v>UBS IBD</x:v>
      </x:c>
      <x:c r="C362" s="30" t="str">
        <x:v>IBD / GCM</x:v>
      </x:c>
      <x:c r="D362" s="31" t="str">
        <x:v>Macro: how the current market would affect the company’s share price and why</x:v>
      </x:c>
      <x:c r="E362" s="31" t="str">
        <x:v>Macro: how the current market would affect the company’s share price and why</x:v>
      </x:c>
      <x:c r="F362" s="31" t="str">
        <x:v>Markets &amp; Macro</x:v>
      </x:c>
      <x:c r="G362" s="30" t="str">
        <x:v>CL0597</x:v>
      </x:c>
      <x:c r="H362" s="32" t="n">
        <x:f>COUNTIF($G$5:$G$1725,G362)</x:f>
        <x:v>1</x:v>
      </x:c>
      <x:c r="I362" s="30" t="str">
        <x:v>A91</x:v>
      </x:c>
      <x:c r="J362" s="31" t="str">
        <x:v>Additional ways to look at valuation. I mentioned historical cost | Investment accounting: 10 percent vs 60 percent, differences in 3 statements, and net income impact | Convertible bond: strike price 50, should they convert, how it affe...</x:v>
      </x:c>
    </x:row>
    <x:row r="363" ht="68" customHeight="1">
      <x:c r="A363" s="30" t="str">
        <x:v>QB0559</x:v>
      </x:c>
      <x:c r="B363" s="30" t="str">
        <x:v>UBS IBD</x:v>
      </x:c>
      <x:c r="C363" s="30" t="str">
        <x:v>IBD / GCM</x:v>
      </x:c>
      <x:c r="D363" s="31" t="str">
        <x:v>Self-intro</x:v>
      </x:c>
      <x:c r="E363" s="31" t="str">
        <x:v>Tell me about yourself / walk me through your resume</x:v>
      </x:c>
      <x:c r="F363" s="31" t="str">
        <x:v>Resume &amp; Experience</x:v>
      </x:c>
      <x:c r="G363" s="30" t="str">
        <x:v>CL0001</x:v>
      </x:c>
      <x:c r="H363" s="32" t="n">
        <x:f>COUNTIF($G$5:$G$1725,G363)</x:f>
        <x:v>170</x:v>
      </x:c>
      <x:c r="I363" s="30" t="str">
        <x:v>A94</x:v>
      </x:c>
      <x:c r="J363" s="31" t="str">
        <x:v>Convertible bond: strike price 50, should they convert, how it affects the 3 statements, net debt increases or decreases | Macro: how the current market would affect the company’s share price and why | Normal 1v1 with ECM Head</x:v>
      </x:c>
    </x:row>
    <x:row r="364" ht="48" customHeight="1">
      <x:c r="A364" s="30" t="str">
        <x:v>QB0560</x:v>
      </x:c>
      <x:c r="B364" s="30" t="str">
        <x:v>UBS IBD</x:v>
      </x:c>
      <x:c r="C364" s="30" t="str">
        <x:v>IBD / GCM</x:v>
      </x:c>
      <x:c r="D364" s="31" t="str">
        <x:v>Explain my major (my major title is Asset Management) and why I'm not doing this</x:v>
      </x:c>
      <x:c r="E364" s="31" t="str">
        <x:v>Explain my major (my major title is Asset Management) and why I'm not doing this</x:v>
      </x:c>
      <x:c r="F364" s="31" t="str">
        <x:v>Fit &amp; Motivation</x:v>
      </x:c>
      <x:c r="G364" s="30" t="str">
        <x:v>CL0322</x:v>
      </x:c>
      <x:c r="H364" s="32" t="n">
        <x:f>COUNTIF($G$5:$G$1725,G364)</x:f>
        <x:v>1</x:v>
      </x:c>
      <x:c r="I364" s="30" t="str">
        <x:v>A95</x:v>
      </x:c>
      <x:c r="J364" s="31" t="str">
        <x:v>Macro: how the current market would affect the company’s share price and why | Normal 1v1 with ECM Head | Self-intro</x:v>
      </x:c>
    </x:row>
    <x:row r="365" ht="68" customHeight="1">
      <x:c r="A365" s="30" t="str">
        <x:v>QB0563</x:v>
      </x:c>
      <x:c r="B365" s="30" t="str">
        <x:v>UBS IBD</x:v>
      </x:c>
      <x:c r="C365" s="30" t="str">
        <x:v>IBD / GCM</x:v>
      </x:c>
      <x:c r="D365" s="31" t="str">
        <x:v>Why UBS and對但這跟你有什麼關係</x:v>
      </x:c>
      <x:c r="E365" s="31" t="str">
        <x:v>Why this firm?</x:v>
      </x:c>
      <x:c r="F365" s="31" t="str">
        <x:v>Fit &amp; Motivation</x:v>
      </x:c>
      <x:c r="G365" s="30" t="str">
        <x:v>CL0002</x:v>
      </x:c>
      <x:c r="H365" s="32" t="n">
        <x:f>COUNTIF($G$5:$G$1725,G365)</x:f>
        <x:v>39</x:v>
      </x:c>
      <x:c r="I365" s="30" t="str">
        <x:v>A98</x:v>
      </x:c>
      <x:c r="J365" s="31" t="str">
        <x:v>Explain my major (my major title is Asset Management) and why I'm not doing this | Chat around how's Lazard, how's the hours like and biggest challenge there, what do I learn there that kind of stuff | Most interesting thing in IBD</x:v>
      </x:c>
    </x:row>
    <x:row r="366" ht="68" customHeight="1">
      <x:c r="A366" s="30" t="str">
        <x:v>QB0564</x:v>
      </x:c>
      <x:c r="B366" s="30" t="str">
        <x:v>UBS IBD</x:v>
      </x:c>
      <x:c r="C366" s="30" t="str">
        <x:v>IBD / GCM</x:v>
      </x:c>
      <x:c r="D366" s="31" t="str">
        <x:v>Tell me the current state of the world</x:v>
      </x:c>
      <x:c r="E366" s="31" t="str">
        <x:v>Tell me the current state of the world</x:v>
      </x:c>
      <x:c r="F366" s="31" t="str">
        <x:v>Markets &amp; Macro</x:v>
      </x:c>
      <x:c r="G366" s="30" t="str">
        <x:v>CL0775</x:v>
      </x:c>
      <x:c r="H366" s="32" t="n">
        <x:f>COUNTIF($G$5:$G$1725,G366)</x:f>
        <x:v>1</x:v>
      </x:c>
      <x:c r="I366" s="30" t="str">
        <x:v>A99</x:v>
      </x:c>
      <x:c r="J366" s="31" t="str">
        <x:v>Chat around how's Lazard, how's the hours like and biggest challenge there, what do I learn there that kind of stuff | Most interesting thing in IBD | Why UBS and對但這跟你有什麼關係</x:v>
      </x:c>
    </x:row>
    <x:row r="367" ht="48" customHeight="1">
      <x:c r="A367" s="30" t="str">
        <x:v>QB0565</x:v>
      </x:c>
      <x:c r="B367" s="30" t="str">
        <x:v>UBS IBD</x:v>
      </x:c>
      <x:c r="C367" s="30" t="str">
        <x:v>IBD / GCM</x:v>
      </x:c>
      <x:c r="D367" s="31" t="str">
        <x:v>As for last question I all talked about M&amp;A stuff so he asked me to talk about the IPO market as well</x:v>
      </x:c>
      <x:c r="E367" s="31" t="str">
        <x:v>As for last question I all talked about M&amp;A stuff so he asked me to talk about the IPO market as well</x:v>
      </x:c>
      <x:c r="F367" s="31" t="str">
        <x:v>Capital Markets &amp; Financing</x:v>
      </x:c>
      <x:c r="G367" s="30" t="str">
        <x:v>CL0139</x:v>
      </x:c>
      <x:c r="H367" s="32" t="n">
        <x:f>COUNTIF($G$5:$G$1725,G367)</x:f>
        <x:v>1</x:v>
      </x:c>
      <x:c r="I367" s="30" t="str">
        <x:v>A100</x:v>
      </x:c>
      <x:c r="J367" s="31" t="str">
        <x:v>Most interesting thing in IBD | Why UBS and對但這跟你有什麼關係 | Tell me the current state of the world</x:v>
      </x:c>
    </x:row>
    <x:row r="368" ht="68" customHeight="1">
      <x:c r="A368" s="30" t="str">
        <x:v>QB0566</x:v>
      </x:c>
      <x:c r="B368" s="30" t="str">
        <x:v>UBS IBD</x:v>
      </x:c>
      <x:c r="C368" s="30" t="str">
        <x:v>IBD / GCM</x:v>
      </x:c>
      <x:c r="D368" s="31" t="str">
        <x:v>How do you see the equity market</x:v>
      </x:c>
      <x:c r="E368" s="31" t="str">
        <x:v>How do you see the equity market</x:v>
      </x:c>
      <x:c r="F368" s="31" t="str">
        <x:v>Markets &amp; Macro</x:v>
      </x:c>
      <x:c r="G368" s="30" t="str">
        <x:v>CL0422</x:v>
      </x:c>
      <x:c r="H368" s="32" t="n">
        <x:f>COUNTIF($G$5:$G$1725,G368)</x:f>
        <x:v>1</x:v>
      </x:c>
      <x:c r="I368" s="30" t="str">
        <x:v>A101</x:v>
      </x:c>
      <x:c r="J368" s="31" t="str">
        <x:v>Why UBS and對但這跟你有什麼關係 | Tell me the current state of the world | As for last question I all talked about M&amp;A stuff so he asked me to talk about the IPO market as well</x:v>
      </x:c>
    </x:row>
    <x:row r="369" ht="68" customHeight="1">
      <x:c r="A369" s="30" t="str">
        <x:v>QB0569</x:v>
      </x:c>
      <x:c r="B369" s="30" t="str">
        <x:v>UBS IBD</x:v>
      </x:c>
      <x:c r="C369" s="30" t="str">
        <x:v>IBD / GCM</x:v>
      </x:c>
      <x:c r="D369" s="31" t="str">
        <x:v>Asked about 我CV最底部的一個社團經驗 問我當時比亞迪的DCF build了啥 還有我target price跟driver之類的 太久了我一點也不記得 and asked about how's BYD currently doing</x:v>
      </x:c>
      <x:c r="E369" s="31" t="str">
        <x:v>Asked about 我CV最底部的一個社團經驗 問我當時比亞迪的DCF build了啥 還有我target price跟driver之類的 太久了我一點也不記得 and asked about how's BYD currently doing</x:v>
      </x:c>
      <x:c r="F369" s="31" t="str">
        <x:v>Resume &amp; Experience</x:v>
      </x:c>
      <x:c r="G369" s="30" t="str">
        <x:v>CL0146</x:v>
      </x:c>
      <x:c r="H369" s="32" t="n">
        <x:f>COUNTIF($G$5:$G$1725,G369)</x:f>
        <x:v>1</x:v>
      </x:c>
      <x:c r="I369" s="30" t="str">
        <x:v>A104</x:v>
      </x:c>
      <x:c r="J369" s="31" t="str">
        <x:v>How do you see the equity market | Followup as I mentioned weak China market fundamental - elaborate on China real estate market and inflation (asked the figures as well) | Long HK equity or US equity</x:v>
      </x:c>
    </x:row>
    <x:row r="370" ht="68" customHeight="1">
      <x:c r="A370" s="30" t="str">
        <x:v>QB0571</x:v>
      </x:c>
      <x:c r="B370" s="30" t="str">
        <x:v>UBS IBD</x:v>
      </x:c>
      <x:c r="C370" s="30" t="str">
        <x:v>IBD / GCM</x:v>
      </x:c>
      <x:c r="D370" s="31" t="str">
        <x:v>Why M&amp;A</x:v>
      </x:c>
      <x:c r="E370" s="31" t="str">
        <x:v>Why M&amp;A</x:v>
      </x:c>
      <x:c r="F370" s="31" t="str">
        <x:v>Fit &amp; Motivation</x:v>
      </x:c>
      <x:c r="G370" s="30" t="str">
        <x:v>CL0051</x:v>
      </x:c>
      <x:c r="H370" s="32" t="n">
        <x:f>COUNTIF($G$5:$G$1725,G370)</x:f>
        <x:v>2</x:v>
      </x:c>
      <x:c r="I370" s="30" t="str">
        <x:v>A106</x:v>
      </x:c>
      <x:c r="J370" s="31" t="str">
        <x:v>Long HK equity or US equity | Asked about 我CV最底部的一個社團經驗 問我當時比亞迪的DCF build了啥 還有我target price跟driver之類的 太久了我一點也不記得 and asked about how's BYD currently doing | Ask back</x:v>
      </x:c>
    </x:row>
    <x:row r="371" ht="32" customHeight="1">
      <x:c r="A371" s="30" t="str">
        <x:v>QB0578</x:v>
      </x:c>
      <x:c r="B371" s="30" t="str">
        <x:v>Deutsche</x:v>
      </x:c>
      <x:c r="C371" s="30" t="str">
        <x:v>IBD / GCM</x:v>
      </x:c>
      <x:c r="D371" s="31" t="str">
        <x:v>Self Intro</x:v>
      </x:c>
      <x:c r="E371" s="31" t="str">
        <x:v>Tell me about yourself / walk me through your resume</x:v>
      </x:c>
      <x:c r="F371" s="31" t="str">
        <x:v>Resume &amp; Experience</x:v>
      </x:c>
      <x:c r="G371" s="30" t="str">
        <x:v>CL0001</x:v>
      </x:c>
      <x:c r="H371" s="32" t="n">
        <x:f>COUNTIF($G$5:$G$1725,G371)</x:f>
        <x:v>170</x:v>
      </x:c>
      <x:c r="I371" s="30" t="str">
        <x:v>A5</x:v>
      </x:c>
      <x:c r="J371" s="31" t="str">
        <x:v>1st round | Germaine 21/9 | Kang Lee (Asso from Tech)</x:v>
      </x:c>
    </x:row>
    <x:row r="372" ht="32" customHeight="1">
      <x:c r="A372" s="30" t="str">
        <x:v>QB0579</x:v>
      </x:c>
      <x:c r="B372" s="30" t="str">
        <x:v>Deutsche</x:v>
      </x:c>
      <x:c r="C372" s="30" t="str">
        <x:v>IBD / GCM</x:v>
      </x:c>
      <x:c r="D372" s="31" t="str">
        <x:v>Self Intro</x:v>
      </x:c>
      <x:c r="E372" s="31" t="str">
        <x:v>Tell me about yourself / walk me through your resume</x:v>
      </x:c>
      <x:c r="F372" s="31" t="str">
        <x:v>Resume &amp; Experience</x:v>
      </x:c>
      <x:c r="G372" s="30" t="str">
        <x:v>CL0001</x:v>
      </x:c>
      <x:c r="H372" s="32" t="n">
        <x:f>COUNTIF($G$5:$G$1725,G372)</x:f>
        <x:v>170</x:v>
      </x:c>
      <x:c r="I372" s="30" t="str">
        <x:v>C5</x:v>
      </x:c>
      <x:c r="J372" s="31" t="str">
        <x:v>Celia (Asso from Strategic Equity)</x:v>
      </x:c>
    </x:row>
    <x:row r="373" ht="32" customHeight="1">
      <x:c r="A373" s="30" t="str">
        <x:v>QB0580</x:v>
      </x:c>
      <x:c r="B373" s="30" t="str">
        <x:v>Deutsche</x:v>
      </x:c>
      <x:c r="C373" s="30" t="str">
        <x:v>IBD / GCM</x:v>
      </x:c>
      <x:c r="D373" s="31" t="str">
        <x:v>Common valuation methodologies</x:v>
      </x:c>
      <x:c r="E373" s="31" t="str">
        <x:v>What are the main valuation methodologies?</x:v>
      </x:c>
      <x:c r="F373" s="31" t="str">
        <x:v>Valuation</x:v>
      </x:c>
      <x:c r="G373" s="30" t="str">
        <x:v>CL0010</x:v>
      </x:c>
      <x:c r="H373" s="32" t="n">
        <x:f>COUNTIF($G$5:$G$1725,G373)</x:f>
        <x:v>13</x:v>
      </x:c>
      <x:c r="I373" s="30" t="str">
        <x:v>E5</x:v>
      </x:c>
      <x:c r="J373" s="31" t="str">
        <x:v>Hugo Shi (Vice President from M&amp;A)</x:v>
      </x:c>
    </x:row>
    <x:row r="374" ht="32" customHeight="1">
      <x:c r="A374" s="30" t="str">
        <x:v>QB0581</x:v>
      </x:c>
      <x:c r="B374" s="30" t="str">
        <x:v>Deutsche</x:v>
      </x:c>
      <x:c r="C374" s="30" t="str">
        <x:v>IBD / GCM</x:v>
      </x:c>
      <x:c r="D374" s="31" t="str">
        <x:v>Odysseus projects - valuation work, multiples used?</x:v>
      </x:c>
      <x:c r="E374" s="31" t="str">
        <x:v>Odysseus projects - valuation work, multiples used</x:v>
      </x:c>
      <x:c r="F374" s="31" t="str">
        <x:v>Valuation</x:v>
      </x:c>
      <x:c r="G374" s="30" t="str">
        <x:v>CL0623</x:v>
      </x:c>
      <x:c r="H374" s="32" t="n">
        <x:f>COUNTIF($G$5:$G$1725,G374)</x:f>
        <x:v>1</x:v>
      </x:c>
      <x:c r="I374" s="30" t="str">
        <x:v>A6</x:v>
      </x:c>
      <x:c r="J374" s="31" t="str">
        <x:v>Germaine 21/9 | Kang Lee (Asso from Tech) | Self Intro</x:v>
      </x:c>
    </x:row>
    <x:row r="375" ht="32" customHeight="1">
      <x:c r="A375" s="30" t="str">
        <x:v>QB0582</x:v>
      </x:c>
      <x:c r="B375" s="30" t="str">
        <x:v>Deutsche</x:v>
      </x:c>
      <x:c r="C375" s="30" t="str">
        <x:v>IBD / GCM</x:v>
      </x:c>
      <x:c r="D375" s="31" t="str">
        <x:v>What do you do in HKUIBC? Any mentors from DB?</x:v>
      </x:c>
      <x:c r="E375" s="31" t="str">
        <x:v>What do you do in HKUIBC? Any mentors from DB</x:v>
      </x:c>
      <x:c r="F375" s="31" t="str">
        <x:v>Other Question</x:v>
      </x:c>
      <x:c r="G375" s="30" t="str">
        <x:v>CL0914</x:v>
      </x:c>
      <x:c r="H375" s="32" t="n">
        <x:f>COUNTIF($G$5:$G$1725,G375)</x:f>
        <x:v>1</x:v>
      </x:c>
      <x:c r="I375" s="30" t="str">
        <x:v>C6</x:v>
      </x:c>
      <x:c r="J375" s="31" t="str">
        <x:v>Celia (Asso from Strategic Equity) | Self Intro</x:v>
      </x:c>
    </x:row>
    <x:row r="376" ht="32" customHeight="1">
      <x:c r="A376" s="30" t="str">
        <x:v>QB0583</x:v>
      </x:c>
      <x:c r="B376" s="30" t="str">
        <x:v>Deutsche</x:v>
      </x:c>
      <x:c r="C376" s="30" t="str">
        <x:v>IBD / GCM</x:v>
      </x:c>
      <x:c r="D376" s="31" t="str">
        <x:v>For trading comps and transaction comps, how do you get the comparables?</x:v>
      </x:c>
      <x:c r="E376" s="31" t="str">
        <x:v>For trading comps and transaction comps, how do you get the comparables</x:v>
      </x:c>
      <x:c r="F376" s="31" t="str">
        <x:v>Valuation</x:v>
      </x:c>
      <x:c r="G376" s="30" t="str">
        <x:v>CL0335</x:v>
      </x:c>
      <x:c r="H376" s="32" t="n">
        <x:f>COUNTIF($G$5:$G$1725,G376)</x:f>
        <x:v>1</x:v>
      </x:c>
      <x:c r="I376" s="30" t="str">
        <x:v>E6</x:v>
      </x:c>
      <x:c r="J376" s="31" t="str">
        <x:v>Hugo Shi (Vice President from M&amp;A) | Common valuation methodologies</x:v>
      </x:c>
    </x:row>
    <x:row r="377" ht="48" customHeight="1">
      <x:c r="A377" s="30" t="str">
        <x:v>QB0584</x:v>
      </x:c>
      <x:c r="B377" s="30" t="str">
        <x:v>Deutsche</x:v>
      </x:c>
      <x:c r="C377" s="30" t="str">
        <x:v>IBD / GCM</x:v>
      </x:c>
      <x:c r="D377" s="31" t="str">
        <x:v>How to get from Equity Value to EV?</x:v>
      </x:c>
      <x:c r="E377" s="31" t="str">
        <x:v>How to get from Equity Value to EV</x:v>
      </x:c>
      <x:c r="F377" s="31" t="str">
        <x:v>Valuation</x:v>
      </x:c>
      <x:c r="G377" s="30" t="str">
        <x:v>CL0034</x:v>
      </x:c>
      <x:c r="H377" s="32" t="n">
        <x:f>COUNTIF($G$5:$G$1725,G377)</x:f>
        <x:v>2</x:v>
      </x:c>
      <x:c r="I377" s="30" t="str">
        <x:v>A7</x:v>
      </x:c>
      <x:c r="J377" s="31" t="str">
        <x:v>Kang Lee (Asso from Tech) | Self Intro | Odysseus projects - valuation work, multiples used?</x:v>
      </x:c>
    </x:row>
    <x:row r="378" ht="48" customHeight="1">
      <x:c r="A378" s="30" t="str">
        <x:v>QB0585</x:v>
      </x:c>
      <x:c r="B378" s="30" t="str">
        <x:v>Deutsche</x:v>
      </x:c>
      <x:c r="C378" s="30" t="str">
        <x:v>IBD / GCM</x:v>
      </x:c>
      <x:c r="D378" s="31" t="str">
        <x:v>Why do IBD now given bad economy? (grilled for around 5 minutes with a lot of follow-ups)</x:v>
      </x:c>
      <x:c r="E378" s="31" t="str">
        <x:v>Why do IBD now given bad economy? (grilled for around 5 minutes with a lot of follow-ups)</x:v>
      </x:c>
      <x:c r="F378" s="31" t="str">
        <x:v>Fit &amp; Motivation</x:v>
      </x:c>
      <x:c r="G378" s="30" t="str">
        <x:v>CL1125</x:v>
      </x:c>
      <x:c r="H378" s="32" t="n">
        <x:f>COUNTIF($G$5:$G$1725,G378)</x:f>
        <x:v>1</x:v>
      </x:c>
      <x:c r="I378" s="30" t="str">
        <x:v>C7</x:v>
      </x:c>
      <x:c r="J378" s="31" t="str">
        <x:v>Celia (Asso from Strategic Equity) | Self Intro | What do you do in HKUIBC? Any mentors from DB?</x:v>
      </x:c>
    </x:row>
    <x:row r="379" ht="48" customHeight="1">
      <x:c r="A379" s="30" t="str">
        <x:v>QB0586</x:v>
      </x:c>
      <x:c r="B379" s="30" t="str">
        <x:v>Deutsche</x:v>
      </x:c>
      <x:c r="C379" s="30" t="str">
        <x:v>IBD / GCM</x:v>
      </x:c>
      <x:c r="D379" s="31" t="str">
        <x:v>If I have a clothing manufacturer in Vietnam, how do I get the comparable companies?</x:v>
      </x:c>
      <x:c r="E379" s="31" t="str">
        <x:v>If I have a clothing manufacturer in Vietnam, how do I get the comparable companies</x:v>
      </x:c>
      <x:c r="F379" s="31" t="str">
        <x:v>Valuation</x:v>
      </x:c>
      <x:c r="G379" s="30" t="str">
        <x:v>CL0514</x:v>
      </x:c>
      <x:c r="H379" s="32" t="n">
        <x:f>COUNTIF($G$5:$G$1725,G379)</x:f>
        <x:v>1</x:v>
      </x:c>
      <x:c r="I379" s="30" t="str">
        <x:v>E7</x:v>
      </x:c>
      <x:c r="J379" s="31" t="str">
        <x:v>Hugo Shi (Vice President from M&amp;A) | Common valuation methodologies | For trading comps and transaction comps, how do you get the comparables?</x:v>
      </x:c>
    </x:row>
    <x:row r="380" ht="48" customHeight="1">
      <x:c r="A380" s="30" t="str">
        <x:v>QB0587</x:v>
      </x:c>
      <x:c r="B380" s="30" t="str">
        <x:v>Deutsche</x:v>
      </x:c>
      <x:c r="C380" s="30" t="str">
        <x:v>IBD / GCM</x:v>
      </x:c>
      <x:c r="D380" s="31" t="str">
        <x:v>Walk me through DCF</x:v>
      </x:c>
      <x:c r="E380" s="31" t="str">
        <x:v>Walk me through DCF</x:v>
      </x:c>
      <x:c r="F380" s="31" t="str">
        <x:v>Valuation</x:v>
      </x:c>
      <x:c r="G380" s="30" t="str">
        <x:v>CL0013</x:v>
      </x:c>
      <x:c r="H380" s="32" t="n">
        <x:f>COUNTIF($G$5:$G$1725,G380)</x:f>
        <x:v>10</x:v>
      </x:c>
      <x:c r="I380" s="30" t="str">
        <x:v>A8</x:v>
      </x:c>
      <x:c r="J380" s="31" t="str">
        <x:v>Self Intro | Odysseus projects - valuation work, multiples used? | How to get from Equity Value to EV?</x:v>
      </x:c>
    </x:row>
    <x:row r="381" ht="48" customHeight="1">
      <x:c r="A381" s="30" t="str">
        <x:v>QB0588</x:v>
      </x:c>
      <x:c r="B381" s="30" t="str">
        <x:v>Deutsche</x:v>
      </x:c>
      <x:c r="C381" s="30" t="str">
        <x:v>IBD / GCM</x:v>
      </x:c>
      <x:c r="D381" s="31" t="str">
        <x:v>What's your view on China, and in these times how can IBs survive?</x:v>
      </x:c>
      <x:c r="E381" s="31" t="str">
        <x:v>What's your view on China, and in these times how can IBs survive</x:v>
      </x:c>
      <x:c r="F381" s="31" t="str">
        <x:v>Other Question</x:v>
      </x:c>
      <x:c r="G381" s="30" t="str">
        <x:v>CL1069</x:v>
      </x:c>
      <x:c r="H381" s="32" t="n">
        <x:f>COUNTIF($G$5:$G$1725,G381)</x:f>
        <x:v>1</x:v>
      </x:c>
      <x:c r="I381" s="30" t="str">
        <x:v>C8#1</x:v>
      </x:c>
      <x:c r="J381" s="31" t="str">
        <x:v>Self Intro | What do you do in HKUIBC? Any mentors from DB? | Why do IBD now given bad economy? (grilled for around 5 minutes with a lot of follow-ups)</x:v>
      </x:c>
    </x:row>
    <x:row r="382" ht="68" customHeight="1">
      <x:c r="A382" s="30" t="str">
        <x:v>QB0590</x:v>
      </x:c>
      <x:c r="B382" s="30" t="str">
        <x:v>Deutsche</x:v>
      </x:c>
      <x:c r="C382" s="30" t="str">
        <x:v>IBD / GCM</x:v>
      </x:c>
      <x:c r="D382" s="31" t="str">
        <x:v>So based on the criteria you just mentioned, which one is the most important?</x:v>
      </x:c>
      <x:c r="E382" s="31" t="str">
        <x:v>So based on the criteria you just mentioned, which one is the most important</x:v>
      </x:c>
      <x:c r="F382" s="31" t="str">
        <x:v>Accounting &amp; Financial Statements</x:v>
      </x:c>
      <x:c r="G382" s="30" t="str">
        <x:v>CL0684</x:v>
      </x:c>
      <x:c r="H382" s="32" t="n">
        <x:f>COUNTIF($G$5:$G$1725,G382)</x:f>
        <x:v>1</x:v>
      </x:c>
      <x:c r="I382" s="30" t="str">
        <x:v>E8</x:v>
      </x:c>
      <x:c r="J382" s="31" t="str">
        <x:v>Common valuation methodologies | For trading comps and transaction comps, how do you get the comparables? | If I have a clothing manufacturer in Vietnam, how do I get the comparable companies?</x:v>
      </x:c>
    </x:row>
    <x:row r="383" ht="68" customHeight="1">
      <x:c r="A383" s="30" t="str">
        <x:v>QB0592</x:v>
      </x:c>
      <x:c r="B383" s="30" t="str">
        <x:v>Deutsche</x:v>
      </x:c>
      <x:c r="C383" s="30" t="str">
        <x:v>IBD / GCM</x:v>
      </x:c>
      <x:c r="D383" s="31" t="str">
        <x:v>Stock Pitch - What's the market cap of the stock? What's the rationale?</x:v>
      </x:c>
      <x:c r="E383" s="31" t="str">
        <x:v>Pitch me a stock</x:v>
      </x:c>
      <x:c r="F383" s="31" t="str">
        <x:v>Investment Pitch</x:v>
      </x:c>
      <x:c r="G383" s="30" t="str">
        <x:v>CL0006</x:v>
      </x:c>
      <x:c r="H383" s="32" t="n">
        <x:f>COUNTIF($G$5:$G$1725,G383)</x:f>
        <x:v>19</x:v>
      </x:c>
      <x:c r="I383" s="30" t="str">
        <x:v>C9</x:v>
      </x:c>
      <x:c r="J383" s="31" t="str">
        <x:v>Why do IBD now given bad economy? (grilled for around 5 minutes with a lot of follow-ups) | What's your view on China, and in these times how can IBs survive? | (grilled for around 5 minutes with a lot of follow-ups)</x:v>
      </x:c>
    </x:row>
    <x:row r="384" ht="118" customHeight="1">
      <x:c r="A384" s="30" t="str">
        <x:v>QB0593</x:v>
      </x:c>
      <x:c r="B384" s="30" t="str">
        <x:v>Deutsche</x:v>
      </x:c>
      <x:c r="C384" s="30" t="str">
        <x:v>IBD / GCM</x:v>
      </x:c>
      <x:c r="D384"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E384"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F384" s="31" t="str">
        <x:v>Accounting &amp; Financial Statements</x:v>
      </x:c>
      <x:c r="G384" s="30" t="str">
        <x:v>CL1206</x:v>
      </x:c>
      <x:c r="H384" s="32" t="n">
        <x:f>COUNTIF($G$5:$G$1725,G384)</x:f>
        <x:v>1</x:v>
      </x:c>
      <x:c r="I384" s="30" t="str">
        <x:v>E9</x:v>
      </x:c>
      <x:c r="J384" s="31" t="str">
        <x:v>For trading comps and transaction comps, how do you get the comparables? | If I have a clothing manufacturer in Vietnam, how do I get the comparable companies? | So based on the criteria you just mentioned, which one is the most important?</x:v>
      </x:c>
    </x:row>
    <x:row r="385" ht="32" customHeight="1">
      <x:c r="A385" s="30" t="str">
        <x:v>QB0594</x:v>
      </x:c>
      <x:c r="B385" s="30" t="str">
        <x:v>Deutsche</x:v>
      </x:c>
      <x:c r="C385" s="30" t="str">
        <x:v>IBD / GCM</x:v>
      </x:c>
      <x:c r="D385" s="31" t="str">
        <x:v>Effect of this investment on the 3 statements?</x:v>
      </x:c>
      <x:c r="E385" s="31" t="str">
        <x:v>How does a transaction flow through the three financial statements?</x:v>
      </x:c>
      <x:c r="F385" s="31" t="str">
        <x:v>Accounting &amp; Financial Statements</x:v>
      </x:c>
      <x:c r="G385" s="30" t="str">
        <x:v>CL0004</x:v>
      </x:c>
      <x:c r="H385" s="32" t="n">
        <x:f>COUNTIF($G$5:$G$1725,G385)</x:f>
        <x:v>21</x:v>
      </x:c>
      <x:c r="I385" s="30" t="str">
        <x:v>A10</x:v>
      </x:c>
      <x:c r="J385" s="31" t="str">
        <x:v>How to get from Equity Value to EV? | Walk me through DCF | Two w</x:v>
      </x:c>
    </x:row>
    <x:row r="386" ht="48" customHeight="1">
      <x:c r="A386" s="30" t="str">
        <x:v>QB0595</x:v>
      </x:c>
      <x:c r="B386" s="30" t="str">
        <x:v>Deutsche</x:v>
      </x:c>
      <x:c r="C386" s="30" t="str">
        <x:v>IBD / GCM</x:v>
      </x:c>
      <x:c r="D386" s="31" t="str">
        <x:v>If the JV/associate issues 100mm dividends to all shareholders, what's the effect on the 3 statements?</x:v>
      </x:c>
      <x:c r="E386" s="31" t="str">
        <x:v>How does a transaction flow through the three financial statements?</x:v>
      </x:c>
      <x:c r="F386" s="31" t="str">
        <x:v>Accounting &amp; Financial Statements</x:v>
      </x:c>
      <x:c r="G386" s="30" t="str">
        <x:v>CL0004</x:v>
      </x:c>
      <x:c r="H386" s="32" t="n">
        <x:f>COUNTIF($G$5:$G$1725,G386)</x:f>
        <x:v>21</x:v>
      </x:c>
      <x:c r="I386" s="30" t="str">
        <x:v>A11</x:v>
      </x:c>
      <x:c r="J386" s="31" t="str">
        <x:v>Walk me through DCF | Two w | Effect of this investment on the 3 statements?</x:v>
      </x:c>
    </x:row>
    <x:row r="387" ht="48" customHeight="1">
      <x:c r="A387" s="30" t="str">
        <x:v>QB0596</x:v>
      </x:c>
      <x:c r="B387" s="30" t="str">
        <x:v>Deutsche</x:v>
      </x:c>
      <x:c r="C387" s="30" t="str">
        <x:v>IBD / GCM</x:v>
      </x:c>
      <x:c r="D387" s="31" t="str">
        <x:v>Walk me through DCF</x:v>
      </x:c>
      <x:c r="E387" s="31" t="str">
        <x:v>Walk me through DCF</x:v>
      </x:c>
      <x:c r="F387" s="31" t="str">
        <x:v>Valuation</x:v>
      </x:c>
      <x:c r="G387" s="30" t="str">
        <x:v>CL0013</x:v>
      </x:c>
      <x:c r="H387" s="32" t="n">
        <x:f>COUNTIF($G$5:$G$1725,G387)</x:f>
        <x:v>10</x:v>
      </x:c>
      <x:c r="I387" s="30" t="str">
        <x:v>A12</x:v>
      </x:c>
      <x:c r="J387" s="31" t="str">
        <x:v>Two w | Effect of this investment on the 3 statements? | If the JV/associate issues 100mm dividends to all shareholders, what's the effect on the 3 statements?</x:v>
      </x:c>
    </x:row>
    <x:row r="388" ht="92" customHeight="1">
      <x:c r="A388" s="30" t="str">
        <x:v>QB0599</x:v>
      </x:c>
      <x:c r="B388" s="30" t="str">
        <x:v>Deutsche</x:v>
      </x:c>
      <x:c r="C388" s="30" t="str">
        <x:v>IBD / GCM</x:v>
      </x:c>
      <x:c r="D388" s="31" t="str">
        <x:v>Difference between different valuation multiples - P/E, EV/EBITDA, EV/EBIT</x:v>
      </x:c>
      <x:c r="E388" s="31" t="str">
        <x:v>Difference between different valuation multiples - P/E, EV/EBITDA, EV/EBIT</x:v>
      </x:c>
      <x:c r="F388" s="31" t="str">
        <x:v>Valuation</x:v>
      </x:c>
      <x:c r="G388" s="30" t="str">
        <x:v>CL0252</x:v>
      </x:c>
      <x:c r="H388" s="32" t="n">
        <x:f>COUNTIF($G$5:$G$1725,G388)</x:f>
        <x:v>1</x:v>
      </x:c>
      <x:c r="I388" s="30" t="str">
        <x:v>A15</x:v>
      </x:c>
      <x:c r="J388" s="31" t="str">
        <x:v>Walk me through DCF | Two ways of calculating terminal value | For gordon growth method, you assume normal perpetual growth - but what if during final year there's unexpected changes in business, i.e. depreciation amount is only half of ...</x:v>
      </x:c>
    </x:row>
    <x:row r="389" ht="92" customHeight="1">
      <x:c r="A389" s="30" t="str">
        <x:v>QB0600</x:v>
      </x:c>
      <x:c r="B389" s="30" t="str">
        <x:v>Deutsche</x:v>
      </x:c>
      <x:c r="C389" s="30" t="str">
        <x:v>IBD / GCM</x:v>
      </x:c>
      <x:c r="D389" s="31" t="str">
        <x:v>Assume I'm comparing two companies - one of them has a lot of D&amp;A while another doesn't - should I use EV/EBITDA or EV/EBIT?</x:v>
      </x:c>
      <x:c r="E389" s="31" t="str">
        <x:v>Assume I'm comparing two companies - one of them has a lot of D&amp;A while another doesn't - should I use EV/EBITDA or EV/EBIT</x:v>
      </x:c>
      <x:c r="F389" s="31" t="str">
        <x:v>Company, Industry &amp; Deals</x:v>
      </x:c>
      <x:c r="G389" s="30" t="str">
        <x:v>CL0151</x:v>
      </x:c>
      <x:c r="H389" s="32" t="n">
        <x:f>COUNTIF($G$5:$G$1725,G389)</x:f>
        <x:v>1</x:v>
      </x:c>
      <x:c r="I389" s="30" t="str">
        <x:v>A16</x:v>
      </x:c>
      <x:c r="J389" s="31" t="str">
        <x:v>Two ways of calculating terminal value | For gordon growth method, you assume normal perpetual growth - but what if during final year there's unexpected changes in business, i.e. depreciation amount is only half of the asset value (need ...</x:v>
      </x:c>
    </x:row>
    <x:row r="390" ht="32" customHeight="1">
      <x:c r="A390" s="30" t="str">
        <x:v>QB0607</x:v>
      </x:c>
      <x:c r="B390" s="30" t="str">
        <x:v>Deutsche</x:v>
      </x:c>
      <x:c r="C390" s="30" t="str">
        <x:v>IBD / GCM</x:v>
      </x:c>
      <x:c r="D390" s="31" t="str">
        <x:v>Before we start, what's something you want me to know about you?</x:v>
      </x:c>
      <x:c r="E390" s="31" t="str">
        <x:v>Before we start, what's something you want me to know about you</x:v>
      </x:c>
      <x:c r="F390" s="31" t="str">
        <x:v>Other Question</x:v>
      </x:c>
      <x:c r="G390" s="30" t="str">
        <x:v>CL0157</x:v>
      </x:c>
      <x:c r="H390" s="32" t="n">
        <x:f>COUNTIF($G$5:$G$1725,G390)</x:f>
        <x:v>1</x:v>
      </x:c>
      <x:c r="I390" s="30" t="str">
        <x:v>A21</x:v>
      </x:c>
      <x:c r="J390" s="31" t="str">
        <x:v>SPD | Germaine 22/9 | Andy Chau (Director from Strategic Equity)</x:v>
      </x:c>
    </x:row>
    <x:row r="391" ht="68" customHeight="1">
      <x:c r="A391" s="30" t="str">
        <x:v>QB0608</x:v>
      </x:c>
      <x:c r="B391" s="30" t="str">
        <x:v>Deutsche</x:v>
      </x:c>
      <x:c r="C391" s="30" t="str">
        <x:v>IBD / GCM</x:v>
      </x:c>
      <x:c r="D391" s="31" t="str">
        <x:v>Self introduction</x:v>
      </x:c>
      <x:c r="E391" s="31" t="str">
        <x:v>Tell me about yourself / walk me through your resume</x:v>
      </x:c>
      <x:c r="F391" s="31" t="str">
        <x:v>Resume &amp; Experience</x:v>
      </x:c>
      <x:c r="G391" s="30" t="str">
        <x:v>CL0001</x:v>
      </x:c>
      <x:c r="H391" s="32" t="n">
        <x:f>COUNTIF($G$5:$G$1725,G391)</x:f>
        <x:v>170</x:v>
      </x:c>
      <x:c r="I391" s="30" t="str">
        <x:v>C21</x:v>
      </x:c>
      <x:c r="J391" s="31" t="str">
        <x:v>(grilled for around 5 minutes with a lot of follow-ups) | Stock Pitch - What's the market cap of the stock? What's the rationale? | Grace (VP from Consumer Retail)</x:v>
      </x:c>
    </x:row>
    <x:row r="392" ht="118" customHeight="1">
      <x:c r="A392" s="30" t="str">
        <x:v>QB0609</x:v>
      </x:c>
      <x:c r="B392" s="30" t="str">
        <x:v>Deutsche</x:v>
      </x:c>
      <x:c r="C392" s="30" t="str">
        <x:v>IBD / GCM</x:v>
      </x:c>
      <x:c r="D392" s="31" t="str">
        <x:v>Walk me through your resume</x:v>
      </x:c>
      <x:c r="E392" s="31" t="str">
        <x:v>Tell me about yourself / walk me through your resume</x:v>
      </x:c>
      <x:c r="F392" s="31" t="str">
        <x:v>Resume &amp; Experience</x:v>
      </x:c>
      <x:c r="G392" s="30" t="str">
        <x:v>CL0001</x:v>
      </x:c>
      <x:c r="H392" s="32" t="n">
        <x:f>COUNTIF($G$5:$G$1725,G392)</x:f>
        <x:v>170</x:v>
      </x:c>
      <x:c r="I392" s="30" t="str">
        <x:v>E21</x:v>
      </x:c>
      <x:c r="J392" s="31" t="str">
        <x:v>So based on the criteria you just mentioned, which one is the most important? | You mentioned industry classification as most important criteria, so what if because I used same industry, the result is the financial performance is very di...</x:v>
      </x:c>
    </x:row>
    <x:row r="393" ht="32" customHeight="1">
      <x:c r="A393" s="30" t="str">
        <x:v>QB0610</x:v>
      </x:c>
      <x:c r="B393" s="30" t="str">
        <x:v>Deutsche</x:v>
      </x:c>
      <x:c r="C393" s="30" t="str">
        <x:v>IBD / GCM</x:v>
      </x:c>
      <x:c r="D393" s="31" t="str">
        <x:v>Self Intro</x:v>
      </x:c>
      <x:c r="E393" s="31" t="str">
        <x:v>Tell me about yourself / walk me through your resume</x:v>
      </x:c>
      <x:c r="F393" s="31" t="str">
        <x:v>Resume &amp; Experience</x:v>
      </x:c>
      <x:c r="G393" s="30" t="str">
        <x:v>CL0001</x:v>
      </x:c>
      <x:c r="H393" s="32" t="n">
        <x:f>COUNTIF($G$5:$G$1725,G393)</x:f>
        <x:v>170</x:v>
      </x:c>
      <x:c r="I393" s="30" t="str">
        <x:v>G21</x:v>
      </x:c>
      <x:c r="J393" s="31" t="str">
        <x:v>Nancy Feng (Director from FIG)</x:v>
      </x:c>
    </x:row>
    <x:row r="394" ht="48" customHeight="1">
      <x:c r="A394" s="30" t="str">
        <x:v>QB0611</x:v>
      </x:c>
      <x:c r="B394" s="30" t="str">
        <x:v>Deutsche</x:v>
      </x:c>
      <x:c r="C394" s="30" t="str">
        <x:v>IBD / GCM</x:v>
      </x:c>
      <x:c r="D394" s="31" t="str">
        <x:v>Diverse experiences - why IBD and not other industries?</x:v>
      </x:c>
      <x:c r="E394" s="31" t="str">
        <x:v>Why investment banking?</x:v>
      </x:c>
      <x:c r="F394" s="31" t="str">
        <x:v>Fit &amp; Motivation</x:v>
      </x:c>
      <x:c r="G394" s="30" t="str">
        <x:v>CL0003</x:v>
      </x:c>
      <x:c r="H394" s="32" t="n">
        <x:f>COUNTIF($G$5:$G$1725,G394)</x:f>
        <x:v>34</x:v>
      </x:c>
      <x:c r="I394" s="30" t="str">
        <x:v>A22</x:v>
      </x:c>
      <x:c r="J394" s="31" t="str">
        <x:v>Germaine 22/9 | Andy Chau (Director from Strategic Equity) | Before we start, what's something you want me to know about you?</x:v>
      </x:c>
    </x:row>
    <x:row r="395" ht="118" customHeight="1">
      <x:c r="A395" s="30" t="str">
        <x:v>QB0613</x:v>
      </x:c>
      <x:c r="B395" s="30" t="str">
        <x:v>Deutsche</x:v>
      </x:c>
      <x:c r="C395" s="30" t="str">
        <x:v>IBD / GCM</x:v>
      </x:c>
      <x:c r="D395" s="31" t="str">
        <x:v>Why IBD and not PB, or consulting or even regulatory work?</x:v>
      </x:c>
      <x:c r="E395" s="31" t="str">
        <x:v>Why investment banking?</x:v>
      </x:c>
      <x:c r="F395" s="31" t="str">
        <x:v>Fit &amp; Motivation</x:v>
      </x:c>
      <x:c r="G395" s="30" t="str">
        <x:v>CL0003</x:v>
      </x:c>
      <x:c r="H395" s="32" t="n">
        <x:f>COUNTIF($G$5:$G$1725,G395)</x:f>
        <x:v>34</x:v>
      </x:c>
      <x:c r="I395" s="30" t="str">
        <x:v>E22</x:v>
      </x:c>
      <x:c r="J395" s="31" t="str">
        <x:v>You mentioned industry classification as most important criteria, so what if because I used same industry, the result is the financial performance is very diverse. For example, with the Vietnamese clothing manufacturer the comparables ar...</x:v>
      </x:c>
    </x:row>
    <x:row r="396" ht="32" customHeight="1">
      <x:c r="A396" s="30" t="str">
        <x:v>QB0614</x:v>
      </x:c>
      <x:c r="B396" s="30" t="str">
        <x:v>Deutsche</x:v>
      </x:c>
      <x:c r="C396" s="30" t="str">
        <x:v>IBD / GCM</x:v>
      </x:c>
      <x:c r="D396" s="31" t="str">
        <x:v>Why DB?</x:v>
      </x:c>
      <x:c r="E396" s="31" t="str">
        <x:v>Why this firm?</x:v>
      </x:c>
      <x:c r="F396" s="31" t="str">
        <x:v>Fit &amp; Motivation</x:v>
      </x:c>
      <x:c r="G396" s="30" t="str">
        <x:v>CL0002</x:v>
      </x:c>
      <x:c r="H396" s="32" t="n">
        <x:f>COUNTIF($G$5:$G$1725,G396)</x:f>
        <x:v>39</x:v>
      </x:c>
      <x:c r="I396" s="30" t="str">
        <x:v>G22</x:v>
      </x:c>
      <x:c r="J396" s="31" t="str">
        <x:v>Nancy Feng (Director from FIG) | Self Intro</x:v>
      </x:c>
    </x:row>
    <x:row r="397" ht="68" customHeight="1">
      <x:c r="A397" s="30" t="str">
        <x:v>QB0615</x:v>
      </x:c>
      <x:c r="B397" s="30" t="str">
        <x:v>Deutsche</x:v>
      </x:c>
      <x:c r="C397" s="30" t="str">
        <x:v>IBD / GCM</x:v>
      </x:c>
      <x:c r="D397" s="31" t="str">
        <x:v>How was your first round interviews? Who interviewed you, what was your experience like, and what did you learn about DB?</x:v>
      </x:c>
      <x:c r="E397" s="31" t="str">
        <x:v>How was your first round interviews? Who interviewed you, what was your experience like, and what did you learn about DB</x:v>
      </x:c>
      <x:c r="F397" s="31" t="str">
        <x:v>Resume &amp; Experience</x:v>
      </x:c>
      <x:c r="G397" s="30" t="str">
        <x:v>CL0487</x:v>
      </x:c>
      <x:c r="H397" s="32" t="n">
        <x:f>COUNTIF($G$5:$G$1725,G397)</x:f>
        <x:v>1</x:v>
      </x:c>
      <x:c r="I397" s="30" t="str">
        <x:v>A23</x:v>
      </x:c>
      <x:c r="J397" s="31" t="str">
        <x:v>Andy Chau (Director from Strategic Equity) | Before we start, what's something you want me to know about you? | Diverse experiences - why IBD and not other industries?</x:v>
      </x:c>
    </x:row>
    <x:row r="398" ht="32" customHeight="1">
      <x:c r="A398" s="30" t="str">
        <x:v>QB0616</x:v>
      </x:c>
      <x:c r="B398" s="30" t="str">
        <x:v>Deutsche</x:v>
      </x:c>
      <x:c r="C398" s="30" t="str">
        <x:v>IBD / GCM</x:v>
      </x:c>
      <x:c r="D398" s="31" t="str">
        <x:v>Valuation Multiples of the Deal and how to get</x:v>
      </x:c>
      <x:c r="E398" s="31" t="str">
        <x:v>Valuation Multiples of the Deal and how to get</x:v>
      </x:c>
      <x:c r="F398" s="31" t="str">
        <x:v>Valuation</x:v>
      </x:c>
      <x:c r="G398" s="30" t="str">
        <x:v>CL0813</x:v>
      </x:c>
      <x:c r="H398" s="32" t="n">
        <x:f>COUNTIF($G$5:$G$1725,G398)</x:f>
        <x:v>1</x:v>
      </x:c>
      <x:c r="I398" s="30" t="str">
        <x:v>C23</x:v>
      </x:c>
      <x:c r="J398" s="31" t="str">
        <x:v>Grace (VP from Consumer Retail) | Self introduction | 跟我說說你之前做過的M&amp;A transaction</x:v>
      </x:c>
    </x:row>
    <x:row r="399" ht="48" customHeight="1">
      <x:c r="A399" s="30" t="str">
        <x:v>QB0617</x:v>
      </x:c>
      <x:c r="B399" s="30" t="str">
        <x:v>Deutsche</x:v>
      </x:c>
      <x:c r="C399" s="30" t="str">
        <x:v>IBD / GCM</x:v>
      </x:c>
      <x:c r="D399" s="31" t="str">
        <x:v>Most memorable internship experience and why?</x:v>
      </x:c>
      <x:c r="E399" s="31" t="str">
        <x:v>Most memorable internship experience and why</x:v>
      </x:c>
      <x:c r="F399" s="31" t="str">
        <x:v>Resume &amp; Experience</x:v>
      </x:c>
      <x:c r="G399" s="30" t="str">
        <x:v>CL0608</x:v>
      </x:c>
      <x:c r="H399" s="32" t="n">
        <x:f>COUNTIF($G$5:$G$1725,G399)</x:f>
        <x:v>1</x:v>
      </x:c>
      <x:c r="I399" s="30" t="str">
        <x:v>E23</x:v>
      </x:c>
      <x:c r="J399" s="31" t="str">
        <x:v>Phil Chen (VP) | Walk me through your resume | Why IBD and not PB, or consulting or even regulatory work?</x:v>
      </x:c>
    </x:row>
    <x:row r="400" ht="32" customHeight="1">
      <x:c r="A400" s="30" t="str">
        <x:v>QB0618</x:v>
      </x:c>
      <x:c r="B400" s="30" t="str">
        <x:v>Deutsche</x:v>
      </x:c>
      <x:c r="C400" s="30" t="str">
        <x:v>IBD / GCM</x:v>
      </x:c>
      <x:c r="D400" s="31" t="str">
        <x:v>Walk me through one of your internship experiences</x:v>
      </x:c>
      <x:c r="E400" s="31" t="str">
        <x:v>Walk me through one of your internship experiences</x:v>
      </x:c>
      <x:c r="F400" s="31" t="str">
        <x:v>Resume &amp; Experience</x:v>
      </x:c>
      <x:c r="G400" s="30" t="str">
        <x:v>CL0834</x:v>
      </x:c>
      <x:c r="H400" s="32" t="n">
        <x:f>COUNTIF($G$5:$G$1725,G400)</x:f>
        <x:v>1</x:v>
      </x:c>
      <x:c r="I400" s="30" t="str">
        <x:v>G23</x:v>
      </x:c>
      <x:c r="J400" s="31" t="str">
        <x:v>Nancy Feng (Director from FIG) | Self Intro | Why DB?</x:v>
      </x:c>
    </x:row>
    <x:row r="401" ht="68" customHeight="1">
      <x:c r="A401" s="30" t="str">
        <x:v>QB0619</x:v>
      </x:c>
      <x:c r="B401" s="30" t="str">
        <x:v>Deutsche</x:v>
      </x:c>
      <x:c r="C401" s="30" t="str">
        <x:v>IBD / GCM</x:v>
      </x:c>
      <x:c r="D401" s="31" t="str">
        <x:v>Most memorable internship experience?</x:v>
      </x:c>
      <x:c r="E401" s="31" t="str">
        <x:v>Most memorable internship experience</x:v>
      </x:c>
      <x:c r="F401" s="31" t="str">
        <x:v>Resume &amp; Experience</x:v>
      </x:c>
      <x:c r="G401" s="30" t="str">
        <x:v>CL0607</x:v>
      </x:c>
      <x:c r="H401" s="32" t="n">
        <x:f>COUNTIF($G$5:$G$1725,G401)</x:f>
        <x:v>1</x:v>
      </x:c>
      <x:c r="I401" s="30" t="str">
        <x:v>A24</x:v>
      </x:c>
      <x:c r="J401" s="31" t="str">
        <x:v>Before we start, what's something you want me to know about you? | Diverse experiences - why IBD and not other industries? | How was your first round interviews? Who interviewed you, what was your experience like, and what did you learn ...</x:v>
      </x:c>
    </x:row>
    <x:row r="402" ht="48" customHeight="1">
      <x:c r="A402" s="30" t="str">
        <x:v>QB0620</x:v>
      </x:c>
      <x:c r="B402" s="30" t="str">
        <x:v>Deutsche</x:v>
      </x:c>
      <x:c r="C402" s="30" t="str">
        <x:v>IBD / GCM</x:v>
      </x:c>
      <x:c r="D402" s="31" t="str">
        <x:v>如果你要為這家公司做DCF，怎麼做</x:v>
      </x:c>
      <x:c r="E402" s="31" t="str">
        <x:v>如果你要為這家公司做DCF，怎麼做</x:v>
      </x:c>
      <x:c r="F402" s="31" t="str">
        <x:v>Valuation</x:v>
      </x:c>
      <x:c r="G402" s="30" t="str">
        <x:v>CL1239</x:v>
      </x:c>
      <x:c r="H402" s="32" t="n">
        <x:f>COUNTIF($G$5:$G$1725,G402)</x:f>
        <x:v>1</x:v>
      </x:c>
      <x:c r="I402" s="30" t="str">
        <x:v>C24</x:v>
      </x:c>
      <x:c r="J402" s="31" t="str">
        <x:v>Self introduction | 跟我說說你之前做過的M&amp;A transaction | Valuation Multiples of the Deal and how to get</x:v>
      </x:c>
    </x:row>
    <x:row r="403" ht="48" customHeight="1">
      <x:c r="A403" s="30" t="str">
        <x:v>QB0621</x:v>
      </x:c>
      <x:c r="B403" s="30" t="str">
        <x:v>Deutsche</x:v>
      </x:c>
      <x:c r="C403" s="30" t="str">
        <x:v>IBD / GCM</x:v>
      </x:c>
      <x:c r="D403" s="31" t="str">
        <x:v>Walk me through your projects at Odysseus Capital Asia - brief me the pre-IPO roadshow as well as sell-side M&amp;A transaction?</x:v>
      </x:c>
      <x:c r="E403" s="31" t="str">
        <x:v>Walk me through your projects at Odysseus Capital Asia - brief me the pre-IPO roadshow as well as sell-side M&amp;A transaction</x:v>
      </x:c>
      <x:c r="F403" s="31" t="str">
        <x:v>M&amp;A</x:v>
      </x:c>
      <x:c r="G403" s="30" t="str">
        <x:v>CL0843</x:v>
      </x:c>
      <x:c r="H403" s="32" t="n">
        <x:f>COUNTIF($G$5:$G$1725,G403)</x:f>
        <x:v>1</x:v>
      </x:c>
      <x:c r="I403" s="30" t="str">
        <x:v>E24</x:v>
      </x:c>
      <x:c r="J403" s="31" t="str">
        <x:v>Walk me through your resume | Why IBD and not PB, or consulting or even regulatory work? | Most memorable internship experience and why?</x:v>
      </x:c>
    </x:row>
    <x:row r="404" ht="48" customHeight="1">
      <x:c r="A404" s="30" t="str">
        <x:v>QB0622</x:v>
      </x:c>
      <x:c r="B404" s="30" t="str">
        <x:v>Deutsche</x:v>
      </x:c>
      <x:c r="C404" s="30" t="str">
        <x:v>IBD / GCM</x:v>
      </x:c>
      <x:c r="D404" s="31" t="str">
        <x:v>Valuation multiples - how did you get your comparable companies and what is your client's competitive edge?</x:v>
      </x:c>
      <x:c r="E404" s="31" t="str">
        <x:v>Valuation multiples - how did you get your comparable companies and what is your client's competitive edge</x:v>
      </x:c>
      <x:c r="F404" s="31" t="str">
        <x:v>Accounting &amp; Financial Statements</x:v>
      </x:c>
      <x:c r="G404" s="30" t="str">
        <x:v>CL0812</x:v>
      </x:c>
      <x:c r="H404" s="32" t="n">
        <x:f>COUNTIF($G$5:$G$1725,G404)</x:f>
        <x:v>1</x:v>
      </x:c>
      <x:c r="I404" s="30" t="str">
        <x:v>G24</x:v>
      </x:c>
      <x:c r="J404" s="31" t="str">
        <x:v>Self Intro | Why DB? | Walk me through one of your internship experiences</x:v>
      </x:c>
    </x:row>
    <x:row r="405" ht="68" customHeight="1">
      <x:c r="A405" s="30" t="str">
        <x:v>QB0623</x:v>
      </x:c>
      <x:c r="B405" s="30" t="str">
        <x:v>Deutsche</x:v>
      </x:c>
      <x:c r="C405" s="30" t="str">
        <x:v>IBD / GCM</x:v>
      </x:c>
      <x:c r="D405" s="31" t="str">
        <x:v>Combining all your internship experience, what is the most important takeaway?</x:v>
      </x:c>
      <x:c r="E405" s="31" t="str">
        <x:v>Combining all your internship experience, what is the most important takeaway</x:v>
      </x:c>
      <x:c r="F405" s="31" t="str">
        <x:v>Resume &amp; Experience</x:v>
      </x:c>
      <x:c r="G405" s="30" t="str">
        <x:v>CL0200</x:v>
      </x:c>
      <x:c r="H405" s="32" t="n">
        <x:f>COUNTIF($G$5:$G$1725,G405)</x:f>
        <x:v>1</x:v>
      </x:c>
      <x:c r="I405" s="30" t="str">
        <x:v>A25</x:v>
      </x:c>
      <x:c r="J405" s="31" t="str">
        <x:v>Diverse experiences - why IBD and not other industries? | How was your first round interviews? Who interviewed you, what was your experience like, and what did you learn about DB? | Most memorable internship experience?</x:v>
      </x:c>
    </x:row>
    <x:row r="406" ht="68" customHeight="1">
      <x:c r="A406" s="30" t="str">
        <x:v>QB0625</x:v>
      </x:c>
      <x:c r="B406" s="30" t="str">
        <x:v>Deutsche</x:v>
      </x:c>
      <x:c r="C406" s="30" t="str">
        <x:v>IBD / GCM</x:v>
      </x:c>
      <x:c r="D406" s="31" t="str">
        <x:v>Which deal you had more exposure to? Talk to me in depth about what you did</x:v>
      </x:c>
      <x:c r="E406" s="31" t="str">
        <x:v>Which deal you had more exposure to? Talk to me in depth about what you did</x:v>
      </x:c>
      <x:c r="F406" s="31" t="str">
        <x:v>Resume &amp; Experience</x:v>
      </x:c>
      <x:c r="G406" s="30" t="str">
        <x:v>CL1094</x:v>
      </x:c>
      <x:c r="H406" s="32" t="n">
        <x:f>COUNTIF($G$5:$G$1725,G406)</x:f>
        <x:v>1</x:v>
      </x:c>
      <x:c r="I406" s="30" t="str">
        <x:v>E25</x:v>
      </x:c>
      <x:c r="J406" s="31" t="str">
        <x:v>Why IBD and not PB, or consulting or even regulatory work? | Most memorable internship experience and why? | Walk me through your projects at Odysseus Capital Asia - brief me the pre-IPO roadshow as well as sell-side M&amp;A transaction?</x:v>
      </x:c>
    </x:row>
    <x:row r="407" ht="68" customHeight="1">
      <x:c r="A407" s="30" t="str">
        <x:v>QB0627</x:v>
      </x:c>
      <x:c r="B407" s="30" t="str">
        <x:v>Deutsche</x:v>
      </x:c>
      <x:c r="C407" s="30" t="str">
        <x:v>IBD / GCM</x:v>
      </x:c>
      <x:c r="D407" s="31" t="str">
        <x:v>What team you want to be in?</x:v>
      </x:c>
      <x:c r="E407" s="31" t="str">
        <x:v>What team you want to be in</x:v>
      </x:c>
      <x:c r="F407" s="31" t="str">
        <x:v>Fit &amp; Motivation</x:v>
      </x:c>
      <x:c r="G407" s="30" t="str">
        <x:v>CL1031</x:v>
      </x:c>
      <x:c r="H407" s="32" t="n">
        <x:f>COUNTIF($G$5:$G$1725,G407)</x:f>
        <x:v>1</x:v>
      </x:c>
      <x:c r="I407" s="30" t="str">
        <x:v>A26</x:v>
      </x:c>
      <x:c r="J407" s="31" t="str">
        <x:v>How was your first round interviews? Who interviewed you, what was your experience like, and what did you learn about DB? | Most memorable internship experience? | Combining all your internship experience, what is the most important take...</x:v>
      </x:c>
    </x:row>
    <x:row r="408" ht="32" customHeight="1">
      <x:c r="A408" s="30" t="str">
        <x:v>QB0628</x:v>
      </x:c>
      <x:c r="B408" s="30" t="str">
        <x:v>Deutsche</x:v>
      </x:c>
      <x:c r="C408" s="30" t="str">
        <x:v>IBD / GCM</x:v>
      </x:c>
      <x:c r="D408" s="31" t="str">
        <x:v>DB有很多客戶是內地的國企，他們有自己不同的工作風格和文化，你覺得身為香港人，你會願意做嗎？還是你比較prefer跟more sophisticated的客戶交流?</x:v>
      </x:c>
      <x:c r="E408" s="31" t="str">
        <x:v>DB有很多客戶是內地的國企，他們有自己不同的工作風格和文化，你覺得身為香港人，你會願意做嗎？還是你比較prefer跟more sophisticated的客戶交流</x:v>
      </x:c>
      <x:c r="F408" s="31" t="str">
        <x:v>Other Question</x:v>
      </x:c>
      <x:c r="G408" s="30" t="str">
        <x:v>CL0219</x:v>
      </x:c>
      <x:c r="H408" s="32" t="n">
        <x:f>COUNTIF($G$5:$G$1725,G408)</x:f>
        <x:v>1</x:v>
      </x:c>
      <x:c r="I408" s="30" t="str">
        <x:v>C26</x:v>
      </x:c>
      <x:c r="J408" s="31" t="str">
        <x:v>Valuation Multiples of the Deal and how to get | 如果你要為這家公司做DCF，怎麼做 | DB的一個M&amp;A Deal</x:v>
      </x:c>
    </x:row>
    <x:row r="409" ht="68" customHeight="1">
      <x:c r="A409" s="30" t="str">
        <x:v>QB0629</x:v>
      </x:c>
      <x:c r="B409" s="30" t="str">
        <x:v>Deutsche</x:v>
      </x:c>
      <x:c r="C409" s="30" t="str">
        <x:v>IBD / GCM</x:v>
      </x:c>
      <x:c r="D409" s="31" t="str">
        <x:v>Internship at SFC - ad hoc research on China property market and HK tick size regime - what did you do?</x:v>
      </x:c>
      <x:c r="E409" s="31" t="str">
        <x:v>Internship at SFC - ad hoc research on China property market and HK tick size regime - what did you do</x:v>
      </x:c>
      <x:c r="F409" s="31" t="str">
        <x:v>Resume &amp; Experience</x:v>
      </x:c>
      <x:c r="G409" s="30" t="str">
        <x:v>CL0548</x:v>
      </x:c>
      <x:c r="H409" s="32" t="n">
        <x:f>COUNTIF($G$5:$G$1725,G409)</x:f>
        <x:v>1</x:v>
      </x:c>
      <x:c r="I409" s="30" t="str">
        <x:v>G26</x:v>
      </x:c>
      <x:c r="J409" s="31" t="str">
        <x:v>Walk me through one of your internship experiences | Valuation multiples - how did you get your comparable companies and what is your client's competitive edge? | Any post-IPO go to market strategy</x:v>
      </x:c>
    </x:row>
    <x:row r="410" ht="48" customHeight="1">
      <x:c r="A410" s="30" t="str">
        <x:v>QB0630</x:v>
      </x:c>
      <x:c r="B410" s="30" t="str">
        <x:v>Deutsche</x:v>
      </x:c>
      <x:c r="C410" s="30" t="str">
        <x:v>IBD / GCM</x:v>
      </x:c>
      <x:c r="D410" s="31" t="str">
        <x:v>你有特別想進的組嗎？</x:v>
      </x:c>
      <x:c r="E410" s="31" t="str">
        <x:v>你有特別想進的組嗎</x:v>
      </x:c>
      <x:c r="F410" s="31" t="str">
        <x:v>Other Question</x:v>
      </x:c>
      <x:c r="G410" s="30" t="str">
        <x:v>CL1229</x:v>
      </x:c>
      <x:c r="H410" s="32" t="n">
        <x:f>COUNTIF($G$5:$G$1725,G410)</x:f>
        <x:v>1</x:v>
      </x:c>
      <x:c r="I410" s="30" t="str">
        <x:v>C27</x:v>
      </x:c>
      <x:c r="J410" s="31" t="str">
        <x:v>如果你要為這家公司做DCF，怎麼做 | DB的一個M&amp;A Deal | DB有很多客戶是內地的國企，他們有自己不同的工作風格和文化，你覺得身為香港人，你會願意做嗎？還是你比較prefer跟more sophisticated的客戶交流?</x:v>
      </x:c>
    </x:row>
    <x:row r="411" ht="68" customHeight="1">
      <x:c r="A411" s="30" t="str">
        <x:v>QB0631</x:v>
      </x:c>
      <x:c r="B411" s="30" t="str">
        <x:v>Deutsche</x:v>
      </x:c>
      <x:c r="C411" s="30" t="str">
        <x:v>IBD / GCM</x:v>
      </x:c>
      <x:c r="D411" s="31" t="str">
        <x:v>雖然你想進M&amp;A，但我覺得妳會適合hk coverage team，你會願意嗎？(i said yes and also asked for permission to show my knowledge in hk ipo deal of DB since when she asked me m&amp;a i said a european deal...)</x:v>
      </x:c>
      <x:c r="E411" s="31" t="str">
        <x:v>雖然你想進M&amp;A，但我覺得妳會適合hk coverage team，你會願意嗎？(i said yes and also asked for permission to show my knowledge in hk ipo deal of DB since when she asked me m&amp;a i said a european deal...)</x:v>
      </x:c>
      <x:c r="F411" s="31" t="str">
        <x:v>Behavioral &amp; Situational</x:v>
      </x:c>
      <x:c r="G411" s="30" t="str">
        <x:v>CL1258</x:v>
      </x:c>
      <x:c r="H411" s="32" t="n">
        <x:f>COUNTIF($G$5:$G$1725,G411)</x:f>
        <x:v>1</x:v>
      </x:c>
      <x:c r="I411" s="30" t="str">
        <x:v>C28</x:v>
      </x:c>
      <x:c r="J411" s="31" t="str">
        <x:v>DB的一個M&amp;A Deal | DB有很多客戶是內地的國企，他們有自己不同的工作風格和文化，你覺得身為香港人，你會願意做嗎？還是你比較prefer跟more sophisticated的客戶交流? | 你有特別想進的組嗎？</x:v>
      </x:c>
    </x:row>
    <x:row r="412" ht="92" customHeight="1">
      <x:c r="A412" s="30" t="str">
        <x:v>QB0632</x:v>
      </x:c>
      <x:c r="B412" s="30" t="str">
        <x:v>Deutsche</x:v>
      </x:c>
      <x:c r="C412" s="30" t="str">
        <x:v>IBD / GCM</x:v>
      </x:c>
      <x:c r="D412" s="31" t="str">
        <x:v>你覺得你的缺點是什麼？</x:v>
      </x:c>
      <x:c r="E412" s="31" t="str">
        <x:v>你覺得你的缺點是什麼</x:v>
      </x:c>
      <x:c r="F412" s="31" t="str">
        <x:v>Other Question</x:v>
      </x:c>
      <x:c r="G412" s="30" t="str">
        <x:v>CL1231</x:v>
      </x:c>
      <x:c r="H412" s="32" t="n">
        <x:f>COUNTIF($G$5:$G$1725,G412)</x:f>
        <x:v>1</x:v>
      </x:c>
      <x:c r="I412" s="30" t="str">
        <x:v>C29</x:v>
      </x:c>
      <x:c r="J412" s="31" t="str">
        <x:v>DB有很多客戶是內地的國企，他們有自己不同的工作風格和文化，你覺得身為香港人，你會願意做嗎？還是你比較prefer跟more sophisticated的客戶交流? | 你有特別想進的組嗎？ | 雖然你想進M&amp;A，但我覺得妳會適合hk coverage team，你會願意嗎？(i said yes and also asked for permission to show my knowledge in hk ipo deal of DB since when she ...</x:v>
      </x:c>
    </x:row>
    <x:row r="413" ht="68" customHeight="1">
      <x:c r="A413" s="30" t="str">
        <x:v>QB0633</x:v>
      </x:c>
      <x:c r="B413" s="30" t="str">
        <x:v>Deutsche</x:v>
      </x:c>
      <x:c r="C413" s="30" t="str">
        <x:v>IBD / GCM</x:v>
      </x:c>
      <x:c r="D413" s="31" t="str">
        <x:v>PPT person or Excel person?</x:v>
      </x:c>
      <x:c r="E413" s="31" t="str">
        <x:v>PPT person or Excel person</x:v>
      </x:c>
      <x:c r="F413" s="31" t="str">
        <x:v>Other Technical</x:v>
      </x:c>
      <x:c r="G413" s="30" t="str">
        <x:v>CL0644</x:v>
      </x:c>
      <x:c r="H413" s="32" t="n">
        <x:f>COUNTIF($G$5:$G$1725,G413)</x:f>
        <x:v>1</x:v>
      </x:c>
      <x:c r="I413" s="30" t="str">
        <x:v>C30</x:v>
      </x:c>
      <x:c r="J413" s="31" t="str">
        <x:v>你有特別想進的組嗎？ | 雖然你想進M&amp;A，但我覺得妳會適合hk coverage team，你會願意嗎？(i said yes and also asked for permission to show my knowledge in hk ipo deal of DB since when she asked me m&amp;a i said a european deal...) | 你覺得你的缺點是什麼？</x:v>
      </x:c>
    </x:row>
    <x:row r="414" ht="32" customHeight="1">
      <x:c r="A414" s="30" t="str">
        <x:v>QB0640</x:v>
      </x:c>
      <x:c r="B414" s="30" t="str">
        <x:v>Deutsche</x:v>
      </x:c>
      <x:c r="C414" s="30" t="str">
        <x:v>IBD / GCM</x:v>
      </x:c>
      <x:c r="D414" s="31" t="str">
        <x:v>self intro in 30s</x:v>
      </x:c>
      <x:c r="E414" s="31" t="str">
        <x:v>Tell me about yourself / walk me through your resume</x:v>
      </x:c>
      <x:c r="F414" s="31" t="str">
        <x:v>Resume &amp; Experience</x:v>
      </x:c>
      <x:c r="G414" s="30" t="str">
        <x:v>CL0001</x:v>
      </x:c>
      <x:c r="H414" s="32" t="n">
        <x:f>COUNTIF($G$5:$G$1725,G414)</x:f>
        <x:v>170</x:v>
      </x:c>
      <x:c r="I414" s="30" t="str">
        <x:v>A35</x:v>
      </x:c>
      <x:c r="J414" s="31" t="str">
        <x:v>1st round | Jasmine 5/10 | 1 (she’s on zoom and didnt open cam…)</x:v>
      </x:c>
    </x:row>
    <x:row r="415" ht="32" customHeight="1">
      <x:c r="A415" s="30" t="str">
        <x:v>QB0641</x:v>
      </x:c>
      <x:c r="B415" s="30" t="str">
        <x:v>Deutsche</x:v>
      </x:c>
      <x:c r="C415" s="30" t="str">
        <x:v>IBD / GCM</x:v>
      </x:c>
      <x:c r="D415" s="31" t="str">
        <x:v>Self intro</x:v>
      </x:c>
      <x:c r="E415" s="31" t="str">
        <x:v>Tell me about yourself / walk me through your resume</x:v>
      </x:c>
      <x:c r="F415" s="31" t="str">
        <x:v>Resume &amp; Experience</x:v>
      </x:c>
      <x:c r="G415" s="30" t="str">
        <x:v>CL0001</x:v>
      </x:c>
      <x:c r="H415" s="32" t="n">
        <x:f>COUNTIF($G$5:$G$1725,G415)</x:f>
        <x:v>170</x:v>
      </x:c>
      <x:c r="I415" s="30" t="str">
        <x:v>C35</x:v>
      </x:c>
      <x:c r="J415" s="31" t="str">
        <x:v>PPT person or Excel person? | Jimmy 5/10 | 1 DCM</x:v>
      </x:c>
    </x:row>
    <x:row r="416" ht="32" customHeight="1">
      <x:c r="A416" s="30" t="str">
        <x:v>QB0642</x:v>
      </x:c>
      <x:c r="B416" s="30" t="str">
        <x:v>Deutsche</x:v>
      </x:c>
      <x:c r="C416" s="30" t="str">
        <x:v>IBD / GCM</x:v>
      </x:c>
      <x:c r="D416" s="31" t="str">
        <x:v>preference on capital market or coverage?</x:v>
      </x:c>
      <x:c r="E416" s="31" t="str">
        <x:v>Preference on capital market or coverage</x:v>
      </x:c>
      <x:c r="F416" s="31" t="str">
        <x:v>Capital Markets &amp; Financing</x:v>
      </x:c>
      <x:c r="G416" s="30" t="str">
        <x:v>CL0648</x:v>
      </x:c>
      <x:c r="H416" s="32" t="n">
        <x:f>COUNTIF($G$5:$G$1725,G416)</x:f>
        <x:v>1</x:v>
      </x:c>
      <x:c r="I416" s="30" t="str">
        <x:v>A36</x:v>
      </x:c>
      <x:c r="J416" s="31" t="str">
        <x:v>Jasmine 5/10 | 1 (she’s on zoom and didnt open cam…) | self intro in 30s</x:v>
      </x:c>
    </x:row>
    <x:row r="417" ht="32" customHeight="1">
      <x:c r="A417" s="30" t="str">
        <x:v>QB0643</x:v>
      </x:c>
      <x:c r="B417" s="30" t="str">
        <x:v>Deutsche</x:v>
      </x:c>
      <x:c r="C417" s="30" t="str">
        <x:v>IBD / GCM</x:v>
      </x:c>
      <x:c r="D417" s="31" t="str">
        <x:v>Why IBD</x:v>
      </x:c>
      <x:c r="E417" s="31" t="str">
        <x:v>Why investment banking?</x:v>
      </x:c>
      <x:c r="F417" s="31" t="str">
        <x:v>Fit &amp; Motivation</x:v>
      </x:c>
      <x:c r="G417" s="30" t="str">
        <x:v>CL0003</x:v>
      </x:c>
      <x:c r="H417" s="32" t="n">
        <x:f>COUNTIF($G$5:$G$1725,G417)</x:f>
        <x:v>34</x:v>
      </x:c>
      <x:c r="I417" s="30" t="str">
        <x:v>C36</x:v>
      </x:c>
      <x:c r="J417" s="31" t="str">
        <x:v>Jimmy 5/10 | 1 DCM | Self intro</x:v>
      </x:c>
    </x:row>
    <x:row r="418" ht="48" customHeight="1">
      <x:c r="A418" s="30" t="str">
        <x:v>QB0644</x:v>
      </x:c>
      <x:c r="B418" s="30" t="str">
        <x:v>Deutsche</x:v>
      </x:c>
      <x:c r="C418" s="30" t="str">
        <x:v>IBD / GCM</x:v>
      </x:c>
      <x:c r="D418" s="31" t="str">
        <x:v>return?</x:v>
      </x:c>
      <x:c r="E418" s="31" t="str">
        <x:v>Return</x:v>
      </x:c>
      <x:c r="F418" s="31" t="str">
        <x:v>Other Question</x:v>
      </x:c>
      <x:c r="G418" s="30" t="str">
        <x:v>CL0019</x:v>
      </x:c>
      <x:c r="H418" s="32" t="n">
        <x:f>COUNTIF($G$5:$G$1725,G418)</x:f>
        <x:v>4</x:v>
      </x:c>
      <x:c r="I418" s="30" t="str">
        <x:v>A37</x:v>
      </x:c>
      <x:c r="J418" s="31" t="str">
        <x:v>1 (she’s on zoom and didnt open cam…) | self intro in 30s | preference on capital market or coverage?</x:v>
      </x:c>
    </x:row>
    <x:row r="419" ht="32" customHeight="1">
      <x:c r="A419" s="30" t="str">
        <x:v>QB0645</x:v>
      </x:c>
      <x:c r="B419" s="30" t="str">
        <x:v>Deutsche</x:v>
      </x:c>
      <x:c r="C419" s="30" t="str">
        <x:v>IBD / GCM</x:v>
      </x:c>
      <x:c r="D419" s="31" t="str">
        <x:v>How many summer interns in BLK?</x:v>
      </x:c>
      <x:c r="E419" s="31" t="str">
        <x:v>How many summer interns in BLK</x:v>
      </x:c>
      <x:c r="F419" s="31" t="str">
        <x:v>Other Question</x:v>
      </x:c>
      <x:c r="G419" s="30" t="str">
        <x:v>CL0456</x:v>
      </x:c>
      <x:c r="H419" s="32" t="n">
        <x:f>COUNTIF($G$5:$G$1725,G419)</x:f>
        <x:v>1</x:v>
      </x:c>
      <x:c r="I419" s="30" t="str">
        <x:v>C37</x:v>
      </x:c>
      <x:c r="J419" s="31" t="str">
        <x:v>1 DCM | Self intro | Why IBD</x:v>
      </x:c>
    </x:row>
    <x:row r="420" ht="32" customHeight="1">
      <x:c r="A420" s="30" t="str">
        <x:v>QB0646</x:v>
      </x:c>
      <x:c r="B420" s="30" t="str">
        <x:v>Deutsche</x:v>
      </x:c>
      <x:c r="C420" s="30" t="str">
        <x:v>IBD / GCM</x:v>
      </x:c>
      <x:c r="D420" s="31" t="str">
        <x:v>any valuation experience</x:v>
      </x:c>
      <x:c r="E420" s="31" t="str">
        <x:v>Any valuation experience</x:v>
      </x:c>
      <x:c r="F420" s="31" t="str">
        <x:v>Resume &amp; Experience</x:v>
      </x:c>
      <x:c r="G420" s="30" t="str">
        <x:v>CL0128</x:v>
      </x:c>
      <x:c r="H420" s="32" t="n">
        <x:f>COUNTIF($G$5:$G$1725,G420)</x:f>
        <x:v>1</x:v>
      </x:c>
      <x:c r="I420" s="30" t="str">
        <x:v>A38</x:v>
      </x:c>
      <x:c r="J420" s="31" t="str">
        <x:v>self intro in 30s | preference on capital market or coverage? | return?</x:v>
      </x:c>
    </x:row>
    <x:row r="421" ht="48" customHeight="1">
      <x:c r="A421" s="30" t="str">
        <x:v>QB0647</x:v>
      </x:c>
      <x:c r="B421" s="30" t="str">
        <x:v>Deutsche</x:v>
      </x:c>
      <x:c r="C421" s="30" t="str">
        <x:v>IBD / GCM</x:v>
      </x:c>
      <x:c r="D421" s="31" t="str">
        <x:v>What I did at blackrock, deal background about the buyout of the indian IT services, EBITDA margin level and compared to industry average</x:v>
      </x:c>
      <x:c r="E421" s="31" t="str">
        <x:v>What I did at blackrock, deal background about the buyout of the indian IT services, EBITDA margin level and compared to industry average</x:v>
      </x:c>
      <x:c r="F421" s="31" t="str">
        <x:v>Resume &amp; Experience</x:v>
      </x:c>
      <x:c r="G421" s="30" t="str">
        <x:v>CL0952</x:v>
      </x:c>
      <x:c r="H421" s="32" t="n">
        <x:f>COUNTIF($G$5:$G$1725,G421)</x:f>
        <x:v>1</x:v>
      </x:c>
      <x:c r="I421" s="30" t="str">
        <x:v>C38</x:v>
      </x:c>
      <x:c r="J421" s="31" t="str">
        <x:v>Self intro | Why IBD | How many summer interns in BLK?</x:v>
      </x:c>
    </x:row>
    <x:row r="422" ht="32" customHeight="1">
      <x:c r="A422" s="30" t="str">
        <x:v>QB0648</x:v>
      </x:c>
      <x:c r="B422" s="30" t="str">
        <x:v>Deutsche</x:v>
      </x:c>
      <x:c r="C422" s="30" t="str">
        <x:v>IBD / GCM</x:v>
      </x:c>
      <x:c r="D422" s="31" t="str">
        <x:v>how to arrive WACC for a company in china consumer industry</x:v>
      </x:c>
      <x:c r="E422" s="31" t="str">
        <x:v>How do you calculate WACC?</x:v>
      </x:c>
      <x:c r="F422" s="31" t="str">
        <x:v>Valuation</x:v>
      </x:c>
      <x:c r="G422" s="30" t="str">
        <x:v>CL0011</x:v>
      </x:c>
      <x:c r="H422" s="32" t="n">
        <x:f>COUNTIF($G$5:$G$1725,G422)</x:f>
        <x:v>12</x:v>
      </x:c>
      <x:c r="I422" s="30" t="str">
        <x:v>A39</x:v>
      </x:c>
      <x:c r="J422" s="31" t="str">
        <x:v>preference on capital market or coverage? | return? | any valuation experience</x:v>
      </x:c>
    </x:row>
    <x:row r="423" ht="68" customHeight="1">
      <x:c r="A423" s="30" t="str">
        <x:v>QB0649</x:v>
      </x:c>
      <x:c r="B423" s="30" t="str">
        <x:v>Deutsche</x:v>
      </x:c>
      <x:c r="C423" s="30" t="str">
        <x:v>IBD / GCM</x:v>
      </x:c>
      <x:c r="D423" s="31" t="str">
        <x:v>Whay you did for the portfolio level analysis for the fund investing project?</x:v>
      </x:c>
      <x:c r="E423" s="31" t="str">
        <x:v>Whay you did for the portfolio level analysis for the fund investing project</x:v>
      </x:c>
      <x:c r="F423" s="31" t="str">
        <x:v>Wealth &amp; Asset Management</x:v>
      </x:c>
      <x:c r="G423" s="30" t="str">
        <x:v>CL1078</x:v>
      </x:c>
      <x:c r="H423" s="32" t="n">
        <x:f>COUNTIF($G$5:$G$1725,G423)</x:f>
        <x:v>1</x:v>
      </x:c>
      <x:c r="I423" s="30" t="str">
        <x:v>C39</x:v>
      </x:c>
      <x:c r="J423" s="31" t="str">
        <x:v>Why IBD | How many summer interns in BLK? | What I did at blackrock, deal background about the buyout of the indian IT services, EBITDA margin level and compared to industry average</x:v>
      </x:c>
    </x:row>
    <x:row r="424" ht="48" customHeight="1">
      <x:c r="A424" s="30" t="str">
        <x:v>QB0650</x:v>
      </x:c>
      <x:c r="B424" s="30" t="str">
        <x:v>Deutsche</x:v>
      </x:c>
      <x:c r="C424" s="30" t="str">
        <x:v>IBD / GCM</x:v>
      </x:c>
      <x:c r="D424" s="31" t="str">
        <x:v>optimal wacc</x:v>
      </x:c>
      <x:c r="E424" s="31" t="str">
        <x:v>Optimal wacc</x:v>
      </x:c>
      <x:c r="F424" s="31" t="str">
        <x:v>Valuation</x:v>
      </x:c>
      <x:c r="G424" s="30" t="str">
        <x:v>CL0628</x:v>
      </x:c>
      <x:c r="H424" s="32" t="n">
        <x:f>COUNTIF($G$5:$G$1725,G424)</x:f>
        <x:v>1</x:v>
      </x:c>
      <x:c r="I424" s="30" t="str">
        <x:v>A40</x:v>
      </x:c>
      <x:c r="J424" s="31" t="str">
        <x:v>return? | any valuation experience | how to arrive WACC for a company in china consumer industry</x:v>
      </x:c>
    </x:row>
    <x:row r="425" ht="68" customHeight="1">
      <x:c r="A425" s="30" t="str">
        <x:v>QB0651</x:v>
      </x:c>
      <x:c r="B425" s="30" t="str">
        <x:v>Deutsche</x:v>
      </x:c>
      <x:c r="C425" s="30" t="str">
        <x:v>IBD / GCM</x:v>
      </x:c>
      <x:c r="D425" s="31" t="str">
        <x:v>How is the IRR for those funds</x:v>
      </x:c>
      <x:c r="E425" s="31" t="str">
        <x:v>How is the IRR for those funds</x:v>
      </x:c>
      <x:c r="F425" s="31" t="str">
        <x:v>Accounting &amp; Financial Statements</x:v>
      </x:c>
      <x:c r="G425" s="30" t="str">
        <x:v>CL0448</x:v>
      </x:c>
      <x:c r="H425" s="32" t="n">
        <x:f>COUNTIF($G$5:$G$1725,G425)</x:f>
        <x:v>1</x:v>
      </x:c>
      <x:c r="I425" s="30" t="str">
        <x:v>C40</x:v>
      </x:c>
      <x:c r="J425" s="31" t="str">
        <x:v>How many summer interns in BLK? | What I did at blackrock, deal background about the buyout of the indian IT services, EBITDA margin level and compared to industry average | Whay you did for the portfolio level analysis for the fund inve...</x:v>
      </x:c>
    </x:row>
    <x:row r="426" ht="48" customHeight="1">
      <x:c r="A426" s="30" t="str">
        <x:v>QB0652</x:v>
      </x:c>
      <x:c r="B426" s="30" t="str">
        <x:v>Deutsche</x:v>
      </x:c>
      <x:c r="C426" s="30" t="str">
        <x:v>IBD / GCM</x:v>
      </x:c>
      <x:c r="D426" s="31" t="str">
        <x:v>how do you find beta beside public comps</x:v>
      </x:c>
      <x:c r="E426" s="31" t="str">
        <x:v>How do you select comparable companies?</x:v>
      </x:c>
      <x:c r="F426" s="31" t="str">
        <x:v>Valuation</x:v>
      </x:c>
      <x:c r="G426" s="30" t="str">
        <x:v>CL0012</x:v>
      </x:c>
      <x:c r="H426" s="32" t="n">
        <x:f>COUNTIF($G$5:$G$1725,G426)</x:f>
        <x:v>12</x:v>
      </x:c>
      <x:c r="I426" s="30" t="str">
        <x:v>A41</x:v>
      </x:c>
      <x:c r="J426" s="31" t="str">
        <x:v>any valuation experience | how to arrive WACC for a company in china consumer industry | optimal wacc</x:v>
      </x:c>
    </x:row>
    <x:row r="427" ht="68" customHeight="1">
      <x:c r="A427" s="30" t="str">
        <x:v>QB0653</x:v>
      </x:c>
      <x:c r="B427" s="30" t="str">
        <x:v>Deutsche</x:v>
      </x:c>
      <x:c r="C427" s="30" t="str">
        <x:v>IBD / GCM</x:v>
      </x:c>
      <x:c r="D427" s="31" t="str">
        <x:v>How to forecast the growth of the SEA logistic company, P&amp;L breakdown</x:v>
      </x:c>
      <x:c r="E427" s="31" t="str">
        <x:v>How to forecast the growth of the SEA logistic company, P&amp;L breakdown</x:v>
      </x:c>
      <x:c r="F427" s="31" t="str">
        <x:v>Company, Industry &amp; Deals</x:v>
      </x:c>
      <x:c r="G427" s="30" t="str">
        <x:v>CL0469</x:v>
      </x:c>
      <x:c r="H427" s="32" t="n">
        <x:f>COUNTIF($G$5:$G$1725,G427)</x:f>
        <x:v>1</x:v>
      </x:c>
      <x:c r="I427" s="30" t="str">
        <x:v>C41</x:v>
      </x:c>
      <x:c r="J427" s="31" t="str">
        <x:v>What I did at blackrock, deal background about the buyout of the indian IT services, EBITDA margin level and compared to industry average | Whay you did for the portfolio level analysis for the fund investing project? | How is the IRR fo...</x:v>
      </x:c>
    </x:row>
    <x:row r="428" ht="48" customHeight="1">
      <x:c r="A428" s="30" t="str">
        <x:v>QB0654</x:v>
      </x:c>
      <x:c r="B428" s="30" t="str">
        <x:v>Deutsche</x:v>
      </x:c>
      <x:c r="C428" s="30" t="str">
        <x:v>IBD / GCM</x:v>
      </x:c>
      <x:c r="D428" s="31" t="str">
        <x:v>whats the formulas for unlever and relever</x:v>
      </x:c>
      <x:c r="E428" s="31" t="str">
        <x:v>Whats the formulas for unlever and relever</x:v>
      </x:c>
      <x:c r="F428" s="31" t="str">
        <x:v>Other Technical</x:v>
      </x:c>
      <x:c r="G428" s="30" t="str">
        <x:v>CL1073</x:v>
      </x:c>
      <x:c r="H428" s="32" t="n">
        <x:f>COUNTIF($G$5:$G$1725,G428)</x:f>
        <x:v>1</x:v>
      </x:c>
      <x:c r="I428" s="30" t="str">
        <x:v>A42</x:v>
      </x:c>
      <x:c r="J428" s="31" t="str">
        <x:v>how to arrive WACC for a company in china consumer industry | optimal wacc | how do you find beta beside public comps</x:v>
      </x:c>
    </x:row>
    <x:row r="429" ht="68" customHeight="1">
      <x:c r="A429" s="30" t="str">
        <x:v>QB0655</x:v>
      </x:c>
      <x:c r="B429" s="30" t="str">
        <x:v>Deutsche</x:v>
      </x:c>
      <x:c r="C429" s="30" t="str">
        <x:v>IBD / GCM</x:v>
      </x:c>
      <x:c r="D429" s="31" t="str">
        <x:v>How do you like about HK?</x:v>
      </x:c>
      <x:c r="E429" s="31" t="str">
        <x:v>How do you like about HK</x:v>
      </x:c>
      <x:c r="F429" s="31" t="str">
        <x:v>Other Question</x:v>
      </x:c>
      <x:c r="G429" s="30" t="str">
        <x:v>CL0417</x:v>
      </x:c>
      <x:c r="H429" s="32" t="n">
        <x:f>COUNTIF($G$5:$G$1725,G429)</x:f>
        <x:v>1</x:v>
      </x:c>
      <x:c r="I429" s="30" t="str">
        <x:v>C42</x:v>
      </x:c>
      <x:c r="J429" s="31" t="str">
        <x:v>Whay you did for the portfolio level analysis for the fund investing project? | How is the IRR for those funds | How to forecast the growth of the SEA logistic company, P&amp;L breakdown</x:v>
      </x:c>
    </x:row>
    <x:row r="430" ht="48" customHeight="1">
      <x:c r="A430" s="30" t="str">
        <x:v>QB0656</x:v>
      </x:c>
      <x:c r="B430" s="30" t="str">
        <x:v>Deutsche</x:v>
      </x:c>
      <x:c r="C430" s="30" t="str">
        <x:v>IBD / GCM</x:v>
      </x:c>
      <x:c r="D430" s="31" t="str">
        <x:v>how to find beta for a private company</x:v>
      </x:c>
      <x:c r="E430" s="31" t="str">
        <x:v>How to find beta for a private company</x:v>
      </x:c>
      <x:c r="F430" s="31" t="str">
        <x:v>Valuation</x:v>
      </x:c>
      <x:c r="G430" s="30" t="str">
        <x:v>CL0466</x:v>
      </x:c>
      <x:c r="H430" s="32" t="n">
        <x:f>COUNTIF($G$5:$G$1725,G430)</x:f>
        <x:v>1</x:v>
      </x:c>
      <x:c r="I430" s="30" t="str">
        <x:v>A43</x:v>
      </x:c>
      <x:c r="J430" s="31" t="str">
        <x:v>optimal wacc | how do you find beta beside public comps | whats the formulas for unlever and relever</x:v>
      </x:c>
    </x:row>
    <x:row r="431" ht="48" customHeight="1">
      <x:c r="A431" s="30" t="str">
        <x:v>QB0657</x:v>
      </x:c>
      <x:c r="B431" s="30" t="str">
        <x:v>Deutsche</x:v>
      </x:c>
      <x:c r="C431" s="30" t="str">
        <x:v>IBD / GCM</x:v>
      </x:c>
      <x:c r="D431" s="31" t="str">
        <x:v>Do you know anyone from DB and learned from them?</x:v>
      </x:c>
      <x:c r="E431" s="31" t="str">
        <x:v>Do you know anyone from DB and learned from them</x:v>
      </x:c>
      <x:c r="F431" s="31" t="str">
        <x:v>Other Question</x:v>
      </x:c>
      <x:c r="G431" s="30" t="str">
        <x:v>CL0276</x:v>
      </x:c>
      <x:c r="H431" s="32" t="n">
        <x:f>COUNTIF($G$5:$G$1725,G431)</x:f>
        <x:v>1</x:v>
      </x:c>
      <x:c r="I431" s="30" t="str">
        <x:v>C43</x:v>
      </x:c>
      <x:c r="J431" s="31" t="str">
        <x:v>How is the IRR for those funds | How to forecast the growth of the SEA logistic company, P&amp;L breakdown | How do you like about HK?</x:v>
      </x:c>
    </x:row>
    <x:row r="432" ht="48" customHeight="1">
      <x:c r="A432" s="30" t="str">
        <x:v>QB0660</x:v>
      </x:c>
      <x:c r="B432" s="30" t="str">
        <x:v>Deutsche</x:v>
      </x:c>
      <x:c r="C432" s="30" t="str">
        <x:v>IBD / GCM</x:v>
      </x:c>
      <x:c r="D432" s="31" t="str">
        <x:v>self intro</x:v>
      </x:c>
      <x:c r="E432" s="31" t="str">
        <x:v>Tell me about yourself / walk me through your resume</x:v>
      </x:c>
      <x:c r="F432" s="31" t="str">
        <x:v>Resume &amp; Experience</x:v>
      </x:c>
      <x:c r="G432" s="30" t="str">
        <x:v>CL0001</x:v>
      </x:c>
      <x:c r="H432" s="32" t="n">
        <x:f>COUNTIF($G$5:$G$1725,G432)</x:f>
        <x:v>170</x:v>
      </x:c>
      <x:c r="I432" s="30" t="str">
        <x:v>A46</x:v>
      </x:c>
      <x:c r="J432" s="31" t="str">
        <x:v>whats the formulas for unlever and relever | how to find beta for a private company | 2 M&amp;A and DIG</x:v>
      </x:c>
    </x:row>
    <x:row r="433" ht="32" customHeight="1">
      <x:c r="A433" s="30" t="str">
        <x:v>QB0662</x:v>
      </x:c>
      <x:c r="B433" s="30" t="str">
        <x:v>Deutsche</x:v>
      </x:c>
      <x:c r="C433" s="30" t="str">
        <x:v>IBD / GCM</x:v>
      </x:c>
      <x:c r="D433" s="31" t="str">
        <x:v>return?</x:v>
      </x:c>
      <x:c r="E433" s="31" t="str">
        <x:v>Return</x:v>
      </x:c>
      <x:c r="F433" s="31" t="str">
        <x:v>Other Question</x:v>
      </x:c>
      <x:c r="G433" s="30" t="str">
        <x:v>CL0019</x:v>
      </x:c>
      <x:c r="H433" s="32" t="n">
        <x:f>COUNTIF($G$5:$G$1725,G433)</x:f>
        <x:v>4</x:v>
      </x:c>
      <x:c r="I433" s="30" t="str">
        <x:v>A47</x:v>
      </x:c>
      <x:c r="J433" s="31" t="str">
        <x:v>how to find beta for a private company | 2 M&amp;A and DIG | self intro</x:v>
      </x:c>
    </x:row>
    <x:row r="434" ht="48" customHeight="1">
      <x:c r="A434" s="30" t="str">
        <x:v>QB0663</x:v>
      </x:c>
      <x:c r="B434" s="30" t="str">
        <x:v>Deutsche</x:v>
      </x:c>
      <x:c r="C434" s="30" t="str">
        <x:v>IBD / GCM</x:v>
      </x:c>
      <x:c r="D434" s="31" t="str">
        <x:v>What did you do at BLK</x:v>
      </x:c>
      <x:c r="E434" s="31" t="str">
        <x:v>What did you do at BLK</x:v>
      </x:c>
      <x:c r="F434" s="31" t="str">
        <x:v>Resume &amp; Experience</x:v>
      </x:c>
      <x:c r="G434" s="30" t="str">
        <x:v>CL0043</x:v>
      </x:c>
      <x:c r="H434" s="32" t="n">
        <x:f>COUNTIF($G$5:$G$1725,G434)</x:f>
        <x:v>2</x:v>
      </x:c>
      <x:c r="I434" s="30" t="str">
        <x:v>C47</x:v>
      </x:c>
      <x:c r="J434" s="31" t="str">
        <x:v>Do you know anyone from DB and learned from them? | 2 Healthcare | No intro, directly grill deal and tech</x:v>
      </x:c>
    </x:row>
    <x:row r="435" ht="32" customHeight="1">
      <x:c r="A435" s="30" t="str">
        <x:v>QB0664</x:v>
      </x:c>
      <x:c r="B435" s="30" t="str">
        <x:v>Deutsche</x:v>
      </x:c>
      <x:c r="C435" s="30" t="str">
        <x:v>IBD / GCM</x:v>
      </x:c>
      <x:c r="D435" s="31" t="str">
        <x:v>Why DB</x:v>
      </x:c>
      <x:c r="E435" s="31" t="str">
        <x:v>Why this firm?</x:v>
      </x:c>
      <x:c r="F435" s="31" t="str">
        <x:v>Fit &amp; Motivation</x:v>
      </x:c>
      <x:c r="G435" s="30" t="str">
        <x:v>CL0002</x:v>
      </x:c>
      <x:c r="H435" s="32" t="n">
        <x:f>COUNTIF($G$5:$G$1725,G435)</x:f>
        <x:v>39</x:v>
      </x:c>
      <x:c r="I435" s="30" t="str">
        <x:v>A48</x:v>
      </x:c>
      <x:c r="J435" s="31" t="str">
        <x:v>2 M&amp;A and DIG | self intro | return?</x:v>
      </x:c>
    </x:row>
    <x:row r="436" ht="32" customHeight="1">
      <x:c r="A436" s="30" t="str">
        <x:v>QB0665</x:v>
      </x:c>
      <x:c r="B436" s="30" t="str">
        <x:v>Deutsche</x:v>
      </x:c>
      <x:c r="C436" s="30" t="str">
        <x:v>IBD / GCM</x:v>
      </x:c>
      <x:c r="D436" s="31" t="str">
        <x:v>Return offer?</x:v>
      </x:c>
      <x:c r="E436" s="31" t="str">
        <x:v>Return offer</x:v>
      </x:c>
      <x:c r="F436" s="31" t="str">
        <x:v>Fit &amp; Motivation</x:v>
      </x:c>
      <x:c r="G436" s="30" t="str">
        <x:v>CL0661</x:v>
      </x:c>
      <x:c r="H436" s="32" t="n">
        <x:f>COUNTIF($G$5:$G$1725,G436)</x:f>
        <x:v>1</x:v>
      </x:c>
      <x:c r="I436" s="30" t="str">
        <x:v>C48</x:v>
      </x:c>
      <x:c r="J436" s="31" t="str">
        <x:v>2 Healthcare | No intro, directly grill deal and tech | What did you do at BLK</x:v>
      </x:c>
    </x:row>
    <x:row r="437" ht="32" customHeight="1">
      <x:c r="A437" s="30" t="str">
        <x:v>QB0666</x:v>
      </x:c>
      <x:c r="B437" s="30" t="str">
        <x:v>Deutsche</x:v>
      </x:c>
      <x:c r="C437" s="30" t="str">
        <x:v>IBD / GCM</x:v>
      </x:c>
      <x:c r="D437" s="31" t="str">
        <x:v>valuation methodologies</x:v>
      </x:c>
      <x:c r="E437" s="31" t="str">
        <x:v>What are the main valuation methodologies?</x:v>
      </x:c>
      <x:c r="F437" s="31" t="str">
        <x:v>Valuation</x:v>
      </x:c>
      <x:c r="G437" s="30" t="str">
        <x:v>CL0010</x:v>
      </x:c>
      <x:c r="H437" s="32" t="n">
        <x:f>COUNTIF($G$5:$G$1725,G437)</x:f>
        <x:v>13</x:v>
      </x:c>
      <x:c r="I437" s="30" t="str">
        <x:v>A49</x:v>
      </x:c>
      <x:c r="J437" s="31" t="str">
        <x:v>self intro | return? | Why DB</x:v>
      </x:c>
    </x:row>
    <x:row r="438" ht="32" customHeight="1">
      <x:c r="A438" s="30" t="str">
        <x:v>QB0667</x:v>
      </x:c>
      <x:c r="B438" s="30" t="str">
        <x:v>Deutsche</x:v>
      </x:c>
      <x:c r="C438" s="30" t="str">
        <x:v>IBD / GCM</x:v>
      </x:c>
      <x:c r="D438" s="31" t="str">
        <x:v>How do you find transaction comp for the SEA hospital platform?</x:v>
      </x:c>
      <x:c r="E438" s="31" t="str">
        <x:v>How do you select comparable companies?</x:v>
      </x:c>
      <x:c r="F438" s="31" t="str">
        <x:v>Valuation</x:v>
      </x:c>
      <x:c r="G438" s="30" t="str">
        <x:v>CL0012</x:v>
      </x:c>
      <x:c r="H438" s="32" t="n">
        <x:f>COUNTIF($G$5:$G$1725,G438)</x:f>
        <x:v>12</x:v>
      </x:c>
      <x:c r="I438" s="30" t="str">
        <x:v>C49</x:v>
      </x:c>
      <x:c r="J438" s="31" t="str">
        <x:v>No intro, directly grill deal and tech | What did you do at BLK | Return offer?</x:v>
      </x:c>
    </x:row>
    <x:row r="439" ht="32" customHeight="1">
      <x:c r="A439" s="30" t="str">
        <x:v>QB0668</x:v>
      </x:c>
      <x:c r="B439" s="30" t="str">
        <x:v>Deutsche</x:v>
      </x:c>
      <x:c r="C439" s="30" t="str">
        <x:v>IBD / GCM</x:v>
      </x:c>
      <x:c r="D439" s="31" t="str">
        <x:v>how to do dcf from EBIT</x:v>
      </x:c>
      <x:c r="E439" s="31" t="str">
        <x:v>How to do dcf from EBIT</x:v>
      </x:c>
      <x:c r="F439" s="31" t="str">
        <x:v>Valuation</x:v>
      </x:c>
      <x:c r="G439" s="30" t="str">
        <x:v>CL0465</x:v>
      </x:c>
      <x:c r="H439" s="32" t="n">
        <x:f>COUNTIF($G$5:$G$1725,G439)</x:f>
        <x:v>1</x:v>
      </x:c>
      <x:c r="I439" s="30" t="str">
        <x:v>A50</x:v>
      </x:c>
      <x:c r="J439" s="31" t="str">
        <x:v>return? | Why DB | valuation methodologies</x:v>
      </x:c>
    </x:row>
    <x:row r="440" ht="48" customHeight="1">
      <x:c r="A440" s="30" t="str">
        <x:v>QB0669</x:v>
      </x:c>
      <x:c r="B440" s="30" t="str">
        <x:v>Deutsche</x:v>
      </x:c>
      <x:c r="C440" s="30" t="str">
        <x:v>IBD / GCM</x:v>
      </x:c>
      <x:c r="D440" s="31" t="str">
        <x:v>Why is it cheaper than industry average?</x:v>
      </x:c>
      <x:c r="E440" s="31" t="str">
        <x:v>Why is it cheaper than industry average</x:v>
      </x:c>
      <x:c r="F440" s="31" t="str">
        <x:v>Fit &amp; Motivation</x:v>
      </x:c>
      <x:c r="G440" s="30" t="str">
        <x:v>CL1146</x:v>
      </x:c>
      <x:c r="H440" s="32" t="n">
        <x:f>COUNTIF($G$5:$G$1725,G440)</x:f>
        <x:v>1</x:v>
      </x:c>
      <x:c r="I440" s="30" t="str">
        <x:v>C50</x:v>
      </x:c>
      <x:c r="J440" s="31" t="str">
        <x:v>What did you do at BLK | Return offer? | How do you find transaction comp for the SEA hospital platform?</x:v>
      </x:c>
    </x:row>
    <x:row r="441" ht="32" customHeight="1">
      <x:c r="A441" s="30" t="str">
        <x:v>QB0670</x:v>
      </x:c>
      <x:c r="B441" s="30" t="str">
        <x:v>Deutsche</x:v>
      </x:c>
      <x:c r="C441" s="30" t="str">
        <x:v>IBD / GCM</x:v>
      </x:c>
      <x:c r="D441" s="31" t="str">
        <x:v>how to get exit multiple and growth rate for terminal value</x:v>
      </x:c>
      <x:c r="E441" s="31" t="str">
        <x:v>How to get exit multiple and growth rate for terminal value</x:v>
      </x:c>
      <x:c r="F441" s="31" t="str">
        <x:v>Valuation</x:v>
      </x:c>
      <x:c r="G441" s="30" t="str">
        <x:v>CL0474</x:v>
      </x:c>
      <x:c r="H441" s="32" t="n">
        <x:f>COUNTIF($G$5:$G$1725,G441)</x:f>
        <x:v>1</x:v>
      </x:c>
      <x:c r="I441" s="30" t="str">
        <x:v>A51</x:v>
      </x:c>
      <x:c r="J441" s="31" t="str">
        <x:v>Why DB | valuation methodologies | how to do dcf from EBIT</x:v>
      </x:c>
    </x:row>
    <x:row r="442" ht="48" customHeight="1">
      <x:c r="A442" s="30" t="str">
        <x:v>QB0671</x:v>
      </x:c>
      <x:c r="B442" s="30" t="str">
        <x:v>Deutsche</x:v>
      </x:c>
      <x:c r="C442" s="30" t="str">
        <x:v>IBD / GCM</x:v>
      </x:c>
      <x:c r="D442" s="31" t="str">
        <x:v>How much equity is sponsor paying?</x:v>
      </x:c>
      <x:c r="E442" s="31" t="str">
        <x:v>How much equity is sponsor paying</x:v>
      </x:c>
      <x:c r="F442" s="31" t="str">
        <x:v>Accounting &amp; Financial Statements</x:v>
      </x:c>
      <x:c r="G442" s="30" t="str">
        <x:v>CL0458</x:v>
      </x:c>
      <x:c r="H442" s="32" t="n">
        <x:f>COUNTIF($G$5:$G$1725,G442)</x:f>
        <x:v>1</x:v>
      </x:c>
      <x:c r="I442" s="30" t="str">
        <x:v>C51</x:v>
      </x:c>
      <x:c r="J442" s="31" t="str">
        <x:v>Return offer? | How do you find transaction comp for the SEA hospital platform? | Why is it cheaper than industry average?</x:v>
      </x:c>
    </x:row>
    <x:row r="443" ht="48" customHeight="1">
      <x:c r="A443" s="30" t="str">
        <x:v>QB0672</x:v>
      </x:c>
      <x:c r="B443" s="30" t="str">
        <x:v>Deutsche</x:v>
      </x:c>
      <x:c r="C443" s="30" t="str">
        <x:v>IBD / GCM</x:v>
      </x:c>
      <x:c r="D443" s="31" t="str">
        <x:v>is terminal value discounted</x:v>
      </x:c>
      <x:c r="E443" s="31" t="str">
        <x:v>Is terminal value discounted</x:v>
      </x:c>
      <x:c r="F443" s="31" t="str">
        <x:v>Accounting &amp; Financial Statements</x:v>
      </x:c>
      <x:c r="G443" s="30" t="str">
        <x:v>CL0558</x:v>
      </x:c>
      <x:c r="H443" s="32" t="n">
        <x:f>COUNTIF($G$5:$G$1725,G443)</x:f>
        <x:v>1</x:v>
      </x:c>
      <x:c r="I443" s="30" t="str">
        <x:v>A52</x:v>
      </x:c>
      <x:c r="J443" s="31" t="str">
        <x:v>valuation methodologies | how to do dcf from EBIT | how to get exit multiple and growth rate for terminal value</x:v>
      </x:c>
    </x:row>
    <x:row r="444" ht="48" customHeight="1">
      <x:c r="A444" s="30" t="str">
        <x:v>QB0673</x:v>
      </x:c>
      <x:c r="B444" s="30" t="str">
        <x:v>Deutsche</x:v>
      </x:c>
      <x:c r="C444" s="30" t="str">
        <x:v>IBD / GCM</x:v>
      </x:c>
      <x:c r="D444" s="31" t="str">
        <x:v>SEA logistic company, how did you do the dcf? How do you get the assumption of growth rate?</x:v>
      </x:c>
      <x:c r="E444" s="31" t="str">
        <x:v>SEA logistic company, how did you do the dcf? How do you get the assumption of growth rate</x:v>
      </x:c>
      <x:c r="F444" s="31" t="str">
        <x:v>Valuation</x:v>
      </x:c>
      <x:c r="G444" s="30" t="str">
        <x:v>CL0670</x:v>
      </x:c>
      <x:c r="H444" s="32" t="n">
        <x:f>COUNTIF($G$5:$G$1725,G444)</x:f>
        <x:v>1</x:v>
      </x:c>
      <x:c r="I444" s="30" t="str">
        <x:v>C52</x:v>
      </x:c>
      <x:c r="J444" s="31" t="str">
        <x:v>How do you find transaction comp for the SEA hospital platform? | Why is it cheaper than industry average? | How much equity is sponsor paying?</x:v>
      </x:c>
    </x:row>
    <x:row r="445" ht="48" customHeight="1">
      <x:c r="A445" s="30" t="str">
        <x:v>QB0674</x:v>
      </x:c>
      <x:c r="B445" s="30" t="str">
        <x:v>Deutsche</x:v>
      </x:c>
      <x:c r="C445" s="30" t="str">
        <x:v>IBD / GCM</x:v>
      </x:c>
      <x:c r="D445" s="31" t="str">
        <x:v>how to find cost of debt and equity</x:v>
      </x:c>
      <x:c r="E445" s="31" t="str">
        <x:v>How should a company choose between debt and equity financing?</x:v>
      </x:c>
      <x:c r="F445" s="31" t="str">
        <x:v>Valuation</x:v>
      </x:c>
      <x:c r="G445" s="30" t="str">
        <x:v>CL0005</x:v>
      </x:c>
      <x:c r="H445" s="32" t="n">
        <x:f>COUNTIF($G$5:$G$1725,G445)</x:f>
        <x:v>21</x:v>
      </x:c>
      <x:c r="I445" s="30" t="str">
        <x:v>A53</x:v>
      </x:c>
      <x:c r="J445" s="31" t="str">
        <x:v>how to do dcf from EBIT | how to get exit multiple and growth rate for terminal value | is terminal value discounted</x:v>
      </x:c>
    </x:row>
    <x:row r="446" ht="68" customHeight="1">
      <x:c r="A446" s="30" t="str">
        <x:v>QB0675</x:v>
      </x:c>
      <x:c r="B446" s="30" t="str">
        <x:v>Deutsche</x:v>
      </x:c>
      <x:c r="C446" s="30" t="str">
        <x:v>IBD / GCM</x:v>
      </x:c>
      <x:c r="D446" s="31" t="str">
        <x:v>Growth rate in near term and to 2030?</x:v>
      </x:c>
      <x:c r="E446" s="31" t="str">
        <x:v>Growth rate in near term and to 2030</x:v>
      </x:c>
      <x:c r="F446" s="31" t="str">
        <x:v>Company, Industry &amp; Deals</x:v>
      </x:c>
      <x:c r="G446" s="30" t="str">
        <x:v>CL0359</x:v>
      </x:c>
      <x:c r="H446" s="32" t="n">
        <x:f>COUNTIF($G$5:$G$1725,G446)</x:f>
        <x:v>1</x:v>
      </x:c>
      <x:c r="I446" s="30" t="str">
        <x:v>C53</x:v>
      </x:c>
      <x:c r="J446" s="31" t="str">
        <x:v>Why is it cheaper than industry average? | How much equity is sponsor paying? | SEA logistic company, how did you do the dcf? How do you get the assumption of growth rate?</x:v>
      </x:c>
    </x:row>
    <x:row r="447" ht="48" customHeight="1">
      <x:c r="A447" s="30" t="str">
        <x:v>QB0676</x:v>
      </x:c>
      <x:c r="B447" s="30" t="str">
        <x:v>Deutsche</x:v>
      </x:c>
      <x:c r="C447" s="30" t="str">
        <x:v>IBD / GCM</x:v>
      </x:c>
      <x:c r="D447" s="31" t="str">
        <x:v>how to find beta</x:v>
      </x:c>
      <x:c r="E447" s="31" t="str">
        <x:v>How to find beta</x:v>
      </x:c>
      <x:c r="F447" s="31" t="str">
        <x:v>Valuation</x:v>
      </x:c>
      <x:c r="G447" s="30" t="str">
        <x:v>CL0033</x:v>
      </x:c>
      <x:c r="H447" s="32" t="n">
        <x:f>COUNTIF($G$5:$G$1725,G447)</x:f>
        <x:v>2</x:v>
      </x:c>
      <x:c r="I447" s="30" t="str">
        <x:v>A54</x:v>
      </x:c>
      <x:c r="J447" s="31" t="str">
        <x:v>how to get exit multiple and growth rate for terminal value | is terminal value discounted | how to find cost of debt and equity</x:v>
      </x:c>
    </x:row>
    <x:row r="448" ht="68" customHeight="1">
      <x:c r="A448" s="30" t="str">
        <x:v>QB0677</x:v>
      </x:c>
      <x:c r="B448" s="30" t="str">
        <x:v>Deutsche</x:v>
      </x:c>
      <x:c r="C448" s="30" t="str">
        <x:v>IBD / GCM</x:v>
      </x:c>
      <x:c r="D448" s="31" t="str">
        <x:v>The result of the dcf and comp?</x:v>
      </x:c>
      <x:c r="E448" s="31" t="str">
        <x:v>The result of the dcf and comp</x:v>
      </x:c>
      <x:c r="F448" s="31" t="str">
        <x:v>Valuation</x:v>
      </x:c>
      <x:c r="G448" s="30" t="str">
        <x:v>CL0781</x:v>
      </x:c>
      <x:c r="H448" s="32" t="n">
        <x:f>COUNTIF($G$5:$G$1725,G448)</x:f>
        <x:v>1</x:v>
      </x:c>
      <x:c r="I448" s="30" t="str">
        <x:v>C54</x:v>
      </x:c>
      <x:c r="J448" s="31" t="str">
        <x:v>How much equity is sponsor paying? | SEA logistic company, how did you do the dcf? How do you get the assumption of growth rate? | Growth rate in near term and to 2030?</x:v>
      </x:c>
    </x:row>
    <x:row r="449" ht="32" customHeight="1">
      <x:c r="A449" s="30" t="str">
        <x:v>QB0678</x:v>
      </x:c>
      <x:c r="B449" s="30" t="str">
        <x:v>Deutsche</x:v>
      </x:c>
      <x:c r="C449" s="30" t="str">
        <x:v>IBD / GCM</x:v>
      </x:c>
      <x:c r="D449" s="31" t="str">
        <x:v>100 PP&amp;E sale, 50 book value, walk through 3 statements</x:v>
      </x:c>
      <x:c r="E449" s="31" t="str">
        <x:v>How does a transaction flow through the three financial statements?</x:v>
      </x:c>
      <x:c r="F449" s="31" t="str">
        <x:v>Accounting &amp; Financial Statements</x:v>
      </x:c>
      <x:c r="G449" s="30" t="str">
        <x:v>CL0004</x:v>
      </x:c>
      <x:c r="H449" s="32" t="n">
        <x:f>COUNTIF($G$5:$G$1725,G449)</x:f>
        <x:v>21</x:v>
      </x:c>
      <x:c r="I449" s="30" t="str">
        <x:v>A55</x:v>
      </x:c>
      <x:c r="J449" s="31" t="str">
        <x:v>is terminal value discounted | how to find cost of debt and equity | how to find beta</x:v>
      </x:c>
    </x:row>
    <x:row r="450" ht="68" customHeight="1">
      <x:c r="A450" s="30" t="str">
        <x:v>QB0679</x:v>
      </x:c>
      <x:c r="B450" s="30" t="str">
        <x:v>Deutsche</x:v>
      </x:c>
      <x:c r="C450" s="30" t="str">
        <x:v>IBD / GCM</x:v>
      </x:c>
      <x:c r="D450" s="31" t="str">
        <x:v>Working capital condition and CCC?</x:v>
      </x:c>
      <x:c r="E450" s="31" t="str">
        <x:v>Working capital condition and CCC</x:v>
      </x:c>
      <x:c r="F450" s="31" t="str">
        <x:v>Accounting &amp; Financial Statements</x:v>
      </x:c>
      <x:c r="G450" s="30" t="str">
        <x:v>CL1189</x:v>
      </x:c>
      <x:c r="H450" s="32" t="n">
        <x:f>COUNTIF($G$5:$G$1725,G450)</x:f>
        <x:v>1</x:v>
      </x:c>
      <x:c r="I450" s="30" t="str">
        <x:v>C55</x:v>
      </x:c>
      <x:c r="J450" s="31" t="str">
        <x:v>SEA logistic company, how did you do the dcf? How do you get the assumption of growth rate? | Growth rate in near term and to 2030? | The result of the dcf and comp?</x:v>
      </x:c>
    </x:row>
    <x:row r="451" ht="48" customHeight="1">
      <x:c r="A451" s="30" t="str">
        <x:v>QB0680</x:v>
      </x:c>
      <x:c r="B451" s="30" t="str">
        <x:v>Deutsche</x:v>
      </x:c>
      <x:c r="C451" s="30" t="str">
        <x:v>IBD / GCM</x:v>
      </x:c>
      <x:c r="D451" s="31" t="str">
        <x:v>100 debt and 10% PIK interest, walk through 3 statements in y0 and y1</x:v>
      </x:c>
      <x:c r="E451" s="31" t="str">
        <x:v>How does a transaction flow through the three financial statements?</x:v>
      </x:c>
      <x:c r="F451" s="31" t="str">
        <x:v>Accounting &amp; Financial Statements</x:v>
      </x:c>
      <x:c r="G451" s="30" t="str">
        <x:v>CL0004</x:v>
      </x:c>
      <x:c r="H451" s="32" t="n">
        <x:f>COUNTIF($G$5:$G$1725,G451)</x:f>
        <x:v>21</x:v>
      </x:c>
      <x:c r="I451" s="30" t="str">
        <x:v>A56</x:v>
      </x:c>
      <x:c r="J451" s="31" t="str">
        <x:v>how to find cost of debt and equity | how to find beta | 100 PP&amp;E sale, 50 book value, walk through 3 statements</x:v>
      </x:c>
    </x:row>
    <x:row r="452" ht="48" customHeight="1">
      <x:c r="A452" s="30" t="str">
        <x:v>QB0681</x:v>
      </x:c>
      <x:c r="B452" s="30" t="str">
        <x:v>Deutsche</x:v>
      </x:c>
      <x:c r="C452" s="30" t="str">
        <x:v>IBD / GCM</x:v>
      </x:c>
      <x:c r="D452" s="31" t="str">
        <x:v>3 statement tech without pen and paper</x:v>
      </x:c>
      <x:c r="E452" s="31" t="str">
        <x:v>3 statement tech without pen and paper</x:v>
      </x:c>
      <x:c r="F452" s="31" t="str">
        <x:v>Accounting &amp; Financial Statements</x:v>
      </x:c>
      <x:c r="G452" s="30" t="str">
        <x:v>CL0076</x:v>
      </x:c>
      <x:c r="H452" s="32" t="n">
        <x:f>COUNTIF($G$5:$G$1725,G452)</x:f>
        <x:v>1</x:v>
      </x:c>
      <x:c r="I452" s="30" t="str">
        <x:v>C56</x:v>
      </x:c>
      <x:c r="J452" s="31" t="str">
        <x:v>Growth rate in near term and to 2030? | The result of the dcf and comp? | Working capital condition and CCC?</x:v>
      </x:c>
    </x:row>
    <x:row r="453" ht="48" customHeight="1">
      <x:c r="A453" s="30" t="str">
        <x:v>QB0682</x:v>
      </x:c>
      <x:c r="B453" s="30" t="str">
        <x:v>Deutsche</x:v>
      </x:c>
      <x:c r="C453" s="30" t="str">
        <x:v>IBD / GCM</x:v>
      </x:c>
      <x:c r="D453" s="31" t="str">
        <x:v>valuation now: EV / FY+1 EBITDA, for 2030 exit multiple, which year’s EV should you use</x:v>
      </x:c>
      <x:c r="E453" s="31" t="str">
        <x:v>Valuation now: EV / FY+1 EBITDA, for 2030 exit multiple, which year’s EV should you use</x:v>
      </x:c>
      <x:c r="F453" s="31" t="str">
        <x:v>Valuation</x:v>
      </x:c>
      <x:c r="G453" s="30" t="str">
        <x:v>CL0814</x:v>
      </x:c>
      <x:c r="H453" s="32" t="n">
        <x:f>COUNTIF($G$5:$G$1725,G453)</x:f>
        <x:v>1</x:v>
      </x:c>
      <x:c r="I453" s="30" t="str">
        <x:v>A57</x:v>
      </x:c>
      <x:c r="J453" s="31" t="str">
        <x:v>how to find beta | 100 PP&amp;E sale, 50 book value, walk through 3 statements | 100 debt and 10% PIK interest, walk through 3 statements in y0 and y1</x:v>
      </x:c>
    </x:row>
    <x:row r="454" ht="48" customHeight="1">
      <x:c r="A454" s="30" t="str">
        <x:v>QB0683</x:v>
      </x:c>
      <x:c r="B454" s="30" t="str">
        <x:v>Deutsche</x:v>
      </x:c>
      <x:c r="C454" s="30" t="str">
        <x:v>IBD / GCM</x:v>
      </x:c>
      <x:c r="D454" s="31" t="str">
        <x:v>EV Equity bridge, where is Minority interest and why? Where is non-operating asset and why? (I fucked up this one)</x:v>
      </x:c>
      <x:c r="E454" s="31" t="str">
        <x:v>EV Equity bridge, where is Minority interest and why? Where is non-operating asset and why? (I fucked up this one)</x:v>
      </x:c>
      <x:c r="F454" s="31" t="str">
        <x:v>Fit &amp; Motivation</x:v>
      </x:c>
      <x:c r="G454" s="30" t="str">
        <x:v>CL0315</x:v>
      </x:c>
      <x:c r="H454" s="32" t="n">
        <x:f>COUNTIF($G$5:$G$1725,G454)</x:f>
        <x:v>1</x:v>
      </x:c>
      <x:c r="I454" s="30" t="str">
        <x:v>C57</x:v>
      </x:c>
      <x:c r="J454" s="31" t="str">
        <x:v>The result of the dcf and comp? | Working capital condition and CCC? | 3 statement tech without pen and paper</x:v>
      </x:c>
    </x:row>
    <x:row r="455" ht="68" customHeight="1">
      <x:c r="A455" s="30" t="str">
        <x:v>QB0684</x:v>
      </x:c>
      <x:c r="B455" s="30" t="str">
        <x:v>Deutsche</x:v>
      </x:c>
      <x:c r="C455" s="30" t="str">
        <x:v>IBD / GCM</x:v>
      </x:c>
      <x:c r="D455" s="31" t="str">
        <x:v>whats the purpose of LBO</x:v>
      </x:c>
      <x:c r="E455" s="31" t="str">
        <x:v>Whats the purpose of LBO</x:v>
      </x:c>
      <x:c r="F455" s="31" t="str">
        <x:v>Private Equity &amp; LBO</x:v>
      </x:c>
      <x:c r="G455" s="30" t="str">
        <x:v>CL1075</x:v>
      </x:c>
      <x:c r="H455" s="32" t="n">
        <x:f>COUNTIF($G$5:$G$1725,G455)</x:f>
        <x:v>1</x:v>
      </x:c>
      <x:c r="I455" s="30" t="str">
        <x:v>A58</x:v>
      </x:c>
      <x:c r="J455" s="31" t="str">
        <x:v>100 PP&amp;E sale, 50 book value, walk through 3 statements | 100 debt and 10% PIK interest, walk through 3 statements in y0 and y1 | valuation now: EV / FY+1 EBITDA, for 2030 exit multiple, which year’s EV should you use</x:v>
      </x:c>
    </x:row>
    <x:row r="456" ht="68" customHeight="1">
      <x:c r="A456" s="30" t="str">
        <x:v>QB0685</x:v>
      </x:c>
      <x:c r="B456" s="30" t="str">
        <x:v>Deutsche</x:v>
      </x:c>
      <x:c r="C456" s="30" t="str">
        <x:v>IBD / GCM</x:v>
      </x:c>
      <x:c r="D456" s="31" t="str">
        <x:v>Is lottery prize in FCFF and why?</x:v>
      </x:c>
      <x:c r="E456" s="31" t="str">
        <x:v>Is lottery prize in FCFF and why</x:v>
      </x:c>
      <x:c r="F456" s="31" t="str">
        <x:v>Accounting &amp; Financial Statements</x:v>
      </x:c>
      <x:c r="G456" s="30" t="str">
        <x:v>CL0555</x:v>
      </x:c>
      <x:c r="H456" s="32" t="n">
        <x:f>COUNTIF($G$5:$G$1725,G456)</x:f>
        <x:v>1</x:v>
      </x:c>
      <x:c r="I456" s="30" t="str">
        <x:v>C58</x:v>
      </x:c>
      <x:c r="J456" s="31" t="str">
        <x:v>Working capital condition and CCC? | 3 statement tech without pen and paper | EV Equity bridge, where is Minority interest and why? Where is non-operating asset and why? (I fucked up this one)</x:v>
      </x:c>
    </x:row>
    <x:row r="457" ht="68" customHeight="1">
      <x:c r="A457" s="30" t="str">
        <x:v>QB0686</x:v>
      </x:c>
      <x:c r="B457" s="30" t="str">
        <x:v>Deutsche</x:v>
      </x:c>
      <x:c r="C457" s="30" t="str">
        <x:v>IBD / GCM</x:v>
      </x:c>
      <x:c r="D457" s="31" t="str">
        <x:v>if the IRR is 15%, the interest rate is 20%, should u borrow the debt</x:v>
      </x:c>
      <x:c r="E457" s="31" t="str">
        <x:v>If the IRR is 15%, the interest rate is 20%, should u borrow the debt</x:v>
      </x:c>
      <x:c r="F457" s="31" t="str">
        <x:v>Accounting &amp; Financial Statements</x:v>
      </x:c>
      <x:c r="G457" s="30" t="str">
        <x:v>CL0519</x:v>
      </x:c>
      <x:c r="H457" s="32" t="n">
        <x:f>COUNTIF($G$5:$G$1725,G457)</x:f>
        <x:v>1</x:v>
      </x:c>
      <x:c r="I457" s="30" t="str">
        <x:v>A59</x:v>
      </x:c>
      <x:c r="J457" s="31" t="str">
        <x:v>100 debt and 10% PIK interest, walk through 3 statements in y0 and y1 | valuation now: EV / FY+1 EBITDA, for 2030 exit multiple, which year’s EV should you use | whats the purpose of LBO</x:v>
      </x:c>
    </x:row>
    <x:row r="458" ht="68" customHeight="1">
      <x:c r="A458" s="30" t="str">
        <x:v>QB0689</x:v>
      </x:c>
      <x:c r="B458" s="30" t="str">
        <x:v>Deutsche</x:v>
      </x:c>
      <x:c r="C458" s="30" t="str">
        <x:v>IBD / GCM</x:v>
      </x:c>
      <x:c r="D458" s="31" t="str">
        <x:v>Self intro</x:v>
      </x:c>
      <x:c r="E458" s="31" t="str">
        <x:v>Tell me about yourself / walk me through your resume</x:v>
      </x:c>
      <x:c r="F458" s="31" t="str">
        <x:v>Resume &amp; Experience</x:v>
      </x:c>
      <x:c r="G458" s="30" t="str">
        <x:v>CL0001</x:v>
      </x:c>
      <x:c r="H458" s="32" t="n">
        <x:f>COUNTIF($G$5:$G$1725,G458)</x:f>
        <x:v>170</x:v>
      </x:c>
      <x:c r="I458" s="30" t="str">
        <x:v>C61</x:v>
      </x:c>
      <x:c r="J458" s="31" t="str">
        <x:v>EV Equity bridge, where is Minority interest and why? Where is non-operating asset and why? (I fucked up this one) | Is lottery prize in FCFF and why? | 3 M&amp;A, from HKU</x:v>
      </x:c>
    </x:row>
    <x:row r="459" ht="48" customHeight="1">
      <x:c r="A459" s="30" t="str">
        <x:v>QB0690</x:v>
      </x:c>
      <x:c r="B459" s="30" t="str">
        <x:v>Deutsche</x:v>
      </x:c>
      <x:c r="C459" s="30" t="str">
        <x:v>IBD / GCM</x:v>
      </x:c>
      <x:c r="D459" s="31" t="str">
        <x:v>Why DB, nomura vs DB, teamwork, which team, etc</x:v>
      </x:c>
      <x:c r="E459" s="31" t="str">
        <x:v>Why this firm?</x:v>
      </x:c>
      <x:c r="F459" s="31" t="str">
        <x:v>Fit &amp; Motivation</x:v>
      </x:c>
      <x:c r="G459" s="30" t="str">
        <x:v>CL0002</x:v>
      </x:c>
      <x:c r="H459" s="32" t="n">
        <x:f>COUNTIF($G$5:$G$1725,G459)</x:f>
        <x:v>39</x:v>
      </x:c>
      <x:c r="I459" s="30" t="str">
        <x:v>A62</x:v>
      </x:c>
      <x:c r="J459" s="31" t="str">
        <x:v>whats the purpose of LBO | if the IRR is 15%, the interest rate is 20%, should u borrow the debt | 3 Debt syndicate (all behav)</x:v>
      </x:c>
    </x:row>
    <x:row r="460" ht="32" customHeight="1">
      <x:c r="A460" s="30" t="str">
        <x:v>QB0691</x:v>
      </x:c>
      <x:c r="B460" s="30" t="str">
        <x:v>Deutsche</x:v>
      </x:c>
      <x:c r="C460" s="30" t="str">
        <x:v>IBD / GCM</x:v>
      </x:c>
      <x:c r="D460" s="31" t="str">
        <x:v>Why IBD</x:v>
      </x:c>
      <x:c r="E460" s="31" t="str">
        <x:v>Why investment banking?</x:v>
      </x:c>
      <x:c r="F460" s="31" t="str">
        <x:v>Fit &amp; Motivation</x:v>
      </x:c>
      <x:c r="G460" s="30" t="str">
        <x:v>CL0003</x:v>
      </x:c>
      <x:c r="H460" s="32" t="n">
        <x:f>COUNTIF($G$5:$G$1725,G460)</x:f>
        <x:v>34</x:v>
      </x:c>
      <x:c r="I460" s="30" t="str">
        <x:v>C62</x:v>
      </x:c>
      <x:c r="J460" s="31" t="str">
        <x:v>Is lottery prize in FCFF and why? | 3 M&amp;A, from HKU | Self intro</x:v>
      </x:c>
    </x:row>
    <x:row r="461" ht="48" customHeight="1">
      <x:c r="A461" s="30" t="str">
        <x:v>QB0692</x:v>
      </x:c>
      <x:c r="B461" s="30" t="str">
        <x:v>Deutsche</x:v>
      </x:c>
      <x:c r="C461" s="30" t="str">
        <x:v>IBD / GCM</x:v>
      </x:c>
      <x:c r="D461" s="31" t="str">
        <x:v>Slghtly asked on my M&amp;A Case com experience -am i still following SenseTime (said no)</x:v>
      </x:c>
      <x:c r="E461" s="31" t="str">
        <x:v>Slghtly asked on my M&amp;A Case com experience -am i still following SenseTime (said no)</x:v>
      </x:c>
      <x:c r="F461" s="31" t="str">
        <x:v>Resume &amp; Experience</x:v>
      </x:c>
      <x:c r="G461" s="30" t="str">
        <x:v>CL0683</x:v>
      </x:c>
      <x:c r="H461" s="32" t="n">
        <x:f>COUNTIF($G$5:$G$1725,G461)</x:f>
        <x:v>1</x:v>
      </x:c>
      <x:c r="I461" s="30" t="str">
        <x:v>A63</x:v>
      </x:c>
      <x:c r="J461" s="31" t="str">
        <x:v>if the IRR is 15%, the interest rate is 20%, should u borrow the debt | 3 Debt syndicate (all behav) | Why DB, nomura vs DB, teamwork, which team, etc</x:v>
      </x:c>
    </x:row>
    <x:row r="462" ht="32" customHeight="1">
      <x:c r="A462" s="30" t="str">
        <x:v>QB0693</x:v>
      </x:c>
      <x:c r="B462" s="30" t="str">
        <x:v>Deutsche</x:v>
      </x:c>
      <x:c r="C462" s="30" t="str">
        <x:v>IBD / GCM</x:v>
      </x:c>
      <x:c r="D462" s="31" t="str">
        <x:v>Why would people like to do an LBO?</x:v>
      </x:c>
      <x:c r="E462" s="31" t="str">
        <x:v>Why would people like to do an LBO</x:v>
      </x:c>
      <x:c r="F462" s="31" t="str">
        <x:v>Fit &amp; Motivation</x:v>
      </x:c>
      <x:c r="G462" s="30" t="str">
        <x:v>CL1177</x:v>
      </x:c>
      <x:c r="H462" s="32" t="n">
        <x:f>COUNTIF($G$5:$G$1725,G462)</x:f>
        <x:v>1</x:v>
      </x:c>
      <x:c r="I462" s="30" t="str">
        <x:v>C63</x:v>
      </x:c>
      <x:c r="J462" s="31" t="str">
        <x:v>3 M&amp;A, from HKU | Self intro | Why IBD</x:v>
      </x:c>
    </x:row>
    <x:row r="463" ht="68" customHeight="1">
      <x:c r="A463" s="30" t="str">
        <x:v>QB0694</x:v>
      </x:c>
      <x:c r="B463" s="30" t="str">
        <x:v>Deutsche</x:v>
      </x:c>
      <x:c r="C463" s="30" t="str">
        <x:v>IBD / GCM</x:v>
      </x:c>
      <x:c r="D463" s="31" t="str">
        <x:v>what are some financial services deutsche can provide to SenseTime? how about for Nomura?</x:v>
      </x:c>
      <x:c r="E463" s="31" t="str">
        <x:v>What are some financial services deutsche can provide to SenseTime? how about for Nomura</x:v>
      </x:c>
      <x:c r="F463" s="31" t="str">
        <x:v>Company, Industry &amp; Deals</x:v>
      </x:c>
      <x:c r="G463" s="30" t="str">
        <x:v>CL0869</x:v>
      </x:c>
      <x:c r="H463" s="32" t="n">
        <x:f>COUNTIF($G$5:$G$1725,G463)</x:f>
        <x:v>1</x:v>
      </x:c>
      <x:c r="I463" s="30" t="str">
        <x:v>A64</x:v>
      </x:c>
      <x:c r="J463" s="31" t="str">
        <x:v>3 Debt syndicate (all behav) | Why DB, nomura vs DB, teamwork, which team, etc | Slghtly asked on my M&amp;A Case com experience -am i still following SenseTime (said no)</x:v>
      </x:c>
    </x:row>
    <x:row r="464" ht="48" customHeight="1">
      <x:c r="A464" s="30" t="str">
        <x:v>QB0695</x:v>
      </x:c>
      <x:c r="B464" s="30" t="str">
        <x:v>Deutsche</x:v>
      </x:c>
      <x:c r="C464" s="30" t="str">
        <x:v>IBD / GCM</x:v>
      </x:c>
      <x:c r="D464" s="31" t="str">
        <x:v>You have an IRR of 12%, bank is offering you Mezzaine of 13% PIK interest, will you take it?</x:v>
      </x:c>
      <x:c r="E464" s="31" t="str">
        <x:v>You have an IRR of 12%, bank is offering you Mezzaine of 13% PIK interest, will you take it</x:v>
      </x:c>
      <x:c r="F464" s="31" t="str">
        <x:v>Accounting &amp; Financial Statements</x:v>
      </x:c>
      <x:c r="G464" s="30" t="str">
        <x:v>CL1201</x:v>
      </x:c>
      <x:c r="H464" s="32" t="n">
        <x:f>COUNTIF($G$5:$G$1725,G464)</x:f>
        <x:v>1</x:v>
      </x:c>
      <x:c r="I464" s="30" t="str">
        <x:v>C64</x:v>
      </x:c>
      <x:c r="J464" s="31" t="str">
        <x:v>Self intro | Why IBD | Why would people like to do an LBO?</x:v>
      </x:c>
    </x:row>
    <x:row r="465" ht="68" customHeight="1">
      <x:c r="A465" s="30" t="str">
        <x:v>QB0696</x:v>
      </x:c>
      <x:c r="B465" s="30" t="str">
        <x:v>Deutsche</x:v>
      </x:c>
      <x:c r="C465" s="30" t="str">
        <x:v>IBD / GCM</x:v>
      </x:c>
      <x:c r="D465" s="31" t="str">
        <x:v>You are paying 50% cash and 50% debt for a house, the rental income can just offset the debt payment every month so your cash flow is zeroed, you sell the house five years later, is your IRR positive, negative or zero?</x:v>
      </x:c>
      <x:c r="E465" s="31" t="str">
        <x:v>You are paying 50% cash and 50% debt for a house, the rental income can just offset the debt payment every month so your cash flow is zeroed, you sell the house five years later, is your IRR positive, negative or zero</x:v>
      </x:c>
      <x:c r="F465" s="31" t="str">
        <x:v>Accounting &amp; Financial Statements</x:v>
      </x:c>
      <x:c r="G465" s="30" t="str">
        <x:v>CL1200</x:v>
      </x:c>
      <x:c r="H465" s="32" t="n">
        <x:f>COUNTIF($G$5:$G$1725,G465)</x:f>
        <x:v>1</x:v>
      </x:c>
      <x:c r="I465" s="30" t="str">
        <x:v>C65</x:v>
      </x:c>
      <x:c r="J465" s="31" t="str">
        <x:v>Why IBD | Why would people like to do an LBO? | You have an IRR of 12%, bank is offering you Mezzaine of 13% PIK interest, will you take it?</x:v>
      </x:c>
    </x:row>
    <x:row r="466" ht="92" customHeight="1">
      <x:c r="A466" s="30" t="str">
        <x:v>QB0697</x:v>
      </x:c>
      <x:c r="B466" s="30" t="str">
        <x:v>Deutsche</x:v>
      </x:c>
      <x:c r="C466" s="30" t="str">
        <x:v>IBD / GCM</x:v>
      </x:c>
      <x:c r="D466" s="31" t="str">
        <x:v>What you did at BLK</x:v>
      </x:c>
      <x:c r="E466" s="31" t="str">
        <x:v>What you did at BLK</x:v>
      </x:c>
      <x:c r="F466" s="31" t="str">
        <x:v>Resume &amp; Experience</x:v>
      </x:c>
      <x:c r="G466" s="30" t="str">
        <x:v>CL0043</x:v>
      </x:c>
      <x:c r="H466" s="32" t="n">
        <x:f>COUNTIF($G$5:$G$1725,G466)</x:f>
        <x:v>2</x:v>
      </x:c>
      <x:c r="I466" s="30" t="str">
        <x:v>C66</x:v>
      </x:c>
      <x:c r="J466" s="31" t="str">
        <x:v>Why would people like to do an LBO? | You have an IRR of 12%, bank is offering you Mezzaine of 13% PIK interest, will you take it? | You are paying 50% cash and 50% debt for a house, the rental income can just offset the debt payment eve...</x:v>
      </x:c>
    </x:row>
    <x:row r="467" ht="92" customHeight="1">
      <x:c r="A467" s="30" t="str">
        <x:v>QB0698</x:v>
      </x:c>
      <x:c r="B467" s="30" t="str">
        <x:v>Deutsche</x:v>
      </x:c>
      <x:c r="C467" s="30" t="str">
        <x:v>IBD / GCM</x:v>
      </x:c>
      <x:c r="D467" s="31" t="str">
        <x:v>Tell me move about the logistic market, did you identify any trends or market dynamics?</x:v>
      </x:c>
      <x:c r="E467" s="31" t="str">
        <x:v>Tell me move about the logistic market, did you identify any trends or market dynamics</x:v>
      </x:c>
      <x:c r="F467" s="31" t="str">
        <x:v>Other Question</x:v>
      </x:c>
      <x:c r="G467" s="30" t="str">
        <x:v>CL0771</x:v>
      </x:c>
      <x:c r="H467" s="32" t="n">
        <x:f>COUNTIF($G$5:$G$1725,G467)</x:f>
        <x:v>1</x:v>
      </x:c>
      <x:c r="I467" s="30" t="str">
        <x:v>C67</x:v>
      </x:c>
      <x:c r="J467" s="31" t="str">
        <x:v>You have an IRR of 12%, bank is offering you Mezzaine of 13% PIK interest, will you take it? | You are paying 50% cash and 50% debt for a house, the rental income can just offset the debt payment every month so your cash flow is zeroed, ...</x:v>
      </x:c>
    </x:row>
    <x:row r="468" ht="92" customHeight="1">
      <x:c r="A468" s="30" t="str">
        <x:v>QB0699</x:v>
      </x:c>
      <x:c r="B468" s="30" t="str">
        <x:v>Deutsche</x:v>
      </x:c>
      <x:c r="C468" s="30" t="str">
        <x:v>IBD / GCM</x:v>
      </x:c>
      <x:c r="D468" s="31" t="str">
        <x:v>3 Investment thesis for the logistic/freight forwarding business</x:v>
      </x:c>
      <x:c r="E468" s="31" t="str">
        <x:v>3 Investment thesis for the logistic/freight forwarding business</x:v>
      </x:c>
      <x:c r="F468" s="31" t="str">
        <x:v>Investment Pitch</x:v>
      </x:c>
      <x:c r="G468" s="30" t="str">
        <x:v>CL0074</x:v>
      </x:c>
      <x:c r="H468" s="32" t="n">
        <x:f>COUNTIF($G$5:$G$1725,G468)</x:f>
        <x:v>1</x:v>
      </x:c>
      <x:c r="I468" s="30" t="str">
        <x:v>C68</x:v>
      </x:c>
      <x:c r="J468" s="31" t="str">
        <x:v>You are paying 50% cash and 50% debt for a house, the rental income can just offset the debt payment every month so your cash flow is zeroed, you sell the house five years later, is your IRR positive, negative or zero? | What you did at ...</x:v>
      </x:c>
    </x:row>
    <x:row r="469" ht="68" customHeight="1">
      <x:c r="A469" s="30" t="str">
        <x:v>QB0700</x:v>
      </x:c>
      <x:c r="B469" s="30" t="str">
        <x:v>Deutsche</x:v>
      </x:c>
      <x:c r="C469" s="30" t="str">
        <x:v>IBD / GCM</x:v>
      </x:c>
      <x:c r="D469" s="31" t="str">
        <x:v>Business model: Asset light or Asset heavy?</x:v>
      </x:c>
      <x:c r="E469" s="31" t="str">
        <x:v>Business model: Asset light or Asset heavy</x:v>
      </x:c>
      <x:c r="F469" s="31" t="str">
        <x:v>Company, Industry &amp; Deals</x:v>
      </x:c>
      <x:c r="G469" s="30" t="str">
        <x:v>CL0176</x:v>
      </x:c>
      <x:c r="H469" s="32" t="n">
        <x:f>COUNTIF($G$5:$G$1725,G469)</x:f>
        <x:v>1</x:v>
      </x:c>
      <x:c r="I469" s="30" t="str">
        <x:v>C69</x:v>
      </x:c>
      <x:c r="J469" s="31" t="str">
        <x:v>What you did at BLK | Tell me move about the logistic market, did you identify any trends or market dynamics? | 3 Investment thesis for the logistic/freight forwarding business</x:v>
      </x:c>
    </x:row>
    <x:row r="470" ht="32" customHeight="1">
      <x:c r="A470" s="30" t="str">
        <x:v>QB0707</x:v>
      </x:c>
      <x:c r="B470" s="30" t="str">
        <x:v>Deutsche</x:v>
      </x:c>
      <x:c r="C470" s="30" t="str">
        <x:v>IBD / GCM</x:v>
      </x:c>
      <x:c r="D470" s="31" t="str">
        <x:v>自我介绍</x:v>
      </x:c>
      <x:c r="E470" s="31" t="str">
        <x:v>Tell me about yourself / walk me through your resume</x:v>
      </x:c>
      <x:c r="F470" s="31" t="str">
        <x:v>Other Question</x:v>
      </x:c>
      <x:c r="G470" s="30" t="str">
        <x:v>CL0001</x:v>
      </x:c>
      <x:c r="H470" s="32" t="n">
        <x:f>COUNTIF($G$5:$G$1725,G470)</x:f>
        <x:v>170</x:v>
      </x:c>
      <x:c r="I470" s="30" t="str">
        <x:v>A75</x:v>
      </x:c>
      <x:c r="J470" s="31" t="str">
        <x:v>Jasmine 6/10 | 1 Industrial Wayne | 全程普通话，非常chill</x:v>
      </x:c>
    </x:row>
    <x:row r="471" ht="48" customHeight="1">
      <x:c r="A471" s="30" t="str">
        <x:v>QB0708</x:v>
      </x:c>
      <x:c r="B471" s="30" t="str">
        <x:v>Deutsche</x:v>
      </x:c>
      <x:c r="C471" s="30" t="str">
        <x:v>IBD / GCM</x:v>
      </x:c>
      <x:c r="D471" s="31" t="str">
        <x:v>Pitch me yourself, what is the advantage for someone with PE experience compared to someone with ib experience in doing IDB roles?</x:v>
      </x:c>
      <x:c r="E471" s="31" t="str">
        <x:v>Pitch me yourself, what is the advantage for someone with PE experience compared to someone with ib experience in doing IDB roles</x:v>
      </x:c>
      <x:c r="F471" s="31" t="str">
        <x:v>Resume &amp; Experience</x:v>
      </x:c>
      <x:c r="G471" s="30" t="str">
        <x:v>CL0638</x:v>
      </x:c>
      <x:c r="H471" s="32" t="n">
        <x:f>COUNTIF($G$5:$G$1725,G471)</x:f>
        <x:v>1</x:v>
      </x:c>
      <x:c r="I471" s="30" t="str">
        <x:v>C75</x:v>
      </x:c>
      <x:c r="J471" s="31" t="str">
        <x:v>Business model: Asset light or Asset heavy? | Jimmy 6/10 | 1 ECM Karen</x:v>
      </x:c>
    </x:row>
    <x:row r="472" ht="48" customHeight="1">
      <x:c r="A472" s="30" t="str">
        <x:v>QB0710</x:v>
      </x:c>
      <x:c r="B472" s="30" t="str">
        <x:v>Deutsche</x:v>
      </x:c>
      <x:c r="C472" s="30" t="str">
        <x:v>IBD / GCM</x:v>
      </x:c>
      <x:c r="D472" s="31" t="str">
        <x:v>Experience of approaching difficult question and find a solution with positive outcome</x:v>
      </x:c>
      <x:c r="E472" s="31" t="str">
        <x:v>Experience of approaching difficult question and find a solution with positive outcome</x:v>
      </x:c>
      <x:c r="F472" s="31" t="str">
        <x:v>Resume &amp; Experience</x:v>
      </x:c>
      <x:c r="G472" s="30" t="str">
        <x:v>CL0319</x:v>
      </x:c>
      <x:c r="H472" s="32" t="n">
        <x:f>COUNTIF($G$5:$G$1725,G472)</x:f>
        <x:v>1</x:v>
      </x:c>
      <x:c r="I472" s="30" t="str">
        <x:v>C76</x:v>
      </x:c>
      <x:c r="J472" s="31" t="str">
        <x:v>Jimmy 6/10 | 1 ECM Karen | Pitch me yourself, what is the advantage for someone with PE experience compared to someone with ib experience in doing IDB roles?</x:v>
      </x:c>
    </x:row>
    <x:row r="473" ht="32" customHeight="1">
      <x:c r="A473" s="30" t="str">
        <x:v>QB0713</x:v>
      </x:c>
      <x:c r="B473" s="30" t="str">
        <x:v>Deutsche</x:v>
      </x:c>
      <x:c r="C473" s="30" t="str">
        <x:v>IBD / GCM</x:v>
      </x:c>
      <x:c r="D473" s="31" t="str">
        <x:v>Why DB</x:v>
      </x:c>
      <x:c r="E473" s="31" t="str">
        <x:v>Why this firm?</x:v>
      </x:c>
      <x:c r="F473" s="31" t="str">
        <x:v>Fit &amp; Motivation</x:v>
      </x:c>
      <x:c r="G473" s="30" t="str">
        <x:v>CL0002</x:v>
      </x:c>
      <x:c r="H473" s="32" t="n">
        <x:f>COUNTIF($G$5:$G$1725,G473)</x:f>
        <x:v>39</x:v>
      </x:c>
      <x:c r="I473" s="30" t="str">
        <x:v>A78</x:v>
      </x:c>
      <x:c r="J473" s="31" t="str">
        <x:v>自我介绍 | 跟我讲一个之前项目里做的研究，描述行业规模增速，利润率，竞争格局，商业模式etc | 有哪些可比公司</x:v>
      </x:c>
    </x:row>
    <x:row r="474" ht="68" customHeight="1">
      <x:c r="A474" s="30" t="str">
        <x:v>QB0714</x:v>
      </x:c>
      <x:c r="B474" s="30" t="str">
        <x:v>Deutsche</x:v>
      </x:c>
      <x:c r="C474" s="30" t="str">
        <x:v>IBD / GCM</x:v>
      </x:c>
      <x:c r="D474" s="31" t="str">
        <x:v>How do you view the HK and China market for past two weeks</x:v>
      </x:c>
      <x:c r="E474" s="31" t="str">
        <x:v>What is your current market outlook?</x:v>
      </x:c>
      <x:c r="F474" s="31" t="str">
        <x:v>Markets &amp; Macro</x:v>
      </x:c>
      <x:c r="G474" s="30" t="str">
        <x:v>CL0018</x:v>
      </x:c>
      <x:c r="H474" s="32" t="n">
        <x:f>COUNTIF($G$5:$G$1725,G474)</x:f>
        <x:v>5</x:v>
      </x:c>
      <x:c r="I474" s="30" t="str">
        <x:v>C78</x:v>
      </x:c>
      <x:c r="J474" s="31" t="str">
        <x:v>Pitch me yourself, what is the advantage for someone with PE experience compared to someone with ib experience in doing IDB roles? | Experience of approaching difficult question and find a solution with positive outcome | Interesting thi...</x:v>
      </x:c>
    </x:row>
    <x:row r="475" ht="32" customHeight="1">
      <x:c r="A475" s="30" t="str">
        <x:v>QB0715</x:v>
      </x:c>
      <x:c r="B475" s="30" t="str">
        <x:v>Deutsche</x:v>
      </x:c>
      <x:c r="C475" s="30" t="str">
        <x:v>IBD / GCM</x:v>
      </x:c>
      <x:c r="D475" s="31" t="str">
        <x:v>Return？</x:v>
      </x:c>
      <x:c r="E475" s="31" t="str">
        <x:v>Return</x:v>
      </x:c>
      <x:c r="F475" s="31" t="str">
        <x:v>Other Question</x:v>
      </x:c>
      <x:c r="G475" s="30" t="str">
        <x:v>CL0019</x:v>
      </x:c>
      <x:c r="H475" s="32" t="n">
        <x:f>COUNTIF($G$5:$G$1725,G475)</x:f>
        <x:v>4</x:v>
      </x:c>
      <x:c r="I475" s="30" t="str">
        <x:v>A79</x:v>
      </x:c>
      <x:c r="J475" s="31" t="str">
        <x:v>跟我讲一个之前项目里做的研究，描述行业规模增速，利润率，竞争格局，商业模式etc | 有哪些可比公司 | Why DB</x:v>
      </x:c>
    </x:row>
    <x:row r="476" ht="48" customHeight="1">
      <x:c r="A476" s="30" t="str">
        <x:v>QB0720</x:v>
      </x:c>
      <x:c r="B476" s="30" t="str">
        <x:v>Deutsche</x:v>
      </x:c>
      <x:c r="C476" s="30" t="str">
        <x:v>IBD / GCM</x:v>
      </x:c>
      <x:c r="D476" s="31" t="str">
        <x:v>Self intro</x:v>
      </x:c>
      <x:c r="E476" s="31" t="str">
        <x:v>Tell me about yourself / walk me through your resume</x:v>
      </x:c>
      <x:c r="F476" s="31" t="str">
        <x:v>Resume &amp; Experience</x:v>
      </x:c>
      <x:c r="G476" s="30" t="str">
        <x:v>CL0001</x:v>
      </x:c>
      <x:c r="H476" s="32" t="n">
        <x:f>COUNTIF($G$5:$G$1725,G476)</x:f>
        <x:v>170</x:v>
      </x:c>
      <x:c r="I476" s="30" t="str">
        <x:v>C82</x:v>
      </x:c>
      <x:c r="J476" s="31" t="str">
        <x:v>How do you view the HK and China market for past two weeks | Rest quite conversational | 2 TMT Derek</x:v>
      </x:c>
    </x:row>
    <x:row r="477" ht="32" customHeight="1">
      <x:c r="A477" s="30" t="str">
        <x:v>QB0721</x:v>
      </x:c>
      <x:c r="B477" s="30" t="str">
        <x:v>Deutsche</x:v>
      </x:c>
      <x:c r="C477" s="30" t="str">
        <x:v>IBD / GCM</x:v>
      </x:c>
      <x:c r="D477" s="31" t="str">
        <x:v>Why IBD, why giving up the best years of your life for this</x:v>
      </x:c>
      <x:c r="E477" s="31" t="str">
        <x:v>Why investment banking?</x:v>
      </x:c>
      <x:c r="F477" s="31" t="str">
        <x:v>Fit &amp; Motivation</x:v>
      </x:c>
      <x:c r="G477" s="30" t="str">
        <x:v>CL0003</x:v>
      </x:c>
      <x:c r="H477" s="32" t="n">
        <x:f>COUNTIF($G$5:$G$1725,G477)</x:f>
        <x:v>34</x:v>
      </x:c>
      <x:c r="I477" s="30" t="str">
        <x:v>A83</x:v>
      </x:c>
      <x:c r="J477" s="31" t="str">
        <x:v>Return？ | 兴趣爱好 | 2 M&amp;A David</x:v>
      </x:c>
    </x:row>
    <x:row r="478" ht="32" customHeight="1">
      <x:c r="A478" s="30" t="str">
        <x:v>QB0722</x:v>
      </x:c>
      <x:c r="B478" s="30" t="str">
        <x:v>Deutsche</x:v>
      </x:c>
      <x:c r="C478" s="30" t="str">
        <x:v>IBD / GCM</x:v>
      </x:c>
      <x:c r="D478" s="31" t="str">
        <x:v>Why IBD why not buyside</x:v>
      </x:c>
      <x:c r="E478" s="31" t="str">
        <x:v>Why investment banking?</x:v>
      </x:c>
      <x:c r="F478" s="31" t="str">
        <x:v>Fit &amp; Motivation</x:v>
      </x:c>
      <x:c r="G478" s="30" t="str">
        <x:v>CL0003</x:v>
      </x:c>
      <x:c r="H478" s="32" t="n">
        <x:f>COUNTIF($G$5:$G$1725,G478)</x:f>
        <x:v>34</x:v>
      </x:c>
      <x:c r="I478" s="30" t="str">
        <x:v>C83</x:v>
      </x:c>
      <x:c r="J478" s="31" t="str">
        <x:v>Rest quite conversational | 2 TMT Derek | Self intro</x:v>
      </x:c>
    </x:row>
    <x:row r="479" ht="32" customHeight="1">
      <x:c r="A479" s="30" t="str">
        <x:v>QB0723</x:v>
      </x:c>
      <x:c r="B479" s="30" t="str">
        <x:v>Deutsche</x:v>
      </x:c>
      <x:c r="C479" s="30" t="str">
        <x:v>IBD / GCM</x:v>
      </x:c>
      <x:c r="D479" s="31" t="str">
        <x:v>Why DB</x:v>
      </x:c>
      <x:c r="E479" s="31" t="str">
        <x:v>Why this firm?</x:v>
      </x:c>
      <x:c r="F479" s="31" t="str">
        <x:v>Fit &amp; Motivation</x:v>
      </x:c>
      <x:c r="G479" s="30" t="str">
        <x:v>CL0002</x:v>
      </x:c>
      <x:c r="H479" s="32" t="n">
        <x:f>COUNTIF($G$5:$G$1725,G479)</x:f>
        <x:v>39</x:v>
      </x:c>
      <x:c r="I479" s="30" t="str">
        <x:v>A84</x:v>
      </x:c>
      <x:c r="J479" s="31" t="str">
        <x:v>兴趣爱好 | 2 M&amp;A David | Why IBD, why giving up the best years of your life for this</x:v>
      </x:c>
    </x:row>
    <x:row r="480" ht="48" customHeight="1">
      <x:c r="A480" s="30" t="str">
        <x:v>QB0724</x:v>
      </x:c>
      <x:c r="B480" s="30" t="str">
        <x:v>Deutsche</x:v>
      </x:c>
      <x:c r="C480" s="30" t="str">
        <x:v>IBD / GCM</x:v>
      </x:c>
      <x:c r="D480" s="31" t="str">
        <x:v>What do you think will be the quality required for IBD roles, any story to support you have this quality?</x:v>
      </x:c>
      <x:c r="E480" s="31" t="str">
        <x:v>What do you think will be the quality required for IBD roles, any story to support you have this quality</x:v>
      </x:c>
      <x:c r="F480" s="31" t="str">
        <x:v>Fit &amp; Motivation</x:v>
      </x:c>
      <x:c r="G480" s="30" t="str">
        <x:v>CL0044</x:v>
      </x:c>
      <x:c r="H480" s="32" t="n">
        <x:f>COUNTIF($G$5:$G$1725,G480)</x:f>
        <x:v>2</x:v>
      </x:c>
      <x:c r="I480" s="30" t="str">
        <x:v>C84</x:v>
      </x:c>
      <x:c r="J480" s="31" t="str">
        <x:v>2 TMT Derek | Self intro | Why IBD why not buyside</x:v>
      </x:c>
    </x:row>
    <x:row r="481" ht="32" customHeight="1">
      <x:c r="A481" s="30" t="str">
        <x:v>QB0725</x:v>
      </x:c>
      <x:c r="B481" s="30" t="str">
        <x:v>Deutsche</x:v>
      </x:c>
      <x:c r="C481" s="30" t="str">
        <x:v>IBD / GCM</x:v>
      </x:c>
      <x:c r="D481" s="31" t="str">
        <x:v>Walk me through one project you did that involved valuation</x:v>
      </x:c>
      <x:c r="E481" s="31" t="str">
        <x:v>Walk me through one project you did that involved valuation</x:v>
      </x:c>
      <x:c r="F481" s="31" t="str">
        <x:v>Resume &amp; Experience</x:v>
      </x:c>
      <x:c r="G481" s="30" t="str">
        <x:v>CL0835</x:v>
      </x:c>
      <x:c r="H481" s="32" t="n">
        <x:f>COUNTIF($G$5:$G$1725,G481)</x:f>
        <x:v>1</x:v>
      </x:c>
      <x:c r="I481" s="30" t="str">
        <x:v>A85</x:v>
      </x:c>
      <x:c r="J481" s="31" t="str">
        <x:v>2 M&amp;A David | Why IBD, why giving up the best years of your life for this | Why DB</x:v>
      </x:c>
    </x:row>
    <x:row r="482" ht="48" customHeight="1">
      <x:c r="A482" s="30" t="str">
        <x:v>QB0727</x:v>
      </x:c>
      <x:c r="B482" s="30" t="str">
        <x:v>Deutsche</x:v>
      </x:c>
      <x:c r="C482" s="30" t="str">
        <x:v>IBD / GCM</x:v>
      </x:c>
      <x:c r="D482" s="31" t="str">
        <x:v>What multiple did you use</x:v>
      </x:c>
      <x:c r="E482" s="31" t="str">
        <x:v>What multiple did you use</x:v>
      </x:c>
      <x:c r="F482" s="31" t="str">
        <x:v>Valuation</x:v>
      </x:c>
      <x:c r="G482" s="30" t="str">
        <x:v>CL1015</x:v>
      </x:c>
      <x:c r="H482" s="32" t="n">
        <x:f>COUNTIF($G$5:$G$1725,G482)</x:f>
        <x:v>1</x:v>
      </x:c>
      <x:c r="I482" s="30" t="str">
        <x:v>A86</x:v>
      </x:c>
      <x:c r="J482" s="31" t="str">
        <x:v>Why IBD, why giving up the best years of your life for this | Why DB | Walk me through one project you did that involved valuation</x:v>
      </x:c>
    </x:row>
    <x:row r="483" ht="48" customHeight="1">
      <x:c r="A483" s="30" t="str">
        <x:v>QB0728</x:v>
      </x:c>
      <x:c r="B483" s="30" t="str">
        <x:v>Deutsche</x:v>
      </x:c>
      <x:c r="C483" s="30" t="str">
        <x:v>IBD / GCM</x:v>
      </x:c>
      <x:c r="D483" s="31" t="str">
        <x:v>Why DB</x:v>
      </x:c>
      <x:c r="E483" s="31" t="str">
        <x:v>Why this firm?</x:v>
      </x:c>
      <x:c r="F483" s="31" t="str">
        <x:v>Fit &amp; Motivation</x:v>
      </x:c>
      <x:c r="G483" s="30" t="str">
        <x:v>CL0002</x:v>
      </x:c>
      <x:c r="H483" s="32" t="n">
        <x:f>COUNTIF($G$5:$G$1725,G483)</x:f>
        <x:v>39</x:v>
      </x:c>
      <x:c r="I483" s="30" t="str">
        <x:v>C86</x:v>
      </x:c>
      <x:c r="J483" s="31" t="str">
        <x:v>Why IBD why not buyside | What do you think will be the quality required for IBD roles, any story to support you have this quality? | Another quality and story</x:v>
      </x:c>
    </x:row>
    <x:row r="484" ht="48" customHeight="1">
      <x:c r="A484" s="30" t="str">
        <x:v>QB0729</x:v>
      </x:c>
      <x:c r="B484" s="30" t="str">
        <x:v>Deutsche</x:v>
      </x:c>
      <x:c r="C484" s="30" t="str">
        <x:v>IBD / GCM</x:v>
      </x:c>
      <x:c r="D484" s="31" t="str">
        <x:v>Have you ever failed?</x:v>
      </x:c>
      <x:c r="E484" s="31" t="str">
        <x:v>Have you ever failed</x:v>
      </x:c>
      <x:c r="F484" s="31" t="str">
        <x:v>Behavioral &amp; Situational</x:v>
      </x:c>
      <x:c r="G484" s="30" t="str">
        <x:v>CL0363</x:v>
      </x:c>
      <x:c r="H484" s="32" t="n">
        <x:f>COUNTIF($G$5:$G$1725,G484)</x:f>
        <x:v>1</x:v>
      </x:c>
      <x:c r="I484" s="30" t="str">
        <x:v>A87</x:v>
      </x:c>
      <x:c r="J484" s="31" t="str">
        <x:v>Why DB | Walk me through one project you did that involved valuation | What multiple did you use</x:v>
      </x:c>
    </x:row>
    <x:row r="485" ht="48" customHeight="1">
      <x:c r="A485" s="30" t="str">
        <x:v>QB0731</x:v>
      </x:c>
      <x:c r="B485" s="30" t="str">
        <x:v>Deutsche</x:v>
      </x:c>
      <x:c r="C485" s="30" t="str">
        <x:v>IBD / GCM</x:v>
      </x:c>
      <x:c r="D485" s="31" t="str">
        <x:v>Any hobbies?</x:v>
      </x:c>
      <x:c r="E485" s="31" t="str">
        <x:v>What are your interests outside work and school?</x:v>
      </x:c>
      <x:c r="F485" s="31" t="str">
        <x:v>Other Question</x:v>
      </x:c>
      <x:c r="G485" s="30" t="str">
        <x:v>CL0014</x:v>
      </x:c>
      <x:c r="H485" s="32" t="n">
        <x:f>COUNTIF($G$5:$G$1725,G485)</x:f>
        <x:v>10</x:v>
      </x:c>
      <x:c r="I485" s="30" t="str">
        <x:v>A88</x:v>
      </x:c>
      <x:c r="J485" s="31" t="str">
        <x:v>Walk me through one project you did that involved valuation | What multiple did you use | Have you ever failed?</x:v>
      </x:c>
    </x:row>
    <x:row r="486" ht="32" customHeight="1">
      <x:c r="A486" s="30" t="str">
        <x:v>QB0732</x:v>
      </x:c>
      <x:c r="B486" s="30" t="str">
        <x:v>Deutsche</x:v>
      </x:c>
      <x:c r="C486" s="30" t="str">
        <x:v>IBD / GCM</x:v>
      </x:c>
      <x:c r="D486" s="31" t="str">
        <x:v>Do you only like organising or leading, not like participating?</x:v>
      </x:c>
      <x:c r="E486" s="31" t="str">
        <x:v>Do you only like organising or leading, not like participating</x:v>
      </x:c>
      <x:c r="F486" s="31" t="str">
        <x:v>Other Question</x:v>
      </x:c>
      <x:c r="G486" s="30" t="str">
        <x:v>CL0285</x:v>
      </x:c>
      <x:c r="H486" s="32" t="n">
        <x:f>COUNTIF($G$5:$G$1725,G486)</x:f>
        <x:v>1</x:v>
      </x:c>
      <x:c r="I486" s="30" t="str">
        <x:v>A89</x:v>
      </x:c>
      <x:c r="J486" s="31" t="str">
        <x:v>What multiple did you use | Have you ever failed? | Any hobbies?</x:v>
      </x:c>
    </x:row>
    <x:row r="487" ht="48" customHeight="1">
      <x:c r="A487" s="30" t="str">
        <x:v>QB0734</x:v>
      </x:c>
      <x:c r="B487" s="30" t="str">
        <x:v>Deutsche</x:v>
      </x:c>
      <x:c r="C487" s="30" t="str">
        <x:v>IBD / GCM</x:v>
      </x:c>
      <x:c r="D487" s="31" t="str">
        <x:v>Do you like clubbing? You seem quiet (LMAO...)</x:v>
      </x:c>
      <x:c r="E487" s="31" t="str">
        <x:v>Do you like clubbing? You seem quiet (LMAO...)</x:v>
      </x:c>
      <x:c r="F487" s="31" t="str">
        <x:v>Other Question</x:v>
      </x:c>
      <x:c r="G487" s="30" t="str">
        <x:v>CL0282</x:v>
      </x:c>
      <x:c r="H487" s="32" t="n">
        <x:f>COUNTIF($G$5:$G$1725,G487)</x:f>
        <x:v>1</x:v>
      </x:c>
      <x:c r="I487" s="30" t="str">
        <x:v>A90</x:v>
      </x:c>
      <x:c r="J487" s="31" t="str">
        <x:v>Have you ever failed? | Any hobbies? | Do you only like organising or leading, not like participating?</x:v>
      </x:c>
    </x:row>
    <x:row r="488" ht="32" customHeight="1">
      <x:c r="A488" s="30" t="str">
        <x:v>QB0735</x:v>
      </x:c>
      <x:c r="B488" s="30" t="str">
        <x:v>Deutsche</x:v>
      </x:c>
      <x:c r="C488" s="30" t="str">
        <x:v>IBD / GCM</x:v>
      </x:c>
      <x:c r="D488" s="31" t="str">
        <x:v>Why IBD</x:v>
      </x:c>
      <x:c r="E488" s="31" t="str">
        <x:v>Why investment banking?</x:v>
      </x:c>
      <x:c r="F488" s="31" t="str">
        <x:v>Fit &amp; Motivation</x:v>
      </x:c>
      <x:c r="G488" s="30" t="str">
        <x:v>CL0003</x:v>
      </x:c>
      <x:c r="H488" s="32" t="n">
        <x:f>COUNTIF($G$5:$G$1725,G488)</x:f>
        <x:v>34</x:v>
      </x:c>
      <x:c r="I488" s="30" t="str">
        <x:v>C90</x:v>
      </x:c>
      <x:c r="J488" s="31" t="str">
        <x:v>Why DB | Rest quite conversational | 3 M&amp;A David</x:v>
      </x:c>
    </x:row>
    <x:row r="489" ht="32" customHeight="1">
      <x:c r="A489" s="30" t="str">
        <x:v>QB0736</x:v>
      </x:c>
      <x:c r="B489" s="30" t="str">
        <x:v>Deutsche</x:v>
      </x:c>
      <x:c r="C489" s="30" t="str">
        <x:v>IBD / GCM</x:v>
      </x:c>
      <x:c r="D489" s="31" t="str">
        <x:v>Return offer? Why?</x:v>
      </x:c>
      <x:c r="E489" s="31" t="str">
        <x:v>Return offer? Why</x:v>
      </x:c>
      <x:c r="F489" s="31" t="str">
        <x:v>Fit &amp; Motivation</x:v>
      </x:c>
      <x:c r="G489" s="30" t="str">
        <x:v>CL0662</x:v>
      </x:c>
      <x:c r="H489" s="32" t="n">
        <x:f>COUNTIF($G$5:$G$1725,G489)</x:f>
        <x:v>1</x:v>
      </x:c>
      <x:c r="I489" s="30" t="str">
        <x:v>C91</x:v>
      </x:c>
      <x:c r="J489" s="31" t="str">
        <x:v>Rest quite conversational | 3 M&amp;A David | Why IBD</x:v>
      </x:c>
    </x:row>
    <x:row r="490" ht="68" customHeight="1">
      <x:c r="A490" s="30" t="str">
        <x:v>QB0740</x:v>
      </x:c>
      <x:c r="B490" s="30" t="str">
        <x:v>Deutsche</x:v>
      </x:c>
      <x:c r="C490" s="30" t="str">
        <x:v>IBD / GCM</x:v>
      </x:c>
      <x:c r="D490" s="31" t="str">
        <x:v>We have a company with 50% boring and stable business, lower margin, another 50% faster growing consultancy based higher margin business, which business unit will you value with higher value?</x:v>
      </x:c>
      <x:c r="E490" s="31" t="str">
        <x:v>We have a company with 50% boring and stable business, lower margin, another 50% faster growing consultancy based higher margin business, which business unit will you value with higher value</x:v>
      </x:c>
      <x:c r="F490" s="31" t="str">
        <x:v>Company, Industry &amp; Deals</x:v>
      </x:c>
      <x:c r="G490" s="30" t="str">
        <x:v>CL0857</x:v>
      </x:c>
      <x:c r="H490" s="32" t="n">
        <x:f>COUNTIF($G$5:$G$1725,G490)</x:f>
        <x:v>1</x:v>
      </x:c>
      <x:c r="I490" s="30" t="str">
        <x:v>C93</x:v>
      </x:c>
      <x:c r="J490" s="31" t="str">
        <x:v>Why IBD | Return offer? Why? | Sounds well-rehearsaled, tell me the real reason</x:v>
      </x:c>
    </x:row>
    <x:row r="491" ht="48" customHeight="1">
      <x:c r="A491" s="30" t="str">
        <x:v>QB0741</x:v>
      </x:c>
      <x:c r="B491" s="30" t="str">
        <x:v>Deutsche</x:v>
      </x:c>
      <x:c r="C491" s="30" t="str">
        <x:v>IBD / GCM</x:v>
      </x:c>
      <x:c r="D491" s="31" t="str">
        <x:v>Self Intro</x:v>
      </x:c>
      <x:c r="E491" s="31" t="str">
        <x:v>Tell me about yourself / walk me through your resume</x:v>
      </x:c>
      <x:c r="F491" s="31" t="str">
        <x:v>Resume &amp; Experience</x:v>
      </x:c>
      <x:c r="G491" s="30" t="str">
        <x:v>CL0001</x:v>
      </x:c>
      <x:c r="H491" s="32" t="n">
        <x:f>COUNTIF($G$5:$G$1725,G491)</x:f>
        <x:v>170</x:v>
      </x:c>
      <x:c r="I491" s="30" t="str">
        <x:v>A94</x:v>
      </x:c>
      <x:c r="J491" s="31" t="str">
        <x:v>Do you like clubbing? You seem quiet (LMAO...) | 3 TMT Derek | (dude spoke a bit of canto in the beg, but he 's a bit scary...)</x:v>
      </x:c>
    </x:row>
    <x:row r="492" ht="92" customHeight="1">
      <x:c r="A492" s="30" t="str">
        <x:v>QB0742</x:v>
      </x:c>
      <x:c r="B492" s="30" t="str">
        <x:v>Deutsche</x:v>
      </x:c>
      <x:c r="C492" s="30" t="str">
        <x:v>IBD / GCM</x:v>
      </x:c>
      <x:c r="D492" s="31" t="str">
        <x:v>If you are a strategic buyer, what's the answer?</x:v>
      </x:c>
      <x:c r="E492" s="31" t="str">
        <x:v>If you are a strategic buyer, what's the answer</x:v>
      </x:c>
      <x:c r="F492" s="31" t="str">
        <x:v>M&amp;A</x:v>
      </x:c>
      <x:c r="G492" s="30" t="str">
        <x:v>CL0525</x:v>
      </x:c>
      <x:c r="H492" s="32" t="n">
        <x:f>COUNTIF($G$5:$G$1725,G492)</x:f>
        <x:v>1</x:v>
      </x:c>
      <x:c r="I492" s="30" t="str">
        <x:v>C94</x:v>
      </x:c>
      <x:c r="J492" s="31" t="str">
        <x:v>Return offer? Why? | Sounds well-rehearsaled, tell me the real reason | We have a company with 50% boring and stable business, lower margin, another 50% faster growing consultancy based higher margin business, which business unit will yo...</x:v>
      </x:c>
    </x:row>
    <x:row r="493" ht="48" customHeight="1">
      <x:c r="A493" s="30" t="str">
        <x:v>QB0743</x:v>
      </x:c>
      <x:c r="B493" s="30" t="str">
        <x:v>Deutsche</x:v>
      </x:c>
      <x:c r="C493" s="30" t="str">
        <x:v>IBD / GCM</x:v>
      </x:c>
      <x:c r="D493" s="31" t="str">
        <x:v>Why IBD and why DB</x:v>
      </x:c>
      <x:c r="E493" s="31" t="str">
        <x:v>Why investment banking?</x:v>
      </x:c>
      <x:c r="F493" s="31" t="str">
        <x:v>Fit &amp; Motivation</x:v>
      </x:c>
      <x:c r="G493" s="30" t="str">
        <x:v>CL0003</x:v>
      </x:c>
      <x:c r="H493" s="32" t="n">
        <x:f>COUNTIF($G$5:$G$1725,G493)</x:f>
        <x:v>34</x:v>
      </x:c>
      <x:c r="I493" s="30" t="str">
        <x:v>A95</x:v>
      </x:c>
      <x:c r="J493" s="31" t="str">
        <x:v>3 TMT Derek | (dude spoke a bit of canto in the beg, but he 's a bit scary...) | Self Intro</x:v>
      </x:c>
    </x:row>
    <x:row r="494" ht="92" customHeight="1">
      <x:c r="A494" s="30" t="str">
        <x:v>QB0744</x:v>
      </x:c>
      <x:c r="B494" s="30" t="str">
        <x:v>Deutsche</x:v>
      </x:c>
      <x:c r="C494" s="30" t="str">
        <x:v>IBD / GCM</x:v>
      </x:c>
      <x:c r="D494" s="31" t="str">
        <x:v>If your are a financial sponsor, what's the answer?</x:v>
      </x:c>
      <x:c r="E494" s="31" t="str">
        <x:v>If your are a financial sponsor, what's the answer</x:v>
      </x:c>
      <x:c r="F494" s="31" t="str">
        <x:v>Private Equity &amp; LBO</x:v>
      </x:c>
      <x:c r="G494" s="30" t="str">
        <x:v>CL0534</x:v>
      </x:c>
      <x:c r="H494" s="32" t="n">
        <x:f>COUNTIF($G$5:$G$1725,G494)</x:f>
        <x:v>1</x:v>
      </x:c>
      <x:c r="I494" s="30" t="str">
        <x:v>C95</x:v>
      </x:c>
      <x:c r="J494" s="31" t="str">
        <x:v>Sounds well-rehearsaled, tell me the real reason | We have a company with 50% boring and stable business, lower margin, another 50% faster growing consultancy based higher margin business, which business unit will you value with higher v...</x:v>
      </x:c>
    </x:row>
    <x:row r="495" ht="48" customHeight="1">
      <x:c r="A495" s="30" t="str">
        <x:v>QB0745</x:v>
      </x:c>
      <x:c r="B495" s="30" t="str">
        <x:v>Deutsche</x:v>
      </x:c>
      <x:c r="C495" s="30" t="str">
        <x:v>IBD / GCM</x:v>
      </x:c>
      <x:c r="D495" s="31" t="str">
        <x:v>What do you think will be the quality required for IBD roles, any story to support you have this quality?</x:v>
      </x:c>
      <x:c r="E495" s="31" t="str">
        <x:v>What do you think will be the quality required for IBD roles, any story to support you have this quality</x:v>
      </x:c>
      <x:c r="F495" s="31" t="str">
        <x:v>Fit &amp; Motivation</x:v>
      </x:c>
      <x:c r="G495" s="30" t="str">
        <x:v>CL0044</x:v>
      </x:c>
      <x:c r="H495" s="32" t="n">
        <x:f>COUNTIF($G$5:$G$1725,G495)</x:f>
        <x:v>2</x:v>
      </x:c>
      <x:c r="I495" s="30" t="str">
        <x:v>A96</x:v>
      </x:c>
      <x:c r="J495" s="31" t="str">
        <x:v>(dude spoke a bit of canto in the beg, but he 's a bit scary...) | Self Intro | Why IBD and why DB</x:v>
      </x:c>
    </x:row>
    <x:row r="496" ht="92" customHeight="1">
      <x:c r="A496" s="30" t="str">
        <x:v>QB0746</x:v>
      </x:c>
      <x:c r="B496" s="30" t="str">
        <x:v>Deutsche</x:v>
      </x:c>
      <x:c r="C496" s="30" t="str">
        <x:v>IBD / GCM</x:v>
      </x:c>
      <x:c r="D496" s="31" t="str">
        <x:v>In an LBO model, what item comes below EBITDA lines, why?</x:v>
      </x:c>
      <x:c r="E496" s="31" t="str">
        <x:v>In an LBO model, what item comes below EBITDA lines, why</x:v>
      </x:c>
      <x:c r="F496" s="31" t="str">
        <x:v>Private Equity &amp; LBO</x:v>
      </x:c>
      <x:c r="G496" s="30" t="str">
        <x:v>CL0536</x:v>
      </x:c>
      <x:c r="H496" s="32" t="n">
        <x:f>COUNTIF($G$5:$G$1725,G496)</x:f>
        <x:v>1</x:v>
      </x:c>
      <x:c r="I496" s="30" t="str">
        <x:v>C96</x:v>
      </x:c>
      <x:c r="J496" s="31" t="str">
        <x:v>We have a company with 50% boring and stable business, lower margin, another 50% faster growing consultancy based higher margin business, which business unit will you value with higher value? | If you are a strategic buyer, what's the an...</x:v>
      </x:c>
    </x:row>
    <x:row r="497" ht="48" customHeight="1">
      <x:c r="A497" s="30" t="str">
        <x:v>QB0747</x:v>
      </x:c>
      <x:c r="B497" s="30" t="str">
        <x:v>Deutsche</x:v>
      </x:c>
      <x:c r="C497" s="30" t="str">
        <x:v>IBD / GCM</x:v>
      </x:c>
      <x:c r="D497" s="31" t="str">
        <x:v>Return?</x:v>
      </x:c>
      <x:c r="E497" s="31" t="str">
        <x:v>Return</x:v>
      </x:c>
      <x:c r="F497" s="31" t="str">
        <x:v>Other Question</x:v>
      </x:c>
      <x:c r="G497" s="30" t="str">
        <x:v>CL0019</x:v>
      </x:c>
      <x:c r="H497" s="32" t="n">
        <x:f>COUNTIF($G$5:$G$1725,G497)</x:f>
        <x:v>4</x:v>
      </x:c>
      <x:c r="I497" s="30" t="str">
        <x:v>A97</x:v>
      </x:c>
      <x:c r="J497" s="31" t="str">
        <x:v>Self Intro | Why IBD and why DB | What do you think will be the quality required for IBD roles, any story to support you have this quality?</x:v>
      </x:c>
    </x:row>
    <x:row r="498" ht="48" customHeight="1">
      <x:c r="A498" s="30" t="str">
        <x:v>QB0748</x:v>
      </x:c>
      <x:c r="B498" s="30" t="str">
        <x:v>Deutsche</x:v>
      </x:c>
      <x:c r="C498" s="30" t="str">
        <x:v>IBD / GCM</x:v>
      </x:c>
      <x:c r="D498" s="31" t="str">
        <x:v>Anything you could have done better in your Nomura internship?</x:v>
      </x:c>
      <x:c r="E498" s="31" t="str">
        <x:v>Anything you could have done better in your Nomura internship</x:v>
      </x:c>
      <x:c r="F498" s="31" t="str">
        <x:v>Resume &amp; Experience</x:v>
      </x:c>
      <x:c r="G498" s="30" t="str">
        <x:v>CL0129</x:v>
      </x:c>
      <x:c r="H498" s="32" t="n">
        <x:f>COUNTIF($G$5:$G$1725,G498)</x:f>
        <x:v>1</x:v>
      </x:c>
      <x:c r="I498" s="30" t="str">
        <x:v>A98</x:v>
      </x:c>
      <x:c r="J498" s="31" t="str">
        <x:v>Why IBD and why DB | What do you think will be the quality required for IBD roles, any story to support you have this quality? | Return?</x:v>
      </x:c>
    </x:row>
    <x:row r="499" ht="48" customHeight="1">
      <x:c r="A499" s="30" t="str">
        <x:v>QB0751</x:v>
      </x:c>
      <x:c r="B499" s="30" t="str">
        <x:v>Deutsche</x:v>
      </x:c>
      <x:c r="C499" s="30" t="str">
        <x:v>IBD / GCM</x:v>
      </x:c>
      <x:c r="D499" s="31" t="str">
        <x:v>自我介绍</x:v>
      </x:c>
      <x:c r="E499" s="31" t="str">
        <x:v>Tell me about yourself / walk me through your resume</x:v>
      </x:c>
      <x:c r="F499" s="31" t="str">
        <x:v>Other Question</x:v>
      </x:c>
      <x:c r="G499" s="30" t="str">
        <x:v>CL0001</x:v>
      </x:c>
      <x:c r="H499" s="32" t="n">
        <x:f>COUNTIF($G$5:$G$1725,G499)</x:f>
        <x:v>170</x:v>
      </x:c>
      <x:c r="I499" s="30" t="str">
        <x:v>C99</x:v>
      </x:c>
      <x:c r="J499" s="31" t="str">
        <x:v>If your are a financial sponsor, what's the answer? | In an LBO model, what item comes below EBITDA lines, why? | 4 Industrial Wayne</x:v>
      </x:c>
    </x:row>
    <x:row r="500" ht="32" customHeight="1">
      <x:c r="A500" s="30" t="str">
        <x:v>QB0752</x:v>
      </x:c>
      <x:c r="B500" s="30" t="str">
        <x:v>Deutsche</x:v>
      </x:c>
      <x:c r="C500" s="30" t="str">
        <x:v>IBD / GCM</x:v>
      </x:c>
      <x:c r="D500" s="31" t="str">
        <x:v>为什么不做投资做投行</x:v>
      </x:c>
      <x:c r="E500" s="31" t="str">
        <x:v>为什么不做投资做投行</x:v>
      </x:c>
      <x:c r="F500" s="31" t="str">
        <x:v>Other Question</x:v>
      </x:c>
      <x:c r="G500" s="30" t="str">
        <x:v>CL1220</x:v>
      </x:c>
      <x:c r="H500" s="32" t="n">
        <x:f>COUNTIF($G$5:$G$1725,G500)</x:f>
        <x:v>1</x:v>
      </x:c>
      <x:c r="I500" s="30" t="str">
        <x:v>C100</x:v>
      </x:c>
      <x:c r="J500" s="31" t="str">
        <x:v>In an LBO model, what item comes below EBITDA lines, why? | 4 Industrial Wayne | 自我介绍</x:v>
      </x:c>
    </x:row>
    <x:row r="501" ht="32" customHeight="1">
      <x:c r="A501" s="30" t="str">
        <x:v>QB0756</x:v>
      </x:c>
      <x:c r="B501" s="30" t="str">
        <x:v>Deutsche</x:v>
      </x:c>
      <x:c r="C501" s="30" t="str">
        <x:v>IBD / GCM</x:v>
      </x:c>
      <x:c r="D501" s="31" t="str">
        <x:v>怎么给这个印度IT公司做估值的，算便宜吗？EV和EBITDA是多少</x:v>
      </x:c>
      <x:c r="E501" s="31" t="str">
        <x:v>怎么给这个印度IT公司做估值的，算便宜吗？EV和EBITDA是多少</x:v>
      </x:c>
      <x:c r="F501" s="31" t="str">
        <x:v>Other Question</x:v>
      </x:c>
      <x:c r="G501" s="30" t="str">
        <x:v>CL1242</x:v>
      </x:c>
      <x:c r="H501" s="32" t="n">
        <x:f>COUNTIF($G$5:$G$1725,G501)</x:f>
        <x:v>1</x:v>
      </x:c>
      <x:c r="I501" s="30" t="str">
        <x:v>C102</x:v>
      </x:c>
      <x:c r="J501" s="31" t="str">
        <x:v>自我介绍 | 为什么不做投资做投行 | 跟我讲一个之前项目里做的研究，描述行业规模增速，利润率，竞争格局，商业模式etc</x:v>
      </x:c>
    </x:row>
    <x:row r="502" ht="32" customHeight="1">
      <x:c r="A502" s="30" t="str">
        <x:v>QB0757</x:v>
      </x:c>
      <x:c r="B502" s="30" t="str">
        <x:v>Deutsche</x:v>
      </x:c>
      <x:c r="C502" s="30" t="str">
        <x:v>IBD / GCM</x:v>
      </x:c>
      <x:c r="D502" s="31" t="str">
        <x:v>Self intro</x:v>
      </x:c>
      <x:c r="E502" s="31" t="str">
        <x:v>Tell me about yourself / walk me through your resume</x:v>
      </x:c>
      <x:c r="F502" s="31" t="str">
        <x:v>Resume &amp; Experience</x:v>
      </x:c>
      <x:c r="G502" s="30" t="str">
        <x:v>CL0001</x:v>
      </x:c>
      <x:c r="H502" s="32" t="n">
        <x:f>COUNTIF($G$5:$G$1725,G502)</x:f>
        <x:v>170</x:v>
      </x:c>
      <x:c r="I502" s="30" t="str">
        <x:v>A103</x:v>
      </x:c>
      <x:c r="J502" s="31" t="str">
        <x:v>... challenged my motivation and such.... | 4 ECM Karen | (Mix of canto in between)</x:v>
      </x:c>
    </x:row>
    <x:row r="503" ht="32" customHeight="1">
      <x:c r="A503" s="30" t="str">
        <x:v>QB0758</x:v>
      </x:c>
      <x:c r="B503" s="30" t="str">
        <x:v>Deutsche</x:v>
      </x:c>
      <x:c r="C503" s="30" t="str">
        <x:v>IBD / GCM</x:v>
      </x:c>
      <x:c r="D503" s="31" t="str">
        <x:v>为什么会有“印度溢价”？</x:v>
      </x:c>
      <x:c r="E503" s="31" t="str">
        <x:v>为什么会有“印度溢价”</x:v>
      </x:c>
      <x:c r="F503" s="31" t="str">
        <x:v>Other Question</x:v>
      </x:c>
      <x:c r="G503" s="30" t="str">
        <x:v>CL1221</x:v>
      </x:c>
      <x:c r="H503" s="32" t="n">
        <x:f>COUNTIF($G$5:$G$1725,G503)</x:f>
        <x:v>1</x:v>
      </x:c>
      <x:c r="I503" s="30" t="str">
        <x:v>C103</x:v>
      </x:c>
      <x:c r="J503" s="31" t="str">
        <x:v>为什么不做投资做投行 | 跟我讲一个之前项目里做的研究，描述行业规模增速，利润率，竞争格局，商业模式etc | 怎么给这个印度IT公司做估值的，算便宜吗？EV和EBITDA是多少</x:v>
      </x:c>
    </x:row>
    <x:row r="504" ht="48" customHeight="1">
      <x:c r="A504" s="30" t="str">
        <x:v>QB0761</x:v>
      </x:c>
      <x:c r="B504" s="30" t="str">
        <x:v>Deutsche</x:v>
      </x:c>
      <x:c r="C504" s="30" t="str">
        <x:v>IBD / GCM</x:v>
      </x:c>
      <x:c r="D504" s="31" t="str">
        <x:v>Tell me one project you did at Nomura, your role and why you picked it</x:v>
      </x:c>
      <x:c r="E504" s="31" t="str">
        <x:v>Tell me one project you did at Nomura, your role and why you picked it</x:v>
      </x:c>
      <x:c r="F504" s="31" t="str">
        <x:v>Fit &amp; Motivation</x:v>
      </x:c>
      <x:c r="G504" s="30" t="str">
        <x:v>CL0772</x:v>
      </x:c>
      <x:c r="H504" s="32" t="n">
        <x:f>COUNTIF($G$5:$G$1725,G504)</x:f>
        <x:v>1</x:v>
      </x:c>
      <x:c r="I504" s="30" t="str">
        <x:v>A105</x:v>
      </x:c>
      <x:c r="J504" s="31" t="str">
        <x:v>(Mix of canto in between) | Self intro | “有個friend好耐以前都係st john打hockey” blablabla around hockey for a bit</x:v>
      </x:c>
    </x:row>
    <x:row r="505" ht="32" customHeight="1">
      <x:c r="A505" s="30" t="str">
        <x:v>QB0762</x:v>
      </x:c>
      <x:c r="B505" s="30" t="str">
        <x:v>Deutsche</x:v>
      </x:c>
      <x:c r="C505" s="30" t="str">
        <x:v>IBD / GCM</x:v>
      </x:c>
      <x:c r="D505" s="31" t="str">
        <x:v>Why DB</x:v>
      </x:c>
      <x:c r="E505" s="31" t="str">
        <x:v>Why this firm?</x:v>
      </x:c>
      <x:c r="F505" s="31" t="str">
        <x:v>Fit &amp; Motivation</x:v>
      </x:c>
      <x:c r="G505" s="30" t="str">
        <x:v>CL0002</x:v>
      </x:c>
      <x:c r="H505" s="32" t="n">
        <x:f>COUNTIF($G$5:$G$1725,G505)</x:f>
        <x:v>39</x:v>
      </x:c>
      <x:c r="I505" s="30" t="str">
        <x:v>C105</x:v>
      </x:c>
      <x:c r="J505" s="31" t="str">
        <x:v>怎么给这个印度IT公司做估值的，算便宜吗？EV和EBITDA是多少 | 为什么会有“印度溢价”？ | 这个印度IT公司的收费模式如何，有什么风险点</x:v>
      </x:c>
    </x:row>
    <x:row r="506" ht="48" customHeight="1">
      <x:c r="A506" s="30" t="str">
        <x:v>QB0763</x:v>
      </x:c>
      <x:c r="B506" s="30" t="str">
        <x:v>Deutsche</x:v>
      </x:c>
      <x:c r="C506" s="30" t="str">
        <x:v>IBD / GCM</x:v>
      </x:c>
      <x:c r="D506" s="31" t="str">
        <x:v>Tell me a project thats more complicated, not just making slides (bruh......)</x:v>
      </x:c>
      <x:c r="E506" s="31" t="str">
        <x:v>Tell me a project thats more complicated, not just making slides (bruh......)</x:v>
      </x:c>
      <x:c r="F506" s="31" t="str">
        <x:v>Resume &amp; Experience</x:v>
      </x:c>
      <x:c r="G506" s="30" t="str">
        <x:v>CL0706</x:v>
      </x:c>
      <x:c r="H506" s="32" t="n">
        <x:f>COUNTIF($G$5:$G$1725,G506)</x:f>
        <x:v>1</x:v>
      </x:c>
      <x:c r="I506" s="30" t="str">
        <x:v>A106</x:v>
      </x:c>
      <x:c r="J506" s="31" t="str">
        <x:v>Self intro | “有個friend好耐以前都係st john打hockey” blablabla around hockey for a bit | Tell me one project you did at Nomura, your role and why you picked it</x:v>
      </x:c>
    </x:row>
    <x:row r="507" ht="68" customHeight="1">
      <x:c r="A507" s="30" t="str">
        <x:v>QB0764</x:v>
      </x:c>
      <x:c r="B507" s="30" t="str">
        <x:v>Deutsche</x:v>
      </x:c>
      <x:c r="C507" s="30" t="str">
        <x:v>IBD / GCM</x:v>
      </x:c>
      <x:c r="D507" s="31" t="str">
        <x:v>How do you view the HK and China market for past two weeks</x:v>
      </x:c>
      <x:c r="E507" s="31" t="str">
        <x:v>What is your current market outlook?</x:v>
      </x:c>
      <x:c r="F507" s="31" t="str">
        <x:v>Markets &amp; Macro</x:v>
      </x:c>
      <x:c r="G507" s="30" t="str">
        <x:v>CL0018</x:v>
      </x:c>
      <x:c r="H507" s="32" t="n">
        <x:f>COUNTIF($G$5:$G$1725,G507)</x:f>
        <x:v>5</x:v>
      </x:c>
      <x:c r="I507" s="30" t="str">
        <x:v>A107</x:v>
      </x:c>
      <x:c r="J507" s="31" t="str">
        <x:v>“有個friend好耐以前都係st john打hockey” blablabla around hockey for a bit | Tell me one project you did at Nomura, your role and why you picked it | Tell me a project thats more complicated, not just making slides (bruh......)</x:v>
      </x:c>
    </x:row>
    <x:row r="508" ht="32" customHeight="1">
      <x:c r="A508" s="30" t="str">
        <x:v>QB0771</x:v>
      </x:c>
      <x:c r="B508" s="30" t="str">
        <x:v>Deutsche</x:v>
      </x:c>
      <x:c r="C508" s="30" t="str">
        <x:v>IBD / GCM</x:v>
      </x:c>
      <x:c r="D508" s="31" t="str">
        <x:v>(After self-intro all in Mandarin)</x:v>
      </x:c>
      <x:c r="E508" s="31" t="str">
        <x:v>Tell me about yourself / walk me through your resume</x:v>
      </x:c>
      <x:c r="F508" s="31" t="str">
        <x:v>Fit &amp; Motivation</x:v>
      </x:c>
      <x:c r="G508" s="30" t="str">
        <x:v>CL0001</x:v>
      </x:c>
      <x:c r="H508" s="32" t="n">
        <x:f>COUNTIF($G$5:$G$1725,G508)</x:f>
        <x:v>170</x:v>
      </x:c>
      <x:c r="I508" s="30" t="str">
        <x:v>C113</x:v>
      </x:c>
      <x:c r="J508" s="31" t="str">
        <x:v>这个印度IT公司的收费模式如何，有什么风险点 | Why DB | Kangli (Diverse Industry Team, Asso)</x:v>
      </x:c>
    </x:row>
    <x:row r="509" ht="48" customHeight="1">
      <x:c r="A509" s="30" t="str">
        <x:v>QB0772</x:v>
      </x:c>
      <x:c r="B509" s="30" t="str">
        <x:v>Deutsche</x:v>
      </x:c>
      <x:c r="C509" s="30" t="str">
        <x:v>IBD / GCM</x:v>
      </x:c>
      <x:c r="D509" s="31" t="str">
        <x:v>Self Intro + Why DB</x:v>
      </x:c>
      <x:c r="E509" s="31" t="str">
        <x:v>Tell me about yourself / walk me through your resume</x:v>
      </x:c>
      <x:c r="F509" s="31" t="str">
        <x:v>Fit &amp; Motivation</x:v>
      </x:c>
      <x:c r="G509" s="30" t="str">
        <x:v>CL0001</x:v>
      </x:c>
      <x:c r="H509" s="32" t="n">
        <x:f>COUNTIF($G$5:$G$1725,G509)</x:f>
        <x:v>170</x:v>
      </x:c>
      <x:c r="I509" s="30" t="str">
        <x:v>A114</x:v>
      </x:c>
      <x:c r="J509" s="31" t="str">
        <x:v>Francesca 2025/7/18 | Forgot his name but (Asso HK coverage) | (Super Chill, after Self-intro all in Mandarin)</x:v>
      </x:c>
    </x:row>
    <x:row r="510" ht="32" customHeight="1">
      <x:c r="A510" s="30" t="str">
        <x:v>QB0773</x:v>
      </x:c>
      <x:c r="B510" s="30" t="str">
        <x:v>Deutsche</x:v>
      </x:c>
      <x:c r="C510" s="30" t="str">
        <x:v>IBD / GCM</x:v>
      </x:c>
      <x:c r="D510" s="31" t="str">
        <x:v>Case I did in my internship (EBITDA, Revenue breakdown, post-valuation...)</x:v>
      </x:c>
      <x:c r="E510" s="31" t="str">
        <x:v>Case I did in my internship (EBITDA, Revenue breakdown, post-valuation...)</x:v>
      </x:c>
      <x:c r="F510" s="31" t="str">
        <x:v>Resume &amp; Experience</x:v>
      </x:c>
      <x:c r="G510" s="30" t="str">
        <x:v>CL0194</x:v>
      </x:c>
      <x:c r="H510" s="32" t="n">
        <x:f>COUNTIF($G$5:$G$1725,G510)</x:f>
        <x:v>1</x:v>
      </x:c>
      <x:c r="I510" s="30" t="str">
        <x:v>C114</x:v>
      </x:c>
      <x:c r="J510" s="31" t="str">
        <x:v>Why DB | Kangli (Diverse Industry Team, Asso) | (After self-intro all in Mandarin)</x:v>
      </x:c>
    </x:row>
    <x:row r="511" ht="48" customHeight="1">
      <x:c r="A511" s="30" t="str">
        <x:v>QB0774</x:v>
      </x:c>
      <x:c r="B511" s="30" t="str">
        <x:v>Deutsche</x:v>
      </x:c>
      <x:c r="C511" s="30" t="str">
        <x:v>IBD / GCM</x:v>
      </x:c>
      <x:c r="D511" s="31" t="str">
        <x:v>Why HK (He knows I am from SH so specifically Why HK but not SH)</x:v>
      </x:c>
      <x:c r="E511" s="31" t="str">
        <x:v>Why HK (He knows I am from SH so specifically Why HK but not SH)</x:v>
      </x:c>
      <x:c r="F511" s="31" t="str">
        <x:v>Fit &amp; Motivation</x:v>
      </x:c>
      <x:c r="G511" s="30" t="str">
        <x:v>CL1135</x:v>
      </x:c>
      <x:c r="H511" s="32" t="n">
        <x:f>COUNTIF($G$5:$G$1725,G511)</x:f>
        <x:v>1</x:v>
      </x:c>
      <x:c r="I511" s="30" t="str">
        <x:v>A115</x:v>
      </x:c>
      <x:c r="J511" s="31" t="str">
        <x:v>Forgot his name but (Asso HK coverage) | (Super Chill, after Self-intro all in Mandarin) | Self Intro + Why DB</x:v>
      </x:c>
    </x:row>
    <x:row r="512" ht="48" customHeight="1">
      <x:c r="A512" s="30" t="str">
        <x:v>QB0775</x:v>
      </x:c>
      <x:c r="B512" s="30" t="str">
        <x:v>Deutsche</x:v>
      </x:c>
      <x:c r="C512" s="30" t="str">
        <x:v>IBD / GCM</x:v>
      </x:c>
      <x:c r="D512" s="31" t="str">
        <x:v>pro-forma EV/EBITDA, PE change</x:v>
      </x:c>
      <x:c r="E512" s="31" t="str">
        <x:v>Pro-forma EV/EBITDA, PE change</x:v>
      </x:c>
      <x:c r="F512" s="31" t="str">
        <x:v>Other Question</x:v>
      </x:c>
      <x:c r="G512" s="30" t="str">
        <x:v>CL0652</x:v>
      </x:c>
      <x:c r="H512" s="32" t="n">
        <x:f>COUNTIF($G$5:$G$1725,G512)</x:f>
        <x:v>1</x:v>
      </x:c>
      <x:c r="I512" s="30" t="str">
        <x:v>C115</x:v>
      </x:c>
      <x:c r="J512" s="31" t="str">
        <x:v>Kangli (Diverse Industry Team, Asso) | (After self-intro all in Mandarin) | Case I did in my internship (EBITDA, Revenue breakdown, post-valuation...)</x:v>
      </x:c>
    </x:row>
    <x:row r="513" ht="48" customHeight="1">
      <x:c r="A513" s="30" t="str">
        <x:v>QB0776</x:v>
      </x:c>
      <x:c r="B513" s="30" t="str">
        <x:v>Deutsche</x:v>
      </x:c>
      <x:c r="C513" s="30" t="str">
        <x:v>IBD / GCM</x:v>
      </x:c>
      <x:c r="D513" s="31" t="str">
        <x:v>怎么看待IBD的long Hours？</x:v>
      </x:c>
      <x:c r="E513" s="31" t="str">
        <x:v>怎么看待IBD的long Hours</x:v>
      </x:c>
      <x:c r="F513" s="31" t="str">
        <x:v>Fit &amp; Motivation</x:v>
      </x:c>
      <x:c r="G513" s="30" t="str">
        <x:v>CL1241</x:v>
      </x:c>
      <x:c r="H513" s="32" t="n">
        <x:f>COUNTIF($G$5:$G$1725,G513)</x:f>
        <x:v>1</x:v>
      </x:c>
      <x:c r="I513" s="30" t="str">
        <x:v>A116</x:v>
      </x:c>
      <x:c r="J513" s="31" t="str">
        <x:v>(Super Chill, after Self-intro all in Mandarin) | Self Intro + Why DB | Why HK (He knows I am from SH so specifically Why HK but not SH)</x:v>
      </x:c>
    </x:row>
    <x:row r="514" ht="48" customHeight="1">
      <x:c r="A514" s="30" t="str">
        <x:v>QB0778</x:v>
      </x:c>
      <x:c r="B514" s="30" t="str">
        <x:v>Deutsche</x:v>
      </x:c>
      <x:c r="C514" s="30" t="str">
        <x:v>IBD / GCM</x:v>
      </x:c>
      <x:c r="D514" s="31" t="str">
        <x:v>怎么看待DB这种比较小的team size？和GS之类的大Team相比你认为你更喜欢哪一个</x:v>
      </x:c>
      <x:c r="E514" s="31" t="str">
        <x:v>怎么看待DB这种比较小的team size？和GS之类的大Team相比你认为你更喜欢哪一个</x:v>
      </x:c>
      <x:c r="F514" s="31" t="str">
        <x:v>Behavioral &amp; Situational</x:v>
      </x:c>
      <x:c r="G514" s="30" t="str">
        <x:v>CL1240</x:v>
      </x:c>
      <x:c r="H514" s="32" t="n">
        <x:f>COUNTIF($G$5:$G$1725,G514)</x:f>
        <x:v>1</x:v>
      </x:c>
      <x:c r="I514" s="30" t="str">
        <x:v>A117</x:v>
      </x:c>
      <x:c r="J514" s="31" t="str">
        <x:v>Self Intro + Why DB | Why HK (He knows I am from SH so specifically Why HK but not SH) | 怎么看待IBD的long Hours？</x:v>
      </x:c>
    </x:row>
    <x:row r="515" ht="48" customHeight="1">
      <x:c r="A515" s="30" t="str">
        <x:v>QB0779</x:v>
      </x:c>
      <x:c r="B515" s="30" t="str">
        <x:v>Deutsche</x:v>
      </x:c>
      <x:c r="C515" s="30" t="str">
        <x:v>IBD / GCM</x:v>
      </x:c>
      <x:c r="D515" s="31" t="str">
        <x:v>A owns 30% of B, how does A's three statement changes after B issued $10 dividends?</x:v>
      </x:c>
      <x:c r="E515" s="31" t="str">
        <x:v>A owns 30% of B, how does A's three statement changes after B issued $10 dividends</x:v>
      </x:c>
      <x:c r="F515" s="31" t="str">
        <x:v>Accounting &amp; Financial Statements</x:v>
      </x:c>
      <x:c r="G515" s="30" t="str">
        <x:v>CL0091</x:v>
      </x:c>
      <x:c r="H515" s="32" t="n">
        <x:f>COUNTIF($G$5:$G$1725,G515)</x:f>
        <x:v>1</x:v>
      </x:c>
      <x:c r="I515" s="30" t="str">
        <x:v>C117</x:v>
      </x:c>
      <x:c r="J515" s="31" t="str">
        <x:v>Case I did in my internship (EBITDA, Revenue breakdown, post-valuation...) | pro-forma EV/EBITDA, PE change | FCF formula, levered to unlevered</x:v>
      </x:c>
    </x:row>
    <x:row r="516" ht="48" customHeight="1">
      <x:c r="A516" s="30" t="str">
        <x:v>QB0780</x:v>
      </x:c>
      <x:c r="B516" s="30" t="str">
        <x:v>Deutsche</x:v>
      </x:c>
      <x:c r="C516" s="30" t="str">
        <x:v>IBD / GCM</x:v>
      </x:c>
      <x:c r="D516" s="31" t="str">
        <x:v>你觉得你的老板会怎么形容你？三个词</x:v>
      </x:c>
      <x:c r="E516" s="31" t="str">
        <x:v>你觉得你的老板会怎么形容你？三个词</x:v>
      </x:c>
      <x:c r="F516" s="31" t="str">
        <x:v>Behavioral &amp; Situational</x:v>
      </x:c>
      <x:c r="G516" s="30" t="str">
        <x:v>CL1230</x:v>
      </x:c>
      <x:c r="H516" s="32" t="n">
        <x:f>COUNTIF($G$5:$G$1725,G516)</x:f>
        <x:v>1</x:v>
      </x:c>
      <x:c r="I516" s="30" t="str">
        <x:v>A118</x:v>
      </x:c>
      <x:c r="J516" s="31" t="str">
        <x:v>Why HK (He knows I am from SH so specifically Why HK but not SH) | 怎么看待IBD的long Hours？ | 怎么看待DB这种比较小的team size？和GS之类的大Team相比你认为你更喜欢哪一个</x:v>
      </x:c>
    </x:row>
    <x:row r="517" ht="32" customHeight="1">
      <x:c r="A517" s="30" t="str">
        <x:v>QB0782</x:v>
      </x:c>
      <x:c r="B517" s="30" t="str">
        <x:v>Deutsche</x:v>
      </x:c>
      <x:c r="C517" s="30" t="str">
        <x:v>IBD / GCM</x:v>
      </x:c>
      <x:c r="D517" s="31" t="str">
        <x:v>最大的缺点是什么？</x:v>
      </x:c>
      <x:c r="E517" s="31" t="str">
        <x:v>最大的缺点是什么</x:v>
      </x:c>
      <x:c r="F517" s="31" t="str">
        <x:v>Behavioral &amp; Situational</x:v>
      </x:c>
      <x:c r="G517" s="30" t="str">
        <x:v>CL1233</x:v>
      </x:c>
      <x:c r="H517" s="32" t="n">
        <x:f>COUNTIF($G$5:$G$1725,G517)</x:f>
        <x:v>1</x:v>
      </x:c>
      <x:c r="I517" s="30" t="str">
        <x:v>A119</x:v>
      </x:c>
      <x:c r="J517" s="31" t="str">
        <x:v>怎么看待IBD的long Hours？ | 怎么看待DB这种比较小的team size？和GS之类的大Team相比你认为你更喜欢哪一个 | 你觉得你的老板会怎么形容你？三个词</x:v>
      </x:c>
    </x:row>
    <x:row r="518" ht="48" customHeight="1">
      <x:c r="A518" s="30" t="str">
        <x:v>QB0790</x:v>
      </x:c>
      <x:c r="B518" s="30" t="str">
        <x:v>Deutsche</x:v>
      </x:c>
      <x:c r="C518" s="30" t="str">
        <x:v>IBD / GCM</x:v>
      </x:c>
      <x:c r="D518" s="31" t="str">
        <x:v>why DB</x:v>
      </x:c>
      <x:c r="E518" s="31" t="str">
        <x:v>Why this firm?</x:v>
      </x:c>
      <x:c r="F518" s="31" t="str">
        <x:v>Fit &amp; Motivation</x:v>
      </x:c>
      <x:c r="G518" s="30" t="str">
        <x:v>CL0002</x:v>
      </x:c>
      <x:c r="H518" s="32" t="n">
        <x:f>COUNTIF($G$5:$G$1725,G518)</x:f>
        <x:v>39</x:v>
      </x:c>
      <x:c r="I518" s="30" t="str">
        <x:v>A125</x:v>
      </x:c>
      <x:c r="J518" s="31" t="str">
        <x:v>Forgot his name but (Asso HK coverage) | all English | CV deepdive (past deals at each company)</x:v>
      </x:c>
    </x:row>
    <x:row r="519" ht="32" customHeight="1">
      <x:c r="A519" s="30" t="str">
        <x:v>QB0791</x:v>
      </x:c>
      <x:c r="B519" s="30" t="str">
        <x:v>Deutsche</x:v>
      </x:c>
      <x:c r="C519" s="30" t="str">
        <x:v>IBD / GCM</x:v>
      </x:c>
      <x:c r="D519" s="31" t="str">
        <x:v>one very specific deal (investment thesis, valuation, comps)</x:v>
      </x:c>
      <x:c r="E519" s="31" t="str">
        <x:v>One very specific deal (investment thesis, valuation, comps)</x:v>
      </x:c>
      <x:c r="F519" s="31" t="str">
        <x:v>Valuation</x:v>
      </x:c>
      <x:c r="G519" s="30" t="str">
        <x:v>CL0626</x:v>
      </x:c>
      <x:c r="H519" s="32" t="n">
        <x:f>COUNTIF($G$5:$G$1725,G519)</x:f>
        <x:v>1</x:v>
      </x:c>
      <x:c r="I519" s="30" t="str">
        <x:v>C125</x:v>
      </x:c>
      <x:c r="J519" s="31" t="str">
        <x:v>Kangli (Diverse Industry Team, Asso) | all English | recent ECM deals</x:v>
      </x:c>
    </x:row>
    <x:row r="520" ht="48" customHeight="1">
      <x:c r="A520" s="30" t="str">
        <x:v>QB0793</x:v>
      </x:c>
      <x:c r="B520" s="30" t="str">
        <x:v>Deutsche</x:v>
      </x:c>
      <x:c r="C520" s="30" t="str">
        <x:v>IBD / GCM</x:v>
      </x:c>
      <x:c r="D520" s="31" t="str">
        <x:v>you worked at secondary market before and why IBD?</x:v>
      </x:c>
      <x:c r="E520" s="31" t="str">
        <x:v>Why investment banking?</x:v>
      </x:c>
      <x:c r="F520" s="31" t="str">
        <x:v>Fit &amp; Motivation</x:v>
      </x:c>
      <x:c r="G520" s="30" t="str">
        <x:v>CL0003</x:v>
      </x:c>
      <x:c r="H520" s="32" t="n">
        <x:f>COUNTIF($G$5:$G$1725,G520)</x:f>
        <x:v>34</x:v>
      </x:c>
      <x:c r="I520" s="30" t="str">
        <x:v>C126</x:v>
      </x:c>
      <x:c r="J520" s="31" t="str">
        <x:v>all English | recent ECM deals | one very specific deal (investment thesis, valuation, comps)</x:v>
      </x:c>
    </x:row>
    <x:row r="521" ht="48" customHeight="1">
      <x:c r="A521" s="30" t="str">
        <x:v>QB0794</x:v>
      </x:c>
      <x:c r="B521" s="30" t="str">
        <x:v>Deutsche</x:v>
      </x:c>
      <x:c r="C521" s="30" t="str">
        <x:v>IBD / GCM</x:v>
      </x:c>
      <x:c r="D521" s="31" t="str">
        <x:v>can you accept the ibd hours after working at buyside?</x:v>
      </x:c>
      <x:c r="E521" s="31" t="str">
        <x:v>Can you accept the ibd hours after working at buyside</x:v>
      </x:c>
      <x:c r="F521" s="31" t="str">
        <x:v>M&amp;A</x:v>
      </x:c>
      <x:c r="G521" s="30" t="str">
        <x:v>CL0187</x:v>
      </x:c>
      <x:c r="H521" s="32" t="n">
        <x:f>COUNTIF($G$5:$G$1725,G521)</x:f>
        <x:v>1</x:v>
      </x:c>
      <x:c r="I521" s="30" t="str">
        <x:v>C127</x:v>
      </x:c>
      <x:c r="J521" s="31" t="str">
        <x:v>recent ECM deals | one very specific deal (investment thesis, valuation, comps) | you worked at secondary market before and why IBD?</x:v>
      </x:c>
    </x:row>
    <x:row r="522" ht="68" customHeight="1">
      <x:c r="A522" s="30" t="str">
        <x:v>QB0795</x:v>
      </x:c>
      <x:c r="B522" s="30" t="str">
        <x:v>Deutsche</x:v>
      </x:c>
      <x:c r="C522" s="30" t="str">
        <x:v>IBD / GCM</x:v>
      </x:c>
      <x:c r="D522" s="31" t="str">
        <x:v>walk me through lbo</x:v>
      </x:c>
      <x:c r="E522" s="31" t="str">
        <x:v>Walk me through lbo</x:v>
      </x:c>
      <x:c r="F522" s="31" t="str">
        <x:v>Private Equity &amp; LBO</x:v>
      </x:c>
      <x:c r="G522" s="30" t="str">
        <x:v>CL0041</x:v>
      </x:c>
      <x:c r="H522" s="32" t="n">
        <x:f>COUNTIF($G$5:$G$1725,G522)</x:f>
        <x:v>2</x:v>
      </x:c>
      <x:c r="I522" s="30" t="str">
        <x:v>C128</x:v>
      </x:c>
      <x:c r="J522" s="31" t="str">
        <x:v>one very specific deal (investment thesis, valuation, comps) | you worked at secondary market before and why IBD? | can you accept the ibd hours after working at buyside?</x:v>
      </x:c>
    </x:row>
    <x:row r="523" ht="48" customHeight="1">
      <x:c r="A523" s="30" t="str">
        <x:v>QB0796</x:v>
      </x:c>
      <x:c r="B523" s="30" t="str">
        <x:v>Deutsche</x:v>
      </x:c>
      <x:c r="C523" s="30" t="str">
        <x:v>IBD / GCM</x:v>
      </x:c>
      <x:c r="D523" s="31" t="str">
        <x:v>one specific LBO question (calculate equity value)</x:v>
      </x:c>
      <x:c r="E523" s="31" t="str">
        <x:v>One specific LBO question (calculate equity value)</x:v>
      </x:c>
      <x:c r="F523" s="31" t="str">
        <x:v>Valuation</x:v>
      </x:c>
      <x:c r="G523" s="30" t="str">
        <x:v>CL0625</x:v>
      </x:c>
      <x:c r="H523" s="32" t="n">
        <x:f>COUNTIF($G$5:$G$1725,G523)</x:f>
        <x:v>1</x:v>
      </x:c>
      <x:c r="I523" s="30" t="str">
        <x:v>C129</x:v>
      </x:c>
      <x:c r="J523" s="31" t="str">
        <x:v>you worked at secondary market before and why IBD? | can you accept the ibd hours after working at buyside? | walk me through lbo</x:v>
      </x:c>
    </x:row>
    <x:row r="524" ht="48" customHeight="1">
      <x:c r="A524" s="30" t="str">
        <x:v>QB0797</x:v>
      </x:c>
      <x:c r="B524" s="30" t="str">
        <x:v>Deutsche</x:v>
      </x:c>
      <x:c r="C524" s="30" t="str">
        <x:v>IBD / GCM</x:v>
      </x:c>
      <x:c r="D524" s="31" t="str">
        <x:v>who did you report to at Xiaomi</x:v>
      </x:c>
      <x:c r="E524" s="31" t="str">
        <x:v>Who did you report to at Xiaomi</x:v>
      </x:c>
      <x:c r="F524" s="31" t="str">
        <x:v>Resume &amp; Experience</x:v>
      </x:c>
      <x:c r="G524" s="30" t="str">
        <x:v>CL1106</x:v>
      </x:c>
      <x:c r="H524" s="32" t="n">
        <x:f>COUNTIF($G$5:$G$1725,G524)</x:f>
        <x:v>1</x:v>
      </x:c>
      <x:c r="I524" s="30" t="str">
        <x:v>C130</x:v>
      </x:c>
      <x:c r="J524" s="31" t="str">
        <x:v>can you accept the ibd hours after working at buyside? | walk me through lbo | one specific LBO question (calculate equity value)</x:v>
      </x:c>
    </x:row>
    <x:row r="525" ht="32" customHeight="1">
      <x:c r="A525" s="30" t="str">
        <x:v>QB0804</x:v>
      </x:c>
      <x:c r="B525" s="30" t="str">
        <x:v>Deutsche</x:v>
      </x:c>
      <x:c r="C525" s="30" t="str">
        <x:v>IBD / GCM</x:v>
      </x:c>
      <x:c r="D525" s="31" t="str">
        <x:v>Walk me through your resume</x:v>
      </x:c>
      <x:c r="E525" s="31" t="str">
        <x:v>Tell me about yourself / walk me through your resume</x:v>
      </x:c>
      <x:c r="F525" s="31" t="str">
        <x:v>Resume &amp; Experience</x:v>
      </x:c>
      <x:c r="G525" s="30" t="str">
        <x:v>CL0001</x:v>
      </x:c>
      <x:c r="H525" s="32" t="n">
        <x:f>COUNTIF($G$5:$G$1725,G525)</x:f>
        <x:v>170</x:v>
      </x:c>
      <x:c r="I525" s="30" t="str">
        <x:v>A136</x:v>
      </x:c>
      <x:c r="J525" s="31" t="str">
        <x:v>Francesca 2025/07/25 | Phil (M&amp;A, Senior VP) | (Chill)</x:v>
      </x:c>
    </x:row>
    <x:row r="526" ht="48" customHeight="1">
      <x:c r="A526" s="30" t="str">
        <x:v>QB0805</x:v>
      </x:c>
      <x:c r="B526" s="30" t="str">
        <x:v>Deutsche</x:v>
      </x:c>
      <x:c r="C526" s="30" t="str">
        <x:v>IBD / GCM</x:v>
      </x:c>
      <x:c r="D526" s="31" t="str">
        <x:v>Walk me through your resume</x:v>
      </x:c>
      <x:c r="E526" s="31" t="str">
        <x:v>Tell me about yourself / walk me through your resume</x:v>
      </x:c>
      <x:c r="F526" s="31" t="str">
        <x:v>Resume &amp; Experience</x:v>
      </x:c>
      <x:c r="G526" s="30" t="str">
        <x:v>CL0001</x:v>
      </x:c>
      <x:c r="H526" s="32" t="n">
        <x:f>COUNTIF($G$5:$G$1725,G526)</x:f>
        <x:v>170</x:v>
      </x:c>
      <x:c r="I526" s="30" t="str">
        <x:v>C136</x:v>
      </x:c>
      <x:c r="J526" s="31" t="str">
        <x:v>who did you report to at Xiaomi | Jackie (HK Coverage, VP) | (bro she's a bit scary she has very big eyes)</x:v>
      </x:c>
    </x:row>
    <x:row r="527" ht="32" customHeight="1">
      <x:c r="A527" s="30" t="str">
        <x:v>QB0806</x:v>
      </x:c>
      <x:c r="B527" s="30" t="str">
        <x:v>Deutsche</x:v>
      </x:c>
      <x:c r="C527" s="30" t="str">
        <x:v>IBD / GCM</x:v>
      </x:c>
      <x:c r="D527" s="31" t="str">
        <x:v>2 Cases did in PEI - what did you do?, valuation, multiples</x:v>
      </x:c>
      <x:c r="E527" s="31" t="str">
        <x:v>2 Cases did in PEI - what did you do?, valuation, multiples</x:v>
      </x:c>
      <x:c r="F527" s="31" t="str">
        <x:v>Resume &amp; Experience</x:v>
      </x:c>
      <x:c r="G527" s="30" t="str">
        <x:v>CL0070</x:v>
      </x:c>
      <x:c r="H527" s="32" t="n">
        <x:f>COUNTIF($G$5:$G$1725,G527)</x:f>
        <x:v>1</x:v>
      </x:c>
      <x:c r="I527" s="30" t="str">
        <x:v>A137</x:v>
      </x:c>
      <x:c r="J527" s="31" t="str">
        <x:v>Phil (M&amp;A, Senior VP) | (Chill) | Walk me through your resume</x:v>
      </x:c>
    </x:row>
    <x:row r="528" ht="48" customHeight="1">
      <x:c r="A528" s="30" t="str">
        <x:v>QB0807</x:v>
      </x:c>
      <x:c r="B528" s="30" t="str">
        <x:v>Deutsche</x:v>
      </x:c>
      <x:c r="C528" s="30" t="str">
        <x:v>IBD / GCM</x:v>
      </x:c>
      <x:c r="D528" s="31" t="str">
        <x:v>Cases related questions - Revenue build up, multiples used (I mentioned the multiple used in power sector is unique) - lots of follow ups</x:v>
      </x:c>
      <x:c r="E528" s="31" t="str">
        <x:v>Cases related questions - Revenue build up, multiples used (I mentioned the multiple used in power sector is unique) - lots of follow ups</x:v>
      </x:c>
      <x:c r="F528" s="31" t="str">
        <x:v>Accounting &amp; Financial Statements</x:v>
      </x:c>
      <x:c r="G528" s="30" t="str">
        <x:v>CL0196</x:v>
      </x:c>
      <x:c r="H528" s="32" t="n">
        <x:f>COUNTIF($G$5:$G$1725,G528)</x:f>
        <x:v>1</x:v>
      </x:c>
      <x:c r="I528" s="30" t="str">
        <x:v>C137</x:v>
      </x:c>
      <x:c r="J528" s="31" t="str">
        <x:v>Jackie (HK Coverage, VP) | (bro she's a bit scary she has very big eyes) | Walk me through your resume</x:v>
      </x:c>
    </x:row>
    <x:row r="529" ht="48" customHeight="1">
      <x:c r="A529" s="30" t="str">
        <x:v>QB0808</x:v>
      </x:c>
      <x:c r="B529" s="30" t="str">
        <x:v>Deutsche</x:v>
      </x:c>
      <x:c r="C529" s="30" t="str">
        <x:v>IBD / GCM</x:v>
      </x:c>
      <x:c r="D529" s="31" t="str">
        <x:v>1 Case did in previous internship - what did you do</x:v>
      </x:c>
      <x:c r="E529" s="31" t="str">
        <x:v>1 Case did in previous internship - what did you do</x:v>
      </x:c>
      <x:c r="F529" s="31" t="str">
        <x:v>Resume &amp; Experience</x:v>
      </x:c>
      <x:c r="G529" s="30" t="str">
        <x:v>CL0063</x:v>
      </x:c>
      <x:c r="H529" s="32" t="n">
        <x:f>COUNTIF($G$5:$G$1725,G529)</x:f>
        <x:v>1</x:v>
      </x:c>
      <x:c r="I529" s="30" t="str">
        <x:v>A138</x:v>
      </x:c>
      <x:c r="J529" s="31" t="str">
        <x:v>(Chill) | Walk me through your resume | 2 Cases did in PEI - what did you do?, valuation, multiples</x:v>
      </x:c>
    </x:row>
    <x:row r="530" ht="68" customHeight="1">
      <x:c r="A530" s="30" t="str">
        <x:v>QB0809</x:v>
      </x:c>
      <x:c r="B530" s="30" t="str">
        <x:v>Deutsche</x:v>
      </x:c>
      <x:c r="C530" s="30" t="str">
        <x:v>IBD / GCM</x:v>
      </x:c>
      <x:c r="D530" s="31" t="str">
        <x:v>Tell me about the robotics team (Sorry I mentioned that again when self-intro cos we just won a prize......I think if i fail its because of this...)</x:v>
      </x:c>
      <x:c r="E530" s="31" t="str">
        <x:v>Tell me about yourself / walk me through your resume</x:v>
      </x:c>
      <x:c r="F530" s="31" t="str">
        <x:v>Resume &amp; Experience</x:v>
      </x:c>
      <x:c r="G530" s="30" t="str">
        <x:v>CL0001</x:v>
      </x:c>
      <x:c r="H530" s="32" t="n">
        <x:f>COUNTIF($G$5:$G$1725,G530)</x:f>
        <x:v>170</x:v>
      </x:c>
      <x:c r="I530" s="30" t="str">
        <x:v>C138</x:v>
      </x:c>
      <x:c r="J530" s="31" t="str">
        <x:v>(bro she's a bit scary she has very big eyes) | Walk me through your resume | Cases related questions - Revenue build up, multiples used (I mentioned the multiple used in power sector is unique) - lots of follow ups</x:v>
      </x:c>
    </x:row>
    <x:row r="531" ht="48" customHeight="1">
      <x:c r="A531" s="30" t="str">
        <x:v>QB0810</x:v>
      </x:c>
      <x:c r="B531" s="30" t="str">
        <x:v>Deutsche</x:v>
      </x:c>
      <x:c r="C531" s="30" t="str">
        <x:v>IBD / GCM</x:v>
      </x:c>
      <x:c r="D531" s="31" t="str">
        <x:v>Tell me about the robotics team ( I kinda emphasize that when answering the first question...)</x:v>
      </x:c>
      <x:c r="E531" s="31" t="str">
        <x:v>Tell me about the robotics team ( I kinda emphasize that when answering the first question...)</x:v>
      </x:c>
      <x:c r="F531" s="31" t="str">
        <x:v>Behavioral &amp; Situational</x:v>
      </x:c>
      <x:c r="G531" s="30" t="str">
        <x:v>CL0745</x:v>
      </x:c>
      <x:c r="H531" s="32" t="n">
        <x:f>COUNTIF($G$5:$G$1725,G531)</x:f>
        <x:v>1</x:v>
      </x:c>
      <x:c r="I531" s="30" t="str">
        <x:v>A139</x:v>
      </x:c>
      <x:c r="J531" s="31" t="str">
        <x:v>Walk me through your resume | 2 Cases did in PEI - what did you do?, valuation, multiples | 1 Case did in previous internship - what did you do</x:v>
      </x:c>
    </x:row>
    <x:row r="532" ht="92" customHeight="1">
      <x:c r="A532" s="30" t="str">
        <x:v>QB0811</x:v>
      </x:c>
      <x:c r="B532" s="30" t="str">
        <x:v>Deutsche</x:v>
      </x:c>
      <x:c r="C532" s="30" t="str">
        <x:v>IBD / GCM</x:v>
      </x:c>
      <x:c r="D532" s="31" t="str">
        <x:v>Brain teaser - no one from our batch answered it right, she gave very little time to think</x:v>
      </x:c>
      <x:c r="E532" s="31" t="str">
        <x:v>Brain teaser - no one from our batch answered it right, she gave very little time to think</x:v>
      </x:c>
      <x:c r="F532" s="31" t="str">
        <x:v>Consulting &amp; Case</x:v>
      </x:c>
      <x:c r="G532" s="30" t="str">
        <x:v>CL0166</x:v>
      </x:c>
      <x:c r="H532" s="32" t="n">
        <x:f>COUNTIF($G$5:$G$1725,G532)</x:f>
        <x:v>1</x:v>
      </x:c>
      <x:c r="I532" s="30" t="str">
        <x:v>C139</x:v>
      </x:c>
      <x:c r="J532" s="31" t="str">
        <x:v>Walk me through your resume | Cases related questions - Revenue build up, multiples used (I mentioned the multiple used in power sector is unique) - lots of follow ups | Tell me about the robotics team (Sorry I mentioned that again when ...</x:v>
      </x:c>
    </x:row>
    <x:row r="533" ht="68" customHeight="1">
      <x:c r="A533" s="30" t="str">
        <x:v>QB0812</x:v>
      </x:c>
      <x:c r="B533" s="30" t="str">
        <x:v>Deutsche</x:v>
      </x:c>
      <x:c r="C533" s="30" t="str">
        <x:v>IBD / GCM</x:v>
      </x:c>
      <x:c r="D533" s="31" t="str">
        <x:v>Why IBD?</x:v>
      </x:c>
      <x:c r="E533" s="31" t="str">
        <x:v>Why investment banking?</x:v>
      </x:c>
      <x:c r="F533" s="31" t="str">
        <x:v>Fit &amp; Motivation</x:v>
      </x:c>
      <x:c r="G533" s="30" t="str">
        <x:v>CL0003</x:v>
      </x:c>
      <x:c r="H533" s="32" t="n">
        <x:f>COUNTIF($G$5:$G$1725,G533)</x:f>
        <x:v>34</x:v>
      </x:c>
      <x:c r="I533" s="30" t="str">
        <x:v>A140</x:v>
      </x:c>
      <x:c r="J533" s="31" t="str">
        <x:v>2 Cases did in PEI - what did you do?, valuation, multiples | 1 Case did in previous internship - what did you do | Tell me about the robotics team ( I kinda emphasize that when answering the first question...)</x:v>
      </x:c>
    </x:row>
    <x:row r="534" ht="118" customHeight="1">
      <x:c r="A534" s="30" t="str">
        <x:v>QB0813</x:v>
      </x:c>
      <x:c r="B534" s="30" t="str">
        <x:v>Deutsche</x:v>
      </x:c>
      <x:c r="C534" s="30" t="str">
        <x:v>IBD / GCM</x:v>
      </x:c>
      <x:c r="D534" s="31" t="str">
        <x:v>Why IBD?</x:v>
      </x:c>
      <x:c r="E534" s="31" t="str">
        <x:v>Why investment banking?</x:v>
      </x:c>
      <x:c r="F534" s="31" t="str">
        <x:v>Fit &amp; Motivation</x:v>
      </x:c>
      <x:c r="G534" s="30" t="str">
        <x:v>CL0003</x:v>
      </x:c>
      <x:c r="H534" s="32" t="n">
        <x:f>COUNTIF($G$5:$G$1725,G534)</x:f>
        <x:v>34</x:v>
      </x:c>
      <x:c r="I534" s="30" t="str">
        <x:v>C140</x:v>
      </x:c>
      <x:c r="J534" s="31" t="str">
        <x:v>Cases related questions - Revenue build up, multiples used (I mentioned the multiple used in power sector is unique) - lots of follow ups | Tell me about the robotics team (Sorry I mentioned that again when self-intro cos we just won a p...</x:v>
      </x:c>
    </x:row>
    <x:row r="535" ht="48" customHeight="1">
      <x:c r="A535" s="30" t="str">
        <x:v>QB0814</x:v>
      </x:c>
      <x:c r="B535" s="30" t="str">
        <x:v>Deutsche</x:v>
      </x:c>
      <x:c r="C535" s="30" t="str">
        <x:v>IBD / GCM</x:v>
      </x:c>
      <x:c r="D535" s="31" t="str">
        <x:v>Who is your first round interviewer? (I kinda mentioned my first round several times...)</x:v>
      </x:c>
      <x:c r="E535" s="31" t="str">
        <x:v>Who is your first round interviewer? (I kinda mentioned my first round several times...)</x:v>
      </x:c>
      <x:c r="F535" s="31" t="str">
        <x:v>Accounting &amp; Financial Statements</x:v>
      </x:c>
      <x:c r="G535" s="30" t="str">
        <x:v>CL1109</x:v>
      </x:c>
      <x:c r="H535" s="32" t="n">
        <x:f>COUNTIF($G$5:$G$1725,G535)</x:f>
        <x:v>1</x:v>
      </x:c>
      <x:c r="I535" s="30" t="str">
        <x:v>A141</x:v>
      </x:c>
      <x:c r="J535" s="31" t="str">
        <x:v>1 Case did in previous internship - what did you do | Tell me about the robotics team ( I kinda emphasize that when answering the first question...) | Why IBD?</x:v>
      </x:c>
    </x:row>
    <x:row r="536" ht="68" customHeight="1">
      <x:c r="A536" s="30" t="str">
        <x:v>QB0816</x:v>
      </x:c>
      <x:c r="B536" s="30" t="str">
        <x:v>Deutsche</x:v>
      </x:c>
      <x:c r="C536" s="30" t="str">
        <x:v>IBD / GCM</x:v>
      </x:c>
      <x:c r="D536" s="31" t="str">
        <x:v>Anything you would like to tell me thats not on your CV?</x:v>
      </x:c>
      <x:c r="E536" s="31" t="str">
        <x:v>Anything you would like to tell me thats not on your CV</x:v>
      </x:c>
      <x:c r="F536" s="31" t="str">
        <x:v>Resume &amp; Experience</x:v>
      </x:c>
      <x:c r="G536" s="30" t="str">
        <x:v>CL0131</x:v>
      </x:c>
      <x:c r="H536" s="32" t="n">
        <x:f>COUNTIF($G$5:$G$1725,G536)</x:f>
        <x:v>1</x:v>
      </x:c>
      <x:c r="I536" s="30" t="str">
        <x:v>A142</x:v>
      </x:c>
      <x:c r="J536" s="31" t="str">
        <x:v>Tell me about the robotics team ( I kinda emphasize that when answering the first question...) | Why IBD? | Who is your first round interviewer? (I kinda mentioned my first round several times...)</x:v>
      </x:c>
    </x:row>
    <x:row r="537" ht="48" customHeight="1">
      <x:c r="A537" s="30" t="str">
        <x:v>QB0822</x:v>
      </x:c>
      <x:c r="B537" s="30" t="str">
        <x:v>Deutsche</x:v>
      </x:c>
      <x:c r="C537" s="30" t="str">
        <x:v>IBD / GCM</x:v>
      </x:c>
      <x:c r="D537" s="31" t="str">
        <x:v>Self introduction</x:v>
      </x:c>
      <x:c r="E537" s="31" t="str">
        <x:v>Tell me about yourself / walk me through your resume</x:v>
      </x:c>
      <x:c r="F537" s="31" t="str">
        <x:v>Resume &amp; Experience</x:v>
      </x:c>
      <x:c r="G537" s="30" t="str">
        <x:v>CL0001</x:v>
      </x:c>
      <x:c r="H537" s="32" t="n">
        <x:f>COUNTIF($G$5:$G$1725,G537)</x:f>
        <x:v>170</x:v>
      </x:c>
      <x:c r="I537" s="30" t="str">
        <x:v>A148</x:v>
      </x:c>
      <x:c r="J537" s="31" t="str">
        <x:v>Kate 2025/09/18 | I don't rmb name but TMT VP | (Staring at his computer all time and very distracted)</x:v>
      </x:c>
    </x:row>
    <x:row r="538" ht="48" customHeight="1">
      <x:c r="A538" s="30" t="str">
        <x:v>QB0823</x:v>
      </x:c>
      <x:c r="B538" s="30" t="str">
        <x:v>Deutsche</x:v>
      </x:c>
      <x:c r="C538" s="30" t="str">
        <x:v>IBD / GCM</x:v>
      </x:c>
      <x:c r="D538" s="31" t="str">
        <x:v>Self introduction - pick some highlights in your CV to talk about</x:v>
      </x:c>
      <x:c r="E538" s="31" t="str">
        <x:v>Tell me about yourself / walk me through your resume</x:v>
      </x:c>
      <x:c r="F538" s="31" t="str">
        <x:v>Resume &amp; Experience</x:v>
      </x:c>
      <x:c r="G538" s="30" t="str">
        <x:v>CL0001</x:v>
      </x:c>
      <x:c r="H538" s="32" t="n">
        <x:f>COUNTIF($G$5:$G$1725,G538)</x:f>
        <x:v>170</x:v>
      </x:c>
      <x:c r="I538" s="30" t="str">
        <x:v>C148</x:v>
      </x:c>
      <x:c r="J538" s="31" t="str">
        <x:v>Ask back | I still don't rmb name but Natural Resource VP | (Very direct and interuptive, very much stress test vibe)</x:v>
      </x:c>
    </x:row>
    <x:row r="539" ht="48" customHeight="1">
      <x:c r="A539" s="30" t="str">
        <x:v>QB0824</x:v>
      </x:c>
      <x:c r="B539" s="30" t="str">
        <x:v>Deutsche</x:v>
      </x:c>
      <x:c r="C539" s="30" t="str">
        <x:v>IBD / GCM</x:v>
      </x:c>
      <x:c r="D539" s="31" t="str">
        <x:v>You in Lazard right now? I didn’t see it on your CV, when does it lasts</x:v>
      </x:c>
      <x:c r="E539" s="31" t="str">
        <x:v>You in Lazard right now? I didn’t see it on your CV, when does it lasts</x:v>
      </x:c>
      <x:c r="F539" s="31" t="str">
        <x:v>Resume &amp; Experience</x:v>
      </x:c>
      <x:c r="G539" s="30" t="str">
        <x:v>CL1203</x:v>
      </x:c>
      <x:c r="H539" s="32" t="n">
        <x:f>COUNTIF($G$5:$G$1725,G539)</x:f>
        <x:v>1</x:v>
      </x:c>
      <x:c r="I539" s="30" t="str">
        <x:v>A149</x:v>
      </x:c>
      <x:c r="J539" s="31" t="str">
        <x:v>I don't rmb name but TMT VP | (Staring at his computer all time and very distracted) | Self introduction</x:v>
      </x:c>
    </x:row>
    <x:row r="540" ht="68" customHeight="1">
      <x:c r="A540" s="30" t="str">
        <x:v>QB0827</x:v>
      </x:c>
      <x:c r="B540" s="30" t="str">
        <x:v>Deutsche</x:v>
      </x:c>
      <x:c r="C540" s="30" t="str">
        <x:v>IBD / GCM</x:v>
      </x:c>
      <x:c r="D540" s="31" t="str">
        <x:v>What do you know about DB / O&amp;A</x:v>
      </x:c>
      <x:c r="E540" s="31" t="str">
        <x:v>What do you know about DB / O&amp;A</x:v>
      </x:c>
      <x:c r="F540" s="31" t="str">
        <x:v>Other Question</x:v>
      </x:c>
      <x:c r="G540" s="30" t="str">
        <x:v>CL0920</x:v>
      </x:c>
      <x:c r="H540" s="32" t="n">
        <x:f>COUNTIF($G$5:$G$1725,G540)</x:f>
        <x:v>1</x:v>
      </x:c>
      <x:c r="I540" s="30" t="str">
        <x:v>A151</x:v>
      </x:c>
      <x:c r="J540" s="31" t="str">
        <x:v>Self introduction | You in Lazard right now? I didn’t see it on your CV, when does it lasts | Quickly went through my CV and asked some small clarification questions</x:v>
      </x:c>
    </x:row>
    <x:row r="541" ht="68" customHeight="1">
      <x:c r="A541" s="30" t="str">
        <x:v>QB0829</x:v>
      </x:c>
      <x:c r="B541" s="30" t="str">
        <x:v>Deutsche</x:v>
      </x:c>
      <x:c r="C541" s="30" t="str">
        <x:v>IBD / GCM</x:v>
      </x:c>
      <x:c r="D541" s="31" t="str">
        <x:v>Why DB</x:v>
      </x:c>
      <x:c r="E541" s="31" t="str">
        <x:v>Why this firm?</x:v>
      </x:c>
      <x:c r="F541" s="31" t="str">
        <x:v>Fit &amp; Motivation</x:v>
      </x:c>
      <x:c r="G541" s="30" t="str">
        <x:v>CL0002</x:v>
      </x:c>
      <x:c r="H541" s="32" t="n">
        <x:f>COUNTIF($G$5:$G$1725,G541)</x:f>
        <x:v>39</x:v>
      </x:c>
      <x:c r="I541" s="30" t="str">
        <x:v>A152</x:v>
      </x:c>
      <x:c r="J541" s="31" t="str">
        <x:v>You in Lazard right now? I didn’t see it on your CV, when does it lasts | Quickly went through my CV and asked some small clarification questions | What do you know about DB / O&amp;A</x:v>
      </x:c>
    </x:row>
    <x:row r="542" ht="48" customHeight="1">
      <x:c r="A542" s="30" t="str">
        <x:v>QB0830</x:v>
      </x:c>
      <x:c r="B542" s="30" t="str">
        <x:v>Deutsche</x:v>
      </x:c>
      <x:c r="C542" s="30" t="str">
        <x:v>IBD / GCM</x:v>
      </x:c>
      <x:c r="D542" s="31" t="str">
        <x:v>Tell me about this deal</x:v>
      </x:c>
      <x:c r="E542" s="31" t="str">
        <x:v>Tell me about this deal</x:v>
      </x:c>
      <x:c r="F542" s="31" t="str">
        <x:v>Company, Industry &amp; Deals</x:v>
      </x:c>
      <x:c r="G542" s="30" t="str">
        <x:v>CL0748</x:v>
      </x:c>
      <x:c r="H542" s="32" t="n">
        <x:f>COUNTIF($G$5:$G$1725,G542)</x:f>
        <x:v>1</x:v>
      </x:c>
      <x:c r="I542" s="30" t="str">
        <x:v>C152</x:v>
      </x:c>
      <x:c r="J542" s="31" t="str">
        <x:v>Self introduction - pick some highlights in your CV to talk about | Basically goes down my CV and grill every detail | Project 1</x:v>
      </x:c>
    </x:row>
    <x:row r="543" ht="48" customHeight="1">
      <x:c r="A543" s="30" t="str">
        <x:v>QB0831</x:v>
      </x:c>
      <x:c r="B543" s="30" t="str">
        <x:v>Deutsche</x:v>
      </x:c>
      <x:c r="C543" s="30" t="str">
        <x:v>IBD / GCM</x:v>
      </x:c>
      <x:c r="D543" s="31" t="str">
        <x:v>Why Hong Kong</x:v>
      </x:c>
      <x:c r="E543" s="31" t="str">
        <x:v>Why Hong Kong</x:v>
      </x:c>
      <x:c r="F543" s="31" t="str">
        <x:v>Fit &amp; Motivation</x:v>
      </x:c>
      <x:c r="G543" s="30" t="str">
        <x:v>CL1138</x:v>
      </x:c>
      <x:c r="H543" s="32" t="n">
        <x:f>COUNTIF($G$5:$G$1725,G543)</x:f>
        <x:v>1</x:v>
      </x:c>
      <x:c r="I543" s="30" t="str">
        <x:v>A153</x:v>
      </x:c>
      <x:c r="J543" s="31" t="str">
        <x:v>Quickly went through my CV and asked some small clarification questions | What do you know about DB / O&amp;A | Why DB</x:v>
      </x:c>
    </x:row>
    <x:row r="544" ht="32" customHeight="1">
      <x:c r="A544" s="30" t="str">
        <x:v>QB0832</x:v>
      </x:c>
      <x:c r="B544" s="30" t="str">
        <x:v>Deutsche</x:v>
      </x:c>
      <x:c r="C544" s="30" t="str">
        <x:v>IBD / GCM</x:v>
      </x:c>
      <x:c r="D544" s="31" t="str">
        <x:v>What are the comps used (name some)</x:v>
      </x:c>
      <x:c r="E544" s="31" t="str">
        <x:v>What are the comps used (name some)</x:v>
      </x:c>
      <x:c r="F544" s="31" t="str">
        <x:v>Valuation</x:v>
      </x:c>
      <x:c r="G544" s="30" t="str">
        <x:v>CL0876</x:v>
      </x:c>
      <x:c r="H544" s="32" t="n">
        <x:f>COUNTIF($G$5:$G$1725,G544)</x:f>
        <x:v>1</x:v>
      </x:c>
      <x:c r="I544" s="30" t="str">
        <x:v>C153</x:v>
      </x:c>
      <x:c r="J544" s="31" t="str">
        <x:v>Basically goes down my CV and grill every detail | Project 1 | Tell me about this deal</x:v>
      </x:c>
    </x:row>
    <x:row r="545" ht="32" customHeight="1">
      <x:c r="A545" s="30" t="str">
        <x:v>QB0833</x:v>
      </x:c>
      <x:c r="B545" s="30" t="str">
        <x:v>Deutsche</x:v>
      </x:c>
      <x:c r="C545" s="30" t="str">
        <x:v>IBD / GCM</x:v>
      </x:c>
      <x:c r="D545" s="31" t="str">
        <x:v>Why investment banking</x:v>
      </x:c>
      <x:c r="E545" s="31" t="str">
        <x:v>Why investment banking?</x:v>
      </x:c>
      <x:c r="F545" s="31" t="str">
        <x:v>Fit &amp; Motivation</x:v>
      </x:c>
      <x:c r="G545" s="30" t="str">
        <x:v>CL0003</x:v>
      </x:c>
      <x:c r="H545" s="32" t="n">
        <x:f>COUNTIF($G$5:$G$1725,G545)</x:f>
        <x:v>34</x:v>
      </x:c>
      <x:c r="I545" s="30" t="str">
        <x:v>A154</x:v>
      </x:c>
      <x:c r="J545" s="31" t="str">
        <x:v>What do you know about DB / O&amp;A | Why DB | Why Hong Kong</x:v>
      </x:c>
    </x:row>
    <x:row r="546" ht="32" customHeight="1">
      <x:c r="A546" s="30" t="str">
        <x:v>QB0834</x:v>
      </x:c>
      <x:c r="B546" s="30" t="str">
        <x:v>Deutsche</x:v>
      </x:c>
      <x:c r="C546" s="30" t="str">
        <x:v>IBD / GCM</x:v>
      </x:c>
      <x:c r="D546" s="31" t="str">
        <x:v>Did you take into account of A/H share premium</x:v>
      </x:c>
      <x:c r="E546" s="31" t="str">
        <x:v>Did you take into account of A/H share premium</x:v>
      </x:c>
      <x:c r="F546" s="31" t="str">
        <x:v>Other Question</x:v>
      </x:c>
      <x:c r="G546" s="30" t="str">
        <x:v>CL0250</x:v>
      </x:c>
      <x:c r="H546" s="32" t="n">
        <x:f>COUNTIF($G$5:$G$1725,G546)</x:f>
        <x:v>1</x:v>
      </x:c>
      <x:c r="I546" s="30" t="str">
        <x:v>C154</x:v>
      </x:c>
      <x:c r="J546" s="31" t="str">
        <x:v>Project 1 | Tell me about this deal | What are the comps used (name some)</x:v>
      </x:c>
    </x:row>
    <x:row r="547" ht="32" customHeight="1">
      <x:c r="A547" s="30" t="str">
        <x:v>QB0835</x:v>
      </x:c>
      <x:c r="B547" s="30" t="str">
        <x:v>Deutsche</x:v>
      </x:c>
      <x:c r="C547" s="30" t="str">
        <x:v>IBD / GCM</x:v>
      </x:c>
      <x:c r="D547" s="31" t="str">
        <x:v>Tell me a challenge - what is your biggest takeaway</x:v>
      </x:c>
      <x:c r="E547" s="31" t="str">
        <x:v>Tell me about a challenge, setback, or failure</x:v>
      </x:c>
      <x:c r="F547" s="31" t="str">
        <x:v>Behavioral &amp; Situational</x:v>
      </x:c>
      <x:c r="G547" s="30" t="str">
        <x:v>CL0007</x:v>
      </x:c>
      <x:c r="H547" s="32" t="n">
        <x:f>COUNTIF($G$5:$G$1725,G547)</x:f>
        <x:v>16</x:v>
      </x:c>
      <x:c r="I547" s="30" t="str">
        <x:v>A155</x:v>
      </x:c>
      <x:c r="J547" s="31" t="str">
        <x:v>Why DB | Why Hong Kong | Why investment banking</x:v>
      </x:c>
    </x:row>
    <x:row r="548" ht="48" customHeight="1">
      <x:c r="A548" s="30" t="str">
        <x:v>QB0836</x:v>
      </x:c>
      <x:c r="B548" s="30" t="str">
        <x:v>Deutsche</x:v>
      </x:c>
      <x:c r="C548" s="30" t="str">
        <x:v>IBD / GCM</x:v>
      </x:c>
      <x:c r="D548" s="31" t="str">
        <x:v>What is the P/B multiple used</x:v>
      </x:c>
      <x:c r="E548" s="31" t="str">
        <x:v>What is the P/B multiple used</x:v>
      </x:c>
      <x:c r="F548" s="31" t="str">
        <x:v>Accounting &amp; Financial Statements</x:v>
      </x:c>
      <x:c r="G548" s="30" t="str">
        <x:v>CL0988</x:v>
      </x:c>
      <x:c r="H548" s="32" t="n">
        <x:f>COUNTIF($G$5:$G$1725,G548)</x:f>
        <x:v>1</x:v>
      </x:c>
      <x:c r="I548" s="30" t="str">
        <x:v>C155</x:v>
      </x:c>
      <x:c r="J548" s="31" t="str">
        <x:v>Tell me about this deal | What are the comps used (name some) | Did you take into account of A/H share premium</x:v>
      </x:c>
    </x:row>
    <x:row r="549" ht="48" customHeight="1">
      <x:c r="A549" s="30" t="str">
        <x:v>QB0838</x:v>
      </x:c>
      <x:c r="B549" s="30" t="str">
        <x:v>Deutsche</x:v>
      </x:c>
      <x:c r="C549" s="30" t="str">
        <x:v>IBD / GCM</x:v>
      </x:c>
      <x:c r="D549" s="31" t="str">
        <x:v>Tell me a time you noticed a mistake and what did you do</x:v>
      </x:c>
      <x:c r="E549" s="31" t="str">
        <x:v>Tell me a time you noticed a mistake and what did you do</x:v>
      </x:c>
      <x:c r="F549" s="31" t="str">
        <x:v>Resume &amp; Experience</x:v>
      </x:c>
      <x:c r="G549" s="30" t="str">
        <x:v>CL0718</x:v>
      </x:c>
      <x:c r="H549" s="32" t="n">
        <x:f>COUNTIF($G$5:$G$1725,G549)</x:f>
        <x:v>1</x:v>
      </x:c>
      <x:c r="I549" s="30" t="str">
        <x:v>A157</x:v>
      </x:c>
      <x:c r="J549" s="31" t="str">
        <x:v>Why investment banking | Tell me a challenge - what is your biggest takeaway | Strength and weakness</x:v>
      </x:c>
    </x:row>
    <x:row r="550" ht="48" customHeight="1">
      <x:c r="A550" s="30" t="str">
        <x:v>QB0840</x:v>
      </x:c>
      <x:c r="B550" s="30" t="str">
        <x:v>Deutsche</x:v>
      </x:c>
      <x:c r="C550" s="30" t="str">
        <x:v>IBD / GCM</x:v>
      </x:c>
      <x:c r="D550" s="31" t="str">
        <x:v>How do you split work</x:v>
      </x:c>
      <x:c r="E550" s="31" t="str">
        <x:v>How do you split work</x:v>
      </x:c>
      <x:c r="F550" s="31" t="str">
        <x:v>Resume &amp; Experience</x:v>
      </x:c>
      <x:c r="G550" s="30" t="str">
        <x:v>CL0426</x:v>
      </x:c>
      <x:c r="H550" s="32" t="n">
        <x:f>COUNTIF($G$5:$G$1725,G550)</x:f>
        <x:v>1</x:v>
      </x:c>
      <x:c r="I550" s="30" t="str">
        <x:v>A158</x:v>
      </x:c>
      <x:c r="J550" s="31" t="str">
        <x:v>Tell me a challenge - what is your biggest takeaway | Strength and weakness | Tell me a time you noticed a mistake and what did you do</x:v>
      </x:c>
    </x:row>
    <x:row r="551" ht="32" customHeight="1">
      <x:c r="A551" s="30" t="str">
        <x:v>QB0841</x:v>
      </x:c>
      <x:c r="B551" s="30" t="str">
        <x:v>Deutsche</x:v>
      </x:c>
      <x:c r="C551" s="30" t="str">
        <x:v>IBD / GCM</x:v>
      </x:c>
      <x:c r="D551" s="31" t="str">
        <x:v>What exactly did you do in this deal, what’s the responsibilities</x:v>
      </x:c>
      <x:c r="E551" s="31" t="str">
        <x:v>What exactly did you do in this deal, what’s the responsibilities</x:v>
      </x:c>
      <x:c r="F551" s="31" t="str">
        <x:v>Resume &amp; Experience</x:v>
      </x:c>
      <x:c r="G551" s="30" t="str">
        <x:v>CL0942</x:v>
      </x:c>
      <x:c r="H551" s="32" t="n">
        <x:f>COUNTIF($G$5:$G$1725,G551)</x:f>
        <x:v>1</x:v>
      </x:c>
      <x:c r="I551" s="30" t="str">
        <x:v>C158</x:v>
      </x:c>
      <x:c r="J551" s="31" t="str">
        <x:v>Did you take into account of A/H share premium | What is the P/B multiple used | Project 2</x:v>
      </x:c>
    </x:row>
    <x:row r="552" ht="48" customHeight="1">
      <x:c r="A552" s="30" t="str">
        <x:v>QB0842</x:v>
      </x:c>
      <x:c r="B552" s="30" t="str">
        <x:v>Deutsche</x:v>
      </x:c>
      <x:c r="C552" s="30" t="str">
        <x:v>IBD / GCM</x:v>
      </x:c>
      <x:c r="D552" s="31" t="str">
        <x:v>How to manage ddl conflict</x:v>
      </x:c>
      <x:c r="E552" s="31" t="str">
        <x:v>How to manage ddl conflict</x:v>
      </x:c>
      <x:c r="F552" s="31" t="str">
        <x:v>Behavioral &amp; Situational</x:v>
      </x:c>
      <x:c r="G552" s="30" t="str">
        <x:v>CL0479</x:v>
      </x:c>
      <x:c r="H552" s="32" t="n">
        <x:f>COUNTIF($G$5:$G$1725,G552)</x:f>
        <x:v>1</x:v>
      </x:c>
      <x:c r="I552" s="30" t="str">
        <x:v>A159</x:v>
      </x:c>
      <x:c r="J552" s="31" t="str">
        <x:v>Strength and weakness | Tell me a time you noticed a mistake and what did you do | How do you split work</x:v>
      </x:c>
    </x:row>
    <x:row r="553" ht="48" customHeight="1">
      <x:c r="A553" s="30" t="str">
        <x:v>QB0843</x:v>
      </x:c>
      <x:c r="B553" s="30" t="str">
        <x:v>Deutsche</x:v>
      </x:c>
      <x:c r="C553" s="30" t="str">
        <x:v>IBD / GCM</x:v>
      </x:c>
      <x:c r="D553" s="31" t="str">
        <x:v>Tell me concisely what’s the transaction background and structure</x:v>
      </x:c>
      <x:c r="E553" s="31" t="str">
        <x:v>Tell me concisely what’s the transaction background and structure</x:v>
      </x:c>
      <x:c r="F553" s="31" t="str">
        <x:v>Resume &amp; Experience</x:v>
      </x:c>
      <x:c r="G553" s="30" t="str">
        <x:v>CL0760</x:v>
      </x:c>
      <x:c r="H553" s="32" t="n">
        <x:f>COUNTIF($G$5:$G$1725,G553)</x:f>
        <x:v>1</x:v>
      </x:c>
      <x:c r="I553" s="30" t="str">
        <x:v>C159</x:v>
      </x:c>
      <x:c r="J553" s="31" t="str">
        <x:v>What is the P/B multiple used | Project 2 | What exactly did you do in this deal, what’s the responsibilities</x:v>
      </x:c>
    </x:row>
    <x:row r="554" ht="48" customHeight="1">
      <x:c r="A554" s="30" t="str">
        <x:v>QB0845</x:v>
      </x:c>
      <x:c r="B554" s="30" t="str">
        <x:v>Deutsche</x:v>
      </x:c>
      <x:c r="C554" s="30" t="str">
        <x:v>IBD / GCM</x:v>
      </x:c>
      <x:c r="D554" s="31" t="str">
        <x:v>Which jurisdiction does this LOE follows?</x:v>
      </x:c>
      <x:c r="E554" s="31" t="str">
        <x:v>Which jurisdiction does this LOE follows</x:v>
      </x:c>
      <x:c r="F554" s="31" t="str">
        <x:v>Other Question</x:v>
      </x:c>
      <x:c r="G554" s="30" t="str">
        <x:v>CL1096</x:v>
      </x:c>
      <x:c r="H554" s="32" t="n">
        <x:f>COUNTIF($G$5:$G$1725,G554)</x:f>
        <x:v>1</x:v>
      </x:c>
      <x:c r="I554" s="30" t="str">
        <x:v>C160</x:v>
      </x:c>
      <x:c r="J554" s="31" t="str">
        <x:v>Project 2 | What exactly did you do in this deal, what’s the responsibilities | Tell me concisely what’s the transaction background and structure</x:v>
      </x:c>
    </x:row>
    <x:row r="555" ht="68" customHeight="1">
      <x:c r="A555" s="30" t="str">
        <x:v>QB0847</x:v>
      </x:c>
      <x:c r="B555" s="30" t="str">
        <x:v>Deutsche</x:v>
      </x:c>
      <x:c r="C555" s="30" t="str">
        <x:v>IBD / GCM</x:v>
      </x:c>
      <x:c r="D555" s="31" t="str">
        <x:v>Tell me a investment highlight in CIM</x:v>
      </x:c>
      <x:c r="E555" s="31" t="str">
        <x:v>Tell me a investment highlight in CIM</x:v>
      </x:c>
      <x:c r="F555" s="31" t="str">
        <x:v>Other Question</x:v>
      </x:c>
      <x:c r="G555" s="30" t="str">
        <x:v>CL0704</x:v>
      </x:c>
      <x:c r="H555" s="32" t="n">
        <x:f>COUNTIF($G$5:$G$1725,G555)</x:f>
        <x:v>1</x:v>
      </x:c>
      <x:c r="I555" s="30" t="str">
        <x:v>C161</x:v>
      </x:c>
      <x:c r="J555" s="31" t="str">
        <x:v>What exactly did you do in this deal, what’s the responsibilities | Tell me concisely what’s the transaction background and structure | Which jurisdiction does this LOE follows?</x:v>
      </x:c>
    </x:row>
    <x:row r="556" ht="48" customHeight="1">
      <x:c r="A556" s="30" t="str">
        <x:v>QB0848</x:v>
      </x:c>
      <x:c r="B556" s="30" t="str">
        <x:v>Deutsche</x:v>
      </x:c>
      <x:c r="C556" s="30" t="str">
        <x:v>IBD / GCM</x:v>
      </x:c>
      <x:c r="D556" s="31" t="str">
        <x:v>Did you build a model for it</x:v>
      </x:c>
      <x:c r="E556" s="31" t="str">
        <x:v>Did you build a model for it</x:v>
      </x:c>
      <x:c r="F556" s="31" t="str">
        <x:v>Other Technical</x:v>
      </x:c>
      <x:c r="G556" s="30" t="str">
        <x:v>CL0237</x:v>
      </x:c>
      <x:c r="H556" s="32" t="n">
        <x:f>COUNTIF($G$5:$G$1725,G556)</x:f>
        <x:v>1</x:v>
      </x:c>
      <x:c r="I556" s="30" t="str">
        <x:v>C162</x:v>
      </x:c>
      <x:c r="J556" s="31" t="str">
        <x:v>Tell me concisely what’s the transaction background and structure | Which jurisdiction does this LOE follows? | Tell me a investment highlight in CIM</x:v>
      </x:c>
    </x:row>
    <x:row r="557" ht="32" customHeight="1">
      <x:c r="A557" s="30" t="str">
        <x:v>QB0850</x:v>
      </x:c>
      <x:c r="B557" s="30" t="str">
        <x:v>Deutsche</x:v>
      </x:c>
      <x:c r="C557" s="30" t="str">
        <x:v>IBD / GCM</x:v>
      </x:c>
      <x:c r="D557" s="31" t="str">
        <x:v>This “Photovatics” means solar right? (I use this word in my CV)</x:v>
      </x:c>
      <x:c r="E557" s="31" t="str">
        <x:v>This “Photovatics” means solar right? (I use this word in my CV)</x:v>
      </x:c>
      <x:c r="F557" s="31" t="str">
        <x:v>Resume &amp; Experience</x:v>
      </x:c>
      <x:c r="G557" s="30" t="str">
        <x:v>CL0792</x:v>
      </x:c>
      <x:c r="H557" s="32" t="n">
        <x:f>COUNTIF($G$5:$G$1725,G557)</x:f>
        <x:v>1</x:v>
      </x:c>
      <x:c r="I557" s="30" t="str">
        <x:v>C165</x:v>
      </x:c>
      <x:c r="J557" s="31" t="str">
        <x:v>Tell me a investment highlight in CIM | Did you build a model for it | Project 3</x:v>
      </x:c>
    </x:row>
    <x:row r="558" ht="48" customHeight="1">
      <x:c r="A558" s="30" t="str">
        <x:v>QB0851</x:v>
      </x:c>
      <x:c r="B558" s="30" t="str">
        <x:v>Deutsche</x:v>
      </x:c>
      <x:c r="C558" s="30" t="str">
        <x:v>IBD / GCM</x:v>
      </x:c>
      <x:c r="D558" s="31" t="str">
        <x:v>What is the valuation of this target?</x:v>
      </x:c>
      <x:c r="E558" s="31" t="str">
        <x:v>What is the valuation of this target</x:v>
      </x:c>
      <x:c r="F558" s="31" t="str">
        <x:v>Accounting &amp; Financial Statements</x:v>
      </x:c>
      <x:c r="G558" s="30" t="str">
        <x:v>CL0996</x:v>
      </x:c>
      <x:c r="H558" s="32" t="n">
        <x:f>COUNTIF($G$5:$G$1725,G558)</x:f>
        <x:v>1</x:v>
      </x:c>
      <x:c r="I558" s="30" t="str">
        <x:v>C166</x:v>
      </x:c>
      <x:c r="J558" s="31" t="str">
        <x:v>Did you build a model for it | Project 3 | This “Photovatics” means solar right? (I use this word in my CV)</x:v>
      </x:c>
    </x:row>
    <x:row r="559" ht="48" customHeight="1">
      <x:c r="A559" s="30" t="str">
        <x:v>QB0853</x:v>
      </x:c>
      <x:c r="B559" s="30" t="str">
        <x:v>Deutsche</x:v>
      </x:c>
      <x:c r="C559" s="30" t="str">
        <x:v>IBD / GCM</x:v>
      </x:c>
      <x:c r="D559" s="31" t="str">
        <x:v>What did you look at for this pitching (it was an industrial pitch)</x:v>
      </x:c>
      <x:c r="E559" s="31" t="str">
        <x:v>What did you look at for this pitching (it was an industrial pitch)</x:v>
      </x:c>
      <x:c r="F559" s="31" t="str">
        <x:v>Other Question</x:v>
      </x:c>
      <x:c r="G559" s="30" t="str">
        <x:v>CL0909</x:v>
      </x:c>
      <x:c r="H559" s="32" t="n">
        <x:f>COUNTIF($G$5:$G$1725,G559)</x:f>
        <x:v>1</x:v>
      </x:c>
      <x:c r="I559" s="30" t="str">
        <x:v>C169</x:v>
      </x:c>
      <x:c r="J559" s="31" t="str">
        <x:v>This “Photovatics” means solar right? (I use this word in my CV) | What is the valuation of this target? | Project 4</x:v>
      </x:c>
    </x:row>
    <x:row r="560" ht="48" customHeight="1">
      <x:c r="A560" s="30" t="str">
        <x:v>QB0854</x:v>
      </x:c>
      <x:c r="B560" s="30" t="str">
        <x:v>Deutsche</x:v>
      </x:c>
      <x:c r="C560" s="30" t="str">
        <x:v>IBD / GCM</x:v>
      </x:c>
      <x:c r="D560" s="31" t="str">
        <x:v>I said mining EPC - Which mineral?</x:v>
      </x:c>
      <x:c r="E560" s="31" t="str">
        <x:v>I said mining EPC - Which mineral</x:v>
      </x:c>
      <x:c r="F560" s="31" t="str">
        <x:v>Other Question</x:v>
      </x:c>
      <x:c r="G560" s="30" t="str">
        <x:v>CL0506</x:v>
      </x:c>
      <x:c r="H560" s="32" t="n">
        <x:f>COUNTIF($G$5:$G$1725,G560)</x:f>
        <x:v>1</x:v>
      </x:c>
      <x:c r="I560" s="30" t="str">
        <x:v>C170</x:v>
      </x:c>
      <x:c r="J560" s="31" t="str">
        <x:v>What is the valuation of this target? | Project 4 | What did you look at for this pitching (it was an industrial pitch)</x:v>
      </x:c>
    </x:row>
    <x:row r="561" ht="68" customHeight="1">
      <x:c r="A561" s="30" t="str">
        <x:v>QB0855</x:v>
      </x:c>
      <x:c r="B561" s="30" t="str">
        <x:v>Deutsche</x:v>
      </x:c>
      <x:c r="C561" s="30" t="str">
        <x:v>IBD / GCM</x:v>
      </x:c>
      <x:c r="D561" s="31" t="str">
        <x:v>You know there’s only two companies in China for mining EPC right - I said I’m talking about Australian and Canadian target. He said he think he knows which company I’m talking about</x:v>
      </x:c>
      <x:c r="E561" s="31" t="str">
        <x:v>You know there’s only two companies in China for mining EPC right - I said I’m talking about Australian and Canadian target. He said he think he knows which company I’m talking about</x:v>
      </x:c>
      <x:c r="F561" s="31" t="str">
        <x:v>Company, Industry &amp; Deals</x:v>
      </x:c>
      <x:c r="G561" s="30" t="str">
        <x:v>CL1204</x:v>
      </x:c>
      <x:c r="H561" s="32" t="n">
        <x:f>COUNTIF($G$5:$G$1725,G561)</x:f>
        <x:v>1</x:v>
      </x:c>
      <x:c r="I561" s="30" t="str">
        <x:v>C171</x:v>
      </x:c>
      <x:c r="J561" s="31" t="str">
        <x:v>Project 4 | What did you look at for this pitching (it was an industrial pitch) | I said mining EPC - Which mineral?</x:v>
      </x:c>
    </x:row>
    <x:row r="562" ht="32" customHeight="1">
      <x:c r="A562" s="30" t="str">
        <x:v>QB0861</x:v>
      </x:c>
      <x:c r="B562" s="30" t="str">
        <x:v>Citi</x:v>
      </x:c>
      <x:c r="C562" s="30" t="str">
        <x:v>IBD / GCM</x:v>
      </x:c>
      <x:c r="D562" s="31" t="str">
        <x:v>tell me about a recent citi deal</x:v>
      </x:c>
      <x:c r="E562" s="31" t="str">
        <x:v>Discuss a recent deal completed by this firm</x:v>
      </x:c>
      <x:c r="F562" s="31" t="str">
        <x:v>Company, Industry &amp; Deals</x:v>
      </x:c>
      <x:c r="G562" s="30" t="str">
        <x:v>CL0008</x:v>
      </x:c>
      <x:c r="H562" s="32" t="n">
        <x:f>COUNTIF($G$5:$G$1725,G562)</x:f>
        <x:v>14</x:v>
      </x:c>
      <x:c r="I562" s="30" t="str">
        <x:v>A3</x:v>
      </x:c>
      <x:c r="J562" s="31" t="str">
        <x:v>2024 SA | citi 1st round group technicals</x:v>
      </x:c>
    </x:row>
    <x:row r="563" ht="32" customHeight="1">
      <x:c r="A563" s="30" t="str">
        <x:v>QB0863</x:v>
      </x:c>
      <x:c r="B563" s="30" t="str">
        <x:v>Citi</x:v>
      </x:c>
      <x:c r="C563" s="30" t="str">
        <x:v>IBD / GCM</x:v>
      </x:c>
      <x:c r="D563" s="31" t="str">
        <x:v>how to get ev from equity value</x:v>
      </x:c>
      <x:c r="E563" s="31" t="str">
        <x:v>Bridge equity value to enterprise value</x:v>
      </x:c>
      <x:c r="F563" s="31" t="str">
        <x:v>Valuation</x:v>
      </x:c>
      <x:c r="G563" s="30" t="str">
        <x:v>CL0015</x:v>
      </x:c>
      <x:c r="H563" s="32" t="n">
        <x:f>COUNTIF($G$5:$G$1725,G563)</x:f>
        <x:v>8</x:v>
      </x:c>
      <x:c r="I563" s="30" t="str">
        <x:v>A4</x:v>
      </x:c>
      <x:c r="J563" s="31" t="str">
        <x:v>2024 SA | citi 1st round group technicals | tell me about a recent citi deal</x:v>
      </x:c>
    </x:row>
    <x:row r="564" ht="32" customHeight="1">
      <x:c r="A564" s="30" t="str">
        <x:v>QB0864</x:v>
      </x:c>
      <x:c r="B564" s="30" t="str">
        <x:v>Citi</x:v>
      </x:c>
      <x:c r="C564" s="30" t="str">
        <x:v>IBD / GCM</x:v>
      </x:c>
      <x:c r="D564" s="31" t="str">
        <x:v>Self Intro</x:v>
      </x:c>
      <x:c r="E564" s="31" t="str">
        <x:v>Tell me about yourself / walk me through your resume</x:v>
      </x:c>
      <x:c r="F564" s="31" t="str">
        <x:v>Resume &amp; Experience</x:v>
      </x:c>
      <x:c r="G564" s="30" t="str">
        <x:v>CL0001</x:v>
      </x:c>
      <x:c r="H564" s="32" t="n">
        <x:f>COUNTIF($G$5:$G$1725,G564)</x:f>
        <x:v>170</x:v>
      </x:c>
      <x:c r="I564" s="30" t="str">
        <x:v>B4</x:v>
      </x:c>
      <x:c r="J564" s="31" t="str">
        <x:v>31 Emily's Superday | 1st Interviewer (Experience, Peter Lam)</x:v>
      </x:c>
    </x:row>
    <x:row r="565" ht="48" customHeight="1">
      <x:c r="A565" s="30" t="str">
        <x:v>QB0865</x:v>
      </x:c>
      <x:c r="B565" s="30" t="str">
        <x:v>Citi</x:v>
      </x:c>
      <x:c r="C565" s="30" t="str">
        <x:v>IBD / GCM</x:v>
      </x:c>
      <x:c r="D565" s="31" t="str">
        <x:v>what other additional things are in the equation and why (nols, dta etc)</x:v>
      </x:c>
      <x:c r="E565" s="31" t="str">
        <x:v>What other additional things are in the equation and why (nols, dta etc)</x:v>
      </x:c>
      <x:c r="F565" s="31" t="str">
        <x:v>Fit &amp; Motivation</x:v>
      </x:c>
      <x:c r="G565" s="30" t="str">
        <x:v>CL1024</x:v>
      </x:c>
      <x:c r="H565" s="32" t="n">
        <x:f>COUNTIF($G$5:$G$1725,G565)</x:f>
        <x:v>1</x:v>
      </x:c>
      <x:c r="I565" s="30" t="str">
        <x:v>A5</x:v>
      </x:c>
      <x:c r="J565" s="31" t="str">
        <x:v>citi 1st round group technicals | tell me about a recent citi deal | how to get ev from equity value</x:v>
      </x:c>
    </x:row>
    <x:row r="566" ht="32" customHeight="1">
      <x:c r="A566" s="30" t="str">
        <x:v>QB0866</x:v>
      </x:c>
      <x:c r="B566" s="30" t="str">
        <x:v>Citi</x:v>
      </x:c>
      <x:c r="C566" s="30" t="str">
        <x:v>IBD / GCM</x:v>
      </x:c>
      <x:c r="D566" s="31" t="str">
        <x:v>Canto: why IBD, why not equity research, ask more about background stuff</x:v>
      </x:c>
      <x:c r="E566" s="31" t="str">
        <x:v>Why investment banking?</x:v>
      </x:c>
      <x:c r="F566" s="31" t="str">
        <x:v>Fit &amp; Motivation</x:v>
      </x:c>
      <x:c r="G566" s="30" t="str">
        <x:v>CL0003</x:v>
      </x:c>
      <x:c r="H566" s="32" t="n">
        <x:f>COUNTIF($G$5:$G$1725,G566)</x:f>
        <x:v>34</x:v>
      </x:c>
      <x:c r="I566" s="30" t="str">
        <x:v>B5</x:v>
      </x:c>
      <x:c r="J566" s="31" t="str">
        <x:v>31 Emily's Superday | 1st Interviewer (Experience, Peter Lam) | Self Intro</x:v>
      </x:c>
    </x:row>
    <x:row r="567" ht="48" customHeight="1">
      <x:c r="A567" s="30" t="str">
        <x:v>QB0867</x:v>
      </x:c>
      <x:c r="B567" s="30" t="str">
        <x:v>Citi</x:v>
      </x:c>
      <x:c r="C567" s="30" t="str">
        <x:v>IBD / GCM</x:v>
      </x:c>
      <x:c r="D567" s="31" t="str">
        <x:v>if the company were to be acquired 100% by another company how much would it be (higher than ev bc control premium)</x:v>
      </x:c>
      <x:c r="E567" s="31" t="str">
        <x:v>If the company were to be acquired 100% by another company how much would it be (higher than ev bc control premium)</x:v>
      </x:c>
      <x:c r="F567" s="31" t="str">
        <x:v>M&amp;A</x:v>
      </x:c>
      <x:c r="G567" s="30" t="str">
        <x:v>CL0516</x:v>
      </x:c>
      <x:c r="H567" s="32" t="n">
        <x:f>COUNTIF($G$5:$G$1725,G567)</x:f>
        <x:v>1</x:v>
      </x:c>
      <x:c r="I567" s="30" t="str">
        <x:v>A6</x:v>
      </x:c>
      <x:c r="J567" s="31" t="str">
        <x:v>tell me about a recent citi deal | how to get ev from equity value | what other additional things are in the equation and why (nols, dta etc)</x:v>
      </x:c>
    </x:row>
    <x:row r="568" ht="48" customHeight="1">
      <x:c r="A568" s="30" t="str">
        <x:v>QB0868</x:v>
      </x:c>
      <x:c r="B568" s="30" t="str">
        <x:v>Citi</x:v>
      </x:c>
      <x:c r="C568" s="30" t="str">
        <x:v>IBD / GCM</x:v>
      </x:c>
      <x:c r="D568" s="31" t="str">
        <x:v>Initiation on the electroplating company, how do you do valuation, investment thesis, comparables and DCF</x:v>
      </x:c>
      <x:c r="E568" s="31" t="str">
        <x:v>Initiation on the electroplating company, how do you do valuation, investment thesis, comparables and DCF</x:v>
      </x:c>
      <x:c r="F568" s="31" t="str">
        <x:v>Valuation</x:v>
      </x:c>
      <x:c r="G568" s="30" t="str">
        <x:v>CL0546</x:v>
      </x:c>
      <x:c r="H568" s="32" t="n">
        <x:f>COUNTIF($G$5:$G$1725,G568)</x:f>
        <x:v>1</x:v>
      </x:c>
      <x:c r="I568" s="30" t="str">
        <x:v>B6</x:v>
      </x:c>
      <x:c r="J568" s="31" t="str">
        <x:v>1st Interviewer (Experience, Peter Lam) | Self Intro | Canto: why IBD, why not equity research, ask more about background stuff</x:v>
      </x:c>
    </x:row>
    <x:row r="569" ht="68" customHeight="1">
      <x:c r="A569" s="30" t="str">
        <x:v>QB0869</x:v>
      </x:c>
      <x:c r="B569" s="30" t="str">
        <x:v>Citi</x:v>
      </x:c>
      <x:c r="C569" s="30" t="str">
        <x:v>IBD / GCM</x:v>
      </x:c>
      <x:c r="D569" s="31" t="str">
        <x:v>pitch me an industry</x:v>
      </x:c>
      <x:c r="E569" s="31" t="str">
        <x:v>Pitch me an industry</x:v>
      </x:c>
      <x:c r="F569" s="31" t="str">
        <x:v>Company, Industry &amp; Deals</x:v>
      </x:c>
      <x:c r="G569" s="30" t="str">
        <x:v>CL0634</x:v>
      </x:c>
      <x:c r="H569" s="32" t="n">
        <x:f>COUNTIF($G$5:$G$1725,G569)</x:f>
        <x:v>1</x:v>
      </x:c>
      <x:c r="I569" s="30" t="str">
        <x:v>A7</x:v>
      </x:c>
      <x:c r="J569" s="31" t="str">
        <x:v>how to get ev from equity value | what other additional things are in the equation and why (nols, dta etc) | if the company were to be acquired 100% by another company how much would it be (higher than ev bc control premium)</x:v>
      </x:c>
    </x:row>
    <x:row r="570" ht="68" customHeight="1">
      <x:c r="A570" s="30" t="str">
        <x:v>QB0870</x:v>
      </x:c>
      <x:c r="B570" s="30" t="str">
        <x:v>Citi</x:v>
      </x:c>
      <x:c r="C570" s="30" t="str">
        <x:v>IBD / GCM</x:v>
      </x:c>
      <x:c r="D570" s="31" t="str">
        <x:v>How do you compare DCF, EV/EBITDA, PE valuation methodology for this company?</x:v>
      </x:c>
      <x:c r="E570" s="31" t="str">
        <x:v>How do you compare DCF, EV/EBITDA, PE valuation methodology for this company</x:v>
      </x:c>
      <x:c r="F570" s="31" t="str">
        <x:v>Valuation</x:v>
      </x:c>
      <x:c r="G570" s="30" t="str">
        <x:v>CL0402</x:v>
      </x:c>
      <x:c r="H570" s="32" t="n">
        <x:f>COUNTIF($G$5:$G$1725,G570)</x:f>
        <x:v>1</x:v>
      </x:c>
      <x:c r="I570" s="30" t="str">
        <x:v>B7</x:v>
      </x:c>
      <x:c r="J570" s="31" t="str">
        <x:v>Self Intro | Canto: why IBD, why not equity research, ask more about background stuff | Initiation on the electroplating company, how do you do valuation, investment thesis, comparables and DCF</x:v>
      </x:c>
    </x:row>
    <x:row r="571" ht="68" customHeight="1">
      <x:c r="A571" s="30" t="str">
        <x:v>QB0871</x:v>
      </x:c>
      <x:c r="B571" s="30" t="str">
        <x:v>Citi</x:v>
      </x:c>
      <x:c r="C571" s="30" t="str">
        <x:v>IBD / GCM</x:v>
      </x:c>
      <x:c r="D571" s="31" t="str">
        <x:v>What opportunities this company can have (ECM, DCM, M&amp;A)</x:v>
      </x:c>
      <x:c r="E571" s="31" t="str">
        <x:v>What opportunities this company can have (ECM, DCM, M&amp;A)</x:v>
      </x:c>
      <x:c r="F571" s="31" t="str">
        <x:v>Capital Markets &amp; Financing</x:v>
      </x:c>
      <x:c r="G571" s="30" t="str">
        <x:v>CL1023</x:v>
      </x:c>
      <x:c r="H571" s="32" t="n">
        <x:f>COUNTIF($G$5:$G$1725,G571)</x:f>
        <x:v>1</x:v>
      </x:c>
      <x:c r="I571" s="30" t="str">
        <x:v>B8</x:v>
      </x:c>
      <x:c r="J571" s="31" t="str">
        <x:v>Canto: why IBD, why not equity research, ask more about background stuff | Initiation on the electroplating company, how do you do valuation, investment thesis, comparables and DCF | How do you compare DCF, EV/EBITDA, PE valuation method...</x:v>
      </x:c>
    </x:row>
    <x:row r="572" ht="68" customHeight="1">
      <x:c r="A572" s="30" t="str">
        <x:v>QB0872</x:v>
      </x:c>
      <x:c r="B572" s="30" t="str">
        <x:v>Citi</x:v>
      </x:c>
      <x:c r="C572" s="30" t="str">
        <x:v>IBD / GCM</x:v>
      </x:c>
      <x:c r="D572" s="31" t="str">
        <x:v>Why M&amp;A for upstream companies, do you have any precedent transactions on it?</x:v>
      </x:c>
      <x:c r="E572" s="31" t="str">
        <x:v>Why M&amp;A for upstream companies, do you have any precedent transactions on it</x:v>
      </x:c>
      <x:c r="F572" s="31" t="str">
        <x:v>Fit &amp; Motivation</x:v>
      </x:c>
      <x:c r="G572" s="30" t="str">
        <x:v>CL1150</x:v>
      </x:c>
      <x:c r="H572" s="32" t="n">
        <x:f>COUNTIF($G$5:$G$1725,G572)</x:f>
        <x:v>1</x:v>
      </x:c>
      <x:c r="I572" s="30" t="str">
        <x:v>B9</x:v>
      </x:c>
      <x:c r="J572" s="31" t="str">
        <x:v>Initiation on the electroplating company, how do you do valuation, investment thesis, comparables and DCF | How do you compare DCF, EV/EBITDA, PE valuation methodology for this company? | What opportunities this company can have (ECM, DC...</x:v>
      </x:c>
    </x:row>
    <x:row r="573" ht="68" customHeight="1">
      <x:c r="A573" s="30" t="str">
        <x:v>QB0873</x:v>
      </x:c>
      <x:c r="B573" s="30" t="str">
        <x:v>Citi</x:v>
      </x:c>
      <x:c r="C573" s="30" t="str">
        <x:v>IBD / GCM</x:v>
      </x:c>
      <x:c r="D573" s="31" t="str">
        <x:v>Why is it a good time for them, and why this opportunity?</x:v>
      </x:c>
      <x:c r="E573" s="31" t="str">
        <x:v>Why is it a good time for them, and why this opportunity</x:v>
      </x:c>
      <x:c r="F573" s="31" t="str">
        <x:v>Fit &amp; Motivation</x:v>
      </x:c>
      <x:c r="G573" s="30" t="str">
        <x:v>CL1145</x:v>
      </x:c>
      <x:c r="H573" s="32" t="n">
        <x:f>COUNTIF($G$5:$G$1725,G573)</x:f>
        <x:v>1</x:v>
      </x:c>
      <x:c r="I573" s="30" t="str">
        <x:v>B10</x:v>
      </x:c>
      <x:c r="J573" s="31" t="str">
        <x:v>How do you compare DCF, EV/EBITDA, PE valuation methodology for this company? | What opportunities this company can have (ECM, DCM, M&amp;A) | Why M&amp;A for upstream companies, do you have any precedent transactions on it?</x:v>
      </x:c>
    </x:row>
    <x:row r="574" ht="68" customHeight="1">
      <x:c r="A574" s="30" t="str">
        <x:v>QB0875</x:v>
      </x:c>
      <x:c r="B574" s="30" t="str">
        <x:v>Citi</x:v>
      </x:c>
      <x:c r="C574" s="30" t="str">
        <x:v>IBD / GCM</x:v>
      </x:c>
      <x:c r="D574" s="31" t="str">
        <x:v>Self Intro</x:v>
      </x:c>
      <x:c r="E574" s="31" t="str">
        <x:v>Tell me about yourself / walk me through your resume</x:v>
      </x:c>
      <x:c r="F574" s="31" t="str">
        <x:v>Resume &amp; Experience</x:v>
      </x:c>
      <x:c r="G574" s="30" t="str">
        <x:v>CL0001</x:v>
      </x:c>
      <x:c r="H574" s="32" t="n">
        <x:f>COUNTIF($G$5:$G$1725,G574)</x:f>
        <x:v>170</x:v>
      </x:c>
      <x:c r="I574" s="30" t="str">
        <x:v>B13</x:v>
      </x:c>
      <x:c r="J574" s="31" t="str">
        <x:v>Why M&amp;A for upstream companies, do you have any precedent transactions on it? | Why is it a good time for them, and why this opportunity? | 2nd Interviewer (Leadership, Sam Sun)</x:v>
      </x:c>
    </x:row>
    <x:row r="575" ht="48" customHeight="1">
      <x:c r="A575" s="30" t="str">
        <x:v>QB0876</x:v>
      </x:c>
      <x:c r="B575" s="30" t="str">
        <x:v>Citi</x:v>
      </x:c>
      <x:c r="C575" s="30" t="str">
        <x:v>IBD / GCM</x:v>
      </x:c>
      <x:c r="D575" s="31" t="str">
        <x:v>Why IBD</x:v>
      </x:c>
      <x:c r="E575" s="31" t="str">
        <x:v>Why investment banking?</x:v>
      </x:c>
      <x:c r="F575" s="31" t="str">
        <x:v>Fit &amp; Motivation</x:v>
      </x:c>
      <x:c r="G575" s="30" t="str">
        <x:v>CL0003</x:v>
      </x:c>
      <x:c r="H575" s="32" t="n">
        <x:f>COUNTIF($G$5:$G$1725,G575)</x:f>
        <x:v>34</x:v>
      </x:c>
      <x:c r="I575" s="30" t="str">
        <x:v>B14</x:v>
      </x:c>
      <x:c r="J575" s="31" t="str">
        <x:v>Why is it a good time for them, and why this opportunity? | 2nd Interviewer (Leadership, Sam Sun) | Self Intro</x:v>
      </x:c>
    </x:row>
    <x:row r="576" ht="32" customHeight="1">
      <x:c r="A576" s="30" t="str">
        <x:v>QB0877</x:v>
      </x:c>
      <x:c r="B576" s="30" t="str">
        <x:v>Citi</x:v>
      </x:c>
      <x:c r="C576" s="30" t="str">
        <x:v>IBD / GCM</x:v>
      </x:c>
      <x:c r="D576" s="31" t="str">
        <x:v>Why Citi</x:v>
      </x:c>
      <x:c r="E576" s="31" t="str">
        <x:v>Why this firm?</x:v>
      </x:c>
      <x:c r="F576" s="31" t="str">
        <x:v>Fit &amp; Motivation</x:v>
      </x:c>
      <x:c r="G576" s="30" t="str">
        <x:v>CL0002</x:v>
      </x:c>
      <x:c r="H576" s="32" t="n">
        <x:f>COUNTIF($G$5:$G$1725,G576)</x:f>
        <x:v>39</x:v>
      </x:c>
      <x:c r="I576" s="30" t="str">
        <x:v>B15</x:v>
      </x:c>
      <x:c r="J576" s="31" t="str">
        <x:v>2nd Interviewer (Leadership, Sam Sun) | Self Intro | Why IBD</x:v>
      </x:c>
    </x:row>
    <x:row r="577" ht="32" customHeight="1">
      <x:c r="A577" s="30" t="str">
        <x:v>QB0878</x:v>
      </x:c>
      <x:c r="B577" s="30" t="str">
        <x:v>Citi</x:v>
      </x:c>
      <x:c r="C577" s="30" t="str">
        <x:v>IBD / GCM</x:v>
      </x:c>
      <x:c r="D577" s="31" t="str">
        <x:v>What's your biggest strength compared to all your competitors?</x:v>
      </x:c>
      <x:c r="E577" s="31" t="str">
        <x:v>What is your biggest strength / weakness?</x:v>
      </x:c>
      <x:c r="F577" s="31" t="str">
        <x:v>Behavioral &amp; Situational</x:v>
      </x:c>
      <x:c r="G577" s="30" t="str">
        <x:v>CL0027</x:v>
      </x:c>
      <x:c r="H577" s="32" t="n">
        <x:f>COUNTIF($G$5:$G$1725,G577)</x:f>
        <x:v>3</x:v>
      </x:c>
      <x:c r="I577" s="30" t="str">
        <x:v>B16</x:v>
      </x:c>
      <x:c r="J577" s="31" t="str">
        <x:v>Self Intro | Why IBD | Why Citi</x:v>
      </x:c>
    </x:row>
    <x:row r="578" ht="48" customHeight="1">
      <x:c r="A578" s="30" t="str">
        <x:v>QB0879</x:v>
      </x:c>
      <x:c r="B578" s="30" t="str">
        <x:v>Citi</x:v>
      </x:c>
      <x:c r="C578" s="30" t="str">
        <x:v>IBD / GCM</x:v>
      </x:c>
      <x:c r="D578" s="31" t="str">
        <x:v>What if someone in your team is not performing as expected (like in that case), how do you deal with it?</x:v>
      </x:c>
      <x:c r="E578" s="31" t="str">
        <x:v>What if someone in your team is not performing as expected (like in that case), how do you deal with it</x:v>
      </x:c>
      <x:c r="F578" s="31" t="str">
        <x:v>Behavioral &amp; Situational</x:v>
      </x:c>
      <x:c r="G578" s="30" t="str">
        <x:v>CL0954</x:v>
      </x:c>
      <x:c r="H578" s="32" t="n">
        <x:f>COUNTIF($G$5:$G$1725,G578)</x:f>
        <x:v>1</x:v>
      </x:c>
      <x:c r="I578" s="30" t="str">
        <x:v>B17</x:v>
      </x:c>
      <x:c r="J578" s="31" t="str">
        <x:v>Why IBD | Why Citi | What's your biggest strength compared to all your competitors?</x:v>
      </x:c>
    </x:row>
    <x:row r="579" ht="68" customHeight="1">
      <x:c r="A579" s="30" t="str">
        <x:v>QB0880</x:v>
      </x:c>
      <x:c r="B579" s="30" t="str">
        <x:v>Citi</x:v>
      </x:c>
      <x:c r="C579" s="30" t="str">
        <x:v>IBD / GCM</x:v>
      </x:c>
      <x:c r="D579" s="31" t="str">
        <x:v>Tell me a time your worked in a team and you faced a challenge, how did you deal with it?</x:v>
      </x:c>
      <x:c r="E579" s="31" t="str">
        <x:v>Tell me about a challenge, setback, or failure</x:v>
      </x:c>
      <x:c r="F579" s="31" t="str">
        <x:v>Behavioral &amp; Situational</x:v>
      </x:c>
      <x:c r="G579" s="30" t="str">
        <x:v>CL0007</x:v>
      </x:c>
      <x:c r="H579" s="32" t="n">
        <x:f>COUNTIF($G$5:$G$1725,G579)</x:f>
        <x:v>16</x:v>
      </x:c>
      <x:c r="I579" s="30" t="str">
        <x:v>B18</x:v>
      </x:c>
      <x:c r="J579" s="31" t="str">
        <x:v>Why Citi | What's your biggest strength compared to all your competitors? | What if someone in your team is not performing as expected (like in that case), how do you deal with it?</x:v>
      </x:c>
    </x:row>
    <x:row r="580" ht="92" customHeight="1">
      <x:c r="A580" s="30" t="str">
        <x:v>QB0881</x:v>
      </x:c>
      <x:c r="B580" s="30" t="str">
        <x:v>Citi</x:v>
      </x:c>
      <x:c r="C580" s="30" t="str">
        <x:v>IBD / GCM</x:v>
      </x:c>
      <x:c r="D580" s="31" t="str">
        <x:v>There's a steep learning curve in investment bank (need to learn about an industry really quickly and also company), what's your methodology in doing that?</x:v>
      </x:c>
      <x:c r="E580" s="31" t="str">
        <x:v>There's a steep learning curve in investment bank (need to learn about an industry really quickly and also company), what's your methodology in doing that</x:v>
      </x:c>
      <x:c r="F580" s="31" t="str">
        <x:v>Company, Industry &amp; Deals</x:v>
      </x:c>
      <x:c r="G580" s="30" t="str">
        <x:v>CL0789</x:v>
      </x:c>
      <x:c r="H580" s="32" t="n">
        <x:f>COUNTIF($G$5:$G$1725,G580)</x:f>
        <x:v>1</x:v>
      </x:c>
      <x:c r="I580" s="30" t="str">
        <x:v>B19</x:v>
      </x:c>
      <x:c r="J580" s="31" t="str">
        <x:v>What's your biggest strength compared to all your competitors? | What if someone in your team is not performing as expected (like in that case), how do you deal with it? | Tell me a time your worked in a team and you faced a challenge, h...</x:v>
      </x:c>
    </x:row>
    <x:row r="581" ht="92" customHeight="1">
      <x:c r="A581" s="30" t="str">
        <x:v>QB0882</x:v>
      </x:c>
      <x:c r="B581" s="30" t="str">
        <x:v>Citi</x:v>
      </x:c>
      <x:c r="C581" s="30" t="str">
        <x:v>IBD / GCM</x:v>
      </x:c>
      <x:c r="D581" s="31" t="str">
        <x:v>The work in investment bank is very stressful and demanding, with concurrent demands from supervisors, how do you deal with that?</x:v>
      </x:c>
      <x:c r="E581" s="31" t="str">
        <x:v>The work in investment bank is very stressful and demanding, with concurrent demands from supervisors, how do you deal with that</x:v>
      </x:c>
      <x:c r="F581" s="31" t="str">
        <x:v>Behavioral &amp; Situational</x:v>
      </x:c>
      <x:c r="G581" s="30" t="str">
        <x:v>CL0784</x:v>
      </x:c>
      <x:c r="H581" s="32" t="n">
        <x:f>COUNTIF($G$5:$G$1725,G581)</x:f>
        <x:v>1</x:v>
      </x:c>
      <x:c r="I581" s="30" t="str">
        <x:v>B20</x:v>
      </x:c>
      <x:c r="J581" s="31" t="str">
        <x:v>What if someone in your team is not performing as expected (like in that case), how do you deal with it? | Tell me a time your worked in a team and you faced a challenge, how did you deal with it? | There's a steep learning curve in inve...</x:v>
      </x:c>
    </x:row>
    <x:row r="582" ht="48" customHeight="1">
      <x:c r="A582" s="30" t="str">
        <x:v>QB0887</x:v>
      </x:c>
      <x:c r="B582" s="30" t="str">
        <x:v>Citi</x:v>
      </x:c>
      <x:c r="C582" s="30" t="str">
        <x:v>IBD / GCM</x:v>
      </x:c>
      <x:c r="D582" s="31" t="str">
        <x:v>what kind of companies will receive cash but not yet record it as revenue on the IS, and how would it affect the BS</x:v>
      </x:c>
      <x:c r="E582" s="31" t="str">
        <x:v>What kind of companies will receive cash but not yet record it as revenue on the IS, and how would it affect the BS</x:v>
      </x:c>
      <x:c r="F582" s="31" t="str">
        <x:v>Accounting &amp; Financial Statements</x:v>
      </x:c>
      <x:c r="G582" s="30" t="str">
        <x:v>CL1007</x:v>
      </x:c>
      <x:c r="H582" s="32" t="n">
        <x:f>COUNTIF($G$5:$G$1725,G582)</x:f>
        <x:v>1</x:v>
      </x:c>
      <x:c r="I582" s="30" t="str">
        <x:v>A26</x:v>
      </x:c>
      <x:c r="J582" s="31" t="str">
        <x:v>IBD 1st Round Group Interview - Tech | Beata | 搶答/Group Discussion</x:v>
      </x:c>
    </x:row>
    <x:row r="583" ht="48" customHeight="1">
      <x:c r="A583" s="30" t="str">
        <x:v>QB0888</x:v>
      </x:c>
      <x:c r="B583" s="30" t="str">
        <x:v>Citi</x:v>
      </x:c>
      <x:c r="C583" s="30" t="str">
        <x:v>IBD / GCM</x:v>
      </x:c>
      <x:c r="D583" s="31" t="str">
        <x:v>When to use Gross Revenue vs Net Revenue</x:v>
      </x:c>
      <x:c r="E583" s="31" t="str">
        <x:v>When to use Gross Revenue vs Net Revenue</x:v>
      </x:c>
      <x:c r="F583" s="31" t="str">
        <x:v>Valuation</x:v>
      </x:c>
      <x:c r="G583" s="30" t="str">
        <x:v>CL1081</x:v>
      </x:c>
      <x:c r="H583" s="32" t="n">
        <x:f>COUNTIF($G$5:$G$1725,G583)</x:f>
        <x:v>1</x:v>
      </x:c>
      <x:c r="I583" s="30" t="str">
        <x:v>A27</x:v>
      </x:c>
      <x:c r="J583" s="31" t="str">
        <x:v>Beata | 搶答/Group Discussion | what kind of companies will receive cash but not yet record it as revenue on the IS, and how would it affect the BS</x:v>
      </x:c>
    </x:row>
    <x:row r="584" ht="68" customHeight="1">
      <x:c r="A584" s="30" t="str">
        <x:v>QB0891</x:v>
      </x:c>
      <x:c r="B584" s="30" t="str">
        <x:v>Citi</x:v>
      </x:c>
      <x:c r="C584" s="30" t="str">
        <x:v>IBD / GCM</x:v>
      </x:c>
      <x:c r="D584" s="31" t="str">
        <x:v>pros and cons of dcf, trading comps, precedent transactions, when do u prefer which</x:v>
      </x:c>
      <x:c r="E584" s="31" t="str">
        <x:v>Pros and cons of dcf, trading comps, precedent transactions, when do u prefer which</x:v>
      </x:c>
      <x:c r="F584" s="31" t="str">
        <x:v>Valuation</x:v>
      </x:c>
      <x:c r="G584" s="30" t="str">
        <x:v>CL0655</x:v>
      </x:c>
      <x:c r="H584" s="32" t="n">
        <x:f>COUNTIF($G$5:$G$1725,G584)</x:f>
        <x:v>1</x:v>
      </x:c>
      <x:c r="I584" s="30" t="str">
        <x:v>A30</x:v>
      </x:c>
      <x:c r="J584" s="31" t="str">
        <x:v>When to use Gross Revenue vs Net Revenue | synergies during m&amp;a | followup: someone mentioned that cost synergy is easier to quantify, when ur doing synergies evaluation, how would you quantify</x:v>
      </x:c>
    </x:row>
    <x:row r="585" ht="68" customHeight="1">
      <x:c r="A585" s="30" t="str">
        <x:v>QB0892</x:v>
      </x:c>
      <x:c r="B585" s="30" t="str">
        <x:v>Citi</x:v>
      </x:c>
      <x:c r="C585" s="30" t="str">
        <x:v>IBD / GCM</x:v>
      </x:c>
      <x:c r="D585" s="31" t="str">
        <x:v>given that you have the operating model already, ,and u dont need to do further assumptions, what steps would you take to convert this into an LBO model</x:v>
      </x:c>
      <x:c r="E585" s="31" t="str">
        <x:v>Given that you have the operating model already, ,and u dont need to do further assumptions, what steps would you take to convert this into an LBO model</x:v>
      </x:c>
      <x:c r="F585" s="31" t="str">
        <x:v>Private Equity &amp; LBO</x:v>
      </x:c>
      <x:c r="G585" s="30" t="str">
        <x:v>CL0353</x:v>
      </x:c>
      <x:c r="H585" s="32" t="n">
        <x:f>COUNTIF($G$5:$G$1725,G585)</x:f>
        <x:v>1</x:v>
      </x:c>
      <x:c r="I585" s="30" t="str">
        <x:v>A31</x:v>
      </x:c>
      <x:c r="J585" s="31" t="str">
        <x:v>synergies during m&amp;a | followup: someone mentioned that cost synergy is easier to quantify, when ur doing synergies evaluation, how would you quantify | pros and cons of dcf, trading comps, precedent transactions, when do u prefer which</x:v>
      </x:c>
    </x:row>
    <x:row r="586" ht="92" customHeight="1">
      <x:c r="A586" s="30" t="str">
        <x:v>QB0894</x:v>
      </x:c>
      <x:c r="B586" s="30" t="str">
        <x:v>Citi</x:v>
      </x:c>
      <x:c r="C586" s="30" t="str">
        <x:v>IBD / GCM</x:v>
      </x:c>
      <x:c r="D586" s="31" t="str">
        <x:v>what to include in a one-page company profile</x:v>
      </x:c>
      <x:c r="E586" s="31" t="str">
        <x:v>What to include in a one-page company profile</x:v>
      </x:c>
      <x:c r="F586" s="31" t="str">
        <x:v>Company, Industry &amp; Deals</x:v>
      </x:c>
      <x:c r="G586" s="30" t="str">
        <x:v>CL1033</x:v>
      </x:c>
      <x:c r="H586" s="32" t="n">
        <x:f>COUNTIF($G$5:$G$1725,G586)</x:f>
        <x:v>1</x:v>
      </x:c>
      <x:c r="I586" s="30" t="str">
        <x:v>A33</x:v>
      </x:c>
      <x:c r="J586" s="31" t="str">
        <x:v>pros and cons of dcf, trading comps, precedent transactions, when do u prefer which | given that you have the operating model already, ,and u dont need to do further assumptions, what steps would you take to convert this into an LBO mode...</x:v>
      </x:c>
    </x:row>
    <x:row r="587" ht="48" customHeight="1">
      <x:c r="A587" s="30" t="str">
        <x:v>QB0897</x:v>
      </x:c>
      <x:c r="B587" s="30" t="str">
        <x:v>Citi</x:v>
      </x:c>
      <x:c r="C587" s="30" t="str">
        <x:v>IBD / GCM</x:v>
      </x:c>
      <x:c r="D587" s="31" t="str">
        <x:v>What financial ratios will you take a look when you take a look at the leverage of a company?</x:v>
      </x:c>
      <x:c r="E587" s="31" t="str">
        <x:v>What financial ratios will you take a look when you take a look at the leverage of a company</x:v>
      </x:c>
      <x:c r="F587" s="31" t="str">
        <x:v>Company, Industry &amp; Deals</x:v>
      </x:c>
      <x:c r="G587" s="30" t="str">
        <x:v>CL0945</x:v>
      </x:c>
      <x:c r="H587" s="32" t="n">
        <x:f>COUNTIF($G$5:$G$1725,G587)</x:f>
        <x:v>1</x:v>
      </x:c>
      <x:c r="I587" s="30" t="str">
        <x:v>A37</x:v>
      </x:c>
      <x:c r="J587" s="31" t="str">
        <x:v>what to include in a one-page company profile | Corporate Banking 1st Round Group Interview - Tech | Beata</x:v>
      </x:c>
    </x:row>
    <x:row r="588" ht="48" customHeight="1">
      <x:c r="A588" s="30" t="str">
        <x:v>QB0899</x:v>
      </x:c>
      <x:c r="B588" s="30" t="str">
        <x:v>Citi</x:v>
      </x:c>
      <x:c r="C588" s="30" t="str">
        <x:v>IBD / GCM</x:v>
      </x:c>
      <x:c r="D588" s="31" t="str">
        <x:v>How does the amortizing loan work and how does bullet repayment affect the total interest costs?</x:v>
      </x:c>
      <x:c r="E588" s="31" t="str">
        <x:v>How does the amortizing loan work and how does bullet repayment affect the total interest costs</x:v>
      </x:c>
      <x:c r="F588" s="31" t="str">
        <x:v>Other Question</x:v>
      </x:c>
      <x:c r="G588" s="30" t="str">
        <x:v>CL0434</x:v>
      </x:c>
      <x:c r="H588" s="32" t="n">
        <x:f>COUNTIF($G$5:$G$1725,G588)</x:f>
        <x:v>1</x:v>
      </x:c>
      <x:c r="I588" s="30" t="str">
        <x:v>A41</x:v>
      </x:c>
      <x:c r="J588" s="31" t="str">
        <x:v>Beata | What financial ratios will you take a look when you take a look at the leverage of a company? | l Solvency and liquidity ratios</x:v>
      </x:c>
    </x:row>
    <x:row r="589" ht="68" customHeight="1">
      <x:c r="A589" s="30" t="str">
        <x:v>QB0900</x:v>
      </x:c>
      <x:c r="B589" s="30" t="str">
        <x:v>Citi</x:v>
      </x:c>
      <x:c r="C589" s="30" t="str">
        <x:v>IBD / GCM</x:v>
      </x:c>
      <x:c r="D589" s="31" t="str">
        <x:v>Affiliate vs subsidiary and how are they reflected differently on FS?</x:v>
      </x:c>
      <x:c r="E589" s="31" t="str">
        <x:v>Affiliate vs subsidiary and how are they reflected differently on FS</x:v>
      </x:c>
      <x:c r="F589" s="31" t="str">
        <x:v>Other Question</x:v>
      </x:c>
      <x:c r="G589" s="30" t="str">
        <x:v>CL0103</x:v>
      </x:c>
      <x:c r="H589" s="32" t="n">
        <x:f>COUNTIF($G$5:$G$1725,G589)</x:f>
        <x:v>1</x:v>
      </x:c>
      <x:c r="I589" s="30" t="str">
        <x:v>A43</x:v>
      </x:c>
      <x:c r="J589" s="31" t="str">
        <x:v>What financial ratios will you take a look when you take a look at the leverage of a company? | l Solvency and liquidity ratios | How does the amortizing loan work and how does bullet repayment affect the total interest costs?</x:v>
      </x:c>
    </x:row>
    <x:row r="590" ht="68" customHeight="1">
      <x:c r="A590" s="30" t="str">
        <x:v>QB0901</x:v>
      </x:c>
      <x:c r="B590" s="30" t="str">
        <x:v>Citi</x:v>
      </x:c>
      <x:c r="C590" s="30" t="str">
        <x:v>IBD / GCM</x:v>
      </x:c>
      <x:c r="D590" s="31" t="str">
        <x:v>Difference between liquidity and solvency?</x:v>
      </x:c>
      <x:c r="E590" s="31" t="str">
        <x:v>Difference between liquidity and solvency</x:v>
      </x:c>
      <x:c r="F590" s="31" t="str">
        <x:v>Other Question</x:v>
      </x:c>
      <x:c r="G590" s="30" t="str">
        <x:v>CL0254</x:v>
      </x:c>
      <x:c r="H590" s="32" t="n">
        <x:f>COUNTIF($G$5:$G$1725,G590)</x:f>
        <x:v>1</x:v>
      </x:c>
      <x:c r="I590" s="30" t="str">
        <x:v>A45</x:v>
      </x:c>
      <x:c r="J590" s="31" t="str">
        <x:v>l Solvency and liquidity ratios | How does the amortizing loan work and how does bullet repayment affect the total interest costs? | Affiliate vs subsidiary and how are they reflected differently on FS?</x:v>
      </x:c>
    </x:row>
    <x:row r="591" ht="68" customHeight="1">
      <x:c r="A591" s="30" t="str">
        <x:v>QB0902</x:v>
      </x:c>
      <x:c r="B591" s="30" t="str">
        <x:v>Citi</x:v>
      </x:c>
      <x:c r="C591" s="30" t="str">
        <x:v>IBD / GCM</x:v>
      </x:c>
      <x:c r="D591" s="31" t="str">
        <x:v>Key diff between cash balance and free cash flow?</x:v>
      </x:c>
      <x:c r="E591" s="31" t="str">
        <x:v>Key diff between cash balance and free cash flow</x:v>
      </x:c>
      <x:c r="F591" s="31" t="str">
        <x:v>Accounting &amp; Financial Statements</x:v>
      </x:c>
      <x:c r="G591" s="30" t="str">
        <x:v>CL0567</x:v>
      </x:c>
      <x:c r="H591" s="32" t="n">
        <x:f>COUNTIF($G$5:$G$1725,G591)</x:f>
        <x:v>1</x:v>
      </x:c>
      <x:c r="I591" s="30" t="str">
        <x:v>A47</x:v>
      </x:c>
      <x:c r="J591" s="31" t="str">
        <x:v>How does the amortizing loan work and how does bullet repayment affect the total interest costs? | Affiliate vs subsidiary and how are they reflected differently on FS? | Difference between liquidity and solvency?</x:v>
      </x:c>
    </x:row>
    <x:row r="592" ht="68" customHeight="1">
      <x:c r="A592" s="30" t="str">
        <x:v>QB0903</x:v>
      </x:c>
      <x:c r="B592" s="30" t="str">
        <x:v>Citi</x:v>
      </x:c>
      <x:c r="C592" s="30" t="str">
        <x:v>IBD / GCM</x:v>
      </x:c>
      <x:c r="D592" s="31" t="str">
        <x:v>Factors to consider when extending a loan to clients?</x:v>
      </x:c>
      <x:c r="E592" s="31" t="str">
        <x:v>Factors to consider when extending a loan to clients</x:v>
      </x:c>
      <x:c r="F592" s="31" t="str">
        <x:v>Other Question</x:v>
      </x:c>
      <x:c r="G592" s="30" t="str">
        <x:v>CL0323</x:v>
      </x:c>
      <x:c r="H592" s="32" t="n">
        <x:f>COUNTIF($G$5:$G$1725,G592)</x:f>
        <x:v>1</x:v>
      </x:c>
      <x:c r="I592" s="30" t="str">
        <x:v>A49</x:v>
      </x:c>
      <x:c r="J592" s="31" t="str">
        <x:v>Affiliate vs subsidiary and how are they reflected differently on FS? | Difference between liquidity and solvency? | Key diff between cash balance and free cash flow?</x:v>
      </x:c>
    </x:row>
    <x:row r="593" ht="48" customHeight="1">
      <x:c r="A593" s="30" t="str">
        <x:v>QB0904</x:v>
      </x:c>
      <x:c r="B593" s="30" t="str">
        <x:v>Citi</x:v>
      </x:c>
      <x:c r="C593" s="30" t="str">
        <x:v>IBD / GCM</x:v>
      </x:c>
      <x:c r="D593" s="31" t="str">
        <x:v>How does credit default swaps work, what are some other ways to hedge balance sheet exposure?</x:v>
      </x:c>
      <x:c r="E593" s="31" t="str">
        <x:v>How does credit default swaps work, what are some other ways to hedge balance sheet exposure</x:v>
      </x:c>
      <x:c r="F593" s="31" t="str">
        <x:v>Accounting &amp; Financial Statements</x:v>
      </x:c>
      <x:c r="G593" s="30" t="str">
        <x:v>CL0432</x:v>
      </x:c>
      <x:c r="H593" s="32" t="n">
        <x:f>COUNTIF($G$5:$G$1725,G593)</x:f>
        <x:v>1</x:v>
      </x:c>
      <x:c r="I593" s="30" t="str">
        <x:v>A51</x:v>
      </x:c>
      <x:c r="J593" s="31" t="str">
        <x:v>Difference between liquidity and solvency? | Key diff between cash balance and free cash flow? | Factors to consider when extending a loan to clients?</x:v>
      </x:c>
    </x:row>
    <x:row r="594" ht="68" customHeight="1">
      <x:c r="A594" s="30" t="str">
        <x:v>QB0905</x:v>
      </x:c>
      <x:c r="B594" s="30" t="str">
        <x:v>Citi</x:v>
      </x:c>
      <x:c r="C594" s="30" t="str">
        <x:v>IBD / GCM</x:v>
      </x:c>
      <x:c r="D594" s="31" t="str">
        <x:v>What considerations for the bank take into account when making a decision on bank loan or bond issuance for the corporates?</x:v>
      </x:c>
      <x:c r="E594" s="31" t="str">
        <x:v>What considerations for the bank take into account when making a decision on bank loan or bond issuance for the corporates</x:v>
      </x:c>
      <x:c r="F594" s="31" t="str">
        <x:v>Capital Markets &amp; Financing</x:v>
      </x:c>
      <x:c r="G594" s="30" t="str">
        <x:v>CL0891</x:v>
      </x:c>
      <x:c r="H594" s="32" t="n">
        <x:f>COUNTIF($G$5:$G$1725,G594)</x:f>
        <x:v>1</x:v>
      </x:c>
      <x:c r="I594" s="30" t="str">
        <x:v>A53</x:v>
      </x:c>
      <x:c r="J594" s="31" t="str">
        <x:v>Key diff between cash balance and free cash flow? | Factors to consider when extending a loan to clients? | How does credit default swaps work, what are some other ways to hedge balance sheet exposure?</x:v>
      </x:c>
    </x:row>
    <x:row r="595" ht="92" customHeight="1">
      <x:c r="A595" s="30" t="str">
        <x:v>QB0906</x:v>
      </x:c>
      <x:c r="B595" s="30" t="str">
        <x:v>Citi</x:v>
      </x:c>
      <x:c r="C595" s="30" t="str">
        <x:v>IBD / GCM</x:v>
      </x:c>
      <x:c r="D595" s="31" t="str">
        <x:v>What can companies use with excess cash?</x:v>
      </x:c>
      <x:c r="E595" s="31" t="str">
        <x:v>What can companies use with excess cash</x:v>
      </x:c>
      <x:c r="F595" s="31" t="str">
        <x:v>Company, Industry &amp; Deals</x:v>
      </x:c>
      <x:c r="G595" s="30" t="str">
        <x:v>CL0888</x:v>
      </x:c>
      <x:c r="H595" s="32" t="n">
        <x:f>COUNTIF($G$5:$G$1725,G595)</x:f>
        <x:v>1</x:v>
      </x:c>
      <x:c r="I595" s="30" t="str">
        <x:v>A55</x:v>
      </x:c>
      <x:c r="J595" s="31" t="str">
        <x:v>Factors to consider when extending a loan to clients? | How does credit default swaps work, what are some other ways to hedge balance sheet exposure? | What considerations for the bank take into account when making a decision on bank loa...</x:v>
      </x:c>
    </x:row>
    <x:row r="596" ht="92" customHeight="1">
      <x:c r="A596" s="30" t="str">
        <x:v>QB0907</x:v>
      </x:c>
      <x:c r="B596" s="30" t="str">
        <x:v>Citi</x:v>
      </x:c>
      <x:c r="C596" s="30" t="str">
        <x:v>IBD / GCM</x:v>
      </x:c>
      <x:c r="D596" s="31" t="str">
        <x:v>What does negative NWC mean and how to improve WC?</x:v>
      </x:c>
      <x:c r="E596" s="31" t="str">
        <x:v>What does negative NWC mean and how to improve WC</x:v>
      </x:c>
      <x:c r="F596" s="31" t="str">
        <x:v>Accounting &amp; Financial Statements</x:v>
      </x:c>
      <x:c r="G596" s="30" t="str">
        <x:v>CL0941</x:v>
      </x:c>
      <x:c r="H596" s="32" t="n">
        <x:f>COUNTIF($G$5:$G$1725,G596)</x:f>
        <x:v>1</x:v>
      </x:c>
      <x:c r="I596" s="30" t="str">
        <x:v>A57</x:v>
      </x:c>
      <x:c r="J596" s="31" t="str">
        <x:v>How does credit default swaps work, what are some other ways to hedge balance sheet exposure? | What considerations for the bank take into account when making a decision on bank loan or bond issuance for the corporates? | What can compan...</x:v>
      </x:c>
    </x:row>
    <x:row r="597" ht="68" customHeight="1">
      <x:c r="A597" s="30" t="str">
        <x:v>QB0908</x:v>
      </x:c>
      <x:c r="B597" s="30" t="str">
        <x:v>Citi</x:v>
      </x:c>
      <x:c r="C597" s="30" t="str">
        <x:v>IBD / GCM</x:v>
      </x:c>
      <x:c r="D597" s="31" t="str">
        <x:v>What are the three valuation methodologies?</x:v>
      </x:c>
      <x:c r="E597" s="31" t="str">
        <x:v>What are the main valuation methodologies?</x:v>
      </x:c>
      <x:c r="F597" s="31" t="str">
        <x:v>Valuation</x:v>
      </x:c>
      <x:c r="G597" s="30" t="str">
        <x:v>CL0010</x:v>
      </x:c>
      <x:c r="H597" s="32" t="n">
        <x:f>COUNTIF($G$5:$G$1725,G597)</x:f>
        <x:v>13</x:v>
      </x:c>
      <x:c r="I597" s="30" t="str">
        <x:v>A59</x:v>
      </x:c>
      <x:c r="J597" s="31" t="str">
        <x:v>What considerations for the bank take into account when making a decision on bank loan or bond issuance for the corporates? | What can companies use with excess cash? | What does negative NWC mean and how to improve WC?</x:v>
      </x:c>
    </x:row>
    <x:row r="598" ht="48" customHeight="1">
      <x:c r="A598" s="30" t="str">
        <x:v>QB0909</x:v>
      </x:c>
      <x:c r="B598" s="30" t="str">
        <x:v>Citi</x:v>
      </x:c>
      <x:c r="C598" s="30" t="str">
        <x:v>IBD / GCM</x:v>
      </x:c>
      <x:c r="D598" s="31" t="str">
        <x:v>What’s the difference between valuing a private and public company?</x:v>
      </x:c>
      <x:c r="E598" s="31" t="str">
        <x:v>What’s the difference between valuing a private and public company</x:v>
      </x:c>
      <x:c r="F598" s="31" t="str">
        <x:v>Company, Industry &amp; Deals</x:v>
      </x:c>
      <x:c r="G598" s="30" t="str">
        <x:v>CL1053</x:v>
      </x:c>
      <x:c r="H598" s="32" t="n">
        <x:f>COUNTIF($G$5:$G$1725,G598)</x:f>
        <x:v>1</x:v>
      </x:c>
      <x:c r="I598" s="30" t="str">
        <x:v>A61</x:v>
      </x:c>
      <x:c r="J598" s="31" t="str">
        <x:v>What can companies use with excess cash? | What does negative NWC mean and how to improve WC? | What are the three valuation methodologies?</x:v>
      </x:c>
    </x:row>
    <x:row r="599" ht="68" customHeight="1">
      <x:c r="A599" s="30" t="str">
        <x:v>QB0910</x:v>
      </x:c>
      <x:c r="B599" s="30" t="str">
        <x:v>Citi</x:v>
      </x:c>
      <x:c r="C599" s="30" t="str">
        <x:v>IBD / GCM</x:v>
      </x:c>
      <x:c r="D599" s="31" t="str">
        <x:v>Why would a company do M&amp;A from a strategic/financial aspect?</x:v>
      </x:c>
      <x:c r="E599" s="31" t="str">
        <x:v>Why would a company do M&amp;A from a strategic/financial aspect</x:v>
      </x:c>
      <x:c r="F599" s="31" t="str">
        <x:v>Fit &amp; Motivation</x:v>
      </x:c>
      <x:c r="G599" s="30" t="str">
        <x:v>CL1175</x:v>
      </x:c>
      <x:c r="H599" s="32" t="n">
        <x:f>COUNTIF($G$5:$G$1725,G599)</x:f>
        <x:v>1</x:v>
      </x:c>
      <x:c r="I599" s="30" t="str">
        <x:v>A63</x:v>
      </x:c>
      <x:c r="J599" s="31" t="str">
        <x:v>What does negative NWC mean and how to improve WC? | What are the three valuation methodologies? | What’s the difference between valuing a private and public company?</x:v>
      </x:c>
    </x:row>
    <x:row r="600" ht="48" customHeight="1">
      <x:c r="A600" s="30" t="str">
        <x:v>QB0920</x:v>
      </x:c>
      <x:c r="B600" s="30" t="str">
        <x:v>Citi</x:v>
      </x:c>
      <x:c r="C600" s="30" t="str">
        <x:v>IBD / GCM</x:v>
      </x:c>
      <x:c r="D600" s="31" t="str">
        <x:v>Don’t be aggressive, I personally answered 3 to 4 questions, and didn’t answer the most difficult LBO question, but still got into the 2nd round interview</x:v>
      </x:c>
      <x:c r="E600" s="31" t="str">
        <x:v>Don’t be aggressive, I personally answered 3 to 4 questions, and didn’t answer the most difficult LBO question, but still got into the 2nd round interview</x:v>
      </x:c>
      <x:c r="F600" s="31" t="str">
        <x:v>Behavioral &amp; Situational</x:v>
      </x:c>
      <x:c r="G600" s="30" t="str">
        <x:v>CL0303</x:v>
      </x:c>
      <x:c r="H600" s="32" t="n">
        <x:f>COUNTIF($G$5:$G$1725,G600)</x:f>
        <x:v>1</x:v>
      </x:c>
      <x:c r="I600" s="30" t="str">
        <x:v>A89</x:v>
      </x:c>
      <x:c r="J600" s="31" t="str">
        <x:v>Technical questions: | Race to be the first to answer | Questions range from easiest 3-statement questions to LBO model, widely covered but not so deep</x:v>
      </x:c>
    </x:row>
    <x:row r="601" ht="92" customHeight="1">
      <x:c r="A601" s="30" t="str">
        <x:v>QB0922</x:v>
      </x:c>
      <x:c r="B601" s="30" t="str">
        <x:v>Citi</x:v>
      </x:c>
      <x:c r="C601" s="30" t="str">
        <x:v>IBD / GCM</x:v>
      </x:c>
      <x:c r="D601" s="31" t="str">
        <x:v>CV questions: all about your experience, detailed to modeling</x:v>
      </x:c>
      <x:c r="E601" s="31" t="str">
        <x:v>CV questions: all about your experience, detailed to modeling</x:v>
      </x:c>
      <x:c r="F601" s="31" t="str">
        <x:v>Resume &amp; Experience</x:v>
      </x:c>
      <x:c r="G601" s="30" t="str">
        <x:v>CL0216</x:v>
      </x:c>
      <x:c r="H601" s="32" t="n">
        <x:f>COUNTIF($G$5:$G$1725,G601)</x:f>
        <x:v>1</x:v>
      </x:c>
      <x:c r="I601" s="30" t="str">
        <x:v>A92</x:v>
      </x:c>
      <x:c r="J601" s="31" t="str">
        <x:v>Questions range from easiest 3-statement questions to LBO model, widely covered but not so deep | Don’t be aggressive, I personally answered 3 to 4 questions, and didn’t answer the most difficult LBO question, but still got into the 2nd ...</x:v>
      </x:c>
    </x:row>
    <x:row r="602" ht="68" customHeight="1">
      <x:c r="A602" s="30" t="str">
        <x:v>QB0923</x:v>
      </x:c>
      <x:c r="B602" s="30" t="str">
        <x:v>Citi</x:v>
      </x:c>
      <x:c r="C602" s="30" t="str">
        <x:v>IBD / GCM</x:v>
      </x:c>
      <x:c r="D602" s="31" t="str">
        <x:v>As most of the technical Qs are covered by the 1st round, this part didn’t involve pure tech, but very experience-driven</x:v>
      </x:c>
      <x:c r="E602" s="31" t="str">
        <x:v>As most of the technical Qs are covered by the 1st round, this part didn’t involve pure tech, but very experience-driven</x:v>
      </x:c>
      <x:c r="F602" s="31" t="str">
        <x:v>Resume &amp; Experience</x:v>
      </x:c>
      <x:c r="G602" s="30" t="str">
        <x:v>CL0140</x:v>
      </x:c>
      <x:c r="H602" s="32" t="n">
        <x:f>COUNTIF($G$5:$G$1725,G602)</x:f>
        <x:v>1</x:v>
      </x:c>
      <x:c r="I602" s="30" t="str">
        <x:v>A93</x:v>
      </x:c>
      <x:c r="J602" s="31" t="str">
        <x:v>Don’t be aggressive, I personally answered 3 to 4 questions, and didn’t answer the most difficult LBO question, but still got into the 2nd round interview | 2nd round: individual interview | CV questions: all about your experience, detai...</x:v>
      </x:c>
    </x:row>
    <x:row r="603" ht="68" customHeight="1">
      <x:c r="A603" s="30" t="str">
        <x:v>QB0924</x:v>
      </x:c>
      <x:c r="B603" s="30" t="str">
        <x:v>Citi</x:v>
      </x:c>
      <x:c r="C603" s="30" t="str">
        <x:v>IBD / GCM</x:v>
      </x:c>
      <x:c r="D603" s="31" t="str">
        <x:v>Self-introduction</x:v>
      </x:c>
      <x:c r="E603" s="31" t="str">
        <x:v>Tell me about yourself / walk me through your resume</x:v>
      </x:c>
      <x:c r="F603" s="31" t="str">
        <x:v>Resume &amp; Experience</x:v>
      </x:c>
      <x:c r="G603" s="30" t="str">
        <x:v>CL0001</x:v>
      </x:c>
      <x:c r="H603" s="32" t="n">
        <x:f>COUNTIF($G$5:$G$1725,G603)</x:f>
        <x:v>170</x:v>
      </x:c>
      <x:c r="I603" s="30" t="str">
        <x:v>A94</x:v>
      </x:c>
      <x:c r="J603" s="31" t="str">
        <x:v>2nd round: individual interview | CV questions: all about your experience, detailed to modeling | As most of the technical Qs are covered by the 1st round, this part didn’t involve pure tech, but very experience-driven</x:v>
      </x:c>
    </x:row>
    <x:row r="604" ht="68" customHeight="1">
      <x:c r="A604" s="30" t="str">
        <x:v>QB0926</x:v>
      </x:c>
      <x:c r="B604" s="30" t="str">
        <x:v>Citi</x:v>
      </x:c>
      <x:c r="C604" s="30" t="str">
        <x:v>IBD / GCM</x:v>
      </x:c>
      <x:c r="D604" s="31" t="str">
        <x:v>Tell me about a story when you OT, can you accept long hours</x:v>
      </x:c>
      <x:c r="E604" s="31" t="str">
        <x:v>Tell me about a story when you OT, can you accept long hours</x:v>
      </x:c>
      <x:c r="F604" s="31" t="str">
        <x:v>Fit &amp; Motivation</x:v>
      </x:c>
      <x:c r="G604" s="30" t="str">
        <x:v>CL0728</x:v>
      </x:c>
      <x:c r="H604" s="32" t="n">
        <x:f>COUNTIF($G$5:$G$1725,G604)</x:f>
        <x:v>1</x:v>
      </x:c>
      <x:c r="I604" s="30" t="str">
        <x:v>A96</x:v>
      </x:c>
      <x:c r="J604" s="31" t="str">
        <x:v>As most of the technical Qs are covered by the 1st round, this part didn’t involve pure tech, but very experience-driven | Self-introduction | Passion: why IBD, why CITI</x:v>
      </x:c>
    </x:row>
    <x:row r="605" ht="32" customHeight="1">
      <x:c r="A605" s="30" t="str">
        <x:v>QB0938</x:v>
      </x:c>
      <x:c r="B605" s="30" t="str">
        <x:v>Barclays</x:v>
      </x:c>
      <x:c r="C605" s="30" t="str">
        <x:v>IBD / GCM</x:v>
      </x:c>
      <x:c r="D605" s="31" t="str">
        <x:v>Self intro: walk me through your experiences</x:v>
      </x:c>
      <x:c r="E605" s="31" t="str">
        <x:v>Tell me about yourself / walk me through your resume</x:v>
      </x:c>
      <x:c r="F605" s="31" t="str">
        <x:v>Resume &amp; Experience</x:v>
      </x:c>
      <x:c r="G605" s="30" t="str">
        <x:v>CL0001</x:v>
      </x:c>
      <x:c r="H605" s="32" t="n">
        <x:f>COUNTIF($G$5:$G$1725,G605)</x:f>
        <x:v>170</x:v>
      </x:c>
      <x:c r="I605" s="30" t="str">
        <x:v>A4</x:v>
      </x:c>
      <x:c r="J605" s="31" t="str">
        <x:v>2024 SA | Emily | Emily 1st round</x:v>
      </x:c>
    </x:row>
    <x:row r="606" ht="32" customHeight="1">
      <x:c r="A606" s="30" t="str">
        <x:v>QB0939</x:v>
      </x:c>
      <x:c r="B606" s="30" t="str">
        <x:v>Barclays</x:v>
      </x:c>
      <x:c r="C606" s="30" t="str">
        <x:v>IBD / GCM</x:v>
      </x:c>
      <x:c r="D606" s="31" t="str">
        <x:v>Her self intro</x:v>
      </x:c>
      <x:c r="E606" s="31" t="str">
        <x:v>Tell me about yourself / walk me through your resume</x:v>
      </x:c>
      <x:c r="F606" s="31" t="str">
        <x:v>Resume &amp; Experience</x:v>
      </x:c>
      <x:c r="G606" s="30" t="str">
        <x:v>CL0001</x:v>
      </x:c>
      <x:c r="H606" s="32" t="n">
        <x:f>COUNTIF($G$5:$G$1725,G606)</x:f>
        <x:v>170</x:v>
      </x:c>
      <x:c r="I606" s="30" t="str">
        <x:v>C4</x:v>
      </x:c>
      <x:c r="J606" s="31" t="str">
        <x:v>2nd round | Emily 1st round</x:v>
      </x:c>
    </x:row>
    <x:row r="607" ht="32" customHeight="1">
      <x:c r="A607" s="30" t="str">
        <x:v>QB0942</x:v>
      </x:c>
      <x:c r="B607" s="30" t="str">
        <x:v>Barclays</x:v>
      </x:c>
      <x:c r="C607" s="30" t="str">
        <x:v>IBD / GCM</x:v>
      </x:c>
      <x:c r="D607" s="31" t="str">
        <x:v>Why IBD and why Barclays</x:v>
      </x:c>
      <x:c r="E607" s="31" t="str">
        <x:v>Why investment banking?</x:v>
      </x:c>
      <x:c r="F607" s="31" t="str">
        <x:v>Fit &amp; Motivation</x:v>
      </x:c>
      <x:c r="G607" s="30" t="str">
        <x:v>CL0003</x:v>
      </x:c>
      <x:c r="H607" s="32" t="n">
        <x:f>COUNTIF($G$5:$G$1725,G607)</x:f>
        <x:v>34</x:v>
      </x:c>
      <x:c r="I607" s="30" t="str">
        <x:v>A5</x:v>
      </x:c>
      <x:c r="J607" s="31" t="str">
        <x:v>Emily | Emily 1st round | Self intro: walk me through your experiences</x:v>
      </x:c>
    </x:row>
    <x:row r="608" ht="32" customHeight="1">
      <x:c r="A608" s="30" t="str">
        <x:v>QB0943</x:v>
      </x:c>
      <x:c r="B608" s="30" t="str">
        <x:v>Barclays</x:v>
      </x:c>
      <x:c r="C608" s="30" t="str">
        <x:v>IBD / GCM</x:v>
      </x:c>
      <x:c r="D608" s="31" t="str">
        <x:v>Tell me about yourself</x:v>
      </x:c>
      <x:c r="E608" s="31" t="str">
        <x:v>Tell me about yourself / walk me through your resume</x:v>
      </x:c>
      <x:c r="F608" s="31" t="str">
        <x:v>Other Question</x:v>
      </x:c>
      <x:c r="G608" s="30" t="str">
        <x:v>CL0001</x:v>
      </x:c>
      <x:c r="H608" s="32" t="n">
        <x:f>COUNTIF($G$5:$G$1725,G608)</x:f>
        <x:v>170</x:v>
      </x:c>
      <x:c r="I608" s="30" t="str">
        <x:v>C5</x:v>
      </x:c>
      <x:c r="J608" s="31" t="str">
        <x:v>2nd round | Emily 1st round | Her self intro</x:v>
      </x:c>
    </x:row>
    <x:row r="609" ht="32" customHeight="1">
      <x:c r="A609" s="30" t="str">
        <x:v>QB0944</x:v>
      </x:c>
      <x:c r="B609" s="30" t="str">
        <x:v>Barclays</x:v>
      </x:c>
      <x:c r="C609" s="30" t="str">
        <x:v>IBD / GCM</x:v>
      </x:c>
      <x:c r="D609" s="31" t="str">
        <x:v>self intro</x:v>
      </x:c>
      <x:c r="E609" s="31" t="str">
        <x:v>Tell me about yourself / walk me through your resume</x:v>
      </x:c>
      <x:c r="F609" s="31" t="str">
        <x:v>Resume &amp; Experience</x:v>
      </x:c>
      <x:c r="G609" s="30" t="str">
        <x:v>CL0001</x:v>
      </x:c>
      <x:c r="H609" s="32" t="n">
        <x:f>COUNTIF($G$5:$G$1725,G609)</x:f>
        <x:v>170</x:v>
      </x:c>
      <x:c r="I609" s="30" t="str">
        <x:v>E5</x:v>
      </x:c>
      <x:c r="J609" s="31" t="str">
        <x:v>SPD Regan | Regan | Henry (more tech, aggresive, drill)</x:v>
      </x:c>
    </x:row>
    <x:row r="610" ht="32" customHeight="1">
      <x:c r="A610" s="30" t="str">
        <x:v>QB0945</x:v>
      </x:c>
      <x:c r="B610" s="30" t="str">
        <x:v>Barclays</x:v>
      </x:c>
      <x:c r="C610" s="30" t="str">
        <x:v>IBD / GCM</x:v>
      </x:c>
      <x:c r="D610" s="31" t="str">
        <x:v>Self Intro</x:v>
      </x:c>
      <x:c r="E610" s="31" t="str">
        <x:v>Tell me about yourself / walk me through your resume</x:v>
      </x:c>
      <x:c r="F610" s="31" t="str">
        <x:v>Resume &amp; Experience</x:v>
      </x:c>
      <x:c r="G610" s="30" t="str">
        <x:v>CL0001</x:v>
      </x:c>
      <x:c r="H610" s="32" t="n">
        <x:f>COUNTIF($G$5:$G$1725,G610)</x:f>
        <x:v>170</x:v>
      </x:c>
      <x:c r="I610" s="30" t="str">
        <x:v>G5</x:v>
      </x:c>
      <x:c r="J610" s="31" t="str">
        <x:v>18 Barclays SPD Emily | Emily | Henry</x:v>
      </x:c>
    </x:row>
    <x:row r="611" ht="32" customHeight="1">
      <x:c r="A611" s="30" t="str">
        <x:v>QB0946</x:v>
      </x:c>
      <x:c r="B611" s="30" t="str">
        <x:v>Barclays</x:v>
      </x:c>
      <x:c r="C611" s="30" t="str">
        <x:v>IBD / GCM</x:v>
      </x:c>
      <x:c r="D611" s="31" t="str">
        <x:v>How do you manage risks?</x:v>
      </x:c>
      <x:c r="E611" s="31" t="str">
        <x:v>How do you manage risks</x:v>
      </x:c>
      <x:c r="F611" s="31" t="str">
        <x:v>Other Question</x:v>
      </x:c>
      <x:c r="G611" s="30" t="str">
        <x:v>CL0418</x:v>
      </x:c>
      <x:c r="H611" s="32" t="n">
        <x:f>COUNTIF($G$5:$G$1725,G611)</x:f>
        <x:v>1</x:v>
      </x:c>
      <x:c r="I611" s="30" t="str">
        <x:v>A6</x:v>
      </x:c>
      <x:c r="J611" s="31" t="str">
        <x:v>Emily 1st round | Self intro: walk me through your experiences | Why IBD and why Barclays</x:v>
      </x:c>
    </x:row>
    <x:row r="612" ht="48" customHeight="1">
      <x:c r="A612" s="30" t="str">
        <x:v>QB0947</x:v>
      </x:c>
      <x:c r="B612" s="30" t="str">
        <x:v>Barclays</x:v>
      </x:c>
      <x:c r="C612" s="30" t="str">
        <x:v>IBD / GCM</x:v>
      </x:c>
      <x:c r="D612" s="31" t="str">
        <x:v>Tell me more about your case competition experience, what is your role in that case competition and in a team setting?</x:v>
      </x:c>
      <x:c r="E612" s="31" t="str">
        <x:v>Tell me more about your case competition experience, what is your role in that case competition and in a team setting</x:v>
      </x:c>
      <x:c r="F612" s="31" t="str">
        <x:v>Resume &amp; Experience</x:v>
      </x:c>
      <x:c r="G612" s="30" t="str">
        <x:v>CL0769</x:v>
      </x:c>
      <x:c r="H612" s="32" t="n">
        <x:f>COUNTIF($G$5:$G$1725,G612)</x:f>
        <x:v>1</x:v>
      </x:c>
      <x:c r="I612" s="30" t="str">
        <x:v>C6</x:v>
      </x:c>
      <x:c r="J612" s="31" t="str">
        <x:v>Emily 1st round | Her self intro | Tell me about yourself</x:v>
      </x:c>
    </x:row>
    <x:row r="613" ht="32" customHeight="1">
      <x:c r="A613" s="30" t="str">
        <x:v>QB0948</x:v>
      </x:c>
      <x:c r="B613" s="30" t="str">
        <x:v>Barclays</x:v>
      </x:c>
      <x:c r="C613" s="30" t="str">
        <x:v>IBD / GCM</x:v>
      </x:c>
      <x:c r="D613" s="31" t="str">
        <x:v>tell me about your deal exp</x:v>
      </x:c>
      <x:c r="E613" s="31" t="str">
        <x:v>Tell me about your deal exp</x:v>
      </x:c>
      <x:c r="F613" s="31" t="str">
        <x:v>Company, Industry &amp; Deals</x:v>
      </x:c>
      <x:c r="G613" s="30" t="str">
        <x:v>CL0751</x:v>
      </x:c>
      <x:c r="H613" s="32" t="n">
        <x:f>COUNTIF($G$5:$G$1725,G613)</x:f>
        <x:v>1</x:v>
      </x:c>
      <x:c r="I613" s="30" t="str">
        <x:v>E6</x:v>
      </x:c>
      <x:c r="J613" s="31" t="str">
        <x:v>Regan | Henry (more tech, aggresive, drill) | self intro</x:v>
      </x:c>
    </x:row>
    <x:row r="614" ht="32" customHeight="1">
      <x:c r="A614" s="30" t="str">
        <x:v>QB0949</x:v>
      </x:c>
      <x:c r="B614" s="30" t="str">
        <x:v>Barclays</x:v>
      </x:c>
      <x:c r="C614" s="30" t="str">
        <x:v>IBD / GCM</x:v>
      </x:c>
      <x:c r="D614" s="31" t="str">
        <x:v>Your experience in HKEX and what do you usually look at</x:v>
      </x:c>
      <x:c r="E614" s="31" t="str">
        <x:v>Your experience in HKEX and what do you usually look at</x:v>
      </x:c>
      <x:c r="F614" s="31" t="str">
        <x:v>Resume &amp; Experience</x:v>
      </x:c>
      <x:c r="G614" s="30" t="str">
        <x:v>CL1214</x:v>
      </x:c>
      <x:c r="H614" s="32" t="n">
        <x:f>COUNTIF($G$5:$G$1725,G614)</x:f>
        <x:v>1</x:v>
      </x:c>
      <x:c r="I614" s="30" t="str">
        <x:v>G6</x:v>
      </x:c>
      <x:c r="J614" s="31" t="str">
        <x:v>Emily | Henry | Self Intro</x:v>
      </x:c>
    </x:row>
    <x:row r="615" ht="48" customHeight="1">
      <x:c r="A615" s="30" t="str">
        <x:v>QB0950</x:v>
      </x:c>
      <x:c r="B615" s="30" t="str">
        <x:v>Barclays</x:v>
      </x:c>
      <x:c r="C615" s="30" t="str">
        <x:v>IBD / GCM</x:v>
      </x:c>
      <x:c r="D615" s="31" t="str">
        <x:v>What are your strengths?</x:v>
      </x:c>
      <x:c r="E615" s="31" t="str">
        <x:v>What are your strengths</x:v>
      </x:c>
      <x:c r="F615" s="31" t="str">
        <x:v>Behavioral &amp; Situational</x:v>
      </x:c>
      <x:c r="G615" s="30" t="str">
        <x:v>CL0887</x:v>
      </x:c>
      <x:c r="H615" s="32" t="n">
        <x:f>COUNTIF($G$5:$G$1725,G615)</x:f>
        <x:v>1</x:v>
      </x:c>
      <x:c r="I615" s="30" t="str">
        <x:v>A7</x:v>
      </x:c>
      <x:c r="J615" s="31" t="str">
        <x:v>Self intro: walk me through your experiences | Why IBD and why Barclays | How do you manage risks?</x:v>
      </x:c>
    </x:row>
    <x:row r="616" ht="48" customHeight="1">
      <x:c r="A616" s="30" t="str">
        <x:v>QB0951</x:v>
      </x:c>
      <x:c r="B616" s="30" t="str">
        <x:v>Barclays</x:v>
      </x:c>
      <x:c r="C616" s="30" t="str">
        <x:v>IBD / GCM</x:v>
      </x:c>
      <x:c r="D616" s="31" t="str">
        <x:v>How did you do valuation for the target company</x:v>
      </x:c>
      <x:c r="E616" s="31" t="str">
        <x:v>How did you do valuation for the target company</x:v>
      </x:c>
      <x:c r="F616" s="31" t="str">
        <x:v>Valuation</x:v>
      </x:c>
      <x:c r="G616" s="30" t="str">
        <x:v>CL0386</x:v>
      </x:c>
      <x:c r="H616" s="32" t="n">
        <x:f>COUNTIF($G$5:$G$1725,G616)</x:f>
        <x:v>1</x:v>
      </x:c>
      <x:c r="I616" s="30" t="str">
        <x:v>C7</x:v>
      </x:c>
      <x:c r="J616" s="31" t="str">
        <x:v>Her self intro | Tell me about yourself | Tell me more about your case competition experience, what is your role in that case competition and in a team setting?</x:v>
      </x:c>
    </x:row>
    <x:row r="617" ht="32" customHeight="1">
      <x:c r="A617" s="30" t="str">
        <x:v>QB0952</x:v>
      </x:c>
      <x:c r="B617" s="30" t="str">
        <x:v>Barclays</x:v>
      </x:c>
      <x:c r="C617" s="30" t="str">
        <x:v>IBD / GCM</x:v>
      </x:c>
      <x:c r="D617" s="31" t="str">
        <x:v>why did you use overall breast cancer market share and not the specific treatment</x:v>
      </x:c>
      <x:c r="E617" s="31" t="str">
        <x:v>Why did you use overall breast cancer market share and not the specific treatment</x:v>
      </x:c>
      <x:c r="F617" s="31" t="str">
        <x:v>Fit &amp; Motivation</x:v>
      </x:c>
      <x:c r="G617" s="30" t="str">
        <x:v>CL1122</x:v>
      </x:c>
      <x:c r="H617" s="32" t="n">
        <x:f>COUNTIF($G$5:$G$1725,G617)</x:f>
        <x:v>1</x:v>
      </x:c>
      <x:c r="I617" s="30" t="str">
        <x:v>E7</x:v>
      </x:c>
      <x:c r="J617" s="31" t="str">
        <x:v>Henry (more tech, aggresive, drill) | self intro | tell me about your deal exp</x:v>
      </x:c>
    </x:row>
    <x:row r="618" ht="32" customHeight="1">
      <x:c r="A618" s="30" t="str">
        <x:v>QB0953</x:v>
      </x:c>
      <x:c r="B618" s="30" t="str">
        <x:v>Barclays</x:v>
      </x:c>
      <x:c r="C618" s="30" t="str">
        <x:v>IBD / GCM</x:v>
      </x:c>
      <x:c r="D618" s="31" t="str">
        <x:v>What’s the most memorable experience you had in HKEX</x:v>
      </x:c>
      <x:c r="E618" s="31" t="str">
        <x:v>What’s the most memorable experience you had in HKEX</x:v>
      </x:c>
      <x:c r="F618" s="31" t="str">
        <x:v>Resume &amp; Experience</x:v>
      </x:c>
      <x:c r="G618" s="30" t="str">
        <x:v>CL1054</x:v>
      </x:c>
      <x:c r="H618" s="32" t="n">
        <x:f>COUNTIF($G$5:$G$1725,G618)</x:f>
        <x:v>1</x:v>
      </x:c>
      <x:c r="I618" s="30" t="str">
        <x:v>G7</x:v>
      </x:c>
      <x:c r="J618" s="31" t="str">
        <x:v>Henry | Self Intro | Your experience in HKEX and what do you usually look at</x:v>
      </x:c>
    </x:row>
    <x:row r="619" ht="68" customHeight="1">
      <x:c r="A619" s="30" t="str">
        <x:v>QB0955</x:v>
      </x:c>
      <x:c r="B619" s="30" t="str">
        <x:v>Barclays</x:v>
      </x:c>
      <x:c r="C619" s="30" t="str">
        <x:v>IBD / GCM</x:v>
      </x:c>
      <x:c r="D619" s="31" t="str">
        <x:v>Tell me more about ESG and what’s your view on it?</x:v>
      </x:c>
      <x:c r="E619" s="31" t="str">
        <x:v>Tell me more about ESG and what’s your view on it</x:v>
      </x:c>
      <x:c r="F619" s="31" t="str">
        <x:v>Other Question</x:v>
      </x:c>
      <x:c r="G619" s="30" t="str">
        <x:v>CL0764</x:v>
      </x:c>
      <x:c r="H619" s="32" t="n">
        <x:f>COUNTIF($G$5:$G$1725,G619)</x:f>
        <x:v>1</x:v>
      </x:c>
      <x:c r="I619" s="30" t="str">
        <x:v>C8</x:v>
      </x:c>
      <x:c r="J619" s="31" t="str">
        <x:v>Tell me about yourself | Tell me more about your case competition experience, what is your role in that case competition and in a team setting? | How did you do valuation for the target company</x:v>
      </x:c>
    </x:row>
    <x:row r="620" ht="48" customHeight="1">
      <x:c r="A620" s="30" t="str">
        <x:v>QB0956</x:v>
      </x:c>
      <x:c r="B620" s="30" t="str">
        <x:v>Barclays</x:v>
      </x:c>
      <x:c r="C620" s="30" t="str">
        <x:v>IBD / GCM</x:v>
      </x:c>
      <x:c r="D620" s="31" t="str">
        <x:v>what did you learn in ur ECM internship</x:v>
      </x:c>
      <x:c r="E620" s="31" t="str">
        <x:v>What did you learn in ur ECM internship</x:v>
      </x:c>
      <x:c r="F620" s="31" t="str">
        <x:v>Resume &amp; Experience</x:v>
      </x:c>
      <x:c r="G620" s="30" t="str">
        <x:v>CL0908</x:v>
      </x:c>
      <x:c r="H620" s="32" t="n">
        <x:f>COUNTIF($G$5:$G$1725,G620)</x:f>
        <x:v>1</x:v>
      </x:c>
      <x:c r="I620" s="30" t="str">
        <x:v>E8</x:v>
      </x:c>
      <x:c r="J620" s="31" t="str">
        <x:v>self intro | tell me about your deal exp | why did you use overall breast cancer market share and not the specific treatment</x:v>
      </x:c>
    </x:row>
    <x:row r="621" ht="48" customHeight="1">
      <x:c r="A621" s="30" t="str">
        <x:v>QB0957</x:v>
      </x:c>
      <x:c r="B621" s="30" t="str">
        <x:v>Barclays</x:v>
      </x:c>
      <x:c r="C621" s="30" t="str">
        <x:v>IBD / GCM</x:v>
      </x:c>
      <x:c r="D621" s="31" t="str">
        <x:v>What’s the best fund investment that was done by HKEX in your opinion and why</x:v>
      </x:c>
      <x:c r="E621" s="31" t="str">
        <x:v>What’s the best fund investment that was done by HKEX in your opinion and why</x:v>
      </x:c>
      <x:c r="F621" s="31" t="str">
        <x:v>Company, Industry &amp; Deals</x:v>
      </x:c>
      <x:c r="G621" s="30" t="str">
        <x:v>CL1049</x:v>
      </x:c>
      <x:c r="H621" s="32" t="n">
        <x:f>COUNTIF($G$5:$G$1725,G621)</x:f>
        <x:v>1</x:v>
      </x:c>
      <x:c r="I621" s="30" t="str">
        <x:v>G8</x:v>
      </x:c>
      <x:c r="J621" s="31" t="str">
        <x:v>Self Intro | Your experience in HKEX and what do you usually look at | What’s the most memorable experience you had in HKEX</x:v>
      </x:c>
    </x:row>
    <x:row r="622" ht="48" customHeight="1">
      <x:c r="A622" s="30" t="str">
        <x:v>QB0958</x:v>
      </x:c>
      <x:c r="B622" s="30" t="str">
        <x:v>Barclays</x:v>
      </x:c>
      <x:c r="C622" s="30" t="str">
        <x:v>IBD / GCM</x:v>
      </x:c>
      <x:c r="D622" s="31" t="str">
        <x:v>What is your most favourite and least favourite internship and why</x:v>
      </x:c>
      <x:c r="E622" s="31" t="str">
        <x:v>What is your most favourite and least favourite internship and why</x:v>
      </x:c>
      <x:c r="F622" s="31" t="str">
        <x:v>Resume &amp; Experience</x:v>
      </x:c>
      <x:c r="G622" s="30" t="str">
        <x:v>CL1004</x:v>
      </x:c>
      <x:c r="H622" s="32" t="n">
        <x:f>COUNTIF($G$5:$G$1725,G622)</x:f>
        <x:v>1</x:v>
      </x:c>
      <x:c r="I622" s="30" t="str">
        <x:v>A9</x:v>
      </x:c>
      <x:c r="J622" s="31" t="str">
        <x:v>How do you manage risks? | What are your strengths? | Biggest weakness and how you would mitigate it</x:v>
      </x:c>
    </x:row>
    <x:row r="623" ht="68" customHeight="1">
      <x:c r="A623" s="30" t="str">
        <x:v>QB0959</x:v>
      </x:c>
      <x:c r="B623" s="30" t="str">
        <x:v>Barclays</x:v>
      </x:c>
      <x:c r="C623" s="30" t="str">
        <x:v>IBD / GCM</x:v>
      </x:c>
      <x:c r="D623" s="31" t="str">
        <x:v>Tell me more about S and G since it is not really viewed upon a lot by others</x:v>
      </x:c>
      <x:c r="E623" s="31" t="str">
        <x:v>Tell me more about S and G since it is not really viewed upon a lot by others</x:v>
      </x:c>
      <x:c r="F623" s="31" t="str">
        <x:v>Accounting &amp; Financial Statements</x:v>
      </x:c>
      <x:c r="G623" s="30" t="str">
        <x:v>CL0765</x:v>
      </x:c>
      <x:c r="H623" s="32" t="n">
        <x:f>COUNTIF($G$5:$G$1725,G623)</x:f>
        <x:v>1</x:v>
      </x:c>
      <x:c r="I623" s="30" t="str">
        <x:v>C9</x:v>
      </x:c>
      <x:c r="J623" s="31" t="str">
        <x:v>Tell me more about your case competition experience, what is your role in that case competition and in a team setting? | How did you do valuation for the target company | Tell me more about ESG and what’s your view on it?</x:v>
      </x:c>
    </x:row>
    <x:row r="624" ht="48" customHeight="1">
      <x:c r="A624" s="30" t="str">
        <x:v>QB0960</x:v>
      </x:c>
      <x:c r="B624" s="30" t="str">
        <x:v>Barclays</x:v>
      </x:c>
      <x:c r="C624" s="30" t="str">
        <x:v>IBD / GCM</x:v>
      </x:c>
      <x:c r="D624" s="31" t="str">
        <x:v>how can we provide value to both investors and the client when issuing convertible bonds</x:v>
      </x:c>
      <x:c r="E624" s="31" t="str">
        <x:v>Explain convertible bonds and why an issuer might use them</x:v>
      </x:c>
      <x:c r="F624" s="31" t="str">
        <x:v>Capital Markets &amp; Financing</x:v>
      </x:c>
      <x:c r="G624" s="30" t="str">
        <x:v>CL0016</x:v>
      </x:c>
      <x:c r="H624" s="32" t="n">
        <x:f>COUNTIF($G$5:$G$1725,G624)</x:f>
        <x:v>8</x:v>
      </x:c>
      <x:c r="I624" s="30" t="str">
        <x:v>E9</x:v>
      </x:c>
      <x:c r="J624" s="31" t="str">
        <x:v>tell me about your deal exp | why did you use overall breast cancer market share and not the specific treatment | what did you learn in ur ECM internship</x:v>
      </x:c>
    </x:row>
    <x:row r="625" ht="48" customHeight="1">
      <x:c r="A625" s="30" t="str">
        <x:v>QB0962</x:v>
      </x:c>
      <x:c r="B625" s="30" t="str">
        <x:v>Barclays</x:v>
      </x:c>
      <x:c r="C625" s="30" t="str">
        <x:v>IBD / GCM</x:v>
      </x:c>
      <x:c r="D625" s="31" t="str">
        <x:v>For my most favourite internship, walk through deal, ask about equity-linked notes and whether it is closed</x:v>
      </x:c>
      <x:c r="E625" s="31" t="str">
        <x:v>Walk me through a deal you worked on</x:v>
      </x:c>
      <x:c r="F625" s="31" t="str">
        <x:v>Resume &amp; Experience</x:v>
      </x:c>
      <x:c r="G625" s="30" t="str">
        <x:v>CL0017</x:v>
      </x:c>
      <x:c r="H625" s="32" t="n">
        <x:f>COUNTIF($G$5:$G$1725,G625)</x:f>
        <x:v>8</x:v>
      </x:c>
      <x:c r="I625" s="30" t="str">
        <x:v>A10</x:v>
      </x:c>
      <x:c r="J625" s="31" t="str">
        <x:v>What are your strengths? | Biggest weakness and how you would mitigate it | What is your most favourite and least favourite internship and why</x:v>
      </x:c>
    </x:row>
    <x:row r="626" ht="68" customHeight="1">
      <x:c r="A626" s="30" t="str">
        <x:v>QB0963</x:v>
      </x:c>
      <x:c r="B626" s="30" t="str">
        <x:v>Barclays</x:v>
      </x:c>
      <x:c r="C626" s="30" t="str">
        <x:v>IBD / GCM</x:v>
      </x:c>
      <x:c r="D626" s="31" t="str">
        <x:v>Tell me ESG in the investing perspective</x:v>
      </x:c>
      <x:c r="E626" s="31" t="str">
        <x:v>Tell me ESG in the investing perspective</x:v>
      </x:c>
      <x:c r="F626" s="31" t="str">
        <x:v>Other Question</x:v>
      </x:c>
      <x:c r="G626" s="30" t="str">
        <x:v>CL0761</x:v>
      </x:c>
      <x:c r="H626" s="32" t="n">
        <x:f>COUNTIF($G$5:$G$1725,G626)</x:f>
        <x:v>1</x:v>
      </x:c>
      <x:c r="I626" s="30" t="str">
        <x:v>C10</x:v>
      </x:c>
      <x:c r="J626" s="31" t="str">
        <x:v>How did you do valuation for the target company | Tell me more about ESG and what’s your view on it? | Tell me more about S and G since it is not really viewed upon a lot by others</x:v>
      </x:c>
    </x:row>
    <x:row r="627" ht="68" customHeight="1">
      <x:c r="A627" s="30" t="str">
        <x:v>QB0964</x:v>
      </x:c>
      <x:c r="B627" s="30" t="str">
        <x:v>Barclays</x:v>
      </x:c>
      <x:c r="C627" s="30" t="str">
        <x:v>IBD / GCM</x:v>
      </x:c>
      <x:c r="D627" s="31" t="str">
        <x:v>what did you do at KPMG</x:v>
      </x:c>
      <x:c r="E627" s="31" t="str">
        <x:v>What did you do at KPMG</x:v>
      </x:c>
      <x:c r="F627" s="31" t="str">
        <x:v>Resume &amp; Experience</x:v>
      </x:c>
      <x:c r="G627" s="30" t="str">
        <x:v>CL0897</x:v>
      </x:c>
      <x:c r="H627" s="32" t="n">
        <x:f>COUNTIF($G$5:$G$1725,G627)</x:f>
        <x:v>1</x:v>
      </x:c>
      <x:c r="I627" s="30" t="str">
        <x:v>E10</x:v>
      </x:c>
      <x:c r="J627" s="31" t="str">
        <x:v>why did you use overall breast cancer market share and not the specific treatment | what did you learn in ur ECM internship | how can we provide value to both investors and the client when issuing convertible bonds</x:v>
      </x:c>
    </x:row>
    <x:row r="628" ht="48" customHeight="1">
      <x:c r="A628" s="30" t="str">
        <x:v>QB0965</x:v>
      </x:c>
      <x:c r="B628" s="30" t="str">
        <x:v>Barclays</x:v>
      </x:c>
      <x:c r="C628" s="30" t="str">
        <x:v>IBD / GCM</x:v>
      </x:c>
      <x:c r="D628" s="31" t="str">
        <x:v>Biggest challenge you faced in your Daiwa internship</x:v>
      </x:c>
      <x:c r="E628" s="31" t="str">
        <x:v>Tell me about a challenge, setback, or failure</x:v>
      </x:c>
      <x:c r="F628" s="31" t="str">
        <x:v>Resume &amp; Experience</x:v>
      </x:c>
      <x:c r="G628" s="30" t="str">
        <x:v>CL0007</x:v>
      </x:c>
      <x:c r="H628" s="32" t="n">
        <x:f>COUNTIF($G$5:$G$1725,G628)</x:f>
        <x:v>16</x:v>
      </x:c>
      <x:c r="I628" s="30" t="str">
        <x:v>G10</x:v>
      </x:c>
      <x:c r="J628" s="31" t="str">
        <x:v>What’s the most memorable experience you had in HKEX | What’s the best fund investment that was done by HKEX in your opinion and why | Experience in Daiwa</x:v>
      </x:c>
    </x:row>
    <x:row r="629" ht="68" customHeight="1">
      <x:c r="A629" s="30" t="str">
        <x:v>QB0966</x:v>
      </x:c>
      <x:c r="B629" s="30" t="str">
        <x:v>Barclays</x:v>
      </x:c>
      <x:c r="C629" s="30" t="str">
        <x:v>IBD / GCM</x:v>
      </x:c>
      <x:c r="D629" s="31" t="str">
        <x:v>Technical: Growth Perpetuity method, if 0 growth rate, 10% WACC, 100CF, what is terminal value?</x:v>
      </x:c>
      <x:c r="E629" s="31" t="str">
        <x:v>Technical: Growth Perpetuity method, if 0 growth rate, 10% WACC, 100CF, what is terminal value</x:v>
      </x:c>
      <x:c r="F629" s="31" t="str">
        <x:v>Accounting &amp; Financial Statements</x:v>
      </x:c>
      <x:c r="G629" s="30" t="str">
        <x:v>CL0700</x:v>
      </x:c>
      <x:c r="H629" s="32" t="n">
        <x:f>COUNTIF($G$5:$G$1725,G629)</x:f>
        <x:v>1</x:v>
      </x:c>
      <x:c r="I629" s="30" t="str">
        <x:v>A11</x:v>
      </x:c>
      <x:c r="J629" s="31" t="str">
        <x:v>Biggest weakness and how you would mitigate it | What is your most favourite and least favourite internship and why | For my most favourite internship, walk through deal, ask about equity-linked notes and whether it is closed</x:v>
      </x:c>
    </x:row>
    <x:row r="630" ht="68" customHeight="1">
      <x:c r="A630" s="30" t="str">
        <x:v>QB0967</x:v>
      </x:c>
      <x:c r="B630" s="30" t="str">
        <x:v>Barclays</x:v>
      </x:c>
      <x:c r="C630" s="30" t="str">
        <x:v>IBD / GCM</x:v>
      </x:c>
      <x:c r="D630" s="31" t="str">
        <x:v>Views are conflicting for the effect on ESG investing, what are your views?</x:v>
      </x:c>
      <x:c r="E630" s="31" t="str">
        <x:v>Views are conflicting for the effect on ESG investing, what are your views</x:v>
      </x:c>
      <x:c r="F630" s="31" t="str">
        <x:v>Behavioral &amp; Situational</x:v>
      </x:c>
      <x:c r="G630" s="30" t="str">
        <x:v>CL0815</x:v>
      </x:c>
      <x:c r="H630" s="32" t="n">
        <x:f>COUNTIF($G$5:$G$1725,G630)</x:f>
        <x:v>1</x:v>
      </x:c>
      <x:c r="I630" s="30" t="str">
        <x:v>C11</x:v>
      </x:c>
      <x:c r="J630" s="31" t="str">
        <x:v>Tell me more about ESG and what’s your view on it? | Tell me more about S and G since it is not really viewed upon a lot by others | Tell me ESG in the investing perspective</x:v>
      </x:c>
    </x:row>
    <x:row r="631" ht="48" customHeight="1">
      <x:c r="A631" s="30" t="str">
        <x:v>QB0968</x:v>
      </x:c>
      <x:c r="B631" s="30" t="str">
        <x:v>Barclays</x:v>
      </x:c>
      <x:c r="C631" s="30" t="str">
        <x:v>IBD / GCM</x:v>
      </x:c>
      <x:c r="D631" s="31" t="str">
        <x:v>did you interact with clients at KPMG (in chinese)</x:v>
      </x:c>
      <x:c r="E631" s="31" t="str">
        <x:v>Did you interact with clients at KPMG (in chinese)</x:v>
      </x:c>
      <x:c r="F631" s="31" t="str">
        <x:v>Other Question</x:v>
      </x:c>
      <x:c r="G631" s="30" t="str">
        <x:v>CL0247</x:v>
      </x:c>
      <x:c r="H631" s="32" t="n">
        <x:f>COUNTIF($G$5:$G$1725,G631)</x:f>
        <x:v>1</x:v>
      </x:c>
      <x:c r="I631" s="30" t="str">
        <x:v>E11</x:v>
      </x:c>
      <x:c r="J631" s="31" t="str">
        <x:v>what did you learn in ur ECM internship | how can we provide value to both investors and the client when issuing convertible bonds | what did you do at KPMG</x:v>
      </x:c>
    </x:row>
    <x:row r="632" ht="48" customHeight="1">
      <x:c r="A632" s="30" t="str">
        <x:v>QB0969</x:v>
      </x:c>
      <x:c r="B632" s="30" t="str">
        <x:v>Barclays</x:v>
      </x:c>
      <x:c r="C632" s="30" t="str">
        <x:v>IBD / GCM</x:v>
      </x:c>
      <x:c r="D632" s="31" t="str">
        <x:v>Tell more about PCB industry outlook and observation</x:v>
      </x:c>
      <x:c r="E632" s="31" t="str">
        <x:v>Tell more about PCB industry outlook and observation</x:v>
      </x:c>
      <x:c r="F632" s="31" t="str">
        <x:v>Company, Industry &amp; Deals</x:v>
      </x:c>
      <x:c r="G632" s="30" t="str">
        <x:v>CL0778</x:v>
      </x:c>
      <x:c r="H632" s="32" t="n">
        <x:f>COUNTIF($G$5:$G$1725,G632)</x:f>
        <x:v>1</x:v>
      </x:c>
      <x:c r="I632" s="30" t="str">
        <x:v>G11</x:v>
      </x:c>
      <x:c r="J632" s="31" t="str">
        <x:v>What’s the best fund investment that was done by HKEX in your opinion and why | Experience in Daiwa | Biggest challenge you faced in your Daiwa internship</x:v>
      </x:c>
    </x:row>
    <x:row r="633" ht="92" customHeight="1">
      <x:c r="A633" s="30" t="str">
        <x:v>QB0970</x:v>
      </x:c>
      <x:c r="B633" s="30" t="str">
        <x:v>Barclays</x:v>
      </x:c>
      <x:c r="C633" s="30" t="str">
        <x:v>IBD / GCM</x:v>
      </x:c>
      <x:c r="D633" s="31" t="str">
        <x:v>How do you enhance personal growth? What habits do you cultivate?</x:v>
      </x:c>
      <x:c r="E633" s="31" t="str">
        <x:v>How do you enhance personal growth? What habits do you cultivate</x:v>
      </x:c>
      <x:c r="F633" s="31" t="str">
        <x:v>Company, Industry &amp; Deals</x:v>
      </x:c>
      <x:c r="G633" s="30" t="str">
        <x:v>CL0409</x:v>
      </x:c>
      <x:c r="H633" s="32" t="n">
        <x:f>COUNTIF($G$5:$G$1725,G633)</x:f>
        <x:v>1</x:v>
      </x:c>
      <x:c r="I633" s="30" t="str">
        <x:v>A12</x:v>
      </x:c>
      <x:c r="J633" s="31" t="str">
        <x:v>What is your most favourite and least favourite internship and why | For my most favourite internship, walk through deal, ask about equity-linked notes and whether it is closed | Technical: Growth Perpetuity method, if 0 growth rate, 10%...</x:v>
      </x:c>
    </x:row>
    <x:row r="634" ht="68" customHeight="1">
      <x:c r="A634" s="30" t="str">
        <x:v>QB0971</x:v>
      </x:c>
      <x:c r="B634" s="30" t="str">
        <x:v>Barclays</x:v>
      </x:c>
      <x:c r="C634" s="30" t="str">
        <x:v>IBD / GCM</x:v>
      </x:c>
      <x:c r="D634" s="31" t="str">
        <x:v>What’s the premium that an investor would pay for an ESG themed company?</x:v>
      </x:c>
      <x:c r="E634" s="31" t="str">
        <x:v>What’s the premium that an investor would pay for an ESG themed company</x:v>
      </x:c>
      <x:c r="F634" s="31" t="str">
        <x:v>Company, Industry &amp; Deals</x:v>
      </x:c>
      <x:c r="G634" s="30" t="str">
        <x:v>CL1055</x:v>
      </x:c>
      <x:c r="H634" s="32" t="n">
        <x:f>COUNTIF($G$5:$G$1725,G634)</x:f>
        <x:v>1</x:v>
      </x:c>
      <x:c r="I634" s="30" t="str">
        <x:v>C12</x:v>
      </x:c>
      <x:c r="J634" s="31" t="str">
        <x:v>Tell me more about S and G since it is not really viewed upon a lot by others | Tell me ESG in the investing perspective | Views are conflicting for the effect on ESG investing, what are your views?</x:v>
      </x:c>
    </x:row>
    <x:row r="635" ht="68" customHeight="1">
      <x:c r="A635" s="30" t="str">
        <x:v>QB0972</x:v>
      </x:c>
      <x:c r="B635" s="30" t="str">
        <x:v>Barclays</x:v>
      </x:c>
      <x:c r="C635" s="30" t="str">
        <x:v>IBD / GCM</x:v>
      </x:c>
      <x:c r="D635" s="31" t="str">
        <x:v>why did you go back to gz? (in chinese)</x:v>
      </x:c>
      <x:c r="E635" s="31" t="str">
        <x:v>Why did you go back to gz? (in chinese)</x:v>
      </x:c>
      <x:c r="F635" s="31" t="str">
        <x:v>Fit &amp; Motivation</x:v>
      </x:c>
      <x:c r="G635" s="30" t="str">
        <x:v>CL1120</x:v>
      </x:c>
      <x:c r="H635" s="32" t="n">
        <x:f>COUNTIF($G$5:$G$1725,G635)</x:f>
        <x:v>1</x:v>
      </x:c>
      <x:c r="I635" s="30" t="str">
        <x:v>E12</x:v>
      </x:c>
      <x:c r="J635" s="31" t="str">
        <x:v>how can we provide value to both investors and the client when issuing convertible bonds | what did you do at KPMG | did you interact with clients at KPMG (in chinese)</x:v>
      </x:c>
    </x:row>
    <x:row r="636" ht="48" customHeight="1">
      <x:c r="A636" s="30" t="str">
        <x:v>QB0973</x:v>
      </x:c>
      <x:c r="B636" s="30" t="str">
        <x:v>Barclays</x:v>
      </x:c>
      <x:c r="C636" s="30" t="str">
        <x:v>IBD / GCM</x:v>
      </x:c>
      <x:c r="D636" s="31" t="str">
        <x:v>Key drivers in the DCF</x:v>
      </x:c>
      <x:c r="E636" s="31" t="str">
        <x:v>Key drivers in the DCF</x:v>
      </x:c>
      <x:c r="F636" s="31" t="str">
        <x:v>Valuation</x:v>
      </x:c>
      <x:c r="G636" s="30" t="str">
        <x:v>CL0568</x:v>
      </x:c>
      <x:c r="H636" s="32" t="n">
        <x:f>COUNTIF($G$5:$G$1725,G636)</x:f>
        <x:v>1</x:v>
      </x:c>
      <x:c r="I636" s="30" t="str">
        <x:v>G12</x:v>
      </x:c>
      <x:c r="J636" s="31" t="str">
        <x:v>Experience in Daiwa | Biggest challenge you faced in your Daiwa internship | Tell more about PCB industry outlook and observation</x:v>
      </x:c>
    </x:row>
    <x:row r="637" ht="92" customHeight="1">
      <x:c r="A637" s="30" t="str">
        <x:v>QB0974</x:v>
      </x:c>
      <x:c r="B637" s="30" t="str">
        <x:v>Barclays</x:v>
      </x:c>
      <x:c r="C637" s="30" t="str">
        <x:v>IBD / GCM</x:v>
      </x:c>
      <x:c r="D637" s="31" t="str">
        <x:v>If you don’t work in investment banking or finance in the long term, what would you work in?</x:v>
      </x:c>
      <x:c r="E637" s="31" t="str">
        <x:v>If you don’t work in investment banking or finance in the long term, what would you work in</x:v>
      </x:c>
      <x:c r="F637" s="31" t="str">
        <x:v>Other Technical</x:v>
      </x:c>
      <x:c r="G637" s="30" t="str">
        <x:v>CL0530</x:v>
      </x:c>
      <x:c r="H637" s="32" t="n">
        <x:f>COUNTIF($G$5:$G$1725,G637)</x:f>
        <x:v>1</x:v>
      </x:c>
      <x:c r="I637" s="30" t="str">
        <x:v>A13</x:v>
      </x:c>
      <x:c r="J637" s="31" t="str">
        <x:v>For my most favourite internship, walk through deal, ask about equity-linked notes and whether it is closed | Technical: Growth Perpetuity method, if 0 growth rate, 10% WACC, 100CF, what is terminal value? | How do you enhance personal g...</x:v>
      </x:c>
    </x:row>
    <x:row r="638" ht="48" customHeight="1">
      <x:c r="A638" s="30" t="str">
        <x:v>QB0976</x:v>
      </x:c>
      <x:c r="B638" s="30" t="str">
        <x:v>Barclays</x:v>
      </x:c>
      <x:c r="C638" s="30" t="str">
        <x:v>IBD / GCM</x:v>
      </x:c>
      <x:c r="D638" s="31" t="str">
        <x:v>where did you go to school in gz? (in chinese)</x:v>
      </x:c>
      <x:c r="E638" s="31" t="str">
        <x:v>Where did you go to school in gz? (in chinese)</x:v>
      </x:c>
      <x:c r="F638" s="31" t="str">
        <x:v>Resume &amp; Experience</x:v>
      </x:c>
      <x:c r="G638" s="30" t="str">
        <x:v>CL1085</x:v>
      </x:c>
      <x:c r="H638" s="32" t="n">
        <x:f>COUNTIF($G$5:$G$1725,G638)</x:f>
        <x:v>1</x:v>
      </x:c>
      <x:c r="I638" s="30" t="str">
        <x:v>E13</x:v>
      </x:c>
      <x:c r="J638" s="31" t="str">
        <x:v>what did you do at KPMG | did you interact with clients at KPMG (in chinese) | why did you go back to gz? (in chinese)</x:v>
      </x:c>
    </x:row>
    <x:row r="639" ht="32" customHeight="1">
      <x:c r="A639" s="30" t="str">
        <x:v>QB0979</x:v>
      </x:c>
      <x:c r="B639" s="30" t="str">
        <x:v>Barclays</x:v>
      </x:c>
      <x:c r="C639" s="30" t="str">
        <x:v>IBD / GCM</x:v>
      </x:c>
      <x:c r="D639" s="31" t="str">
        <x:v>Self intro</x:v>
      </x:c>
      <x:c r="E639" s="31" t="str">
        <x:v>Tell me about yourself / walk me through your resume</x:v>
      </x:c>
      <x:c r="F639" s="31" t="str">
        <x:v>Resume &amp; Experience</x:v>
      </x:c>
      <x:c r="G639" s="30" t="str">
        <x:v>CL0001</x:v>
      </x:c>
      <x:c r="H639" s="32" t="n">
        <x:f>COUNTIF($G$5:$G$1725,G639)</x:f>
        <x:v>170</x:v>
      </x:c>
      <x:c r="I639" s="30" t="str">
        <x:v>G14</x:v>
      </x:c>
      <x:c r="J639" s="31" t="str">
        <x:v>Tell more about PCB industry outlook and observation | Key drivers in the DCF | Michael</x:v>
      </x:c>
    </x:row>
    <x:row r="640" ht="32" customHeight="1">
      <x:c r="A640" s="30" t="str">
        <x:v>QB0981</x:v>
      </x:c>
      <x:c r="B640" s="30" t="str">
        <x:v>Barclays</x:v>
      </x:c>
      <x:c r="C640" s="30" t="str">
        <x:v>IBD / GCM</x:v>
      </x:c>
      <x:c r="D640" s="31" t="str">
        <x:v>Why Barclays and why IBD</x:v>
      </x:c>
      <x:c r="E640" s="31" t="str">
        <x:v>Why this firm?</x:v>
      </x:c>
      <x:c r="F640" s="31" t="str">
        <x:v>Fit &amp; Motivation</x:v>
      </x:c>
      <x:c r="G640" s="30" t="str">
        <x:v>CL0002</x:v>
      </x:c>
      <x:c r="H640" s="32" t="n">
        <x:f>COUNTIF($G$5:$G$1725,G640)</x:f>
        <x:v>39</x:v>
      </x:c>
      <x:c r="I640" s="30" t="str">
        <x:v>G15</x:v>
      </x:c>
      <x:c r="J640" s="31" t="str">
        <x:v>Key drivers in the DCF | Michael | Self intro</x:v>
      </x:c>
    </x:row>
    <x:row r="641" ht="32" customHeight="1">
      <x:c r="A641" s="30" t="str">
        <x:v>QB0985</x:v>
      </x:c>
      <x:c r="B641" s="30" t="str">
        <x:v>Barclays</x:v>
      </x:c>
      <x:c r="C641" s="30" t="str">
        <x:v>IBD / GCM</x:v>
      </x:c>
      <x:c r="D641" s="31" t="str">
        <x:v>Tell me about your self</x:v>
      </x:c>
      <x:c r="E641" s="31" t="str">
        <x:v>Tell me about your self</x:v>
      </x:c>
      <x:c r="F641" s="31" t="str">
        <x:v>Other Question</x:v>
      </x:c>
      <x:c r="G641" s="30" t="str">
        <x:v>CL0755</x:v>
      </x:c>
      <x:c r="H641" s="32" t="n">
        <x:f>COUNTIF($G$5:$G$1725,G641)</x:f>
        <x:v>1</x:v>
      </x:c>
      <x:c r="I641" s="30" t="str">
        <x:v>C17</x:v>
      </x:c>
      <x:c r="J641" s="31" t="str">
        <x:v>1 question | Regan | Barclays R2 - Alice Sun</x:v>
      </x:c>
    </x:row>
    <x:row r="642" ht="32" customHeight="1">
      <x:c r="A642" s="30" t="str">
        <x:v>QB0986</x:v>
      </x:c>
      <x:c r="B642" s="30" t="str">
        <x:v>Barclays</x:v>
      </x:c>
      <x:c r="C642" s="30" t="str">
        <x:v>IBD / GCM</x:v>
      </x:c>
      <x:c r="D642" s="31" t="str">
        <x:v>Outlook for the company, investment thesis, company overview</x:v>
      </x:c>
      <x:c r="E642" s="31" t="str">
        <x:v>Outlook for the company, investment thesis, company overview</x:v>
      </x:c>
      <x:c r="F642" s="31" t="str">
        <x:v>Investment Pitch</x:v>
      </x:c>
      <x:c r="G642" s="30" t="str">
        <x:v>CL0629</x:v>
      </x:c>
      <x:c r="H642" s="32" t="n">
        <x:f>COUNTIF($G$5:$G$1725,G642)</x:f>
        <x:v>1</x:v>
      </x:c>
      <x:c r="I642" s="30" t="str">
        <x:v>G17</x:v>
      </x:c>
      <x:c r="J642" s="31" t="str">
        <x:v>Self intro | Why Barclays and why IBD | Pre-IPO deal, what you did</x:v>
      </x:c>
    </x:row>
    <x:row r="643" ht="48" customHeight="1">
      <x:c r="A643" s="30" t="str">
        <x:v>QB0989</x:v>
      </x:c>
      <x:c r="B643" s="30" t="str">
        <x:v>Barclays</x:v>
      </x:c>
      <x:c r="C643" s="30" t="str">
        <x:v>IBD / GCM</x:v>
      </x:c>
      <x:c r="D643" s="31" t="str">
        <x:v>What is the biggest challenge you've faced</x:v>
      </x:c>
      <x:c r="E643" s="31" t="str">
        <x:v>Tell me about a challenge, setback, or failure</x:v>
      </x:c>
      <x:c r="F643" s="31" t="str">
        <x:v>Behavioral &amp; Situational</x:v>
      </x:c>
      <x:c r="G643" s="30" t="str">
        <x:v>CL0007</x:v>
      </x:c>
      <x:c r="H643" s="32" t="n">
        <x:f>COUNTIF($G$5:$G$1725,G643)</x:f>
        <x:v>16</x:v>
      </x:c>
      <x:c r="I643" s="30" t="str">
        <x:v>G18</x:v>
      </x:c>
      <x:c r="J643" s="31" t="str">
        <x:v>Why Barclays and why IBD | Pre-IPO deal, what you did | Outlook for the company, investment thesis, company overview</x:v>
      </x:c>
    </x:row>
    <x:row r="644" ht="48" customHeight="1">
      <x:c r="A644" s="30" t="str">
        <x:v>QB0990</x:v>
      </x:c>
      <x:c r="B644" s="30" t="str">
        <x:v>Barclays</x:v>
      </x:c>
      <x:c r="C644" s="30" t="str">
        <x:v>IBD / GCM</x:v>
      </x:c>
      <x:c r="D644" s="31" t="str">
        <x:v>Give me short introduction of yourself.</x:v>
      </x:c>
      <x:c r="E644" s="31" t="str">
        <x:v>Give me short introduction of yourself</x:v>
      </x:c>
      <x:c r="F644" s="31" t="str">
        <x:v>Other Question</x:v>
      </x:c>
      <x:c r="G644" s="30" t="str">
        <x:v>CL0350</x:v>
      </x:c>
      <x:c r="H644" s="32" t="n">
        <x:f>COUNTIF($G$5:$G$1725,G644)</x:f>
        <x:v>1</x:v>
      </x:c>
      <x:c r="I644" s="30" t="str">
        <x:v>A19</x:v>
      </x:c>
      <x:c r="J644" s="31" t="str">
        <x:v>If you don’t work in investment banking or finance in the long term, what would you work in? | Regan | Interviewer: Johnny Li</x:v>
      </x:c>
    </x:row>
    <x:row r="645" ht="32" customHeight="1">
      <x:c r="A645" s="30" t="str">
        <x:v>QB0991</x:v>
      </x:c>
      <x:c r="B645" s="30" t="str">
        <x:v>Barclays</x:v>
      </x:c>
      <x:c r="C645" s="30" t="str">
        <x:v>IBD / GCM</x:v>
      </x:c>
      <x:c r="D645" s="31" t="str">
        <x:v>Why start your career in Hong Kong and not US/EU?</x:v>
      </x:c>
      <x:c r="E645" s="31" t="str">
        <x:v>Why start your career in Hong Kong and not US/EU</x:v>
      </x:c>
      <x:c r="F645" s="31" t="str">
        <x:v>Fit &amp; Motivation</x:v>
      </x:c>
      <x:c r="G645" s="30" t="str">
        <x:v>CL1165</x:v>
      </x:c>
      <x:c r="H645" s="32" t="n">
        <x:f>COUNTIF($G$5:$G$1725,G645)</x:f>
        <x:v>1</x:v>
      </x:c>
      <x:c r="I645" s="30" t="str">
        <x:v>C19</x:v>
      </x:c>
      <x:c r="J645" s="31" t="str">
        <x:v>Regan | Barclays R2 - Alice Sun | Tell me about your self</x:v>
      </x:c>
    </x:row>
    <x:row r="646" ht="48" customHeight="1">
      <x:c r="A646" s="30" t="str">
        <x:v>QB0992</x:v>
      </x:c>
      <x:c r="B646" s="30" t="str">
        <x:v>Barclays</x:v>
      </x:c>
      <x:c r="C646" s="30" t="str">
        <x:v>IBD / GCM</x:v>
      </x:c>
      <x:c r="D646" s="31" t="str">
        <x:v>which team in barclays</x:v>
      </x:c>
      <x:c r="E646" s="31" t="str">
        <x:v>Which team in barclays</x:v>
      </x:c>
      <x:c r="F646" s="31" t="str">
        <x:v>Behavioral &amp; Situational</x:v>
      </x:c>
      <x:c r="G646" s="30" t="str">
        <x:v>CL1104</x:v>
      </x:c>
      <x:c r="H646" s="32" t="n">
        <x:f>COUNTIF($G$5:$G$1725,G646)</x:f>
        <x:v>1</x:v>
      </x:c>
      <x:c r="I646" s="30" t="str">
        <x:v>E19</x:v>
      </x:c>
      <x:c r="J646" s="31" t="str">
        <x:v>where did you go to school in gz? (in chinese) | any questions | Michael (more behavioural)</x:v>
      </x:c>
    </x:row>
    <x:row r="647" ht="48" customHeight="1">
      <x:c r="A647" s="30" t="str">
        <x:v>QB0993</x:v>
      </x:c>
      <x:c r="B647" s="30" t="str">
        <x:v>Barclays</x:v>
      </x:c>
      <x:c r="C647" s="30" t="str">
        <x:v>IBD / GCM</x:v>
      </x:c>
      <x:c r="D647" s="31" t="str">
        <x:v>Tell me about your leadership or teamwork in a case competition experience</x:v>
      </x:c>
      <x:c r="E647" s="31" t="str">
        <x:v>Tell me about your leadership or teamwork in a case competition experience</x:v>
      </x:c>
      <x:c r="F647" s="31" t="str">
        <x:v>Resume &amp; Experience</x:v>
      </x:c>
      <x:c r="G647" s="30" t="str">
        <x:v>CL0754</x:v>
      </x:c>
      <x:c r="H647" s="32" t="n">
        <x:f>COUNTIF($G$5:$G$1725,G647)</x:f>
        <x:v>1</x:v>
      </x:c>
      <x:c r="I647" s="30" t="str">
        <x:v>G19</x:v>
      </x:c>
      <x:c r="J647" s="31" t="str">
        <x:v>Pre-IPO deal, what you did | Outlook for the company, investment thesis, company overview | What is the biggest challenge you've faced</x:v>
      </x:c>
    </x:row>
    <x:row r="648" ht="32" customHeight="1">
      <x:c r="A648" s="30" t="str">
        <x:v>QB0994</x:v>
      </x:c>
      <x:c r="B648" s="30" t="str">
        <x:v>Barclays</x:v>
      </x:c>
      <x:c r="C648" s="30" t="str">
        <x:v>IBD / GCM</x:v>
      </x:c>
      <x:c r="D648" s="31" t="str">
        <x:v>Why do you think your previous exp will help you at Barclays?</x:v>
      </x:c>
      <x:c r="E648" s="31" t="str">
        <x:v>Why do you think your previous exp will help you at Barclays</x:v>
      </x:c>
      <x:c r="F648" s="31" t="str">
        <x:v>Fit &amp; Motivation</x:v>
      </x:c>
      <x:c r="G648" s="30" t="str">
        <x:v>CL1131</x:v>
      </x:c>
      <x:c r="H648" s="32" t="n">
        <x:f>COUNTIF($G$5:$G$1725,G648)</x:f>
        <x:v>1</x:v>
      </x:c>
      <x:c r="I648" s="30" t="str">
        <x:v>A20</x:v>
      </x:c>
      <x:c r="J648" s="31" t="str">
        <x:v>Regan | Interviewer: Johnny Li | Give me short introduction of yourself.</x:v>
      </x:c>
    </x:row>
    <x:row r="649" ht="32" customHeight="1">
      <x:c r="A649" s="30" t="str">
        <x:v>QB0995</x:v>
      </x:c>
      <x:c r="B649" s="30" t="str">
        <x:v>Barclays</x:v>
      </x:c>
      <x:c r="C649" s="30" t="str">
        <x:v>IBD / GCM</x:v>
      </x:c>
      <x:c r="D649" s="31" t="str">
        <x:v>walk me through a deal</x:v>
      </x:c>
      <x:c r="E649" s="31" t="str">
        <x:v>Walk me through a deal</x:v>
      </x:c>
      <x:c r="F649" s="31" t="str">
        <x:v>Resume &amp; Experience</x:v>
      </x:c>
      <x:c r="G649" s="30" t="str">
        <x:v>CL0024</x:v>
      </x:c>
      <x:c r="H649" s="32" t="n">
        <x:f>COUNTIF($G$5:$G$1725,G649)</x:f>
        <x:v>3</x:v>
      </x:c>
      <x:c r="I649" s="30" t="str">
        <x:v>E20</x:v>
      </x:c>
      <x:c r="J649" s="31" t="str">
        <x:v>any questions | Michael (more behavioural) | which team in barclays</x:v>
      </x:c>
    </x:row>
    <x:row r="650" ht="68" customHeight="1">
      <x:c r="A650" s="30" t="str">
        <x:v>QB0996</x:v>
      </x:c>
      <x:c r="B650" s="30" t="str">
        <x:v>Barclays</x:v>
      </x:c>
      <x:c r="C650" s="30" t="str">
        <x:v>IBD / GCM</x:v>
      </x:c>
      <x:c r="D650" s="31" t="str">
        <x:v>What do you do in your free time apart from fencing</x:v>
      </x:c>
      <x:c r="E650" s="31" t="str">
        <x:v>What do you do in your free time apart from fencing</x:v>
      </x:c>
      <x:c r="F650" s="31" t="str">
        <x:v>Other Question</x:v>
      </x:c>
      <x:c r="G650" s="30" t="str">
        <x:v>CL0917</x:v>
      </x:c>
      <x:c r="H650" s="32" t="n">
        <x:f>COUNTIF($G$5:$G$1725,G650)</x:f>
        <x:v>1</x:v>
      </x:c>
      <x:c r="I650" s="30" t="str">
        <x:v>G20</x:v>
      </x:c>
      <x:c r="J650" s="31" t="str">
        <x:v>Outlook for the company, investment thesis, company overview | What is the biggest challenge you've faced | Tell me about your leadership or teamwork in a case competition experience</x:v>
      </x:c>
    </x:row>
    <x:row r="651" ht="48" customHeight="1">
      <x:c r="A651" s="30" t="str">
        <x:v>QB0997</x:v>
      </x:c>
      <x:c r="B651" s="30" t="str">
        <x:v>Barclays</x:v>
      </x:c>
      <x:c r="C651" s="30" t="str">
        <x:v>IBD / GCM</x:v>
      </x:c>
      <x:c r="D651" s="31" t="str">
        <x:v>What coverage are you interested in working on at Barclays?</x:v>
      </x:c>
      <x:c r="E651" s="31" t="str">
        <x:v>What coverage are you interested in working on at Barclays</x:v>
      </x:c>
      <x:c r="F651" s="31" t="str">
        <x:v>Other Question</x:v>
      </x:c>
      <x:c r="G651" s="30" t="str">
        <x:v>CL0892</x:v>
      </x:c>
      <x:c r="H651" s="32" t="n">
        <x:f>COUNTIF($G$5:$G$1725,G651)</x:f>
        <x:v>1</x:v>
      </x:c>
      <x:c r="I651" s="30" t="str">
        <x:v>A21</x:v>
      </x:c>
      <x:c r="J651" s="31" t="str">
        <x:v>Interviewer: Johnny Li | Give me short introduction of yourself. | Why do you think your previous exp will help you at Barclays?</x:v>
      </x:c>
    </x:row>
    <x:row r="652" ht="48" customHeight="1">
      <x:c r="A652" s="30" t="str">
        <x:v>QB0998</x:v>
      </x:c>
      <x:c r="B652" s="30" t="str">
        <x:v>Barclays</x:v>
      </x:c>
      <x:c r="C652" s="30" t="str">
        <x:v>IBD / GCM</x:v>
      </x:c>
      <x:c r="D652" s="31" t="str">
        <x:v>Walk me through your most recent case comp. Team dynamic? Role? Valuation? - deep dive</x:v>
      </x:c>
      <x:c r="E652" s="31" t="str">
        <x:v>Walk me through your most recent case comp. Team dynamic? Role? Valuation? - deep dive</x:v>
      </x:c>
      <x:c r="F652" s="31" t="str">
        <x:v>Behavioral &amp; Situational</x:v>
      </x:c>
      <x:c r="G652" s="30" t="str">
        <x:v>CL0842</x:v>
      </x:c>
      <x:c r="H652" s="32" t="n">
        <x:f>COUNTIF($G$5:$G$1725,G652)</x:f>
        <x:v>1</x:v>
      </x:c>
      <x:c r="I652" s="30" t="str">
        <x:v>C21</x:v>
      </x:c>
      <x:c r="J652" s="31" t="str">
        <x:v>Barclays R2 - Alice Sun | Tell me about your self | Why start your career in Hong Kong and not US/EU?</x:v>
      </x:c>
    </x:row>
    <x:row r="653" ht="32" customHeight="1">
      <x:c r="A653" s="30" t="str">
        <x:v>QB0999</x:v>
      </x:c>
      <x:c r="B653" s="30" t="str">
        <x:v>Barclays</x:v>
      </x:c>
      <x:c r="C653" s="30" t="str">
        <x:v>IBD / GCM</x:v>
      </x:c>
      <x:c r="D653" s="31" t="str">
        <x:v>why barclays</x:v>
      </x:c>
      <x:c r="E653" s="31" t="str">
        <x:v>Why this firm?</x:v>
      </x:c>
      <x:c r="F653" s="31" t="str">
        <x:v>Fit &amp; Motivation</x:v>
      </x:c>
      <x:c r="G653" s="30" t="str">
        <x:v>CL0002</x:v>
      </x:c>
      <x:c r="H653" s="32" t="n">
        <x:f>COUNTIF($G$5:$G$1725,G653)</x:f>
        <x:v>39</x:v>
      </x:c>
      <x:c r="I653" s="30" t="str">
        <x:v>E21</x:v>
      </x:c>
      <x:c r="J653" s="31" t="str">
        <x:v>Michael (more behavioural) | which team in barclays | walk me through a deal</x:v>
      </x:c>
    </x:row>
    <x:row r="654" ht="68" customHeight="1">
      <x:c r="A654" s="30" t="str">
        <x:v>QB1000</x:v>
      </x:c>
      <x:c r="B654" s="30" t="str">
        <x:v>Barclays</x:v>
      </x:c>
      <x:c r="C654" s="30" t="str">
        <x:v>IBD / GCM</x:v>
      </x:c>
      <x:c r="D654" s="31" t="str">
        <x:v>Tell me about a deal you worked on.</x:v>
      </x:c>
      <x:c r="E654" s="31" t="str">
        <x:v>Walk me through a deal you worked on</x:v>
      </x:c>
      <x:c r="F654" s="31" t="str">
        <x:v>Resume &amp; Experience</x:v>
      </x:c>
      <x:c r="G654" s="30" t="str">
        <x:v>CL0017</x:v>
      </x:c>
      <x:c r="H654" s="32" t="n">
        <x:f>COUNTIF($G$5:$G$1725,G654)</x:f>
        <x:v>8</x:v>
      </x:c>
      <x:c r="I654" s="30" t="str">
        <x:v>A22</x:v>
      </x:c>
      <x:c r="J654" s="31" t="str">
        <x:v>Give me short introduction of yourself. | Why do you think your previous exp will help you at Barclays? | What coverage are you interested in working on at Barclays?</x:v>
      </x:c>
    </x:row>
    <x:row r="655" ht="32" customHeight="1">
      <x:c r="A655" s="30" t="str">
        <x:v>QB1001</x:v>
      </x:c>
      <x:c r="B655" s="30" t="str">
        <x:v>Barclays</x:v>
      </x:c>
      <x:c r="C655" s="30" t="str">
        <x:v>IBD / GCM</x:v>
      </x:c>
      <x:c r="D655" s="31" t="str">
        <x:v>tell me about a time you faced a challenge</x:v>
      </x:c>
      <x:c r="E655" s="31" t="str">
        <x:v>Tell me about a challenge, setback, or failure</x:v>
      </x:c>
      <x:c r="F655" s="31" t="str">
        <x:v>Behavioral &amp; Situational</x:v>
      </x:c>
      <x:c r="G655" s="30" t="str">
        <x:v>CL0007</x:v>
      </x:c>
      <x:c r="H655" s="32" t="n">
        <x:f>COUNTIF($G$5:$G$1725,G655)</x:f>
        <x:v>16</x:v>
      </x:c>
      <x:c r="I655" s="30" t="str">
        <x:v>E22</x:v>
      </x:c>
      <x:c r="J655" s="31" t="str">
        <x:v>which team in barclays | walk me through a deal | why barclays</x:v>
      </x:c>
    </x:row>
    <x:row r="656" ht="68" customHeight="1">
      <x:c r="A656" s="30" t="str">
        <x:v>QB1003</x:v>
      </x:c>
      <x:c r="B656" s="30" t="str">
        <x:v>Barclays</x:v>
      </x:c>
      <x:c r="C656" s="30" t="str">
        <x:v>IBD / GCM</x:v>
      </x:c>
      <x:c r="D656" s="31" t="str">
        <x:v>Tell me more about the healthcare industry.</x:v>
      </x:c>
      <x:c r="E656" s="31" t="str">
        <x:v>Tell me more about the healthcare industry</x:v>
      </x:c>
      <x:c r="F656" s="31" t="str">
        <x:v>Company, Industry &amp; Deals</x:v>
      </x:c>
      <x:c r="G656" s="30" t="str">
        <x:v>CL0766</x:v>
      </x:c>
      <x:c r="H656" s="32" t="n">
        <x:f>COUNTIF($G$5:$G$1725,G656)</x:f>
        <x:v>1</x:v>
      </x:c>
      <x:c r="I656" s="30" t="str">
        <x:v>A23</x:v>
      </x:c>
      <x:c r="J656" s="31" t="str">
        <x:v>Why do you think your previous exp will help you at Barclays? | What coverage are you interested in working on at Barclays? | Tell me about a deal you worked on.</x:v>
      </x:c>
    </x:row>
    <x:row r="657" ht="68" customHeight="1">
      <x:c r="A657" s="30" t="str">
        <x:v>QB1004</x:v>
      </x:c>
      <x:c r="B657" s="30" t="str">
        <x:v>Barclays</x:v>
      </x:c>
      <x:c r="C657" s="30" t="str">
        <x:v>IBD / GCM</x:v>
      </x:c>
      <x:c r="D657" s="31" t="str">
        <x:v>What group / coverage if Barclays? Why?</x:v>
      </x:c>
      <x:c r="E657" s="31" t="str">
        <x:v>What group / coverage if Barclays? Why</x:v>
      </x:c>
      <x:c r="F657" s="31" t="str">
        <x:v>Other Question</x:v>
      </x:c>
      <x:c r="G657" s="30" t="str">
        <x:v>CL0948</x:v>
      </x:c>
      <x:c r="H657" s="32" t="n">
        <x:f>COUNTIF($G$5:$G$1725,G657)</x:f>
        <x:v>1</x:v>
      </x:c>
      <x:c r="I657" s="30" t="str">
        <x:v>C23</x:v>
      </x:c>
      <x:c r="J657" s="31" t="str">
        <x:v>Tell me about your self | Why start your career in Hong Kong and not US/EU? | Walk me through your most recent case comp. Team dynamic? Role? Valuation? - deep dive</x:v>
      </x:c>
    </x:row>
    <x:row r="658" ht="48" customHeight="1">
      <x:c r="A658" s="30" t="str">
        <x:v>QB1006</x:v>
      </x:c>
      <x:c r="B658" s="30" t="str">
        <x:v>Barclays</x:v>
      </x:c>
      <x:c r="C658" s="30" t="str">
        <x:v>IBD / GCM</x:v>
      </x:c>
      <x:c r="D658" s="31" t="str">
        <x:v>Why Barclays why ibd</x:v>
      </x:c>
      <x:c r="E658" s="31" t="str">
        <x:v>Why this firm?</x:v>
      </x:c>
      <x:c r="F658" s="31" t="str">
        <x:v>Fit &amp; Motivation</x:v>
      </x:c>
      <x:c r="G658" s="30" t="str">
        <x:v>CL0002</x:v>
      </x:c>
      <x:c r="H658" s="32" t="n">
        <x:f>COUNTIF($G$5:$G$1725,G658)</x:f>
        <x:v>39</x:v>
      </x:c>
      <x:c r="I658" s="30" t="str">
        <x:v>G23</x:v>
      </x:c>
      <x:c r="J658" s="31" t="str">
        <x:v>Tell me about your leadership or teamwork in a case competition experience | What do you do in your free time apart from fencing | Terry</x:v>
      </x:c>
    </x:row>
    <x:row r="659" ht="48" customHeight="1">
      <x:c r="A659" s="30" t="str">
        <x:v>QB1007</x:v>
      </x:c>
      <x:c r="B659" s="30" t="str">
        <x:v>Barclays</x:v>
      </x:c>
      <x:c r="C659" s="30" t="str">
        <x:v>IBD / GCM</x:v>
      </x:c>
      <x:c r="D659" s="31" t="str">
        <x:v>(I walked him through the DCF as well bc he wasn’t asking any technical questions…)</x:v>
      </x:c>
      <x:c r="E659" s="31" t="str">
        <x:v>(I walked him through the DCF as well bc he wasn’t asking any technical questions…)</x:v>
      </x:c>
      <x:c r="F659" s="31" t="str">
        <x:v>Valuation</x:v>
      </x:c>
      <x:c r="G659" s="30" t="str">
        <x:v>CL0060</x:v>
      </x:c>
      <x:c r="H659" s="32" t="n">
        <x:f>COUNTIF($G$5:$G$1725,G659)</x:f>
        <x:v>1</x:v>
      </x:c>
      <x:c r="I659" s="30" t="str">
        <x:v>A24</x:v>
      </x:c>
      <x:c r="J659" s="31" t="str">
        <x:v>What coverage are you interested in working on at Barclays? | Tell me about a deal you worked on. | Tell me more about the healthcare industry.</x:v>
      </x:c>
    </x:row>
    <x:row r="660" ht="32" customHeight="1">
      <x:c r="A660" s="30" t="str">
        <x:v>QB1009</x:v>
      </x:c>
      <x:c r="B660" s="30" t="str">
        <x:v>Barclays</x:v>
      </x:c>
      <x:c r="C660" s="30" t="str">
        <x:v>IBD / GCM</x:v>
      </x:c>
      <x:c r="D660" s="31" t="str">
        <x:v>Why after hkex and equity research you wanna do ibd</x:v>
      </x:c>
      <x:c r="E660" s="31" t="str">
        <x:v>Why after hkex and equity research you wanna do ibd</x:v>
      </x:c>
      <x:c r="F660" s="31" t="str">
        <x:v>Fit &amp; Motivation</x:v>
      </x:c>
      <x:c r="G660" s="30" t="str">
        <x:v>CL1111</x:v>
      </x:c>
      <x:c r="H660" s="32" t="n">
        <x:f>COUNTIF($G$5:$G$1725,G660)</x:f>
        <x:v>1</x:v>
      </x:c>
      <x:c r="I660" s="30" t="str">
        <x:v>G24</x:v>
      </x:c>
      <x:c r="J660" s="31" t="str">
        <x:v>What do you do in your free time apart from fencing | Terry | Why Barclays why ibd</x:v>
      </x:c>
    </x:row>
    <x:row r="661" ht="68" customHeight="1">
      <x:c r="A661" s="30" t="str">
        <x:v>QB1010</x:v>
      </x:c>
      <x:c r="B661" s="30" t="str">
        <x:v>Barclays</x:v>
      </x:c>
      <x:c r="C661" s="30" t="str">
        <x:v>IBD / GCM</x:v>
      </x:c>
      <x:c r="D661" s="31" t="str">
        <x:v>What would you do if you weren’t in investment banking?</x:v>
      </x:c>
      <x:c r="E661" s="31" t="str">
        <x:v>What would you do if you weren’t in investment banking</x:v>
      </x:c>
      <x:c r="F661" s="31" t="str">
        <x:v>Other Question</x:v>
      </x:c>
      <x:c r="G661" s="30" t="str">
        <x:v>CL1038</x:v>
      </x:c>
      <x:c r="H661" s="32" t="n">
        <x:f>COUNTIF($G$5:$G$1725,G661)</x:f>
        <x:v>1</x:v>
      </x:c>
      <x:c r="I661" s="30" t="str">
        <x:v>A25</x:v>
      </x:c>
      <x:c r="J661" s="31" t="str">
        <x:v>Tell me about a deal you worked on. | Tell me more about the healthcare industry. | (I walked him through the DCF as well bc he wasn’t asking any technical questions…)</x:v>
      </x:c>
    </x:row>
    <x:row r="662" ht="68" customHeight="1">
      <x:c r="A662" s="30" t="str">
        <x:v>QB1011</x:v>
      </x:c>
      <x:c r="B662" s="30" t="str">
        <x:v>Barclays</x:v>
      </x:c>
      <x:c r="C662" s="30" t="str">
        <x:v>IBD / GCM</x:v>
      </x:c>
      <x:c r="D662" s="31" t="str">
        <x:v>Why IBD not PE</x:v>
      </x:c>
      <x:c r="E662" s="31" t="str">
        <x:v>Why investment banking?</x:v>
      </x:c>
      <x:c r="F662" s="31" t="str">
        <x:v>Fit &amp; Motivation</x:v>
      </x:c>
      <x:c r="G662" s="30" t="str">
        <x:v>CL0003</x:v>
      </x:c>
      <x:c r="H662" s="32" t="n">
        <x:f>COUNTIF($G$5:$G$1725,G662)</x:f>
        <x:v>34</x:v>
      </x:c>
      <x:c r="I662" s="30" t="str">
        <x:v>C25</x:v>
      </x:c>
      <x:c r="J662" s="31" t="str">
        <x:v>Why start your career in Hong Kong and not US/EU? | Walk me through your most recent case comp. Team dynamic? Role? Valuation? - deep dive | What group / coverage if Barclays? Why?</x:v>
      </x:c>
    </x:row>
    <x:row r="663" ht="68" customHeight="1">
      <x:c r="A663" s="30" t="str">
        <x:v>QB1013</x:v>
      </x:c>
      <x:c r="B663" s="30" t="str">
        <x:v>Barclays</x:v>
      </x:c>
      <x:c r="C663" s="30" t="str">
        <x:v>IBD / GCM</x:v>
      </x:c>
      <x:c r="D663" s="31" t="str">
        <x:v>How would you value a piece of art?</x:v>
      </x:c>
      <x:c r="E663" s="31" t="str">
        <x:v>How would you value a piece of art</x:v>
      </x:c>
      <x:c r="F663" s="31" t="str">
        <x:v>Other Question</x:v>
      </x:c>
      <x:c r="G663" s="30" t="str">
        <x:v>CL0499</x:v>
      </x:c>
      <x:c r="H663" s="32" t="n">
        <x:f>COUNTIF($G$5:$G$1725,G663)</x:f>
        <x:v>1</x:v>
      </x:c>
      <x:c r="I663" s="30" t="str">
        <x:v>A26</x:v>
      </x:c>
      <x:c r="J663" s="31" t="str">
        <x:v>Tell me more about the healthcare industry. | (I walked him through the DCF as well bc he wasn’t asking any technical questions…) | What would you do if you weren’t in investment banking?</x:v>
      </x:c>
    </x:row>
    <x:row r="664" ht="68" customHeight="1">
      <x:c r="A664" s="30" t="str">
        <x:v>QB1015</x:v>
      </x:c>
      <x:c r="B664" s="30" t="str">
        <x:v>Barclays</x:v>
      </x:c>
      <x:c r="C664" s="30" t="str">
        <x:v>IBD / GCM</x:v>
      </x:c>
      <x:c r="D664" s="31" t="str">
        <x:v>Can you speak canto / mandarin? Feel free to ask me questions in mandarin.</x:v>
      </x:c>
      <x:c r="E664" s="31" t="str">
        <x:v>Can you speak canto / mandarin? Feel free to ask me questions in mandarin</x:v>
      </x:c>
      <x:c r="F664" s="31" t="str">
        <x:v>Fit &amp; Motivation</x:v>
      </x:c>
      <x:c r="G664" s="30" t="str">
        <x:v>CL0188</x:v>
      </x:c>
      <x:c r="H664" s="32" t="n">
        <x:f>COUNTIF($G$5:$G$1725,G664)</x:f>
        <x:v>1</x:v>
      </x:c>
      <x:c r="I664" s="30" t="str">
        <x:v>A27</x:v>
      </x:c>
      <x:c r="J664" s="31" t="str">
        <x:v>(I walked him through the DCF as well bc he wasn’t asking any technical questions…) | What would you do if you weren’t in investment banking? | How would you value a piece of art?</x:v>
      </x:c>
    </x:row>
    <x:row r="665" ht="32" customHeight="1">
      <x:c r="A665" s="30" t="str">
        <x:v>QB1017</x:v>
      </x:c>
      <x:c r="B665" s="30" t="str">
        <x:v>Barclays</x:v>
      </x:c>
      <x:c r="C665" s="30" t="str">
        <x:v>IBD / GCM</x:v>
      </x:c>
      <x:c r="D665" s="31" t="str">
        <x:v>walk me through a deal</x:v>
      </x:c>
      <x:c r="E665" s="31" t="str">
        <x:v>Walk me through a deal</x:v>
      </x:c>
      <x:c r="F665" s="31" t="str">
        <x:v>Resume &amp; Experience</x:v>
      </x:c>
      <x:c r="G665" s="30" t="str">
        <x:v>CL0024</x:v>
      </x:c>
      <x:c r="H665" s="32" t="n">
        <x:f>COUNTIF($G$5:$G$1725,G665)</x:f>
        <x:v>3</x:v>
      </x:c>
      <x:c r="I665" s="30" t="str">
        <x:v>E27</x:v>
      </x:c>
      <x:c r="J665" s="31" t="str">
        <x:v>forgot the rest...quite conversational | any questions | Terry (more behavioural)</x:v>
      </x:c>
    </x:row>
    <x:row r="666" ht="32" customHeight="1">
      <x:c r="A666" s="30" t="str">
        <x:v>QB1018</x:v>
      </x:c>
      <x:c r="B666" s="30" t="str">
        <x:v>Barclays</x:v>
      </x:c>
      <x:c r="C666" s="30" t="str">
        <x:v>IBD / GCM</x:v>
      </x:c>
      <x:c r="D666" s="31" t="str">
        <x:v>why barclays</x:v>
      </x:c>
      <x:c r="E666" s="31" t="str">
        <x:v>Why this firm?</x:v>
      </x:c>
      <x:c r="F666" s="31" t="str">
        <x:v>Fit &amp; Motivation</x:v>
      </x:c>
      <x:c r="G666" s="30" t="str">
        <x:v>CL0002</x:v>
      </x:c>
      <x:c r="H666" s="32" t="n">
        <x:f>COUNTIF($G$5:$G$1725,G666)</x:f>
        <x:v>39</x:v>
      </x:c>
      <x:c r="I666" s="30" t="str">
        <x:v>E28</x:v>
      </x:c>
      <x:c r="J666" s="31" t="str">
        <x:v>any questions | Terry (more behavioural) | walk me through a deal</x:v>
      </x:c>
    </x:row>
    <x:row r="667" ht="32" customHeight="1">
      <x:c r="A667" s="30" t="str">
        <x:v>QB1021</x:v>
      </x:c>
      <x:c r="B667" s="30" t="str">
        <x:v>Barclays</x:v>
      </x:c>
      <x:c r="C667" s="30" t="str">
        <x:v>IBD / GCM</x:v>
      </x:c>
      <x:c r="D667" s="31" t="str">
        <x:v>tell me something not on your cv</x:v>
      </x:c>
      <x:c r="E667" s="31" t="str">
        <x:v>Tell me something not on your cv</x:v>
      </x:c>
      <x:c r="F667" s="31" t="str">
        <x:v>Resume &amp; Experience</x:v>
      </x:c>
      <x:c r="G667" s="30" t="str">
        <x:v>CL0773</x:v>
      </x:c>
      <x:c r="H667" s="32" t="n">
        <x:f>COUNTIF($G$5:$G$1725,G667)</x:f>
        <x:v>1</x:v>
      </x:c>
      <x:c r="I667" s="30" t="str">
        <x:v>E29</x:v>
      </x:c>
      <x:c r="J667" s="31" t="str">
        <x:v>Terry (more behavioural) | walk me through a deal | why barclays</x:v>
      </x:c>
    </x:row>
    <x:row r="668" ht="32" customHeight="1">
      <x:c r="A668" s="30" t="str">
        <x:v>QB1022</x:v>
      </x:c>
      <x:c r="B668" s="30" t="str">
        <x:v>Barclays</x:v>
      </x:c>
      <x:c r="C668" s="30" t="str">
        <x:v>IBD / GCM</x:v>
      </x:c>
      <x:c r="D668" s="31" t="str">
        <x:v>Self intro</x:v>
      </x:c>
      <x:c r="E668" s="31" t="str">
        <x:v>Tell me about yourself / walk me through your resume</x:v>
      </x:c>
      <x:c r="F668" s="31" t="str">
        <x:v>Resume &amp; Experience</x:v>
      </x:c>
      <x:c r="G668" s="30" t="str">
        <x:v>CL0001</x:v>
      </x:c>
      <x:c r="H668" s="32" t="n">
        <x:f>COUNTIF($G$5:$G$1725,G668)</x:f>
        <x:v>170</x:v>
      </x:c>
      <x:c r="I668" s="30" t="str">
        <x:v>G29</x:v>
      </x:c>
      <x:c r="J668" s="31" t="str">
        <x:v>Why after hkex and equity research you wanna do ibd | (Conversational forgot) | Stefanie</x:v>
      </x:c>
    </x:row>
    <x:row r="669" ht="68" customHeight="1">
      <x:c r="A669" s="30" t="str">
        <x:v>QB1023</x:v>
      </x:c>
      <x:c r="B669" s="30" t="str">
        <x:v>Barclays</x:v>
      </x:c>
      <x:c r="C669" s="30" t="str">
        <x:v>IBD / GCM</x:v>
      </x:c>
      <x:c r="D669" s="31" t="str">
        <x:v>Self Intro</x:v>
      </x:c>
      <x:c r="E669" s="31" t="str">
        <x:v>Tell me about yourself / walk me through your resume</x:v>
      </x:c>
      <x:c r="F669" s="31" t="str">
        <x:v>Resume &amp; Experience</x:v>
      </x:c>
      <x:c r="G669" s="30" t="str">
        <x:v>CL0001</x:v>
      </x:c>
      <x:c r="H669" s="32" t="n">
        <x:f>COUNTIF($G$5:$G$1725,G669)</x:f>
        <x:v>170</x:v>
      </x:c>
      <x:c r="I669" s="30" t="str">
        <x:v>A30</x:v>
      </x:c>
      <x:c r="J669" s="31" t="str">
        <x:v>How would you value a piece of art? | Can you speak canto / mandarin? Feel free to ask me questions in mandarin. | Emily 2nd Interview (Interviewer: Richard Li Asso)</x:v>
      </x:c>
    </x:row>
    <x:row r="670" ht="32" customHeight="1">
      <x:c r="A670" s="30" t="str">
        <x:v>QB1025</x:v>
      </x:c>
      <x:c r="B670" s="30" t="str">
        <x:v>Barclays</x:v>
      </x:c>
      <x:c r="C670" s="30" t="str">
        <x:v>IBD / GCM</x:v>
      </x:c>
      <x:c r="D670" s="31" t="str">
        <x:v>What’s special about PUI?</x:v>
      </x:c>
      <x:c r="E670" s="31" t="str">
        <x:v>What’s special about PUI</x:v>
      </x:c>
      <x:c r="F670" s="31" t="str">
        <x:v>Other Question</x:v>
      </x:c>
      <x:c r="G670" s="30" t="str">
        <x:v>CL1047</x:v>
      </x:c>
      <x:c r="H670" s="32" t="n">
        <x:f>COUNTIF($G$5:$G$1725,G670)</x:f>
        <x:v>1</x:v>
      </x:c>
      <x:c r="I670" s="30" t="str">
        <x:v>G30</x:v>
      </x:c>
      <x:c r="J670" s="31" t="str">
        <x:v>(Conversational forgot) | Stefanie | Self intro</x:v>
      </x:c>
    </x:row>
    <x:row r="671" ht="48" customHeight="1">
      <x:c r="A671" s="30" t="str">
        <x:v>QB1026</x:v>
      </x:c>
      <x:c r="B671" s="30" t="str">
        <x:v>Barclays</x:v>
      </x:c>
      <x:c r="C671" s="30" t="str">
        <x:v>IBD / GCM</x:v>
      </x:c>
      <x:c r="D671" s="31" t="str">
        <x:v>What have you done in Daiwa? Major responsibility and project</x:v>
      </x:c>
      <x:c r="E671" s="31" t="str">
        <x:v>What have you done in Daiwa? Major responsibility and project</x:v>
      </x:c>
      <x:c r="F671" s="31" t="str">
        <x:v>Resume &amp; Experience</x:v>
      </x:c>
      <x:c r="G671" s="30" t="str">
        <x:v>CL0950</x:v>
      </x:c>
      <x:c r="H671" s="32" t="n">
        <x:f>COUNTIF($G$5:$G$1725,G671)</x:f>
        <x:v>1</x:v>
      </x:c>
      <x:c r="I671" s="30" t="str">
        <x:v>A31</x:v>
      </x:c>
      <x:c r="J671" s="31" t="str">
        <x:v>Can you speak canto / mandarin? Feel free to ask me questions in mandarin. | Emily 2nd Interview (Interviewer: Richard Li Asso) | Self Intro</x:v>
      </x:c>
    </x:row>
    <x:row r="672" ht="32" customHeight="1">
      <x:c r="A672" s="30" t="str">
        <x:v>QB1028</x:v>
      </x:c>
      <x:c r="B672" s="30" t="str">
        <x:v>Barclays</x:v>
      </x:c>
      <x:c r="C672" s="30" t="str">
        <x:v>IBD / GCM</x:v>
      </x:c>
      <x:c r="D672" s="31" t="str">
        <x:v>How do you get enterprise value from levered fcf</x:v>
      </x:c>
      <x:c r="E672" s="31" t="str">
        <x:v>How do you get enterprise value from levered fcf</x:v>
      </x:c>
      <x:c r="F672" s="31" t="str">
        <x:v>Valuation</x:v>
      </x:c>
      <x:c r="G672" s="30" t="str">
        <x:v>CL0415</x:v>
      </x:c>
      <x:c r="H672" s="32" t="n">
        <x:f>COUNTIF($G$5:$G$1725,G672)</x:f>
        <x:v>1</x:v>
      </x:c>
      <x:c r="I672" s="30" t="str">
        <x:v>G31</x:v>
      </x:c>
      <x:c r="J672" s="31" t="str">
        <x:v>Stefanie | Self intro | What’s special about PUI?</x:v>
      </x:c>
    </x:row>
    <x:row r="673" ht="32" customHeight="1">
      <x:c r="A673" s="30" t="str">
        <x:v>QB1030</x:v>
      </x:c>
      <x:c r="B673" s="30" t="str">
        <x:v>Barclays</x:v>
      </x:c>
      <x:c r="C673" s="30" t="str">
        <x:v>IBD / GCM</x:v>
      </x:c>
      <x:c r="D673" s="31" t="str">
        <x:v>How did you do the model for your equity research internship</x:v>
      </x:c>
      <x:c r="E673" s="31" t="str">
        <x:v>How did you do the model for your equity research internship</x:v>
      </x:c>
      <x:c r="F673" s="31" t="str">
        <x:v>Resume &amp; Experience</x:v>
      </x:c>
      <x:c r="G673" s="30" t="str">
        <x:v>CL0384</x:v>
      </x:c>
      <x:c r="H673" s="32" t="n">
        <x:f>COUNTIF($G$5:$G$1725,G673)</x:f>
        <x:v>1</x:v>
      </x:c>
      <x:c r="I673" s="30" t="str">
        <x:v>G32</x:v>
      </x:c>
      <x:c r="J673" s="31" t="str">
        <x:v>Self intro | What’s special about PUI? | How do you get enterprise value from levered fcf</x:v>
      </x:c>
    </x:row>
    <x:row r="674" ht="48" customHeight="1">
      <x:c r="A674" s="30" t="str">
        <x:v>QB1033</x:v>
      </x:c>
      <x:c r="B674" s="30" t="str">
        <x:v>Barclays</x:v>
      </x:c>
      <x:c r="C674" s="30" t="str">
        <x:v>IBD / GCM</x:v>
      </x:c>
      <x:c r="D674" s="31" t="str">
        <x:v>What’s your biggest weakness compared to other candidates</x:v>
      </x:c>
      <x:c r="E674" s="31" t="str">
        <x:v>What is your biggest strength / weakness?</x:v>
      </x:c>
      <x:c r="F674" s="31" t="str">
        <x:v>Behavioral &amp; Situational</x:v>
      </x:c>
      <x:c r="G674" s="30" t="str">
        <x:v>CL0027</x:v>
      </x:c>
      <x:c r="H674" s="32" t="n">
        <x:f>COUNTIF($G$5:$G$1725,G674)</x:f>
        <x:v>3</x:v>
      </x:c>
      <x:c r="I674" s="30" t="str">
        <x:v>G33</x:v>
      </x:c>
      <x:c r="J674" s="31" t="str">
        <x:v>What’s special about PUI? | How do you get enterprise value from levered fcf | How did you do the model for your equity research internship</x:v>
      </x:c>
    </x:row>
    <x:row r="675" ht="32" customHeight="1">
      <x:c r="A675" s="30" t="str">
        <x:v>QB1035</x:v>
      </x:c>
      <x:c r="B675" s="30" t="str">
        <x:v>Barclays</x:v>
      </x:c>
      <x:c r="C675" s="30" t="str">
        <x:v>IBD / GCM</x:v>
      </x:c>
      <x:c r="D675" s="31" t="str">
        <x:v>self intro</x:v>
      </x:c>
      <x:c r="E675" s="31" t="str">
        <x:v>Tell me about yourself / walk me through your resume</x:v>
      </x:c>
      <x:c r="F675" s="31" t="str">
        <x:v>Resume &amp; Experience</x:v>
      </x:c>
      <x:c r="G675" s="30" t="str">
        <x:v>CL0001</x:v>
      </x:c>
      <x:c r="H675" s="32" t="n">
        <x:f>COUNTIF($G$5:$G$1725,G675)</x:f>
        <x:v>170</x:v>
      </x:c>
      <x:c r="I675" s="30" t="str">
        <x:v>E34</x:v>
      </x:c>
      <x:c r="J675" s="31" t="str">
        <x:v>forgot the rest...quite conversational | any questions | Stefani (more tech, chinese)</x:v>
      </x:c>
    </x:row>
    <x:row r="676" ht="48" customHeight="1">
      <x:c r="A676" s="30" t="str">
        <x:v>QB1036</x:v>
      </x:c>
      <x:c r="B676" s="30" t="str">
        <x:v>Barclays</x:v>
      </x:c>
      <x:c r="C676" s="30" t="str">
        <x:v>IBD / GCM</x:v>
      </x:c>
      <x:c r="D676" s="31" t="str">
        <x:v>Comparable companies: criteria, multiples (EV as compared to competitors), why use EV/EBITDA, not EV/E</x:v>
      </x:c>
      <x:c r="E676" s="31" t="str">
        <x:v>Comparable companies: criteria, multiples (EV as compared to competitors), why use EV/EBITDA, not EV/E</x:v>
      </x:c>
      <x:c r="F676" s="31" t="str">
        <x:v>Fit &amp; Motivation</x:v>
      </x:c>
      <x:c r="G676" s="30" t="str">
        <x:v>CL0202</x:v>
      </x:c>
      <x:c r="H676" s="32" t="n">
        <x:f>COUNTIF($G$5:$G$1725,G676)</x:f>
        <x:v>1</x:v>
      </x:c>
      <x:c r="I676" s="30" t="str">
        <x:v>A35</x:v>
      </x:c>
      <x:c r="J676" s="31" t="str">
        <x:v>中文 starting from here | STOCK 1 | Deep dive: revenue breakdown, revenue driver, reason for assumption</x:v>
      </x:c>
    </x:row>
    <x:row r="677" ht="32" customHeight="1">
      <x:c r="A677" s="30" t="str">
        <x:v>QB1037</x:v>
      </x:c>
      <x:c r="B677" s="30" t="str">
        <x:v>Barclays</x:v>
      </x:c>
      <x:c r="C677" s="30" t="str">
        <x:v>IBD / GCM</x:v>
      </x:c>
      <x:c r="D677" s="31" t="str">
        <x:v>walk me through your internships (in chinese)</x:v>
      </x:c>
      <x:c r="E677" s="31" t="str">
        <x:v>Walk me through your internships (in chinese)</x:v>
      </x:c>
      <x:c r="F677" s="31" t="str">
        <x:v>Resume &amp; Experience</x:v>
      </x:c>
      <x:c r="G677" s="30" t="str">
        <x:v>CL0841</x:v>
      </x:c>
      <x:c r="H677" s="32" t="n">
        <x:f>COUNTIF($G$5:$G$1725,G677)</x:f>
        <x:v>1</x:v>
      </x:c>
      <x:c r="I677" s="30" t="str">
        <x:v>E35</x:v>
      </x:c>
      <x:c r="J677" s="31" t="str">
        <x:v>any questions | Stefani (more tech, chinese) | self intro</x:v>
      </x:c>
    </x:row>
    <x:row r="678" ht="68" customHeight="1">
      <x:c r="A678" s="30" t="str">
        <x:v>QB1038</x:v>
      </x:c>
      <x:c r="B678" s="30" t="str">
        <x:v>Barclays</x:v>
      </x:c>
      <x:c r="C678" s="30" t="str">
        <x:v>IBD / GCM</x:v>
      </x:c>
      <x:c r="D678" s="31" t="str">
        <x:v>How is the market dynamic? (Entry barrier, technology etc)</x:v>
      </x:c>
      <x:c r="E678" s="31" t="str">
        <x:v>How is the market dynamic? (Entry barrier, technology etc)</x:v>
      </x:c>
      <x:c r="F678" s="31" t="str">
        <x:v>Accounting &amp; Financial Statements</x:v>
      </x:c>
      <x:c r="G678" s="30" t="str">
        <x:v>CL0449</x:v>
      </x:c>
      <x:c r="H678" s="32" t="n">
        <x:f>COUNTIF($G$5:$G$1725,G678)</x:f>
        <x:v>1</x:v>
      </x:c>
      <x:c r="I678" s="30" t="str">
        <x:v>A36</x:v>
      </x:c>
      <x:c r="J678" s="31" t="str">
        <x:v>STOCK 1 | Deep dive: revenue breakdown, revenue driver, reason for assumption | Comparable companies: criteria, multiples (EV as compared to competitors), why use EV/EBITDA, not EV/E</x:v>
      </x:c>
    </x:row>
    <x:row r="679" ht="32" customHeight="1">
      <x:c r="A679" s="30" t="str">
        <x:v>QB1039</x:v>
      </x:c>
      <x:c r="B679" s="30" t="str">
        <x:v>Barclays</x:v>
      </x:c>
      <x:c r="C679" s="30" t="str">
        <x:v>IBD / GCM</x:v>
      </x:c>
      <x:c r="D679" s="31" t="str">
        <x:v>do you like toronto or guangzhou or hong kong (in chinese)</x:v>
      </x:c>
      <x:c r="E679" s="31" t="str">
        <x:v>Do you like toronto or guangzhou or hong kong (in chinese)</x:v>
      </x:c>
      <x:c r="F679" s="31" t="str">
        <x:v>Fit &amp; Motivation</x:v>
      </x:c>
      <x:c r="G679" s="30" t="str">
        <x:v>CL0284</x:v>
      </x:c>
      <x:c r="H679" s="32" t="n">
        <x:f>COUNTIF($G$5:$G$1725,G679)</x:f>
        <x:v>1</x:v>
      </x:c>
      <x:c r="I679" s="30" t="str">
        <x:v>E36</x:v>
      </x:c>
      <x:c r="J679" s="31" t="str">
        <x:v>Stefani (more tech, chinese) | self intro | walk me through your internships (in chinese)</x:v>
      </x:c>
    </x:row>
    <x:row r="680" ht="68" customHeight="1">
      <x:c r="A680" s="30" t="str">
        <x:v>QB1040</x:v>
      </x:c>
      <x:c r="B680" s="30" t="str">
        <x:v>Barclays</x:v>
      </x:c>
      <x:c r="C680" s="30" t="str">
        <x:v>IBD / GCM</x:v>
      </x:c>
      <x:c r="D680" s="31" t="str">
        <x:v>Business model? Why would industrial companies use energy storage systems?</x:v>
      </x:c>
      <x:c r="E680" s="31" t="str">
        <x:v>Business model? Why would industrial companies use energy storage systems</x:v>
      </x:c>
      <x:c r="F680" s="31" t="str">
        <x:v>Fit &amp; Motivation</x:v>
      </x:c>
      <x:c r="G680" s="30" t="str">
        <x:v>CL0177</x:v>
      </x:c>
      <x:c r="H680" s="32" t="n">
        <x:f>COUNTIF($G$5:$G$1725,G680)</x:f>
        <x:v>1</x:v>
      </x:c>
      <x:c r="I680" s="30" t="str">
        <x:v>A37</x:v>
      </x:c>
      <x:c r="J680" s="31" t="str">
        <x:v>Deep dive: revenue breakdown, revenue driver, reason for assumption | Comparable companies: criteria, multiples (EV as compared to competitors), why use EV/EBITDA, not EV/E | How is the market dynamic? (Entry barrier, technology etc)</x:v>
      </x:c>
    </x:row>
    <x:row r="681" ht="48" customHeight="1">
      <x:c r="A681" s="30" t="str">
        <x:v>QB1041</x:v>
      </x:c>
      <x:c r="B681" s="30" t="str">
        <x:v>Barclays</x:v>
      </x:c>
      <x:c r="C681" s="30" t="str">
        <x:v>IBD / GCM</x:v>
      </x:c>
      <x:c r="D681" s="31" t="str">
        <x:v>have you used chinese in your prev internships?</x:v>
      </x:c>
      <x:c r="E681" s="31" t="str">
        <x:v>Have you used chinese in your prev internships</x:v>
      </x:c>
      <x:c r="F681" s="31" t="str">
        <x:v>Resume &amp; Experience</x:v>
      </x:c>
      <x:c r="G681" s="30" t="str">
        <x:v>CL0365</x:v>
      </x:c>
      <x:c r="H681" s="32" t="n">
        <x:f>COUNTIF($G$5:$G$1725,G681)</x:f>
        <x:v>1</x:v>
      </x:c>
      <x:c r="I681" s="30" t="str">
        <x:v>E37</x:v>
      </x:c>
      <x:c r="J681" s="31" t="str">
        <x:v>self intro | walk me through your internships (in chinese) | do you like toronto or guangzhou or hong kong (in chinese)</x:v>
      </x:c>
    </x:row>
    <x:row r="682" ht="48" customHeight="1">
      <x:c r="A682" s="30" t="str">
        <x:v>QB1043</x:v>
      </x:c>
      <x:c r="B682" s="30" t="str">
        <x:v>Barclays</x:v>
      </x:c>
      <x:c r="C682" s="30" t="str">
        <x:v>IBD / GCM</x:v>
      </x:c>
      <x:c r="D682" s="31" t="str">
        <x:v>walk me through a deal</x:v>
      </x:c>
      <x:c r="E682" s="31" t="str">
        <x:v>Walk me through a deal</x:v>
      </x:c>
      <x:c r="F682" s="31" t="str">
        <x:v>Resume &amp; Experience</x:v>
      </x:c>
      <x:c r="G682" s="30" t="str">
        <x:v>CL0024</x:v>
      </x:c>
      <x:c r="H682" s="32" t="n">
        <x:f>COUNTIF($G$5:$G$1725,G682)</x:f>
        <x:v>3</x:v>
      </x:c>
      <x:c r="I682" s="30" t="str">
        <x:v>E38</x:v>
      </x:c>
      <x:c r="J682" s="31" t="str">
        <x:v>walk me through your internships (in chinese) | do you like toronto or guangzhou or hong kong (in chinese) | have you used chinese in your prev internships?</x:v>
      </x:c>
    </x:row>
    <x:row r="683" ht="48" customHeight="1">
      <x:c r="A683" s="30" t="str">
        <x:v>QB1045</x:v>
      </x:c>
      <x:c r="B683" s="30" t="str">
        <x:v>Barclays</x:v>
      </x:c>
      <x:c r="C683" s="30" t="str">
        <x:v>IBD / GCM</x:v>
      </x:c>
      <x:c r="D683" s="31" t="str">
        <x:v>what is the difference betweeen lfcf and ufcf</x:v>
      </x:c>
      <x:c r="E683" s="31" t="str">
        <x:v>What is the difference betweeen lfcf and ufcf</x:v>
      </x:c>
      <x:c r="F683" s="31" t="str">
        <x:v>Accounting &amp; Financial Statements</x:v>
      </x:c>
      <x:c r="G683" s="30" t="str">
        <x:v>CL0977</x:v>
      </x:c>
      <x:c r="H683" s="32" t="n">
        <x:f>COUNTIF($G$5:$G$1725,G683)</x:f>
        <x:v>1</x:v>
      </x:c>
      <x:c r="I683" s="30" t="str">
        <x:v>E39</x:v>
      </x:c>
      <x:c r="J683" s="31" t="str">
        <x:v>do you like toronto or guangzhou or hong kong (in chinese) | have you used chinese in your prev internships? | walk me through a deal</x:v>
      </x:c>
    </x:row>
    <x:row r="684" ht="48" customHeight="1">
      <x:c r="A684" s="30" t="str">
        <x:v>QB1047</x:v>
      </x:c>
      <x:c r="B684" s="30" t="str">
        <x:v>Barclays</x:v>
      </x:c>
      <x:c r="C684" s="30" t="str">
        <x:v>IBD / GCM</x:v>
      </x:c>
      <x:c r="D684" s="31" t="str">
        <x:v>what is the disadvantage of ufcf</x:v>
      </x:c>
      <x:c r="E684" s="31" t="str">
        <x:v>What is the disadvantage of ufcf</x:v>
      </x:c>
      <x:c r="F684" s="31" t="str">
        <x:v>Accounting &amp; Financial Statements</x:v>
      </x:c>
      <x:c r="G684" s="30" t="str">
        <x:v>CL0980</x:v>
      </x:c>
      <x:c r="H684" s="32" t="n">
        <x:f>COUNTIF($G$5:$G$1725,G684)</x:f>
        <x:v>1</x:v>
      </x:c>
      <x:c r="I684" s="30" t="str">
        <x:v>E40</x:v>
      </x:c>
      <x:c r="J684" s="31" t="str">
        <x:v>have you used chinese in your prev internships? | walk me through a deal | what is the difference betweeen lfcf and ufcf</x:v>
      </x:c>
    </x:row>
    <x:row r="685" ht="48" customHeight="1">
      <x:c r="A685" s="30" t="str">
        <x:v>QB1048</x:v>
      </x:c>
      <x:c r="B685" s="30" t="str">
        <x:v>Barclays</x:v>
      </x:c>
      <x:c r="C685" s="30" t="str">
        <x:v>IBD / GCM</x:v>
      </x:c>
      <x:c r="D685" s="31" t="str">
        <x:v>Any other thesis to support this (industry trend)</x:v>
      </x:c>
      <x:c r="E685" s="31" t="str">
        <x:v>Any other thesis to support this (industry trend)</x:v>
      </x:c>
      <x:c r="F685" s="31" t="str">
        <x:v>Company, Industry &amp; Deals</x:v>
      </x:c>
      <x:c r="G685" s="30" t="str">
        <x:v>CL0117</x:v>
      </x:c>
      <x:c r="H685" s="32" t="n">
        <x:f>COUNTIF($G$5:$G$1725,G685)</x:f>
        <x:v>1</x:v>
      </x:c>
      <x:c r="I685" s="30" t="str">
        <x:v>A41</x:v>
      </x:c>
      <x:c r="J685" s="31" t="str">
        <x:v>STOCK 2 | Revenue breakdown, revenue driver, reason for assumption | P, Q, COGS, GPM change and reason (why high growth)</x:v>
      </x:c>
    </x:row>
    <x:row r="686" ht="48" customHeight="1">
      <x:c r="A686" s="30" t="str">
        <x:v>QB1049</x:v>
      </x:c>
      <x:c r="B686" s="30" t="str">
        <x:v>Barclays</x:v>
      </x:c>
      <x:c r="C686" s="30" t="str">
        <x:v>IBD / GCM</x:v>
      </x:c>
      <x:c r="D686" s="31" t="str">
        <x:v>what discount rate do you use for levered vs unlevered fcf</x:v>
      </x:c>
      <x:c r="E686" s="31" t="str">
        <x:v>What discount rate do you use for levered vs unlevered fcf</x:v>
      </x:c>
      <x:c r="F686" s="31" t="str">
        <x:v>Valuation</x:v>
      </x:c>
      <x:c r="G686" s="30" t="str">
        <x:v>CL0911</x:v>
      </x:c>
      <x:c r="H686" s="32" t="n">
        <x:f>COUNTIF($G$5:$G$1725,G686)</x:f>
        <x:v>1</x:v>
      </x:c>
      <x:c r="I686" s="30" t="str">
        <x:v>E41</x:v>
      </x:c>
      <x:c r="J686" s="31" t="str">
        <x:v>walk me through a deal | what is the difference betweeen lfcf and ufcf | what is the disadvantage of ufcf</x:v>
      </x:c>
    </x:row>
    <x:row r="687" ht="48" customHeight="1">
      <x:c r="A687" s="30" t="str">
        <x:v>QB1051</x:v>
      </x:c>
      <x:c r="B687" s="30" t="str">
        <x:v>Barclays</x:v>
      </x:c>
      <x:c r="C687" s="30" t="str">
        <x:v>IBD / GCM</x:v>
      </x:c>
      <x:c r="D687" s="31" t="str">
        <x:v>why would a company take on more leverage in a buyout, how does its affect cash flows, IRR, MOIC</x:v>
      </x:c>
      <x:c r="E687" s="31" t="str">
        <x:v>Why would a company take on more leverage in a buyout, how does its affect cash flows, IRR, MOIC</x:v>
      </x:c>
      <x:c r="F687" s="31" t="str">
        <x:v>Fit &amp; Motivation</x:v>
      </x:c>
      <x:c r="G687" s="30" t="str">
        <x:v>CL1176</x:v>
      </x:c>
      <x:c r="H687" s="32" t="n">
        <x:f>COUNTIF($G$5:$G$1725,G687)</x:f>
        <x:v>1</x:v>
      </x:c>
      <x:c r="I687" s="30" t="str">
        <x:v>E42</x:v>
      </x:c>
      <x:c r="J687" s="31" t="str">
        <x:v>what is the difference betweeen lfcf and ufcf | what is the disadvantage of ufcf | what discount rate do you use for levered vs unlevered fcf</x:v>
      </x:c>
    </x:row>
    <x:row r="688" ht="48" customHeight="1">
      <x:c r="A688" s="30" t="str">
        <x:v>QB1053</x:v>
      </x:c>
      <x:c r="B688" s="30" t="str">
        <x:v>Barclays</x:v>
      </x:c>
      <x:c r="C688" s="30" t="str">
        <x:v>IBD / GCM</x:v>
      </x:c>
      <x:c r="D688" s="31" t="str">
        <x:v>Formula: FCF, NWC, common items of non-cash expense</x:v>
      </x:c>
      <x:c r="E688" s="31" t="str">
        <x:v>Formula: FCF, NWC, common items of non-cash expense</x:v>
      </x:c>
      <x:c r="F688" s="31" t="str">
        <x:v>Accounting &amp; Financial Statements</x:v>
      </x:c>
      <x:c r="G688" s="30" t="str">
        <x:v>CL0341</x:v>
      </x:c>
      <x:c r="H688" s="32" t="n">
        <x:f>COUNTIF($G$5:$G$1725,G688)</x:f>
        <x:v>1</x:v>
      </x:c>
      <x:c r="I688" s="30" t="str">
        <x:v>A44</x:v>
      </x:c>
      <x:c r="J688" s="31" t="str">
        <x:v>Any other thesis to support this (industry trend) | Any questions? | Technical: deep-dive into FCF</x:v>
      </x:c>
    </x:row>
    <x:row r="689" ht="48" customHeight="1">
      <x:c r="A689" s="30" t="str">
        <x:v>QB1056</x:v>
      </x:c>
      <x:c r="B689" s="30" t="str">
        <x:v>Barclays</x:v>
      </x:c>
      <x:c r="C689" s="30" t="str">
        <x:v>IBD / GCM</x:v>
      </x:c>
      <x:c r="D689" s="31" t="str">
        <x:v>Self Intro</x:v>
      </x:c>
      <x:c r="E689" s="31" t="str">
        <x:v>Tell me about yourself / walk me through your resume</x:v>
      </x:c>
      <x:c r="F689" s="31" t="str">
        <x:v>Resume &amp; Experience</x:v>
      </x:c>
      <x:c r="G689" s="30" t="str">
        <x:v>CL0001</x:v>
      </x:c>
      <x:c r="H689" s="32" t="n">
        <x:f>COUNTIF($G$5:$G$1725,G689)</x:f>
        <x:v>170</x:v>
      </x:c>
      <x:c r="I689" s="30" t="str">
        <x:v>A47</x:v>
      </x:c>
      <x:c r="J689" s="31" t="str">
        <x:v>Technical: deep-dive into FCF | Formula: FCF, NWC, common items of non-cash expense | Jimmy 1st Interview (Interviewer: Crystal Zhu)</x:v>
      </x:c>
    </x:row>
    <x:row r="690" ht="32" customHeight="1">
      <x:c r="A690" s="30" t="str">
        <x:v>QB1057</x:v>
      </x:c>
      <x:c r="B690" s="30" t="str">
        <x:v>Barclays</x:v>
      </x:c>
      <x:c r="C690" s="30" t="str">
        <x:v>IBD / GCM</x:v>
      </x:c>
      <x:c r="D690" s="31" t="str">
        <x:v>Self Intro</x:v>
      </x:c>
      <x:c r="E690" s="31" t="str">
        <x:v>Tell me about yourself / walk me through your resume</x:v>
      </x:c>
      <x:c r="F690" s="31" t="str">
        <x:v>Resume &amp; Experience</x:v>
      </x:c>
      <x:c r="G690" s="30" t="str">
        <x:v>CL0001</x:v>
      </x:c>
      <x:c r="H690" s="32" t="n">
        <x:f>COUNTIF($G$5:$G$1725,G690)</x:f>
        <x:v>170</x:v>
      </x:c>
      <x:c r="I690" s="30" t="str">
        <x:v>C47</x:v>
      </x:c>
      <x:c r="J690" s="31" t="str">
        <x:v>Why IBD not PE | 1 question | Jimmy 2nd Interview (Interviewer: Brett Ma)</x:v>
      </x:c>
    </x:row>
    <x:row r="691" ht="48" customHeight="1">
      <x:c r="A691" s="30" t="str">
        <x:v>QB1058</x:v>
      </x:c>
      <x:c r="B691" s="30" t="str">
        <x:v>Barclays</x:v>
      </x:c>
      <x:c r="C691" s="30" t="str">
        <x:v>IBD / GCM</x:v>
      </x:c>
      <x:c r="D691" s="31" t="str">
        <x:v>Why Barclays?</x:v>
      </x:c>
      <x:c r="E691" s="31" t="str">
        <x:v>Why this firm?</x:v>
      </x:c>
      <x:c r="F691" s="31" t="str">
        <x:v>Fit &amp; Motivation</x:v>
      </x:c>
      <x:c r="G691" s="30" t="str">
        <x:v>CL0002</x:v>
      </x:c>
      <x:c r="H691" s="32" t="n">
        <x:f>COUNTIF($G$5:$G$1725,G691)</x:f>
        <x:v>39</x:v>
      </x:c>
      <x:c r="I691" s="30" t="str">
        <x:v>A48</x:v>
      </x:c>
      <x:c r="J691" s="31" t="str">
        <x:v>Formula: FCF, NWC, common items of non-cash expense | Jimmy 1st Interview (Interviewer: Crystal Zhu) | Self Intro</x:v>
      </x:c>
    </x:row>
    <x:row r="692" ht="32" customHeight="1">
      <x:c r="A692" s="30" t="str">
        <x:v>QB1059</x:v>
      </x:c>
      <x:c r="B692" s="30" t="str">
        <x:v>Barclays</x:v>
      </x:c>
      <x:c r="C692" s="30" t="str">
        <x:v>IBD / GCM</x:v>
      </x:c>
      <x:c r="D692" s="31" t="str">
        <x:v>What investment or project did you do at Alibaba?</x:v>
      </x:c>
      <x:c r="E692" s="31" t="str">
        <x:v>What investment or project did you do at Alibaba</x:v>
      </x:c>
      <x:c r="F692" s="31" t="str">
        <x:v>Other Question</x:v>
      </x:c>
      <x:c r="G692" s="30" t="str">
        <x:v>CL0959</x:v>
      </x:c>
      <x:c r="H692" s="32" t="n">
        <x:f>COUNTIF($G$5:$G$1725,G692)</x:f>
        <x:v>1</x:v>
      </x:c>
      <x:c r="I692" s="30" t="str">
        <x:v>C48</x:v>
      </x:c>
      <x:c r="J692" s="31" t="str">
        <x:v>1 question | Jimmy 2nd Interview (Interviewer: Brett Ma) | Self Intro</x:v>
      </x:c>
    </x:row>
    <x:row r="693" ht="48" customHeight="1">
      <x:c r="A693" s="30" t="str">
        <x:v>QB1060</x:v>
      </x:c>
      <x:c r="B693" s="30" t="str">
        <x:v>Barclays</x:v>
      </x:c>
      <x:c r="C693" s="30" t="str">
        <x:v>IBD / GCM</x:v>
      </x:c>
      <x:c r="D693" s="31" t="str">
        <x:v>What did you learn from past intern experience? What do you think you will be doing if admitted to the program?</x:v>
      </x:c>
      <x:c r="E693" s="31" t="str">
        <x:v>What did you learn from past intern experience? What do you think you will be doing if admitted to the program</x:v>
      </x:c>
      <x:c r="F693" s="31" t="str">
        <x:v>Resume &amp; Experience</x:v>
      </x:c>
      <x:c r="G693" s="30" t="str">
        <x:v>CL0906</x:v>
      </x:c>
      <x:c r="H693" s="32" t="n">
        <x:f>COUNTIF($G$5:$G$1725,G693)</x:f>
        <x:v>1</x:v>
      </x:c>
      <x:c r="I693" s="30" t="str">
        <x:v>A49</x:v>
      </x:c>
      <x:c r="J693" s="31" t="str">
        <x:v>Jimmy 1st Interview (Interviewer: Crystal Zhu) | Self Intro | Why Barclays?</x:v>
      </x:c>
    </x:row>
    <x:row r="694" ht="48" customHeight="1">
      <x:c r="A694" s="30" t="str">
        <x:v>QB1061</x:v>
      </x:c>
      <x:c r="B694" s="30" t="str">
        <x:v>Barclays</x:v>
      </x:c>
      <x:c r="C694" s="30" t="str">
        <x:v>IBD / GCM</x:v>
      </x:c>
      <x:c r="D694" s="31" t="str">
        <x:v>How did you quantitativly contribute to the project?</x:v>
      </x:c>
      <x:c r="E694" s="31" t="str">
        <x:v>How did you quantitativly contribute to the project</x:v>
      </x:c>
      <x:c r="F694" s="31" t="str">
        <x:v>Other Question</x:v>
      </x:c>
      <x:c r="G694" s="30" t="str">
        <x:v>CL0392</x:v>
      </x:c>
      <x:c r="H694" s="32" t="n">
        <x:f>COUNTIF($G$5:$G$1725,G694)</x:f>
        <x:v>1</x:v>
      </x:c>
      <x:c r="I694" s="30" t="str">
        <x:v>C49</x:v>
      </x:c>
      <x:c r="J694" s="31" t="str">
        <x:v>Jimmy 2nd Interview (Interviewer: Brett Ma) | Self Intro | What investment or project did you do at Alibaba?</x:v>
      </x:c>
    </x:row>
    <x:row r="695" ht="48" customHeight="1">
      <x:c r="A695" s="30" t="str">
        <x:v>QB1062</x:v>
      </x:c>
      <x:c r="B695" s="30" t="str">
        <x:v>Barclays</x:v>
      </x:c>
      <x:c r="C695" s="30" t="str">
        <x:v>IBD / GCM</x:v>
      </x:c>
      <x:c r="D695" s="31" t="str">
        <x:v>Tell me about a time you encounter difficulty?</x:v>
      </x:c>
      <x:c r="E695" s="31" t="str">
        <x:v>Tell me about a time you encounter difficulty</x:v>
      </x:c>
      <x:c r="F695" s="31" t="str">
        <x:v>Behavioral &amp; Situational</x:v>
      </x:c>
      <x:c r="G695" s="30" t="str">
        <x:v>CL0733</x:v>
      </x:c>
      <x:c r="H695" s="32" t="n">
        <x:f>COUNTIF($G$5:$G$1725,G695)</x:f>
        <x:v>1</x:v>
      </x:c>
      <x:c r="I695" s="30" t="str">
        <x:v>A50</x:v>
      </x:c>
      <x:c r="J695" s="31" t="str">
        <x:v>Self Intro | Why Barclays? | What did you learn from past intern experience? What do you think you will be doing if admitted to the program?</x:v>
      </x:c>
    </x:row>
    <x:row r="696" ht="48" customHeight="1">
      <x:c r="A696" s="30" t="str">
        <x:v>QB1063</x:v>
      </x:c>
      <x:c r="B696" s="30" t="str">
        <x:v>Barclays</x:v>
      </x:c>
      <x:c r="C696" s="30" t="str">
        <x:v>IBD / GCM</x:v>
      </x:c>
      <x:c r="D696" s="31" t="str">
        <x:v>Tell me more about wacc, how did you calculate it in the project?</x:v>
      </x:c>
      <x:c r="E696" s="31" t="str">
        <x:v>Tell me more about wacc, how did you calculate it in the project</x:v>
      </x:c>
      <x:c r="F696" s="31" t="str">
        <x:v>Valuation</x:v>
      </x:c>
      <x:c r="G696" s="30" t="str">
        <x:v>CL0767</x:v>
      </x:c>
      <x:c r="H696" s="32" t="n">
        <x:f>COUNTIF($G$5:$G$1725,G696)</x:f>
        <x:v>1</x:v>
      </x:c>
      <x:c r="I696" s="30" t="str">
        <x:v>C50</x:v>
      </x:c>
      <x:c r="J696" s="31" t="str">
        <x:v>Self Intro | What investment or project did you do at Alibaba? | How did you quantitativly contribute to the project?</x:v>
      </x:c>
    </x:row>
    <x:row r="697" ht="68" customHeight="1">
      <x:c r="A697" s="30" t="str">
        <x:v>QB1064</x:v>
      </x:c>
      <x:c r="B697" s="30" t="str">
        <x:v>Barclays</x:v>
      </x:c>
      <x:c r="C697" s="30" t="str">
        <x:v>IBD / GCM</x:v>
      </x:c>
      <x:c r="D697" s="31" t="str">
        <x:v>How did you contribute to the financial model?</x:v>
      </x:c>
      <x:c r="E697" s="31" t="str">
        <x:v>How did you contribute to the financial model</x:v>
      </x:c>
      <x:c r="F697" s="31" t="str">
        <x:v>Other Technical</x:v>
      </x:c>
      <x:c r="G697" s="30" t="str">
        <x:v>CL0379</x:v>
      </x:c>
      <x:c r="H697" s="32" t="n">
        <x:f>COUNTIF($G$5:$G$1725,G697)</x:f>
        <x:v>1</x:v>
      </x:c>
      <x:c r="I697" s="30" t="str">
        <x:v>A51</x:v>
      </x:c>
      <x:c r="J697" s="31" t="str">
        <x:v>Why Barclays? | What did you learn from past intern experience? What do you think you will be doing if admitted to the program? | Tell me about a time you encounter difficulty?</x:v>
      </x:c>
    </x:row>
    <x:row r="698" ht="68" customHeight="1">
      <x:c r="A698" s="30" t="str">
        <x:v>QB1065</x:v>
      </x:c>
      <x:c r="B698" s="30" t="str">
        <x:v>Barclays</x:v>
      </x:c>
      <x:c r="C698" s="30" t="str">
        <x:v>IBD / GCM</x:v>
      </x:c>
      <x:c r="D698" s="31" t="str">
        <x:v>Did you use LTM multiple or NTM mulitiple, why?</x:v>
      </x:c>
      <x:c r="E698" s="31" t="str">
        <x:v>Did you use LTM multiple or NTM mulitiple, why</x:v>
      </x:c>
      <x:c r="F698" s="31" t="str">
        <x:v>Valuation</x:v>
      </x:c>
      <x:c r="G698" s="30" t="str">
        <x:v>CL0251</x:v>
      </x:c>
      <x:c r="H698" s="32" t="n">
        <x:f>COUNTIF($G$5:$G$1725,G698)</x:f>
        <x:v>1</x:v>
      </x:c>
      <x:c r="I698" s="30" t="str">
        <x:v>C51</x:v>
      </x:c>
      <x:c r="J698" s="31" t="str">
        <x:v>What investment or project did you do at Alibaba? | How did you quantitativly contribute to the project? | Tell me more about wacc, how did you calculate it in the project?</x:v>
      </x:c>
    </x:row>
    <x:row r="699" ht="68" customHeight="1">
      <x:c r="A699" s="30" t="str">
        <x:v>QB1066</x:v>
      </x:c>
      <x:c r="B699" s="30" t="str">
        <x:v>Barclays</x:v>
      </x:c>
      <x:c r="C699" s="30" t="str">
        <x:v>IBD / GCM</x:v>
      </x:c>
      <x:c r="D699" s="31" t="str">
        <x:v>Have you encoutered different opinion with others in past working experiences?</x:v>
      </x:c>
      <x:c r="E699" s="31" t="str">
        <x:v>Have you encoutered different opinion with others in past working experiences</x:v>
      </x:c>
      <x:c r="F699" s="31" t="str">
        <x:v>Resume &amp; Experience</x:v>
      </x:c>
      <x:c r="G699" s="30" t="str">
        <x:v>CL0362</x:v>
      </x:c>
      <x:c r="H699" s="32" t="n">
        <x:f>COUNTIF($G$5:$G$1725,G699)</x:f>
        <x:v>1</x:v>
      </x:c>
      <x:c r="I699" s="30" t="str">
        <x:v>A52</x:v>
      </x:c>
      <x:c r="J699" s="31" t="str">
        <x:v>What did you learn from past intern experience? What do you think you will be doing if admitted to the program? | Tell me about a time you encounter difficulty? | How did you contribute to the financial model?</x:v>
      </x:c>
    </x:row>
    <x:row r="700" ht="68" customHeight="1">
      <x:c r="A700" s="30" t="str">
        <x:v>QB1067</x:v>
      </x:c>
      <x:c r="B700" s="30" t="str">
        <x:v>Barclays</x:v>
      </x:c>
      <x:c r="C700" s="30" t="str">
        <x:v>IBD / GCM</x:v>
      </x:c>
      <x:c r="D700" s="31" t="str">
        <x:v>Can we use NTM multiple?</x:v>
      </x:c>
      <x:c r="E700" s="31" t="str">
        <x:v>Can we use NTM multiple</x:v>
      </x:c>
      <x:c r="F700" s="31" t="str">
        <x:v>Valuation</x:v>
      </x:c>
      <x:c r="G700" s="30" t="str">
        <x:v>CL0186</x:v>
      </x:c>
      <x:c r="H700" s="32" t="n">
        <x:f>COUNTIF($G$5:$G$1725,G700)</x:f>
        <x:v>1</x:v>
      </x:c>
      <x:c r="I700" s="30" t="str">
        <x:v>C52</x:v>
      </x:c>
      <x:c r="J700" s="31" t="str">
        <x:v>How did you quantitativly contribute to the project? | Tell me more about wacc, how did you calculate it in the project? | Did you use LTM multiple or NTM mulitiple, why?</x:v>
      </x:c>
    </x:row>
    <x:row r="701" ht="48" customHeight="1">
      <x:c r="A701" s="30" t="str">
        <x:v>QB1069</x:v>
      </x:c>
      <x:c r="B701" s="30" t="str">
        <x:v>Barclays</x:v>
      </x:c>
      <x:c r="C701" s="30" t="str">
        <x:v>IBD / GCM</x:v>
      </x:c>
      <x:c r="D701" s="31" t="str">
        <x:v>What is the synergy of this acquisition?</x:v>
      </x:c>
      <x:c r="E701" s="31" t="str">
        <x:v>What is the synergy of this acquisition</x:v>
      </x:c>
      <x:c r="F701" s="31" t="str">
        <x:v>Accounting &amp; Financial Statements</x:v>
      </x:c>
      <x:c r="G701" s="30" t="str">
        <x:v>CL0994</x:v>
      </x:c>
      <x:c r="H701" s="32" t="n">
        <x:f>COUNTIF($G$5:$G$1725,G701)</x:f>
        <x:v>1</x:v>
      </x:c>
      <x:c r="I701" s="30" t="str">
        <x:v>C53</x:v>
      </x:c>
      <x:c r="J701" s="31" t="str">
        <x:v>Tell me more about wacc, how did you calculate it in the project? | Did you use LTM multiple or NTM mulitiple, why? | Can we use NTM multiple?</x:v>
      </x:c>
    </x:row>
    <x:row r="702" ht="48" customHeight="1">
      <x:c r="A702" s="30" t="str">
        <x:v>QB1070</x:v>
      </x:c>
      <x:c r="B702" s="30" t="str">
        <x:v>Barclays</x:v>
      </x:c>
      <x:c r="C702" s="30" t="str">
        <x:v>IBD / GCM</x:v>
      </x:c>
      <x:c r="D702" s="31" t="str">
        <x:v>Why IBD?</x:v>
      </x:c>
      <x:c r="E702" s="31" t="str">
        <x:v>Why investment banking?</x:v>
      </x:c>
      <x:c r="F702" s="31" t="str">
        <x:v>Fit &amp; Motivation</x:v>
      </x:c>
      <x:c r="G702" s="30" t="str">
        <x:v>CL0003</x:v>
      </x:c>
      <x:c r="H702" s="32" t="n">
        <x:f>COUNTIF($G$5:$G$1725,G702)</x:f>
        <x:v>34</x:v>
      </x:c>
      <x:c r="I702" s="30" t="str">
        <x:v>C54</x:v>
      </x:c>
      <x:c r="J702" s="31" t="str">
        <x:v>Did you use LTM multiple or NTM mulitiple, why? | Can we use NTM multiple? | What is the synergy of this acquisition?</x:v>
      </x:c>
    </x:row>
    <x:row r="703" ht="32" customHeight="1">
      <x:c r="A703" s="30" t="str">
        <x:v>QB1071</x:v>
      </x:c>
      <x:c r="B703" s="30" t="str">
        <x:v>Barclays</x:v>
      </x:c>
      <x:c r="C703" s="30" t="str">
        <x:v>IBD / GCM</x:v>
      </x:c>
      <x:c r="D703" s="31" t="str">
        <x:v>What do you know about Barclays?</x:v>
      </x:c>
      <x:c r="E703" s="31" t="str">
        <x:v>What do you know about Barclays</x:v>
      </x:c>
      <x:c r="F703" s="31" t="str">
        <x:v>Other Question</x:v>
      </x:c>
      <x:c r="G703" s="30" t="str">
        <x:v>CL0919</x:v>
      </x:c>
      <x:c r="H703" s="32" t="n">
        <x:f>COUNTIF($G$5:$G$1725,G703)</x:f>
        <x:v>1</x:v>
      </x:c>
      <x:c r="I703" s="30" t="str">
        <x:v>C55</x:v>
      </x:c>
      <x:c r="J703" s="31" t="str">
        <x:v>Can we use NTM multiple? | What is the synergy of this acquisition? | Why IBD?</x:v>
      </x:c>
    </x:row>
    <x:row r="704" ht="48" customHeight="1">
      <x:c r="A704" s="30" t="str">
        <x:v>QB1075</x:v>
      </x:c>
      <x:c r="B704" s="30" t="str">
        <x:v>Barclays</x:v>
      </x:c>
      <x:c r="C704" s="30" t="str">
        <x:v>IBD / GCM</x:v>
      </x:c>
      <x:c r="D704" s="31" t="str">
        <x:v>Self intro</x:v>
      </x:c>
      <x:c r="E704" s="31" t="str">
        <x:v>Tell me about yourself / walk me through your resume</x:v>
      </x:c>
      <x:c r="F704" s="31" t="str">
        <x:v>Resume &amp; Experience</x:v>
      </x:c>
      <x:c r="G704" s="30" t="str">
        <x:v>CL0001</x:v>
      </x:c>
      <x:c r="H704" s="32" t="n">
        <x:f>COUNTIF($G$5:$G$1725,G704)</x:f>
        <x:v>170</x:v>
      </x:c>
      <x:c r="I704" s="30" t="str">
        <x:v>A59</x:v>
      </x:c>
      <x:c r="J704" s="31" t="str">
        <x:v>Have you encoutered different opinion with others in past working experiences? | Ask me some question | Jasmine 1st (Kathy Weng, Assistant VP)</x:v>
      </x:c>
    </x:row>
    <x:row r="705" ht="32" customHeight="1">
      <x:c r="A705" s="30" t="str">
        <x:v>QB1078</x:v>
      </x:c>
      <x:c r="B705" s="30" t="str">
        <x:v>Barclays</x:v>
      </x:c>
      <x:c r="C705" s="30" t="str">
        <x:v>IBD / GCM</x:v>
      </x:c>
      <x:c r="D705" s="31" t="str">
        <x:v>self intro</x:v>
      </x:c>
      <x:c r="E705" s="31" t="str">
        <x:v>Tell me about yourself / walk me through your resume</x:v>
      </x:c>
      <x:c r="F705" s="31" t="str">
        <x:v>Resume &amp; Experience</x:v>
      </x:c>
      <x:c r="G705" s="30" t="str">
        <x:v>CL0001</x:v>
      </x:c>
      <x:c r="H705" s="32" t="n">
        <x:f>COUNTIF($G$5:$G$1725,G705)</x:f>
        <x:v>170</x:v>
      </x:c>
      <x:c r="I705" s="30" t="str">
        <x:v>C60</x:v>
      </x:c>
      <x:c r="J705" s="31" t="str">
        <x:v>Ask me some question | Jasmine 1st round | 2nd interviewer xuanning fang</x:v>
      </x:c>
    </x:row>
    <x:row r="706" ht="32" customHeight="1">
      <x:c r="A706" s="30" t="str">
        <x:v>QB1080</x:v>
      </x:c>
      <x:c r="B706" s="30" t="str">
        <x:v>Barclays</x:v>
      </x:c>
      <x:c r="C706" s="30" t="str">
        <x:v>IBD / GCM</x:v>
      </x:c>
      <x:c r="D706" s="31" t="str">
        <x:v>tell me more about china esport industry</x:v>
      </x:c>
      <x:c r="E706" s="31" t="str">
        <x:v>Tell me more about china esport industry</x:v>
      </x:c>
      <x:c r="F706" s="31" t="str">
        <x:v>Company, Industry &amp; Deals</x:v>
      </x:c>
      <x:c r="G706" s="30" t="str">
        <x:v>CL0763</x:v>
      </x:c>
      <x:c r="H706" s="32" t="n">
        <x:f>COUNTIF($G$5:$G$1725,G706)</x:f>
        <x:v>1</x:v>
      </x:c>
      <x:c r="I706" s="30" t="str">
        <x:v>C61</x:v>
      </x:c>
      <x:c r="J706" s="31" t="str">
        <x:v>Jasmine 1st round | 2nd interviewer xuanning fang | self intro</x:v>
      </x:c>
    </x:row>
    <x:row r="707" ht="32" customHeight="1">
      <x:c r="A707" s="30" t="str">
        <x:v>QB1081</x:v>
      </x:c>
      <x:c r="B707" s="30" t="str">
        <x:v>Barclays</x:v>
      </x:c>
      <x:c r="C707" s="30" t="str">
        <x:v>IBD / GCM</x:v>
      </x:c>
      <x:c r="D707" s="31" t="str">
        <x:v>how would your colleague describe you and what are your areas of improvement</x:v>
      </x:c>
      <x:c r="E707" s="31" t="str">
        <x:v>How would your colleague describe you and what are your areas of improvement</x:v>
      </x:c>
      <x:c r="F707" s="31" t="str">
        <x:v>Behavioral &amp; Situational</x:v>
      </x:c>
      <x:c r="G707" s="30" t="str">
        <x:v>CL0501</x:v>
      </x:c>
      <x:c r="H707" s="32" t="n">
        <x:f>COUNTIF($G$5:$G$1725,G707)</x:f>
        <x:v>1</x:v>
      </x:c>
      <x:c r="I707" s="30" t="str">
        <x:v>A62</x:v>
      </x:c>
      <x:c r="J707" s="31" t="str">
        <x:v>Self intro | Your work in TR | Industry trend, comps</x:v>
      </x:c>
    </x:row>
    <x:row r="708" ht="32" customHeight="1">
      <x:c r="A708" s="30" t="str">
        <x:v>QB1082</x:v>
      </x:c>
      <x:c r="B708" s="30" t="str">
        <x:v>Barclays</x:v>
      </x:c>
      <x:c r="C708" s="30" t="str">
        <x:v>IBD / GCM</x:v>
      </x:c>
      <x:c r="D708" s="31" t="str">
        <x:v>what financial due dilligence did you do</x:v>
      </x:c>
      <x:c r="E708" s="31" t="str">
        <x:v>What financial due dilligence did you do</x:v>
      </x:c>
      <x:c r="F708" s="31" t="str">
        <x:v>Other Question</x:v>
      </x:c>
      <x:c r="G708" s="30" t="str">
        <x:v>CL0944</x:v>
      </x:c>
      <x:c r="H708" s="32" t="n">
        <x:f>COUNTIF($G$5:$G$1725,G708)</x:f>
        <x:v>1</x:v>
      </x:c>
      <x:c r="I708" s="30" t="str">
        <x:v>C62</x:v>
      </x:c>
      <x:c r="J708" s="31" t="str">
        <x:v>2nd interviewer xuanning fang | self intro | tell me more about china esport industry</x:v>
      </x:c>
    </x:row>
    <x:row r="709" ht="48" customHeight="1">
      <x:c r="A709" s="30" t="str">
        <x:v>QB1083</x:v>
      </x:c>
      <x:c r="B709" s="30" t="str">
        <x:v>Barclays</x:v>
      </x:c>
      <x:c r="C709" s="30" t="str">
        <x:v>IBD / GCM</x:v>
      </x:c>
      <x:c r="D709" s="31" t="str">
        <x:v>what is wacc</x:v>
      </x:c>
      <x:c r="E709" s="31" t="str">
        <x:v>What is wacc</x:v>
      </x:c>
      <x:c r="F709" s="31" t="str">
        <x:v>Accounting &amp; Financial Statements</x:v>
      </x:c>
      <x:c r="G709" s="30" t="str">
        <x:v>CL1000</x:v>
      </x:c>
      <x:c r="H709" s="32" t="n">
        <x:f>COUNTIF($G$5:$G$1725,G709)</x:f>
        <x:v>1</x:v>
      </x:c>
      <x:c r="I709" s="30" t="str">
        <x:v>A63</x:v>
      </x:c>
      <x:c r="J709" s="31" t="str">
        <x:v>Your work in TR | Industry trend, comps | how would your colleague describe you and what are your areas of improvement</x:v>
      </x:c>
    </x:row>
    <x:row r="710" ht="48" customHeight="1">
      <x:c r="A710" s="30" t="str">
        <x:v>QB1084</x:v>
      </x:c>
      <x:c r="B710" s="30" t="str">
        <x:v>Barclays</x:v>
      </x:c>
      <x:c r="C710" s="30" t="str">
        <x:v>IBD / GCM</x:v>
      </x:c>
      <x:c r="D710" s="31" t="str">
        <x:v>why ibd</x:v>
      </x:c>
      <x:c r="E710" s="31" t="str">
        <x:v>Why investment banking?</x:v>
      </x:c>
      <x:c r="F710" s="31" t="str">
        <x:v>Fit &amp; Motivation</x:v>
      </x:c>
      <x:c r="G710" s="30" t="str">
        <x:v>CL0003</x:v>
      </x:c>
      <x:c r="H710" s="32" t="n">
        <x:f>COUNTIF($G$5:$G$1725,G710)</x:f>
        <x:v>34</x:v>
      </x:c>
      <x:c r="I710" s="30" t="str">
        <x:v>C63</x:v>
      </x:c>
      <x:c r="J710" s="31" t="str">
        <x:v>self intro | tell me more about china esport industry | what financial due dilligence did you do</x:v>
      </x:c>
    </x:row>
    <x:row r="711" ht="48" customHeight="1">
      <x:c r="A711" s="30" t="str">
        <x:v>QB1085</x:v>
      </x:c>
      <x:c r="B711" s="30" t="str">
        <x:v>Barclays</x:v>
      </x:c>
      <x:c r="C711" s="30" t="str">
        <x:v>IBD / GCM</x:v>
      </x:c>
      <x:c r="D711" s="31" t="str">
        <x:v>what is beta</x:v>
      </x:c>
      <x:c r="E711" s="31" t="str">
        <x:v>What is beta</x:v>
      </x:c>
      <x:c r="F711" s="31" t="str">
        <x:v>Accounting &amp; Financial Statements</x:v>
      </x:c>
      <x:c r="G711" s="30" t="str">
        <x:v>CL0964</x:v>
      </x:c>
      <x:c r="H711" s="32" t="n">
        <x:f>COUNTIF($G$5:$G$1725,G711)</x:f>
        <x:v>1</x:v>
      </x:c>
      <x:c r="I711" s="30" t="str">
        <x:v>A64</x:v>
      </x:c>
      <x:c r="J711" s="31" t="str">
        <x:v>Industry trend, comps | how would your colleague describe you and what are your areas of improvement | what is wacc</x:v>
      </x:c>
    </x:row>
    <x:row r="712" ht="48" customHeight="1">
      <x:c r="A712" s="30" t="str">
        <x:v>QB1086</x:v>
      </x:c>
      <x:c r="B712" s="30" t="str">
        <x:v>Barclays</x:v>
      </x:c>
      <x:c r="C712" s="30" t="str">
        <x:v>IBD / GCM</x:v>
      </x:c>
      <x:c r="D712" s="31" t="str">
        <x:v>why barclays</x:v>
      </x:c>
      <x:c r="E712" s="31" t="str">
        <x:v>Why this firm?</x:v>
      </x:c>
      <x:c r="F712" s="31" t="str">
        <x:v>Fit &amp; Motivation</x:v>
      </x:c>
      <x:c r="G712" s="30" t="str">
        <x:v>CL0002</x:v>
      </x:c>
      <x:c r="H712" s="32" t="n">
        <x:f>COUNTIF($G$5:$G$1725,G712)</x:f>
        <x:v>39</x:v>
      </x:c>
      <x:c r="I712" s="30" t="str">
        <x:v>C64</x:v>
      </x:c>
      <x:c r="J712" s="31" t="str">
        <x:v>tell me more about china esport industry | what financial due dilligence did you do | why ibd</x:v>
      </x:c>
    </x:row>
    <x:row r="713" ht="48" customHeight="1">
      <x:c r="A713" s="30" t="str">
        <x:v>QB1087</x:v>
      </x:c>
      <x:c r="B713" s="30" t="str">
        <x:v>Barclays</x:v>
      </x:c>
      <x:c r="C713" s="30" t="str">
        <x:v>IBD / GCM</x:v>
      </x:c>
      <x:c r="D713" s="31" t="str">
        <x:v>why need to lever and unlever beta</x:v>
      </x:c>
      <x:c r="E713" s="31" t="str">
        <x:v>Why need to lever and unlever beta</x:v>
      </x:c>
      <x:c r="F713" s="31" t="str">
        <x:v>Fit &amp; Motivation</x:v>
      </x:c>
      <x:c r="G713" s="30" t="str">
        <x:v>CL1151</x:v>
      </x:c>
      <x:c r="H713" s="32" t="n">
        <x:f>COUNTIF($G$5:$G$1725,G713)</x:f>
        <x:v>1</x:v>
      </x:c>
      <x:c r="I713" s="30" t="str">
        <x:v>A65</x:v>
      </x:c>
      <x:c r="J713" s="31" t="str">
        <x:v>how would your colleague describe you and what are your areas of improvement | what is wacc | what is beta</x:v>
      </x:c>
    </x:row>
    <x:row r="714" ht="32" customHeight="1">
      <x:c r="A714" s="30" t="str">
        <x:v>QB1088</x:v>
      </x:c>
      <x:c r="B714" s="30" t="str">
        <x:v>Barclays</x:v>
      </x:c>
      <x:c r="C714" s="30" t="str">
        <x:v>IBD / GCM</x:v>
      </x:c>
      <x:c r="D714" s="31" t="str">
        <x:v>how to get enterprise value and what does it mean</x:v>
      </x:c>
      <x:c r="E714" s="31" t="str">
        <x:v>How to get enterprise value and what does it mean</x:v>
      </x:c>
      <x:c r="F714" s="31" t="str">
        <x:v>Valuation</x:v>
      </x:c>
      <x:c r="G714" s="30" t="str">
        <x:v>CL0473</x:v>
      </x:c>
      <x:c r="H714" s="32" t="n">
        <x:f>COUNTIF($G$5:$G$1725,G714)</x:f>
        <x:v>1</x:v>
      </x:c>
      <x:c r="I714" s="30" t="str">
        <x:v>C65</x:v>
      </x:c>
      <x:c r="J714" s="31" t="str">
        <x:v>what financial due dilligence did you do | why ibd | why barclays</x:v>
      </x:c>
    </x:row>
    <x:row r="715" ht="32" customHeight="1">
      <x:c r="A715" s="30" t="str">
        <x:v>QB1089</x:v>
      </x:c>
      <x:c r="B715" s="30" t="str">
        <x:v>Barclays</x:v>
      </x:c>
      <x:c r="C715" s="30" t="str">
        <x:v>IBD / GCM</x:v>
      </x:c>
      <x:c r="D715" s="31" t="str">
        <x:v>do u use levered or unlevered fcf for dcf</x:v>
      </x:c>
      <x:c r="E715" s="31" t="str">
        <x:v>Do u use levered or unlevered fcf for dcf</x:v>
      </x:c>
      <x:c r="F715" s="31" t="str">
        <x:v>Valuation</x:v>
      </x:c>
      <x:c r="G715" s="30" t="str">
        <x:v>CL0265</x:v>
      </x:c>
      <x:c r="H715" s="32" t="n">
        <x:f>COUNTIF($G$5:$G$1725,G715)</x:f>
        <x:v>1</x:v>
      </x:c>
      <x:c r="I715" s="30" t="str">
        <x:v>A66</x:v>
      </x:c>
      <x:c r="J715" s="31" t="str">
        <x:v>what is wacc | what is beta | why need to lever and unlever beta</x:v>
      </x:c>
    </x:row>
    <x:row r="716" ht="32" customHeight="1">
      <x:c r="A716" s="30" t="str">
        <x:v>QB1090</x:v>
      </x:c>
      <x:c r="B716" s="30" t="str">
        <x:v>Barclays</x:v>
      </x:c>
      <x:c r="C716" s="30" t="str">
        <x:v>IBD / GCM</x:v>
      </x:c>
      <x:c r="D716" s="31" t="str">
        <x:v>tell me about the dcf you did for the esport company</x:v>
      </x:c>
      <x:c r="E716" s="31" t="str">
        <x:v>Tell me about the dcf you did for the esport company</x:v>
      </x:c>
      <x:c r="F716" s="31" t="str">
        <x:v>Valuation</x:v>
      </x:c>
      <x:c r="G716" s="30" t="str">
        <x:v>CL0739</x:v>
      </x:c>
      <x:c r="H716" s="32" t="n">
        <x:f>COUNTIF($G$5:$G$1725,G716)</x:f>
        <x:v>1</x:v>
      </x:c>
      <x:c r="I716" s="30" t="str">
        <x:v>C66</x:v>
      </x:c>
      <x:c r="J716" s="31" t="str">
        <x:v>why ibd | why barclays | how to get enterprise value and what does it mean</x:v>
      </x:c>
    </x:row>
    <x:row r="717" ht="48" customHeight="1">
      <x:c r="A717" s="30" t="str">
        <x:v>QB1091</x:v>
      </x:c>
      <x:c r="B717" s="30" t="str">
        <x:v>Barclays</x:v>
      </x:c>
      <x:c r="C717" s="30" t="str">
        <x:v>IBD / GCM</x:v>
      </x:c>
      <x:c r="D717" s="31" t="str">
        <x:v>how to arrive ufcf</x:v>
      </x:c>
      <x:c r="E717" s="31" t="str">
        <x:v>How to arrive ufcf</x:v>
      </x:c>
      <x:c r="F717" s="31" t="str">
        <x:v>Valuation</x:v>
      </x:c>
      <x:c r="G717" s="30" t="str">
        <x:v>CL0461</x:v>
      </x:c>
      <x:c r="H717" s="32" t="n">
        <x:f>COUNTIF($G$5:$G$1725,G717)</x:f>
        <x:v>1</x:v>
      </x:c>
      <x:c r="I717" s="30" t="str">
        <x:v>A67</x:v>
      </x:c>
      <x:c r="J717" s="31" t="str">
        <x:v>what is beta | why need to lever and unlever beta | do u use levered or unlevered fcf for dcf</x:v>
      </x:c>
    </x:row>
    <x:row r="718" ht="48" customHeight="1">
      <x:c r="A718" s="30" t="str">
        <x:v>QB1092</x:v>
      </x:c>
      <x:c r="B718" s="30" t="str">
        <x:v>Barclays</x:v>
      </x:c>
      <x:c r="C718" s="30" t="str">
        <x:v>IBD / GCM</x:v>
      </x:c>
      <x:c r="D718" s="31" t="str">
        <x:v>any other valuation method aside dcf</x:v>
      </x:c>
      <x:c r="E718" s="31" t="str">
        <x:v>Any other valuation method aside dcf</x:v>
      </x:c>
      <x:c r="F718" s="31" t="str">
        <x:v>Valuation</x:v>
      </x:c>
      <x:c r="G718" s="30" t="str">
        <x:v>CL0118</x:v>
      </x:c>
      <x:c r="H718" s="32" t="n">
        <x:f>COUNTIF($G$5:$G$1725,G718)</x:f>
        <x:v>1</x:v>
      </x:c>
      <x:c r="I718" s="30" t="str">
        <x:v>C67</x:v>
      </x:c>
      <x:c r="J718" s="31" t="str">
        <x:v>why barclays | how to get enterprise value and what does it mean | tell me about the dcf you did for the esport company</x:v>
      </x:c>
    </x:row>
    <x:row r="719" ht="48" customHeight="1">
      <x:c r="A719" s="30" t="str">
        <x:v>QB1093</x:v>
      </x:c>
      <x:c r="B719" s="30" t="str">
        <x:v>Barclays</x:v>
      </x:c>
      <x:c r="C719" s="30" t="str">
        <x:v>IBD / GCM</x:v>
      </x:c>
      <x:c r="D719" s="31" t="str">
        <x:v>where do you find capex on the three statements</x:v>
      </x:c>
      <x:c r="E719" s="31" t="str">
        <x:v>How does a transaction flow through the three financial statements?</x:v>
      </x:c>
      <x:c r="F719" s="31" t="str">
        <x:v>Accounting &amp; Financial Statements</x:v>
      </x:c>
      <x:c r="G719" s="30" t="str">
        <x:v>CL0004</x:v>
      </x:c>
      <x:c r="H719" s="32" t="n">
        <x:f>COUNTIF($G$5:$G$1725,G719)</x:f>
        <x:v>21</x:v>
      </x:c>
      <x:c r="I719" s="30" t="str">
        <x:v>A68</x:v>
      </x:c>
      <x:c r="J719" s="31" t="str">
        <x:v>why need to lever and unlever beta | do u use levered or unlevered fcf for dcf | how to arrive ufcf</x:v>
      </x:c>
    </x:row>
    <x:row r="720" ht="48" customHeight="1">
      <x:c r="A720" s="30" t="str">
        <x:v>QB1094</x:v>
      </x:c>
      <x:c r="B720" s="30" t="str">
        <x:v>Barclays</x:v>
      </x:c>
      <x:c r="C720" s="30" t="str">
        <x:v>IBD / GCM</x:v>
      </x:c>
      <x:c r="D720" s="31" t="str">
        <x:v>tell me about your sports jouney/ or any difficulty you’ve encountered</x:v>
      </x:c>
      <x:c r="E720" s="31" t="str">
        <x:v>Tell me about your sports jouney/ or any difficulty you’ve encountered</x:v>
      </x:c>
      <x:c r="F720" s="31" t="str">
        <x:v>Behavioral &amp; Situational</x:v>
      </x:c>
      <x:c r="G720" s="30" t="str">
        <x:v>CL0756</x:v>
      </x:c>
      <x:c r="H720" s="32" t="n">
        <x:f>COUNTIF($G$5:$G$1725,G720)</x:f>
        <x:v>1</x:v>
      </x:c>
      <x:c r="I720" s="30" t="str">
        <x:v>C68</x:v>
      </x:c>
      <x:c r="J720" s="31" t="str">
        <x:v>how to get enterprise value and what does it mean | tell me about the dcf you did for the esport company | any other valuation method aside dcf</x:v>
      </x:c>
    </x:row>
    <x:row r="721" ht="48" customHeight="1">
      <x:c r="A721" s="30" t="str">
        <x:v>QB1095</x:v>
      </x:c>
      <x:c r="B721" s="30" t="str">
        <x:v>Barclays</x:v>
      </x:c>
      <x:c r="C721" s="30" t="str">
        <x:v>IBD / GCM</x:v>
      </x:c>
      <x:c r="D721" s="31" t="str">
        <x:v>buy 100 pp&amp;e using 50 debt and 50 equity, 3 statements changes</x:v>
      </x:c>
      <x:c r="E721" s="31" t="str">
        <x:v>How does a transaction flow through the three financial statements?</x:v>
      </x:c>
      <x:c r="F721" s="31" t="str">
        <x:v>Accounting &amp; Financial Statements</x:v>
      </x:c>
      <x:c r="G721" s="30" t="str">
        <x:v>CL0004</x:v>
      </x:c>
      <x:c r="H721" s="32" t="n">
        <x:f>COUNTIF($G$5:$G$1725,G721)</x:f>
        <x:v>21</x:v>
      </x:c>
      <x:c r="I721" s="30" t="str">
        <x:v>A69</x:v>
      </x:c>
      <x:c r="J721" s="31" t="str">
        <x:v>do u use levered or unlevered fcf for dcf | how to arrive ufcf | where do you find capex on the three statements</x:v>
      </x:c>
    </x:row>
    <x:row r="722" ht="68" customHeight="1">
      <x:c r="A722" s="30" t="str">
        <x:v>QB1099</x:v>
      </x:c>
      <x:c r="B722" s="30" t="str">
        <x:v>Barclays</x:v>
      </x:c>
      <x:c r="C722" s="30" t="str">
        <x:v>IBD / GCM</x:v>
      </x:c>
      <x:c r="D722" s="31" t="str">
        <x:v>if a car company and a pe firm are buying a company that makes wheel, which one can pay higher</x:v>
      </x:c>
      <x:c r="E722" s="31" t="str">
        <x:v>If a car company and a pe firm are buying a company that makes wheel, which one can pay higher</x:v>
      </x:c>
      <x:c r="F722" s="31" t="str">
        <x:v>Company, Industry &amp; Deals</x:v>
      </x:c>
      <x:c r="G722" s="30" t="str">
        <x:v>CL0511</x:v>
      </x:c>
      <x:c r="H722" s="32" t="n">
        <x:f>COUNTIF($G$5:$G$1725,G722)</x:f>
        <x:v>1</x:v>
      </x:c>
      <x:c r="I722" s="30" t="str">
        <x:v>A71</x:v>
      </x:c>
      <x:c r="J722" s="31" t="str">
        <x:v>where do you find capex on the three statements | buy 100 pp&amp;e using 50 debt and 50 equity, 3 statements changes | after 1 yr, what are the changes, make any assumptions yourself</x:v>
      </x:c>
    </x:row>
    <x:row r="723" ht="68" customHeight="1">
      <x:c r="A723" s="30" t="str">
        <x:v>QB1100</x:v>
      </x:c>
      <x:c r="B723" s="30" t="str">
        <x:v>Barclays</x:v>
      </x:c>
      <x:c r="C723" s="30" t="str">
        <x:v>IBD / GCM</x:v>
      </x:c>
      <x:c r="D723" s="31" t="str">
        <x:v>any recent market trends that catch your attention</x:v>
      </x:c>
      <x:c r="E723" s="31" t="str">
        <x:v>Any recent market trends that catch your attention</x:v>
      </x:c>
      <x:c r="F723" s="31" t="str">
        <x:v>Other Question</x:v>
      </x:c>
      <x:c r="G723" s="30" t="str">
        <x:v>CL0121</x:v>
      </x:c>
      <x:c r="H723" s="32" t="n">
        <x:f>COUNTIF($G$5:$G$1725,G723)</x:f>
        <x:v>1</x:v>
      </x:c>
      <x:c r="I723" s="30" t="str">
        <x:v>A72</x:v>
      </x:c>
      <x:c r="J723" s="31" t="str">
        <x:v>buy 100 pp&amp;e using 50 debt and 50 equity, 3 statements changes | after 1 yr, what are the changes, make any assumptions yourself | if a car company and a pe firm are buying a company that makes wheel, which one can pay higher</x:v>
      </x:c>
    </x:row>
    <x:row r="724" ht="32" customHeight="1">
      <x:c r="A724" s="30" t="str">
        <x:v>QB1107</x:v>
      </x:c>
      <x:c r="B724" s="30" t="str">
        <x:v>Barclays</x:v>
      </x:c>
      <x:c r="C724" s="30" t="str">
        <x:v>IBD / GCM</x:v>
      </x:c>
      <x:c r="D724" s="31" t="str">
        <x:v>Walk me through your resume</x:v>
      </x:c>
      <x:c r="E724" s="31" t="str">
        <x:v>Tell me about yourself / walk me through your resume</x:v>
      </x:c>
      <x:c r="F724" s="31" t="str">
        <x:v>Resume &amp; Experience</x:v>
      </x:c>
      <x:c r="G724" s="30" t="str">
        <x:v>CL0001</x:v>
      </x:c>
      <x:c r="H724" s="32" t="n">
        <x:f>COUNTIF($G$5:$G$1725,G724)</x:f>
        <x:v>170</x:v>
      </x:c>
      <x:c r="I724" s="30" t="str">
        <x:v>A78</x:v>
      </x:c>
      <x:c r="J724" s="31" t="str">
        <x:v>你在case com遇到和組員的衝突 | 2025 SA (Emily) | 1st round: Celine Ni, VP (S&amp;T)</x:v>
      </x:c>
    </x:row>
    <x:row r="725" ht="48" customHeight="1">
      <x:c r="A725" s="30" t="str">
        <x:v>QB1108</x:v>
      </x:c>
      <x:c r="B725" s="30" t="str">
        <x:v>Barclays</x:v>
      </x:c>
      <x:c r="C725" s="30" t="str">
        <x:v>IBD / GCM</x:v>
      </x:c>
      <x:c r="D725" s="31" t="str">
        <x:v>自我介绍（说自己的教育背景，以前在哪里生活，为什么来香港上学）；</x:v>
      </x:c>
      <x:c r="E725" s="31" t="str">
        <x:v>Tell me about yourself / walk me through your resume</x:v>
      </x:c>
      <x:c r="F725" s="31" t="str">
        <x:v>Other Question</x:v>
      </x:c>
      <x:c r="G725" s="30" t="str">
        <x:v>CL0001</x:v>
      </x:c>
      <x:c r="H725" s="32" t="n">
        <x:f>COUNTIF($G$5:$G$1725,G725)</x:f>
        <x:v>170</x:v>
      </x:c>
      <x:c r="I725" s="30" t="str">
        <x:v>C78</x:v>
      </x:c>
      <x:c r="J725" s="31" t="str">
        <x:v>一個工作上需要改善的地方 | Barclays IBD Phone interview Kari 10.10 *2 | interview1：全中文，Ryan Wu, senior asso，GCM-levered finance</x:v>
      </x:c>
    </x:row>
    <x:row r="726" ht="32" customHeight="1">
      <x:c r="A726" s="30" t="str">
        <x:v>QB1110</x:v>
      </x:c>
      <x:c r="B726" s="30" t="str">
        <x:v>Barclays</x:v>
      </x:c>
      <x:c r="C726" s="30" t="str">
        <x:v>IBD / GCM</x:v>
      </x:c>
      <x:c r="D726" s="31" t="str">
        <x:v>Did you get return and why not</x:v>
      </x:c>
      <x:c r="E726" s="31" t="str">
        <x:v>Did you get return and why not</x:v>
      </x:c>
      <x:c r="F726" s="31" t="str">
        <x:v>Fit &amp; Motivation</x:v>
      </x:c>
      <x:c r="G726" s="30" t="str">
        <x:v>CL0244</x:v>
      </x:c>
      <x:c r="H726" s="32" t="n">
        <x:f>COUNTIF($G$5:$G$1725,G726)</x:f>
        <x:v>1</x:v>
      </x:c>
      <x:c r="I726" s="30" t="str">
        <x:v>A79</x:v>
      </x:c>
      <x:c r="J726" s="31" t="str">
        <x:v>2025 SA (Emily) | 1st round: Celine Ni, VP (S&amp;T) | Walk me through your resume</x:v>
      </x:c>
    </x:row>
    <x:row r="727" ht="32" customHeight="1">
      <x:c r="A727" s="30" t="str">
        <x:v>QB1112</x:v>
      </x:c>
      <x:c r="B727" s="30" t="str">
        <x:v>Barclays</x:v>
      </x:c>
      <x:c r="C727" s="30" t="str">
        <x:v>IBD / GCM</x:v>
      </x:c>
      <x:c r="D727" s="31" t="str">
        <x:v>Why IBD, why Barclays；</x:v>
      </x:c>
      <x:c r="E727" s="31" t="str">
        <x:v>Why investment banking?</x:v>
      </x:c>
      <x:c r="F727" s="31" t="str">
        <x:v>Fit &amp; Motivation</x:v>
      </x:c>
      <x:c r="G727" s="30" t="str">
        <x:v>CL0003</x:v>
      </x:c>
      <x:c r="H727" s="32" t="n">
        <x:f>COUNTIF($G$5:$G$1725,G727)</x:f>
        <x:v>34</x:v>
      </x:c>
      <x:c r="I727" s="30" t="str">
        <x:v>D79</x:v>
      </x:c>
      <x:c r="J727" s="31" t="str">
        <x:v>interview 2: 全英文, Rita Tang，1st year ana，IBD-M&amp;A： | brief intro；</x:v>
      </x:c>
    </x:row>
    <x:row r="728" ht="48" customHeight="1">
      <x:c r="A728" s="30" t="str">
        <x:v>QB1113</x:v>
      </x:c>
      <x:c r="B728" s="30" t="str">
        <x:v>Barclays</x:v>
      </x:c>
      <x:c r="C728" s="30" t="str">
        <x:v>IBD / GCM</x:v>
      </x:c>
      <x:c r="D728" s="31" t="str">
        <x:v>What did you do in UBS</x:v>
      </x:c>
      <x:c r="E728" s="31" t="str">
        <x:v>What did you do in UBS</x:v>
      </x:c>
      <x:c r="F728" s="31" t="str">
        <x:v>Resume &amp; Experience</x:v>
      </x:c>
      <x:c r="G728" s="30" t="str">
        <x:v>CL0905</x:v>
      </x:c>
      <x:c r="H728" s="32" t="n">
        <x:f>COUNTIF($G$5:$G$1725,G728)</x:f>
        <x:v>1</x:v>
      </x:c>
      <x:c r="I728" s="30" t="str">
        <x:v>A80</x:v>
      </x:c>
      <x:c r="J728" s="31" t="str">
        <x:v>1st round: Celine Ni, VP (S&amp;T) | Walk me through your resume | Did you get return and why not</x:v>
      </x:c>
    </x:row>
    <x:row r="729" ht="48" customHeight="1">
      <x:c r="A729" s="30" t="str">
        <x:v>QB1116</x:v>
      </x:c>
      <x:c r="B729" s="30" t="str">
        <x:v>Barclays</x:v>
      </x:c>
      <x:c r="C729" s="30" t="str">
        <x:v>IBD / GCM</x:v>
      </x:c>
      <x:c r="D729" s="31" t="str">
        <x:v>What are some points that investors will look into when investing in companies in this industry</x:v>
      </x:c>
      <x:c r="E729" s="31" t="str">
        <x:v>What are some points that investors will look into when investing in companies in this industry</x:v>
      </x:c>
      <x:c r="F729" s="31" t="str">
        <x:v>Company, Industry &amp; Deals</x:v>
      </x:c>
      <x:c r="G729" s="30" t="str">
        <x:v>CL0872</x:v>
      </x:c>
      <x:c r="H729" s="32" t="n">
        <x:f>COUNTIF($G$5:$G$1725,G729)</x:f>
        <x:v>1</x:v>
      </x:c>
      <x:c r="I729" s="30" t="str">
        <x:v>A81</x:v>
      </x:c>
      <x:c r="J729" s="31" t="str">
        <x:v>Walk me through your resume | Did you get return and why not | What did you do in UBS</x:v>
      </x:c>
    </x:row>
    <x:row r="730" ht="32" customHeight="1">
      <x:c r="A730" s="30" t="str">
        <x:v>QB1117</x:v>
      </x:c>
      <x:c r="B730" s="30" t="str">
        <x:v>Barclays</x:v>
      </x:c>
      <x:c r="C730" s="30" t="str">
        <x:v>IBD / GCM</x:v>
      </x:c>
      <x:c r="D730" s="31" t="str">
        <x:v>WACC公式，Rd公式，Rf用的是什么，CF用的是哪个如何蓉revenue开始求，β是什么；</x:v>
      </x:c>
      <x:c r="E730" s="31" t="str">
        <x:v>WACC公式，Rd公式，Rf用的是什么，CF用的是哪个如何蓉revenue开始求，β是什么；</x:v>
      </x:c>
      <x:c r="F730" s="31" t="str">
        <x:v>Valuation</x:v>
      </x:c>
      <x:c r="G730" s="30" t="str">
        <x:v>CL0822</x:v>
      </x:c>
      <x:c r="H730" s="32" t="n">
        <x:f>COUNTIF($G$5:$G$1725,G730)</x:f>
        <x:v>1</x:v>
      </x:c>
      <x:c r="I730" s="30" t="str">
        <x:v>C81</x:v>
      </x:c>
      <x:c r="J730" s="31" t="str">
        <x:v>自我介绍（说自己的教育背景，以前在哪里生活，为什么来香港上学）； | 实习的经历； | Follow up：提到实习搭过DCF，简单说怎么搭；</x:v>
      </x:c>
    </x:row>
    <x:row r="731" ht="32" customHeight="1">
      <x:c r="A731" s="30" t="str">
        <x:v>QB1118</x:v>
      </x:c>
      <x:c r="B731" s="30" t="str">
        <x:v>Barclays</x:v>
      </x:c>
      <x:c r="C731" s="30" t="str">
        <x:v>IBD / GCM</x:v>
      </x:c>
      <x:c r="D731" s="31" t="str">
        <x:v>How to choose comparable comps, give me PE ratios of comps</x:v>
      </x:c>
      <x:c r="E731" s="31" t="str">
        <x:v>How do you select comparable companies?</x:v>
      </x:c>
      <x:c r="F731" s="31" t="str">
        <x:v>Valuation</x:v>
      </x:c>
      <x:c r="G731" s="30" t="str">
        <x:v>CL0012</x:v>
      </x:c>
      <x:c r="H731" s="32" t="n">
        <x:f>COUNTIF($G$5:$G$1725,G731)</x:f>
        <x:v>12</x:v>
      </x:c>
      <x:c r="I731" s="30" t="str">
        <x:v>D81</x:v>
      </x:c>
      <x:c r="J731" s="31" t="str">
        <x:v>brief intro； | Why IBD, why Barclays； | A case you did in healthcare ibd;</x:v>
      </x:c>
    </x:row>
    <x:row r="732" ht="48" customHeight="1">
      <x:c r="A732" s="30" t="str">
        <x:v>QB1119</x:v>
      </x:c>
      <x:c r="B732" s="30" t="str">
        <x:v>Barclays</x:v>
      </x:c>
      <x:c r="C732" s="30" t="str">
        <x:v>IBD / GCM</x:v>
      </x:c>
      <x:c r="D732" s="31" t="str">
        <x:v>Walk me though valuation in Mandarin</x:v>
      </x:c>
      <x:c r="E732" s="31" t="str">
        <x:v>Walk me though valuation in Mandarin</x:v>
      </x:c>
      <x:c r="F732" s="31" t="str">
        <x:v>Fit &amp; Motivation</x:v>
      </x:c>
      <x:c r="G732" s="30" t="str">
        <x:v>CL0823</x:v>
      </x:c>
      <x:c r="H732" s="32" t="n">
        <x:f>COUNTIF($G$5:$G$1725,G732)</x:f>
        <x:v>1</x:v>
      </x:c>
      <x:c r="I732" s="30" t="str">
        <x:v>A82</x:v>
      </x:c>
      <x:c r="J732" s="31" t="str">
        <x:v>Did you get return and why not | What did you do in UBS | What are some points that investors will look into when investing in companies in this industry</x:v>
      </x:c>
    </x:row>
    <x:row r="733" ht="48" customHeight="1">
      <x:c r="A733" s="30" t="str">
        <x:v>QB1121</x:v>
      </x:c>
      <x:c r="B733" s="30" t="str">
        <x:v>Barclays</x:v>
      </x:c>
      <x:c r="C733" s="30" t="str">
        <x:v>IBD / GCM</x:v>
      </x:c>
      <x:c r="D733" s="31" t="str">
        <x:v>Why you choose healthcare team;</x:v>
      </x:c>
      <x:c r="E733" s="31" t="str">
        <x:v>Why you choose healthcare team</x:v>
      </x:c>
      <x:c r="F733" s="31" t="str">
        <x:v>Fit &amp; Motivation</x:v>
      </x:c>
      <x:c r="G733" s="30" t="str">
        <x:v>CL1180</x:v>
      </x:c>
      <x:c r="H733" s="32" t="n">
        <x:f>COUNTIF($G$5:$G$1725,G733)</x:f>
        <x:v>1</x:v>
      </x:c>
      <x:c r="I733" s="30" t="str">
        <x:v>D82</x:v>
      </x:c>
      <x:c r="J733" s="31" t="str">
        <x:v>Why IBD, why Barclays； | A case you did in healthcare ibd; | How to choose comparable comps, give me PE ratios of comps</x:v>
      </x:c>
    </x:row>
    <x:row r="734" ht="48" customHeight="1">
      <x:c r="A734" s="30" t="str">
        <x:v>QB1124</x:v>
      </x:c>
      <x:c r="B734" s="30" t="str">
        <x:v>Barclays</x:v>
      </x:c>
      <x:c r="C734" s="30" t="str">
        <x:v>IBD / GCM</x:v>
      </x:c>
      <x:c r="D734" s="31" t="str">
        <x:v>DCF;</x:v>
      </x:c>
      <x:c r="E734" s="31" t="str">
        <x:v>DCF</x:v>
      </x:c>
      <x:c r="F734" s="31" t="str">
        <x:v>Valuation</x:v>
      </x:c>
      <x:c r="G734" s="30" t="str">
        <x:v>CL0021</x:v>
      </x:c>
      <x:c r="H734" s="32" t="n">
        <x:f>COUNTIF($G$5:$G$1725,G734)</x:f>
        <x:v>3</x:v>
      </x:c>
      <x:c r="I734" s="30" t="str">
        <x:v>D83</x:v>
      </x:c>
      <x:c r="J734" s="31" t="str">
        <x:v>A case you did in healthcare ibd; | How to choose comparable comps, give me PE ratios of comps | Why you choose healthcare team;</x:v>
      </x:c>
    </x:row>
    <x:row r="735" ht="32" customHeight="1">
      <x:c r="A735" s="30" t="str">
        <x:v>QB1132</x:v>
      </x:c>
      <x:c r="B735" s="30" t="str">
        <x:v>Barclays</x:v>
      </x:c>
      <x:c r="C735" s="30" t="str">
        <x:v>IBD / GCM</x:v>
      </x:c>
      <x:c r="D735" s="31" t="str">
        <x:v>How many FED meeting are left in the year</x:v>
      </x:c>
      <x:c r="E735" s="31" t="str">
        <x:v>How many FED meeting are left in the year</x:v>
      </x:c>
      <x:c r="F735" s="31" t="str">
        <x:v>Markets &amp; Macro</x:v>
      </x:c>
      <x:c r="G735" s="30" t="str">
        <x:v>CL0454</x:v>
      </x:c>
      <x:c r="H735" s="32" t="n">
        <x:f>COUNTIF($G$5:$G$1725,G735)</x:f>
        <x:v>1</x:v>
      </x:c>
      <x:c r="I735" s="30" t="str">
        <x:v>A87</x:v>
      </x:c>
      <x:c r="J735" s="31" t="str">
        <x:v>Recent policies in China | HSI, CSI300 current number | Recent news in the US</x:v>
      </x:c>
    </x:row>
    <x:row r="736" ht="32" customHeight="1">
      <x:c r="A736" s="30" t="str">
        <x:v>QB1135</x:v>
      </x:c>
      <x:c r="B736" s="30" t="str">
        <x:v>Barclays</x:v>
      </x:c>
      <x:c r="C736" s="30" t="str">
        <x:v>IBD / GCM</x:v>
      </x:c>
      <x:c r="D736" s="31" t="str">
        <x:v>(During the written test round they said it's for Capital Markets Team though)</x:v>
      </x:c>
      <x:c r="E736" s="31" t="str">
        <x:v>(During the written test round they said it's for Capital Markets Team though)</x:v>
      </x:c>
      <x:c r="F736" s="31" t="str">
        <x:v>Behavioral &amp; Situational</x:v>
      </x:c>
      <x:c r="G736" s="30" t="str">
        <x:v>CL0054</x:v>
      </x:c>
      <x:c r="H736" s="32" t="n">
        <x:f>COUNTIF($G$5:$G$1725,G736)</x:f>
        <x:v>1</x:v>
      </x:c>
      <x:c r="I736" s="30" t="str">
        <x:v>A92</x:v>
      </x:c>
      <x:c r="J736" s="31" t="str">
        <x:v>How many FED meeting are left in the year | Questions | 2026 IBD Grad (Beata)</x:v>
      </x:c>
    </x:row>
    <x:row r="737" ht="68" customHeight="1">
      <x:c r="A737" s="30" t="str">
        <x:v>QB1138</x:v>
      </x:c>
      <x:c r="B737" s="30" t="str">
        <x:v>Barclays</x:v>
      </x:c>
      <x:c r="C737" s="30" t="str">
        <x:v>IBD / GCM</x:v>
      </x:c>
      <x:c r="D737" s="31" t="str">
        <x:v>Self introduction, why are you here etc.</x:v>
      </x:c>
      <x:c r="E737" s="31" t="str">
        <x:v>Tell me about yourself / walk me through your resume</x:v>
      </x:c>
      <x:c r="F737" s="31" t="str">
        <x:v>Fit &amp; Motivation</x:v>
      </x:c>
      <x:c r="G737" s="30" t="str">
        <x:v>CL0001</x:v>
      </x:c>
      <x:c r="H737" s="32" t="n">
        <x:f>COUNTIF($G$5:$G$1725,G737)</x:f>
        <x:v>170</x:v>
      </x:c>
      <x:c r="I737" s="30" t="str">
        <x:v>A95</x:v>
      </x:c>
      <x:c r="J737" s="31" t="str">
        <x:v>(During the written test round they said it's for Capital Markets Team though) | 1st Round: Lucy Wang, Ryan Wu | 2 Interviewers, but idk why it was only 15mins incl Q&amp;A (supposed to be 30mins tho)</x:v>
      </x:c>
    </x:row>
    <x:row r="738" ht="48" customHeight="1">
      <x:c r="A738" s="30" t="str">
        <x:v>QB1139</x:v>
      </x:c>
      <x:c r="B738" s="30" t="str">
        <x:v>Barclays</x:v>
      </x:c>
      <x:c r="C738" s="30" t="str">
        <x:v>IBD / GCM</x:v>
      </x:c>
      <x:c r="D738" s="31" t="str">
        <x:v>What did you do in Grant Samuel</x:v>
      </x:c>
      <x:c r="E738" s="31" t="str">
        <x:v>What did you do in Grant Samuel</x:v>
      </x:c>
      <x:c r="F738" s="31" t="str">
        <x:v>Resume &amp; Experience</x:v>
      </x:c>
      <x:c r="G738" s="30" t="str">
        <x:v>CL0899</x:v>
      </x:c>
      <x:c r="H738" s="32" t="n">
        <x:f>COUNTIF($G$5:$G$1725,G738)</x:f>
        <x:v>1</x:v>
      </x:c>
      <x:c r="I738" s="30" t="str">
        <x:v>A96</x:v>
      </x:c>
      <x:c r="J738" s="31" t="str">
        <x:v>1st Round: Lucy Wang, Ryan Wu | 2 Interviewers, but idk why it was only 15mins incl Q&amp;A (supposed to be 30mins tho) | Self introduction, why are you here etc.</x:v>
      </x:c>
    </x:row>
    <x:row r="739" ht="68" customHeight="1">
      <x:c r="A739" s="30" t="str">
        <x:v>QB1144</x:v>
      </x:c>
      <x:c r="B739" s="30" t="str">
        <x:v>Barclays</x:v>
      </x:c>
      <x:c r="C739" s="30" t="str">
        <x:v>IBD / GCM</x:v>
      </x:c>
      <x:c r="D739" s="31" t="str">
        <x:v>Market views/market news (anything happening in the markets that you think is interesting)</x:v>
      </x:c>
      <x:c r="E739" s="31" t="str">
        <x:v>What is your current market outlook?</x:v>
      </x:c>
      <x:c r="F739" s="31" t="str">
        <x:v>Accounting &amp; Financial Statements</x:v>
      </x:c>
      <x:c r="G739" s="30" t="str">
        <x:v>CL0018</x:v>
      </x:c>
      <x:c r="H739" s="32" t="n">
        <x:f>COUNTIF($G$5:$G$1725,G739)</x:f>
        <x:v>5</x:v>
      </x:c>
      <x:c r="I739" s="30" t="str">
        <x:v>A101</x:v>
      </x:c>
      <x:c r="J739" s="31" t="str">
        <x:v>Followup: Any weaknesses? | You wrote in your CV that you did IM, what does IM include and which parts were you responsible for | If you have to do a comps for investment grade companies, how would you approach</x:v>
      </x:c>
    </x:row>
    <x:row r="740" ht="92" customHeight="1">
      <x:c r="A740" s="30" t="str">
        <x:v>QB1147</x:v>
      </x:c>
      <x:c r="B740" s="30" t="str">
        <x:v>Barclays</x:v>
      </x:c>
      <x:c r="C740" s="30" t="str">
        <x:v>IBD / GCM</x:v>
      </x:c>
      <x:c r="D740" s="31" t="str">
        <x:v>Rank the financing costs of a standard bond, a convertible bond, and a convertible with capped call</x:v>
      </x:c>
      <x:c r="E740" s="31" t="str">
        <x:v>Explain convertible bonds and why an issuer might use them</x:v>
      </x:c>
      <x:c r="F740" s="31" t="str">
        <x:v>Capital Markets &amp; Financing</x:v>
      </x:c>
      <x:c r="G740" s="30" t="str">
        <x:v>CL0016</x:v>
      </x:c>
      <x:c r="H740" s="32" t="n">
        <x:f>COUNTIF($G$5:$G$1725,G740)</x:f>
        <x:v>8</x:v>
      </x:c>
      <x:c r="I740" s="30" t="str">
        <x:v>A104</x:v>
      </x:c>
      <x:c r="J740" s="31" t="str">
        <x:v>Market views/market news (anything happening in the markets that you think is interesting) | (Mentioned about the rate cut) Followup: what rate is that | In your written test, for the Alibaba CB slide, you wrote delta, how did you find t...</x:v>
      </x:c>
    </x:row>
    <x:row r="741" ht="32" customHeight="1">
      <x:c r="A741" s="30" t="str">
        <x:v>QB1155</x:v>
      </x:c>
      <x:c r="B741" s="30" t="str">
        <x:v>GS DCMECM</x:v>
      </x:c>
      <x:c r="C741" s="30" t="str">
        <x:v>IBD / GCM</x:v>
      </x:c>
      <x:c r="D741" s="31" t="str">
        <x:v>Self Intro</x:v>
      </x:c>
      <x:c r="E741" s="31" t="str">
        <x:v>Tell me about yourself / walk me through your resume</x:v>
      </x:c>
      <x:c r="F741" s="31" t="str">
        <x:v>Resume &amp; Experience</x:v>
      </x:c>
      <x:c r="G741" s="30" t="str">
        <x:v>CL0001</x:v>
      </x:c>
      <x:c r="H741" s="32" t="n">
        <x:f>COUNTIF($G$5:$G$1725,G741)</x:f>
        <x:v>170</x:v>
      </x:c>
      <x:c r="I741" s="30" t="str">
        <x:v>A4</x:v>
      </x:c>
      <x:c r="J741" s="31" t="str">
        <x:v>2025 SA Superday (DCM) | Jasmine 10/10 &amp; 14/10 | 1 Lunkun Deng Bond Syndicate (BJ)</x:v>
      </x:c>
    </x:row>
    <x:row r="742" ht="32" customHeight="1">
      <x:c r="A742" s="30" t="str">
        <x:v>QB1156</x:v>
      </x:c>
      <x:c r="B742" s="30" t="str">
        <x:v>GS DCMECM</x:v>
      </x:c>
      <x:c r="C742" s="30" t="str">
        <x:v>IBD / GCM</x:v>
      </x:c>
      <x:c r="D742" s="31" t="str">
        <x:v>Self Intro</x:v>
      </x:c>
      <x:c r="E742" s="31" t="str">
        <x:v>Tell me about yourself / walk me through your resume</x:v>
      </x:c>
      <x:c r="F742" s="31" t="str">
        <x:v>Resume &amp; Experience</x:v>
      </x:c>
      <x:c r="G742" s="30" t="str">
        <x:v>CL0001</x:v>
      </x:c>
      <x:c r="H742" s="32" t="n">
        <x:f>COUNTIF($G$5:$G$1725,G742)</x:f>
        <x:v>170</x:v>
      </x:c>
      <x:c r="I742" s="30" t="str">
        <x:v>B4</x:v>
      </x:c>
      <x:c r="J742" s="31" t="str">
        <x:v>2025 SA Superday (ECM) | Jasmine 17/10 | 1 Phyllis Wang Equity Syndicate Head</x:v>
      </x:c>
    </x:row>
    <x:row r="743" ht="32" customHeight="1">
      <x:c r="A743" s="30" t="str">
        <x:v>QB1157</x:v>
      </x:c>
      <x:c r="B743" s="30" t="str">
        <x:v>GS DCMECM</x:v>
      </x:c>
      <x:c r="C743" s="30" t="str">
        <x:v>IBD / GCM</x:v>
      </x:c>
      <x:c r="D743" s="31" t="str">
        <x:v>Interest rate</x:v>
      </x:c>
      <x:c r="E743" s="31" t="str">
        <x:v>Interest rate</x:v>
      </x:c>
      <x:c r="F743" s="31" t="str">
        <x:v>Markets &amp; Macro</x:v>
      </x:c>
      <x:c r="G743" s="30" t="str">
        <x:v>CL0547</x:v>
      </x:c>
      <x:c r="H743" s="32" t="n">
        <x:f>COUNTIF($G$5:$G$1725,G743)</x:f>
        <x:v>1</x:v>
      </x:c>
      <x:c r="I743" s="30" t="str">
        <x:v>A5</x:v>
      </x:c>
      <x:c r="J743" s="31" t="str">
        <x:v>Jasmine 10/10 &amp; 14/10 | 1 Lunkun Deng Bond Syndicate (BJ) | Self Intro</x:v>
      </x:c>
    </x:row>
    <x:row r="744" ht="48" customHeight="1">
      <x:c r="A744" s="30" t="str">
        <x:v>QB1159</x:v>
      </x:c>
      <x:c r="B744" s="30" t="str">
        <x:v>GS DCMECM</x:v>
      </x:c>
      <x:c r="C744" s="30" t="str">
        <x:v>IBD / GCM</x:v>
      </x:c>
      <x:c r="D744" s="31" t="str">
        <x:v>You said bond prices are still facing some uncertanties, arent they already priced in in the current yield?</x:v>
      </x:c>
      <x:c r="E744" s="31" t="str">
        <x:v>You said bond prices are still facing some uncertanties, arent they already priced in in the current yield</x:v>
      </x:c>
      <x:c r="F744" s="31" t="str">
        <x:v>Capital Markets &amp; Financing</x:v>
      </x:c>
      <x:c r="G744" s="30" t="str">
        <x:v>CL1208</x:v>
      </x:c>
      <x:c r="H744" s="32" t="n">
        <x:f>COUNTIF($G$5:$G$1725,G744)</x:f>
        <x:v>1</x:v>
      </x:c>
      <x:c r="I744" s="30" t="str">
        <x:v>A6</x:v>
      </x:c>
      <x:c r="J744" s="31" t="str">
        <x:v>1 Lunkun Deng Bond Syndicate (BJ) | Self Intro | Interest rate</x:v>
      </x:c>
    </x:row>
    <x:row r="745" ht="32" customHeight="1">
      <x:c r="A745" s="30" t="str">
        <x:v>QB1160</x:v>
      </x:c>
      <x:c r="B745" s="30" t="str">
        <x:v>GS DCMECM</x:v>
      </x:c>
      <x:c r="C745" s="30" t="str">
        <x:v>IBD / GCM</x:v>
      </x:c>
      <x:c r="D745" s="31" t="str">
        <x:v>What extra efforts I made for IBD</x:v>
      </x:c>
      <x:c r="E745" s="31" t="str">
        <x:v>What extra efforts I made for IBD</x:v>
      </x:c>
      <x:c r="F745" s="31" t="str">
        <x:v>Other Question</x:v>
      </x:c>
      <x:c r="G745" s="30" t="str">
        <x:v>CL0943</x:v>
      </x:c>
      <x:c r="H745" s="32" t="n">
        <x:f>COUNTIF($G$5:$G$1725,G745)</x:f>
        <x:v>1</x:v>
      </x:c>
      <x:c r="I745" s="30" t="str">
        <x:v>B6</x:v>
      </x:c>
      <x:c r="J745" s="31" t="str">
        <x:v>1 Phyllis Wang Equity Syndicate Head | Self Intro | Elevator Pitch</x:v>
      </x:c>
    </x:row>
    <x:row r="746" ht="48" customHeight="1">
      <x:c r="A746" s="30" t="str">
        <x:v>QB1161</x:v>
      </x:c>
      <x:c r="B746" s="30" t="str">
        <x:v>GS DCMECM</x:v>
      </x:c>
      <x:c r="C746" s="30" t="str">
        <x:v>IBD / GCM</x:v>
      </x:c>
      <x:c r="D746" s="31" t="str">
        <x:v>How does this affect companies who want to issue debt, 1year ago vs now vs future</x:v>
      </x:c>
      <x:c r="E746" s="31" t="str">
        <x:v>How does this affect companies who want to issue debt, 1year ago vs now vs future</x:v>
      </x:c>
      <x:c r="F746" s="31" t="str">
        <x:v>Company, Industry &amp; Deals</x:v>
      </x:c>
      <x:c r="G746" s="30" t="str">
        <x:v>CL0436</x:v>
      </x:c>
      <x:c r="H746" s="32" t="n">
        <x:f>COUNTIF($G$5:$G$1725,G746)</x:f>
        <x:v>1</x:v>
      </x:c>
      <x:c r="I746" s="30" t="str">
        <x:v>A7</x:v>
      </x:c>
      <x:c r="J746" s="31" t="str">
        <x:v>Self Intro | Interest rate | You said bond prices are still facing some uncertanties, arent they already priced in in the current yield?</x:v>
      </x:c>
    </x:row>
    <x:row r="747" ht="48" customHeight="1">
      <x:c r="A747" s="30" t="str">
        <x:v>QB1167</x:v>
      </x:c>
      <x:c r="B747" s="30" t="str">
        <x:v>GS DCMECM</x:v>
      </x:c>
      <x:c r="C747" s="30" t="str">
        <x:v>IBD / GCM</x:v>
      </x:c>
      <x:c r="D747" s="31" t="str">
        <x:v>Asked back what kind of skill sets / characters are required for DCM, compared to my previous internships // compare the Debt market with PEVCIBD</x:v>
      </x:c>
      <x:c r="E747" s="31" t="str">
        <x:v>Asked back what kind of skill sets / characters are required for DCM, compared to my previous internships // compare the Debt market with PEVCIBD</x:v>
      </x:c>
      <x:c r="F747" s="31" t="str">
        <x:v>Resume &amp; Experience</x:v>
      </x:c>
      <x:c r="G747" s="30" t="str">
        <x:v>CL0147</x:v>
      </x:c>
      <x:c r="H747" s="32" t="n">
        <x:f>COUNTIF($G$5:$G$1725,G747)</x:f>
        <x:v>1</x:v>
      </x:c>
      <x:c r="I747" s="30" t="str">
        <x:v>A10</x:v>
      </x:c>
      <x:c r="J747" s="31" t="str">
        <x:v>How does this affect companies who want to issue debt, 1year ago vs now vs future | Credit analysis structure | Questions for him</x:v>
      </x:c>
    </x:row>
    <x:row r="748" ht="68" customHeight="1">
      <x:c r="A748" s="30" t="str">
        <x:v>QB1172</x:v>
      </x:c>
      <x:c r="B748" s="30" t="str">
        <x:v>GS DCMECM</x:v>
      </x:c>
      <x:c r="C748" s="30" t="str">
        <x:v>IBD / GCM</x:v>
      </x:c>
      <x:c r="D748" s="31" t="str">
        <x:v>Self intro, why GS, why DCM</x:v>
      </x:c>
      <x:c r="E748" s="31" t="str">
        <x:v>Tell me about yourself / walk me through your resume</x:v>
      </x:c>
      <x:c r="F748" s="31" t="str">
        <x:v>Fit &amp; Motivation</x:v>
      </x:c>
      <x:c r="G748" s="30" t="str">
        <x:v>CL0001</x:v>
      </x:c>
      <x:c r="H748" s="32" t="n">
        <x:f>COUNTIF($G$5:$G$1725,G748)</x:f>
        <x:v>170</x:v>
      </x:c>
      <x:c r="I748" s="30" t="str">
        <x:v>A13</x:v>
      </x:c>
      <x:c r="J748" s="31" t="str">
        <x:v>Questions for him | Asked back what kind of skill sets / characters are required for DCM, compared to my previous internships // compare the Debt market with PEVCIBD | 2 Martina Piccolo Sponsors / Loan</x:v>
      </x:c>
    </x:row>
    <x:row r="749" ht="68" customHeight="1">
      <x:c r="A749" s="30" t="str">
        <x:v>QB1174</x:v>
      </x:c>
      <x:c r="B749" s="30" t="str">
        <x:v>GS DCMECM</x:v>
      </x:c>
      <x:c r="C749" s="30" t="str">
        <x:v>IBD / GCM</x:v>
      </x:c>
      <x:c r="D749" s="31" t="str">
        <x:v>Would lendor look at upside case</x:v>
      </x:c>
      <x:c r="E749" s="31" t="str">
        <x:v>Would lendor look at upside case</x:v>
      </x:c>
      <x:c r="F749" s="31" t="str">
        <x:v>Other Question</x:v>
      </x:c>
      <x:c r="G749" s="30" t="str">
        <x:v>CL1192</x:v>
      </x:c>
      <x:c r="H749" s="32" t="n">
        <x:f>COUNTIF($G$5:$G$1725,G749)</x:f>
        <x:v>1</x:v>
      </x:c>
      <x:c r="I749" s="30" t="str">
        <x:v>A14</x:v>
      </x:c>
      <x:c r="J749" s="31" t="str">
        <x:v>Asked back what kind of skill sets / characters are required for DCM, compared to my previous internships // compare the Debt market with PEVCIBD | 2 Martina Piccolo Sponsors / Loan | Self intro, why GS, why DCM</x:v>
      </x:c>
    </x:row>
    <x:row r="750" ht="48" customHeight="1">
      <x:c r="A750" s="30" t="str">
        <x:v>QB1175</x:v>
      </x:c>
      <x:c r="B750" s="30" t="str">
        <x:v>GS DCMECM</x:v>
      </x:c>
      <x:c r="C750" s="30" t="str">
        <x:v>IBD / GCM</x:v>
      </x:c>
      <x:c r="D750" s="31" t="str">
        <x:v>Hobbies</x:v>
      </x:c>
      <x:c r="E750" s="31" t="str">
        <x:v>What are your interests outside work and school?</x:v>
      </x:c>
      <x:c r="F750" s="31" t="str">
        <x:v>Other Question</x:v>
      </x:c>
      <x:c r="G750" s="30" t="str">
        <x:v>CL0014</x:v>
      </x:c>
      <x:c r="H750" s="32" t="n">
        <x:f>COUNTIF($G$5:$G$1725,G750)</x:f>
        <x:v>10</x:v>
      </x:c>
      <x:c r="I750" s="30" t="str">
        <x:v>B14</x:v>
      </x:c>
      <x:c r="J750" s="31" t="str">
        <x:v>Investment / trading idea regarding the upcoming US election | Feedback from Nomura | Any area of improvement</x:v>
      </x:c>
    </x:row>
    <x:row r="751" ht="48" customHeight="1">
      <x:c r="A751" s="30" t="str">
        <x:v>QB1176</x:v>
      </x:c>
      <x:c r="B751" s="30" t="str">
        <x:v>GS DCMECM</x:v>
      </x:c>
      <x:c r="C751" s="30" t="str">
        <x:v>IBD / GCM</x:v>
      </x:c>
      <x:c r="D751" s="31" t="str">
        <x:v>For a consumer packaging company, what are some mertics for credit analysis</x:v>
      </x:c>
      <x:c r="E751" s="31" t="str">
        <x:v>For a consumer packaging company, what are some mertics for credit analysis</x:v>
      </x:c>
      <x:c r="F751" s="31" t="str">
        <x:v>Company, Industry &amp; Deals</x:v>
      </x:c>
      <x:c r="G751" s="30" t="str">
        <x:v>CL0326</x:v>
      </x:c>
      <x:c r="H751" s="32" t="n">
        <x:f>COUNTIF($G$5:$G$1725,G751)</x:f>
        <x:v>1</x:v>
      </x:c>
      <x:c r="I751" s="30" t="str">
        <x:v>A15</x:v>
      </x:c>
      <x:c r="J751" s="31" t="str">
        <x:v>2 Martina Piccolo Sponsors / Loan | Self intro, why GS, why DCM | Would lendor look at upside case</x:v>
      </x:c>
    </x:row>
    <x:row r="752" ht="48" customHeight="1">
      <x:c r="A752" s="30" t="str">
        <x:v>QB1178</x:v>
      </x:c>
      <x:c r="B752" s="30" t="str">
        <x:v>GS DCMECM</x:v>
      </x:c>
      <x:c r="C752" s="30" t="str">
        <x:v>IBD / GCM</x:v>
      </x:c>
      <x:c r="D752" s="31" t="str">
        <x:v>If the market is going really bad, for example, a covid lockdown - what operational information would you look at to assess the company's risks</x:v>
      </x:c>
      <x:c r="E752" s="31" t="str">
        <x:v>If the market is going really bad, for example, a covid lockdown - what operational information would you look at to assess the company's risks</x:v>
      </x:c>
      <x:c r="F752" s="31" t="str">
        <x:v>Accounting &amp; Financial Statements</x:v>
      </x:c>
      <x:c r="G752" s="30" t="str">
        <x:v>CL0521</x:v>
      </x:c>
      <x:c r="H752" s="32" t="n">
        <x:f>COUNTIF($G$5:$G$1725,G752)</x:f>
        <x:v>1</x:v>
      </x:c>
      <x:c r="I752" s="30" t="str">
        <x:v>A16</x:v>
      </x:c>
      <x:c r="J752" s="31" t="str">
        <x:v>Self intro, why GS, why DCM | Would lendor look at upside case | For a consumer packaging company, what are some mertics for credit analysis</x:v>
      </x:c>
    </x:row>
    <x:row r="753" ht="32" customHeight="1">
      <x:c r="A753" s="30" t="str">
        <x:v>QB1179</x:v>
      </x:c>
      <x:c r="B753" s="30" t="str">
        <x:v>GS DCMECM</x:v>
      </x:c>
      <x:c r="C753" s="30" t="str">
        <x:v>IBD / GCM</x:v>
      </x:c>
      <x:c r="D753" s="31" t="str">
        <x:v>What makes me a good player</x:v>
      </x:c>
      <x:c r="E753" s="31" t="str">
        <x:v>What makes me a good player</x:v>
      </x:c>
      <x:c r="F753" s="31" t="str">
        <x:v>Other Question</x:v>
      </x:c>
      <x:c r="G753" s="30" t="str">
        <x:v>CL1012</x:v>
      </x:c>
      <x:c r="H753" s="32" t="n">
        <x:f>COUNTIF($G$5:$G$1725,G753)</x:f>
        <x:v>1</x:v>
      </x:c>
      <x:c r="I753" s="30" t="str">
        <x:v>B16</x:v>
      </x:c>
      <x:c r="J753" s="31" t="str">
        <x:v>Any area of improvement | Hobbies | My position in football and hockey</x:v>
      </x:c>
    </x:row>
    <x:row r="754" ht="68" customHeight="1">
      <x:c r="A754" s="30" t="str">
        <x:v>QB1180</x:v>
      </x:c>
      <x:c r="B754" s="30" t="str">
        <x:v>GS DCMECM</x:v>
      </x:c>
      <x:c r="C754" s="30" t="str">
        <x:v>IBD / GCM</x:v>
      </x:c>
      <x:c r="D754" s="31" t="str">
        <x:v>If you are reaching out to a sponsor, asking for specific data to analyse their debt servicing ability, what are the most important data you need to ask for</x:v>
      </x:c>
      <x:c r="E754" s="31" t="str">
        <x:v>If you are reaching out to a sponsor, asking for specific data to analyse their debt servicing ability, what are the most important data you need to ask for</x:v>
      </x:c>
      <x:c r="F754" s="31" t="str">
        <x:v>Other Question</x:v>
      </x:c>
      <x:c r="G754" s="30" t="str">
        <x:v>CL0527</x:v>
      </x:c>
      <x:c r="H754" s="32" t="n">
        <x:f>COUNTIF($G$5:$G$1725,G754)</x:f>
        <x:v>1</x:v>
      </x:c>
      <x:c r="I754" s="30" t="str">
        <x:v>A17</x:v>
      </x:c>
      <x:c r="J754" s="31" t="str">
        <x:v>Would lendor look at upside case | For a consumer packaging company, what are some mertics for credit analysis | If the market is going really bad, for example, a covid lockdown - what operational information would you look at to assess ...</x:v>
      </x:c>
    </x:row>
    <x:row r="755" ht="48" customHeight="1">
      <x:c r="A755" s="30" t="str">
        <x:v>QB1183</x:v>
      </x:c>
      <x:c r="B755" s="30" t="str">
        <x:v>GS DCMECM</x:v>
      </x:c>
      <x:c r="C755" s="30" t="str">
        <x:v>IBD / GCM</x:v>
      </x:c>
      <x:c r="D755" s="31" t="str">
        <x:v>Self Intro</x:v>
      </x:c>
      <x:c r="E755" s="31" t="str">
        <x:v>Tell me about yourself / walk me through your resume</x:v>
      </x:c>
      <x:c r="F755" s="31" t="str">
        <x:v>Resume &amp; Experience</x:v>
      </x:c>
      <x:c r="G755" s="30" t="str">
        <x:v>CL0001</x:v>
      </x:c>
      <x:c r="H755" s="32" t="n">
        <x:f>COUNTIF($G$5:$G$1725,G755)</x:f>
        <x:v>170</x:v>
      </x:c>
      <x:c r="I755" s="30" t="str">
        <x:v>B19</x:v>
      </x:c>
      <x:c r="J755" s="31" t="str">
        <x:v>My position in football and hockey | What makes me a good player | 2 James Wang ECM Co-Head</x:v>
      </x:c>
    </x:row>
    <x:row r="756" ht="92" customHeight="1">
      <x:c r="A756" s="30" t="str">
        <x:v>QB1186</x:v>
      </x:c>
      <x:c r="B756" s="30" t="str">
        <x:v>GS DCMECM</x:v>
      </x:c>
      <x:c r="C756" s="30" t="str">
        <x:v>IBD / GCM</x:v>
      </x:c>
      <x:c r="D756" s="31" t="str">
        <x:v>Self intro</x:v>
      </x:c>
      <x:c r="E756" s="31" t="str">
        <x:v>Tell me about yourself / walk me through your resume</x:v>
      </x:c>
      <x:c r="F756" s="31" t="str">
        <x:v>Resume &amp; Experience</x:v>
      </x:c>
      <x:c r="G756" s="30" t="str">
        <x:v>CL0001</x:v>
      </x:c>
      <x:c r="H756" s="32" t="n">
        <x:f>COUNTIF($G$5:$G$1725,G756)</x:f>
        <x:v>170</x:v>
      </x:c>
      <x:c r="I756" s="30" t="str">
        <x:v>A21</x:v>
      </x:c>
      <x:c r="J756" s="31" t="str">
        <x:v>If you are reaching out to a sponsor, asking for specific data to analyse their debt servicing ability, what are the most important data you need to ask for | (she spoke a lot, super nice, so we alr ran out of time here lmao) | 3 Nelson ...</x:v>
      </x:c>
    </x:row>
    <x:row r="757" ht="48" customHeight="1">
      <x:c r="A757" s="30" t="str">
        <x:v>QB1188</x:v>
      </x:c>
      <x:c r="B757" s="30" t="str">
        <x:v>GS DCMECM</x:v>
      </x:c>
      <x:c r="C757" s="30" t="str">
        <x:v>IBD / GCM</x:v>
      </x:c>
      <x:c r="D757" s="31" t="str">
        <x:v>Recent LBO trend</x:v>
      </x:c>
      <x:c r="E757" s="31" t="str">
        <x:v>Recent LBO trend</x:v>
      </x:c>
      <x:c r="F757" s="31" t="str">
        <x:v>Private Equity &amp; LBO</x:v>
      </x:c>
      <x:c r="G757" s="30" t="str">
        <x:v>CL0659</x:v>
      </x:c>
      <x:c r="H757" s="32" t="n">
        <x:f>COUNTIF($G$5:$G$1725,G757)</x:f>
        <x:v>1</x:v>
      </x:c>
      <x:c r="I757" s="30" t="str">
        <x:v>A22</x:v>
      </x:c>
      <x:c r="J757" s="31" t="str">
        <x:v>(she spoke a lot, super nice, so we alr ran out of time here lmao) | 3 Nelson Lo Head of Leveraged Loans | Self intro</x:v>
      </x:c>
    </x:row>
    <x:row r="758" ht="32" customHeight="1">
      <x:c r="A758" s="30" t="str">
        <x:v>QB1190</x:v>
      </x:c>
      <x:c r="B758" s="30" t="str">
        <x:v>GS DCMECM</x:v>
      </x:c>
      <x:c r="C758" s="30" t="str">
        <x:v>IBD / GCM</x:v>
      </x:c>
      <x:c r="D758" s="31" t="str">
        <x:v>How would increase in interest rate affect LBO costs</x:v>
      </x:c>
      <x:c r="E758" s="31" t="str">
        <x:v>How would increase in interest rate affect LBO costs</x:v>
      </x:c>
      <x:c r="F758" s="31" t="str">
        <x:v>Markets &amp; Macro</x:v>
      </x:c>
      <x:c r="G758" s="30" t="str">
        <x:v>CL0492</x:v>
      </x:c>
      <x:c r="H758" s="32" t="n">
        <x:f>COUNTIF($G$5:$G$1725,G758)</x:f>
        <x:v>1</x:v>
      </x:c>
      <x:c r="I758" s="30" t="str">
        <x:v>A23</x:v>
      </x:c>
      <x:c r="J758" s="31" t="str">
        <x:v>3 Nelson Lo Head of Leveraged Loans | Self intro | Recent LBO trend</x:v>
      </x:c>
    </x:row>
    <x:row r="759" ht="48" customHeight="1">
      <x:c r="A759" s="30" t="str">
        <x:v>QB1191</x:v>
      </x:c>
      <x:c r="B759" s="30" t="str">
        <x:v>GS DCMECM</x:v>
      </x:c>
      <x:c r="C759" s="30" t="str">
        <x:v>IBD / GCM</x:v>
      </x:c>
      <x:c r="D759" s="31" t="str">
        <x:v>Why you</x:v>
      </x:c>
      <x:c r="E759" s="31" t="str">
        <x:v>Why you</x:v>
      </x:c>
      <x:c r="F759" s="31" t="str">
        <x:v>Fit &amp; Motivation</x:v>
      </x:c>
      <x:c r="G759" s="30" t="str">
        <x:v>CL1179</x:v>
      </x:c>
      <x:c r="H759" s="32" t="n">
        <x:f>COUNTIF($G$5:$G$1725,G759)</x:f>
        <x:v>1</x:v>
      </x:c>
      <x:c r="I759" s="30" t="str">
        <x:v>B23</x:v>
      </x:c>
      <x:c r="J759" s="31" t="str">
        <x:v>My ranking, is my GPA low or high in my class | My thoughts on past internships, why ECM | Quite conversational and all behavioral... forgot</x:v>
      </x:c>
    </x:row>
    <x:row r="760" ht="32" customHeight="1">
      <x:c r="A760" s="30" t="str">
        <x:v>QB1192</x:v>
      </x:c>
      <x:c r="B760" s="30" t="str">
        <x:v>GS DCMECM</x:v>
      </x:c>
      <x:c r="C760" s="30" t="str">
        <x:v>IBD / GCM</x:v>
      </x:c>
      <x:c r="D760" s="31" t="str">
        <x:v>Which internship I liked the most and the least</x:v>
      </x:c>
      <x:c r="E760" s="31" t="str">
        <x:v>Which internship I liked the most and the least</x:v>
      </x:c>
      <x:c r="F760" s="31" t="str">
        <x:v>Resume &amp; Experience</x:v>
      </x:c>
      <x:c r="G760" s="30" t="str">
        <x:v>CL1095</x:v>
      </x:c>
      <x:c r="H760" s="32" t="n">
        <x:f>COUNTIF($G$5:$G$1725,G760)</x:f>
        <x:v>1</x:v>
      </x:c>
      <x:c r="I760" s="30" t="str">
        <x:v>A24</x:v>
      </x:c>
      <x:c r="J760" s="31" t="str">
        <x:v>Self intro | Recent LBO trend | How would increase in interest rate affect LBO costs</x:v>
      </x:c>
    </x:row>
    <x:row r="761" ht="32" customHeight="1">
      <x:c r="A761" s="30" t="str">
        <x:v>QB1196</x:v>
      </x:c>
      <x:c r="B761" s="30" t="str">
        <x:v>GS DCMECM</x:v>
      </x:c>
      <x:c r="C761" s="30" t="str">
        <x:v>IBD / GCM</x:v>
      </x:c>
      <x:c r="D761" s="31" t="str">
        <x:v>Self intro</x:v>
      </x:c>
      <x:c r="E761" s="31" t="str">
        <x:v>Tell me about yourself / walk me through your resume</x:v>
      </x:c>
      <x:c r="F761" s="31" t="str">
        <x:v>Resume &amp; Experience</x:v>
      </x:c>
      <x:c r="G761" s="30" t="str">
        <x:v>CL0001</x:v>
      </x:c>
      <x:c r="H761" s="32" t="n">
        <x:f>COUNTIF($G$5:$G$1725,G761)</x:f>
        <x:v>170</x:v>
      </x:c>
      <x:c r="I761" s="30" t="str">
        <x:v>B26</x:v>
      </x:c>
      <x:c r="J761" s="31" t="str">
        <x:v>Quite conversational and all behavioral... forgot | Why you | 3 Jason ECM ED</x:v>
      </x:c>
    </x:row>
    <x:row r="762" ht="32" customHeight="1">
      <x:c r="A762" s="30" t="str">
        <x:v>QB1197</x:v>
      </x:c>
      <x:c r="B762" s="30" t="str">
        <x:v>GS DCMECM</x:v>
      </x:c>
      <x:c r="C762" s="30" t="str">
        <x:v>IBD / GCM</x:v>
      </x:c>
      <x:c r="D762" s="31" t="str">
        <x:v>Did I choose ECM as my first preference</x:v>
      </x:c>
      <x:c r="E762" s="31" t="str">
        <x:v>Did I choose ECM as my first preference</x:v>
      </x:c>
      <x:c r="F762" s="31" t="str">
        <x:v>Capital Markets &amp; Financing</x:v>
      </x:c>
      <x:c r="G762" s="30" t="str">
        <x:v>CL0236</x:v>
      </x:c>
      <x:c r="H762" s="32" t="n">
        <x:f>COUNTIF($G$5:$G$1725,G762)</x:f>
        <x:v>1</x:v>
      </x:c>
      <x:c r="I762" s="30" t="str">
        <x:v>B27</x:v>
      </x:c>
      <x:c r="J762" s="31" t="str">
        <x:v>Why you | 3 Jason ECM ED | Self intro</x:v>
      </x:c>
    </x:row>
    <x:row r="763" ht="32" customHeight="1">
      <x:c r="A763" s="30" t="str">
        <x:v>QB1199</x:v>
      </x:c>
      <x:c r="B763" s="30" t="str">
        <x:v>GS DCMECM</x:v>
      </x:c>
      <x:c r="C763" s="30" t="str">
        <x:v>IBD / GCM</x:v>
      </x:c>
      <x:c r="D763" s="31" t="str">
        <x:v>How did I get into finance</x:v>
      </x:c>
      <x:c r="E763" s="31" t="str">
        <x:v>How did I get into finance</x:v>
      </x:c>
      <x:c r="F763" s="31" t="str">
        <x:v>Other Technical</x:v>
      </x:c>
      <x:c r="G763" s="30" t="str">
        <x:v>CL0375</x:v>
      </x:c>
      <x:c r="H763" s="32" t="n">
        <x:f>COUNTIF($G$5:$G$1725,G763)</x:f>
        <x:v>1</x:v>
      </x:c>
      <x:c r="I763" s="30" t="str">
        <x:v>B28</x:v>
      </x:c>
      <x:c r="J763" s="31" t="str">
        <x:v>3 Jason ECM ED | Self intro | Did I choose ECM as my first preference</x:v>
      </x:c>
    </x:row>
    <x:row r="764" ht="48" customHeight="1">
      <x:c r="A764" s="30" t="str">
        <x:v>QB1200</x:v>
      </x:c>
      <x:c r="B764" s="30" t="str">
        <x:v>GS DCMECM</x:v>
      </x:c>
      <x:c r="C764" s="30" t="str">
        <x:v>IBD / GCM</x:v>
      </x:c>
      <x:c r="D764" s="31" t="str">
        <x:v>Self Intro</x:v>
      </x:c>
      <x:c r="E764" s="31" t="str">
        <x:v>Tell me about yourself / walk me through your resume</x:v>
      </x:c>
      <x:c r="F764" s="31" t="str">
        <x:v>Resume &amp; Experience</x:v>
      </x:c>
      <x:c r="G764" s="30" t="str">
        <x:v>CL0001</x:v>
      </x:c>
      <x:c r="H764" s="32" t="n">
        <x:f>COUNTIF($G$5:$G$1725,G764)</x:f>
        <x:v>170</x:v>
      </x:c>
      <x:c r="I764" s="30" t="str">
        <x:v>A29</x:v>
      </x:c>
      <x:c r="J764" s="31" t="str">
        <x:v>One recent piece of news that affect banks the most | Questions for him | 4 Andrew Chan Head of Bond Syndiate</x:v>
      </x:c>
    </x:row>
    <x:row r="765" ht="32" customHeight="1">
      <x:c r="A765" s="30" t="str">
        <x:v>QB1202</x:v>
      </x:c>
      <x:c r="B765" s="30" t="str">
        <x:v>GS DCMECM</x:v>
      </x:c>
      <x:c r="C765" s="30" t="str">
        <x:v>IBD / GCM</x:v>
      </x:c>
      <x:c r="D765" s="31" t="str">
        <x:v>Why GS why DCM</x:v>
      </x:c>
      <x:c r="E765" s="31" t="str">
        <x:v>Why this firm?</x:v>
      </x:c>
      <x:c r="F765" s="31" t="str">
        <x:v>Fit &amp; Motivation</x:v>
      </x:c>
      <x:c r="G765" s="30" t="str">
        <x:v>CL0002</x:v>
      </x:c>
      <x:c r="H765" s="32" t="n">
        <x:f>COUNTIF($G$5:$G$1725,G765)</x:f>
        <x:v>39</x:v>
      </x:c>
      <x:c r="I765" s="30" t="str">
        <x:v>A30</x:v>
      </x:c>
      <x:c r="J765" s="31" t="str">
        <x:v>Questions for him | 4 Andrew Chan Head of Bond Syndiate | Self Intro</x:v>
      </x:c>
    </x:row>
    <x:row r="766" ht="32" customHeight="1">
      <x:c r="A766" s="30" t="str">
        <x:v>QB1204</x:v>
      </x:c>
      <x:c r="B766" s="30" t="str">
        <x:v>GS DCMECM</x:v>
      </x:c>
      <x:c r="C766" s="30" t="str">
        <x:v>IBD / GCM</x:v>
      </x:c>
      <x:c r="D766" s="31" t="str">
        <x:v>Who were on the Nomura DCM Team</x:v>
      </x:c>
      <x:c r="E766" s="31" t="str">
        <x:v>Who were on the Nomura DCM Team</x:v>
      </x:c>
      <x:c r="F766" s="31" t="str">
        <x:v>Capital Markets &amp; Financing</x:v>
      </x:c>
      <x:c r="G766" s="30" t="str">
        <x:v>CL1110</x:v>
      </x:c>
      <x:c r="H766" s="32" t="n">
        <x:f>COUNTIF($G$5:$G$1725,G766)</x:f>
        <x:v>1</x:v>
      </x:c>
      <x:c r="I766" s="30" t="str">
        <x:v>A31</x:v>
      </x:c>
      <x:c r="J766" s="31" t="str">
        <x:v>4 Andrew Chan Head of Bond Syndiate | Self Intro | Why GS why DCM</x:v>
      </x:c>
    </x:row>
    <x:row r="767" ht="48" customHeight="1">
      <x:c r="A767" s="30" t="str">
        <x:v>QB1205</x:v>
      </x:c>
      <x:c r="B767" s="30" t="str">
        <x:v>GS DCMECM</x:v>
      </x:c>
      <x:c r="C767" s="30" t="str">
        <x:v>IBD / GCM</x:v>
      </x:c>
      <x:c r="D767" s="31" t="str">
        <x:v>Trading comps valuation walk through</x:v>
      </x:c>
      <x:c r="E767" s="31" t="str">
        <x:v>Trading comps valuation walk through</x:v>
      </x:c>
      <x:c r="F767" s="31" t="str">
        <x:v>Valuation</x:v>
      </x:c>
      <x:c r="G767" s="30" t="str">
        <x:v>CL0799</x:v>
      </x:c>
      <x:c r="H767" s="32" t="n">
        <x:f>COUNTIF($G$5:$G$1725,G767)</x:f>
        <x:v>1</x:v>
      </x:c>
      <x:c r="I767" s="30" t="str">
        <x:v>B31</x:v>
      </x:c>
      <x:c r="J767" s="31" t="str">
        <x:v>How did I get into finance | If I am given a classics IBD position, will I go | Nomura deal walk thorugh</x:v>
      </x:c>
    </x:row>
    <x:row r="768" ht="48" customHeight="1">
      <x:c r="A768" s="30" t="str">
        <x:v>QB1207</x:v>
      </x:c>
      <x:c r="B768" s="30" t="str">
        <x:v>GS DCMECM</x:v>
      </x:c>
      <x:c r="C768" s="30" t="str">
        <x:v>IBD / GCM</x:v>
      </x:c>
      <x:c r="D768" s="31" t="str">
        <x:v>How good are you with numbers</x:v>
      </x:c>
      <x:c r="E768" s="31" t="str">
        <x:v>How good are you with numbers</x:v>
      </x:c>
      <x:c r="F768" s="31" t="str">
        <x:v>Other Question</x:v>
      </x:c>
      <x:c r="G768" s="30" t="str">
        <x:v>CL0439</x:v>
      </x:c>
      <x:c r="H768" s="32" t="n">
        <x:f>COUNTIF($G$5:$G$1725,G768)</x:f>
        <x:v>1</x:v>
      </x:c>
      <x:c r="I768" s="30" t="str">
        <x:v>B32</x:v>
      </x:c>
      <x:c r="J768" s="31" t="str">
        <x:v>If I am given a classics IBD position, will I go | Nomura deal walk thorugh | Trading comps valuation walk through</x:v>
      </x:c>
    </x:row>
    <x:row r="769" ht="68" customHeight="1">
      <x:c r="A769" s="30" t="str">
        <x:v>QB1208</x:v>
      </x:c>
      <x:c r="B769" s="30" t="str">
        <x:v>GS DCMECM</x:v>
      </x:c>
      <x:c r="C769" s="30" t="str">
        <x:v>IBD / GCM</x:v>
      </x:c>
      <x:c r="D769" s="31" t="str">
        <x:v>Brain Teaser: 100 participants, each write a number, the one closest to 80% of the average will win 100K, if same number from multiple participants, the prize will be split in between, what number will you write</x:v>
      </x:c>
      <x:c r="E769" s="31" t="str">
        <x:v>Brain Teaser: 100 participants, each write a number, the one closest to 80% of the average will win 100K, if same number from multiple participants, the prize will be split in between, what number will you write</x:v>
      </x:c>
      <x:c r="F769" s="31" t="str">
        <x:v>Valuation</x:v>
      </x:c>
      <x:c r="G769" s="30" t="str">
        <x:v>CL0170</x:v>
      </x:c>
      <x:c r="H769" s="32" t="n">
        <x:f>COUNTIF($G$5:$G$1725,G769)</x:f>
        <x:v>1</x:v>
      </x:c>
      <x:c r="I769" s="30" t="str">
        <x:v>A33</x:v>
      </x:c>
      <x:c r="J769" s="31" t="str">
        <x:v>Why GS why DCM | Who were on the Nomura DCM Team | 花5分钟说一下最近市场如何（普通话）</x:v>
      </x:c>
    </x:row>
    <x:row r="770" ht="68" customHeight="1">
      <x:c r="A770" s="30" t="str">
        <x:v>QB1214</x:v>
      </x:c>
      <x:c r="B770" s="30" t="str">
        <x:v>GS DCMECM</x:v>
      </x:c>
      <x:c r="C770" s="30" t="str">
        <x:v>IBD / GCM</x:v>
      </x:c>
      <x:c r="D770" s="31" t="str">
        <x:v>Self Intro</x:v>
      </x:c>
      <x:c r="E770" s="31" t="str">
        <x:v>Tell me about yourself / walk me through your resume</x:v>
      </x:c>
      <x:c r="F770" s="31" t="str">
        <x:v>Resume &amp; Experience</x:v>
      </x:c>
      <x:c r="G770" s="30" t="str">
        <x:v>CL0001</x:v>
      </x:c>
      <x:c r="H770" s="32" t="n">
        <x:f>COUNTIF($G$5:$G$1725,G770)</x:f>
        <x:v>170</x:v>
      </x:c>
      <x:c r="I770" s="30" t="str">
        <x:v>A37</x:v>
      </x:c>
      <x:c r="J770" s="31" t="str">
        <x:v>Brain Teaser: 100 participants, each write a number, the one closest to 80% of the average will win 100K, if same number from multiple participants, the prize will be split in between, what number will you write | Q&amp;A in Cantonese | 5 Da...</x:v>
      </x:c>
    </x:row>
    <x:row r="771" ht="32" customHeight="1">
      <x:c r="A771" s="30" t="str">
        <x:v>QB1216</x:v>
      </x:c>
      <x:c r="B771" s="30" t="str">
        <x:v>GS DCMECM</x:v>
      </x:c>
      <x:c r="C771" s="30" t="str">
        <x:v>IBD / GCM</x:v>
      </x:c>
      <x:c r="D771" s="31" t="str">
        <x:v>How will this DCM internship fit in to your experience and your future plan</x:v>
      </x:c>
      <x:c r="E771" s="31" t="str">
        <x:v>How will this DCM internship fit in to your experience and your future plan</x:v>
      </x:c>
      <x:c r="F771" s="31" t="str">
        <x:v>Fit &amp; Motivation</x:v>
      </x:c>
      <x:c r="G771" s="30" t="str">
        <x:v>CL0490</x:v>
      </x:c>
      <x:c r="H771" s="32" t="n">
        <x:f>COUNTIF($G$5:$G$1725,G771)</x:f>
        <x:v>1</x:v>
      </x:c>
      <x:c r="I771" s="30" t="str">
        <x:v>A38</x:v>
      </x:c>
      <x:c r="J771" s="31" t="str">
        <x:v>Q&amp;A in Cantonese | 5 Daniel Ohmsen Loans | Self Intro</x:v>
      </x:c>
    </x:row>
    <x:row r="772" ht="32" customHeight="1">
      <x:c r="A772" s="30" t="str">
        <x:v>QB1217</x:v>
      </x:c>
      <x:c r="B772" s="30" t="str">
        <x:v>GS DCMECM</x:v>
      </x:c>
      <x:c r="C772" s="30" t="str">
        <x:v>IBD / GCM</x:v>
      </x:c>
      <x:c r="D772" s="31" t="str">
        <x:v>Self Intro</x:v>
      </x:c>
      <x:c r="E772" s="31" t="str">
        <x:v>Tell me about yourself / walk me through your resume</x:v>
      </x:c>
      <x:c r="F772" s="31" t="str">
        <x:v>Resume &amp; Experience</x:v>
      </x:c>
      <x:c r="G772" s="30" t="str">
        <x:v>CL0001</x:v>
      </x:c>
      <x:c r="H772" s="32" t="n">
        <x:f>COUNTIF($G$5:$G$1725,G772)</x:f>
        <x:v>170</x:v>
      </x:c>
      <x:c r="I772" s="30" t="str">
        <x:v>B38</x:v>
      </x:c>
      <x:c r="J772" s="31" t="str">
        <x:v>27*16 | 10 Additional Rounds | 4 Henry Yu Shanghai</x:v>
      </x:c>
    </x:row>
    <x:row r="773" ht="48" customHeight="1">
      <x:c r="A773" s="30" t="str">
        <x:v>QB1218</x:v>
      </x:c>
      <x:c r="B773" s="30" t="str">
        <x:v>GS DCMECM</x:v>
      </x:c>
      <x:c r="C773" s="30" t="str">
        <x:v>IBD / GCM</x:v>
      </x:c>
      <x:c r="D773" s="31" t="str">
        <x:v>A data centre with sponsor investments, where will this show up on three statements</x:v>
      </x:c>
      <x:c r="E773" s="31" t="str">
        <x:v>How does a transaction flow through the three financial statements?</x:v>
      </x:c>
      <x:c r="F773" s="31" t="str">
        <x:v>Accounting &amp; Financial Statements</x:v>
      </x:c>
      <x:c r="G773" s="30" t="str">
        <x:v>CL0004</x:v>
      </x:c>
      <x:c r="H773" s="32" t="n">
        <x:f>COUNTIF($G$5:$G$1725,G773)</x:f>
        <x:v>21</x:v>
      </x:c>
      <x:c r="I773" s="30" t="str">
        <x:v>A39</x:v>
      </x:c>
      <x:c r="J773" s="31" t="str">
        <x:v>5 Daniel Ohmsen Loans | Self Intro | How will this DCM internship fit in to your experience and your future plan</x:v>
      </x:c>
    </x:row>
    <x:row r="774" ht="32" customHeight="1">
      <x:c r="A774" s="30" t="str">
        <x:v>QB1219</x:v>
      </x:c>
      <x:c r="B774" s="30" t="str">
        <x:v>GS DCMECM</x:v>
      </x:c>
      <x:c r="C774" s="30" t="str">
        <x:v>IBD / GCM</x:v>
      </x:c>
      <x:c r="D774" s="31" t="str">
        <x:v>Where do I see myself in 3-5 years</x:v>
      </x:c>
      <x:c r="E774" s="31" t="str">
        <x:v>Where do you see yourself in 3-5 years?</x:v>
      </x:c>
      <x:c r="F774" s="31" t="str">
        <x:v>Other Question</x:v>
      </x:c>
      <x:c r="G774" s="30" t="str">
        <x:v>CL1087</x:v>
      </x:c>
      <x:c r="H774" s="32" t="n">
        <x:f>COUNTIF($G$5:$G$1725,G774)</x:f>
        <x:v>1</x:v>
      </x:c>
      <x:c r="I774" s="30" t="str">
        <x:v>B39</x:v>
      </x:c>
      <x:c r="J774" s="31" t="str">
        <x:v>10 Additional Rounds | 4 Henry Yu Shanghai | Self Intro</x:v>
      </x:c>
    </x:row>
    <x:row r="775" ht="68" customHeight="1">
      <x:c r="A775" s="30" t="str">
        <x:v>QB1220</x:v>
      </x:c>
      <x:c r="B775" s="30" t="str">
        <x:v>GS DCMECM</x:v>
      </x:c>
      <x:c r="C775" s="30" t="str">
        <x:v>IBD / GCM</x:v>
      </x:c>
      <x:c r="D775" s="31" t="str">
        <x:v>Raise Contruction loan, where will this show up on three statements</x:v>
      </x:c>
      <x:c r="E775" s="31" t="str">
        <x:v>How does a transaction flow through the three financial statements?</x:v>
      </x:c>
      <x:c r="F775" s="31" t="str">
        <x:v>Accounting &amp; Financial Statements</x:v>
      </x:c>
      <x:c r="G775" s="30" t="str">
        <x:v>CL0004</x:v>
      </x:c>
      <x:c r="H775" s="32" t="n">
        <x:f>COUNTIF($G$5:$G$1725,G775)</x:f>
        <x:v>21</x:v>
      </x:c>
      <x:c r="I775" s="30" t="str">
        <x:v>A40</x:v>
      </x:c>
      <x:c r="J775" s="31" t="str">
        <x:v>Self Intro | How will this DCM internship fit in to your experience and your future plan | A data centre with sponsor investments, where will this show up on three statements</x:v>
      </x:c>
    </x:row>
    <x:row r="776" ht="68" customHeight="1">
      <x:c r="A776" s="30" t="str">
        <x:v>QB1222</x:v>
      </x:c>
      <x:c r="B776" s="30" t="str">
        <x:v>GS DCMECM</x:v>
      </x:c>
      <x:c r="C776" s="30" t="str">
        <x:v>IBD / GCM</x:v>
      </x:c>
      <x:c r="D776" s="31" t="str">
        <x:v>After 1 year, how will the three statements be affected</x:v>
      </x:c>
      <x:c r="E776" s="31" t="str">
        <x:v>How does a transaction flow through the three financial statements?</x:v>
      </x:c>
      <x:c r="F776" s="31" t="str">
        <x:v>Accounting &amp; Financial Statements</x:v>
      </x:c>
      <x:c r="G776" s="30" t="str">
        <x:v>CL0004</x:v>
      </x:c>
      <x:c r="H776" s="32" t="n">
        <x:f>COUNTIF($G$5:$G$1725,G776)</x:f>
        <x:v>21</x:v>
      </x:c>
      <x:c r="I776" s="30" t="str">
        <x:v>A41</x:v>
      </x:c>
      <x:c r="J776" s="31" t="str">
        <x:v>How will this DCM internship fit in to your experience and your future plan | A data centre with sponsor investments, where will this show up on three statements | Raise Contruction loan, where will this show up on three statements</x:v>
      </x:c>
    </x:row>
    <x:row r="777" ht="68" customHeight="1">
      <x:c r="A777" s="30" t="str">
        <x:v>QB1226</x:v>
      </x:c>
      <x:c r="B777" s="30" t="str">
        <x:v>GS DCMECM</x:v>
      </x:c>
      <x:c r="C777" s="30" t="str">
        <x:v>IBD / GCM</x:v>
      </x:c>
      <x:c r="D777" s="31" t="str">
        <x:v>Given the current market is expecting a rate cut cycle, how would you advise someone to refinance now</x:v>
      </x:c>
      <x:c r="E777" s="31" t="str">
        <x:v>Given the current market is expecting a rate cut cycle, how would you advise someone to refinance now</x:v>
      </x:c>
      <x:c r="F777" s="31" t="str">
        <x:v>Accounting &amp; Financial Statements</x:v>
      </x:c>
      <x:c r="G777" s="30" t="str">
        <x:v>CL0355</x:v>
      </x:c>
      <x:c r="H777" s="32" t="n">
        <x:f>COUNTIF($G$5:$G$1725,G777)</x:f>
        <x:v>1</x:v>
      </x:c>
      <x:c r="I777" s="30" t="str">
        <x:v>A43</x:v>
      </x:c>
      <x:c r="J777" s="31" t="str">
        <x:v>Raise Contruction loan, where will this show up on three statements | After 1 year, how will the three statements be affected | Assuming the data centre is pre-revenue with no contracts yet, what other changes can you think of</x:v>
      </x:c>
    </x:row>
    <x:row r="778" ht="48" customHeight="1">
      <x:c r="A778" s="30" t="str">
        <x:v>QB1232</x:v>
      </x:c>
      <x:c r="B778" s="30" t="str">
        <x:v>GS DCMECM</x:v>
      </x:c>
      <x:c r="C778" s="30" t="str">
        <x:v>IBD / GCM</x:v>
      </x:c>
      <x:c r="D778" s="31" t="str">
        <x:v>Self Intro</x:v>
      </x:c>
      <x:c r="E778" s="31" t="str">
        <x:v>Tell me about yourself / walk me through your resume</x:v>
      </x:c>
      <x:c r="F778" s="31" t="str">
        <x:v>Resume &amp; Experience</x:v>
      </x:c>
      <x:c r="G778" s="30" t="str">
        <x:v>CL0001</x:v>
      </x:c>
      <x:c r="H778" s="32" t="n">
        <x:f>COUNTIF($G$5:$G$1725,G778)</x:f>
        <x:v>170</x:v>
      </x:c>
      <x:c r="I778" s="30" t="str">
        <x:v>B48</x:v>
      </x:c>
      <x:c r="J778" s="31" t="str">
        <x:v>50x P/E firm issues new share to acquire 20x P/E, accretive or dilutive | Questions for him | 5 Allison</x:v>
      </x:c>
    </x:row>
    <x:row r="779" ht="32" customHeight="1">
      <x:c r="A779" s="30" t="str">
        <x:v>QB1233</x:v>
      </x:c>
      <x:c r="B779" s="30" t="str">
        <x:v>GS DCMECM</x:v>
      </x:c>
      <x:c r="C779" s="30" t="str">
        <x:v>IBD / GCM</x:v>
      </x:c>
      <x:c r="D779" s="31" t="str">
        <x:v>I do Law as well?</x:v>
      </x:c>
      <x:c r="E779" s="31" t="str">
        <x:v>I do Law as well</x:v>
      </x:c>
      <x:c r="F779" s="31" t="str">
        <x:v>Other Question</x:v>
      </x:c>
      <x:c r="G779" s="30" t="str">
        <x:v>CL0504</x:v>
      </x:c>
      <x:c r="H779" s="32" t="n">
        <x:f>COUNTIF($G$5:$G$1725,G779)</x:f>
        <x:v>1</x:v>
      </x:c>
      <x:c r="I779" s="30" t="str">
        <x:v>B49</x:v>
      </x:c>
      <x:c r="J779" s="31" t="str">
        <x:v>Questions for him | 5 Allison | Self Intro</x:v>
      </x:c>
    </x:row>
    <x:row r="780" ht="48" customHeight="1">
      <x:c r="A780" s="30" t="str">
        <x:v>QB1236</x:v>
      </x:c>
      <x:c r="B780" s="30" t="str">
        <x:v>GS DCMECM</x:v>
      </x:c>
      <x:c r="C780" s="30" t="str">
        <x:v>IBD / GCM</x:v>
      </x:c>
      <x:c r="D780" s="31" t="str">
        <x:v>Walk through a project at Nomura</x:v>
      </x:c>
      <x:c r="E780" s="31" t="str">
        <x:v>Walk through a project at Nomura</x:v>
      </x:c>
      <x:c r="F780" s="31" t="str">
        <x:v>Other Question</x:v>
      </x:c>
      <x:c r="G780" s="30" t="str">
        <x:v>CL0846</x:v>
      </x:c>
      <x:c r="H780" s="32" t="n">
        <x:f>COUNTIF($G$5:$G$1725,G780)</x:f>
        <x:v>1</x:v>
      </x:c>
      <x:c r="I780" s="30" t="str">
        <x:v>B52</x:v>
      </x:c>
      <x:c r="J780" s="31" t="str">
        <x:v>I do Law as well? | My personality and communication style | Feedback got at Nomura, any area of improvement</x:v>
      </x:c>
    </x:row>
    <x:row r="781" ht="48" customHeight="1">
      <x:c r="A781" s="30" t="str">
        <x:v>QB1237</x:v>
      </x:c>
      <x:c r="B781" s="30" t="str">
        <x:v>GS DCMECM</x:v>
      </x:c>
      <x:c r="C781" s="30" t="str">
        <x:v>IBD / GCM</x:v>
      </x:c>
      <x:c r="D781" s="31" t="str">
        <x:v>What is CGPA, my GPA for finance and Law</x:v>
      </x:c>
      <x:c r="E781" s="31" t="str">
        <x:v>What is CGPA, my GPA for finance and Law</x:v>
      </x:c>
      <x:c r="F781" s="31" t="str">
        <x:v>Accounting &amp; Financial Statements</x:v>
      </x:c>
      <x:c r="G781" s="30" t="str">
        <x:v>CL0965</x:v>
      </x:c>
      <x:c r="H781" s="32" t="n">
        <x:f>COUNTIF($G$5:$G$1725,G781)</x:f>
        <x:v>1</x:v>
      </x:c>
      <x:c r="I781" s="30" t="str">
        <x:v>B53</x:v>
      </x:c>
      <x:c r="J781" s="31" t="str">
        <x:v>My personality and communication style | Feedback got at Nomura, any area of improvement | Walk through a project at Nomura</x:v>
      </x:c>
    </x:row>
    <x:row r="782" ht="48" customHeight="1">
      <x:c r="A782" s="30" t="str">
        <x:v>QB1239</x:v>
      </x:c>
      <x:c r="B782" s="30" t="str">
        <x:v>GS DCMECM</x:v>
      </x:c>
      <x:c r="C782" s="30" t="str">
        <x:v>IBD / GCM</x:v>
      </x:c>
      <x:c r="D782" s="31" t="str">
        <x:v>Walk through the case com</x:v>
      </x:c>
      <x:c r="E782" s="31" t="str">
        <x:v>Walk through the case com</x:v>
      </x:c>
      <x:c r="F782" s="31" t="str">
        <x:v>Other Question</x:v>
      </x:c>
      <x:c r="G782" s="30" t="str">
        <x:v>CL0852</x:v>
      </x:c>
      <x:c r="H782" s="32" t="n">
        <x:f>COUNTIF($G$5:$G$1725,G782)</x:f>
        <x:v>1</x:v>
      </x:c>
      <x:c r="I782" s="30" t="str">
        <x:v>B55</x:v>
      </x:c>
      <x:c r="J782" s="31" t="str">
        <x:v>Walk through a project at Nomura | What is CGPA, my GPA for finance and Law | Skills I got in previous internships that can help me with this position</x:v>
      </x:c>
    </x:row>
    <x:row r="783" ht="32" customHeight="1">
      <x:c r="A783" s="30" t="str">
        <x:v>QB1249</x:v>
      </x:c>
      <x:c r="B783" s="30" t="str">
        <x:v>Bofa IBD</x:v>
      </x:c>
      <x:c r="C783" s="30" t="str">
        <x:v>IBD / GCM</x:v>
      </x:c>
      <x:c r="D783" s="31" t="str">
        <x:v>Self intro, why ibd, why bofa</x:v>
      </x:c>
      <x:c r="E783" s="31" t="str">
        <x:v>Tell me about yourself / walk me through your resume</x:v>
      </x:c>
      <x:c r="F783" s="31" t="str">
        <x:v>Fit &amp; Motivation</x:v>
      </x:c>
      <x:c r="G783" s="30" t="str">
        <x:v>CL0001</x:v>
      </x:c>
      <x:c r="H783" s="32" t="n">
        <x:f>COUNTIF($G$5:$G$1725,G783)</x:f>
        <x:v>170</x:v>
      </x:c>
      <x:c r="I783" s="30" t="str">
        <x:v>A4</x:v>
      </x:c>
      <x:c r="J783" s="31" t="str">
        <x:v>2024 SA | First Round Emily | Emily 1st interviewer Suzie</x:v>
      </x:c>
    </x:row>
    <x:row r="784" ht="48" customHeight="1">
      <x:c r="A784" s="30" t="str">
        <x:v>QB1253</x:v>
      </x:c>
      <x:c r="B784" s="30" t="str">
        <x:v>Bofa IBD</x:v>
      </x:c>
      <x:c r="C784" s="30" t="str">
        <x:v>IBD / GCM</x:v>
      </x:c>
      <x:c r="D784" s="31" t="str">
        <x:v>Tell me about an industry, industry trends, key deals in the industry and trends in dealmaking</x:v>
      </x:c>
      <x:c r="E784" s="31" t="str">
        <x:v>Tell me about an industry, industry trends, key deals in the industry and trends in dealmaking</x:v>
      </x:c>
      <x:c r="F784" s="31" t="str">
        <x:v>Company, Industry &amp; Deals</x:v>
      </x:c>
      <x:c r="G784" s="30" t="str">
        <x:v>CL0735</x:v>
      </x:c>
      <x:c r="H784" s="32" t="n">
        <x:f>COUNTIF($G$5:$G$1725,G784)</x:f>
        <x:v>1</x:v>
      </x:c>
      <x:c r="I784" s="30" t="str">
        <x:v>A5</x:v>
      </x:c>
      <x:c r="J784" s="31" t="str">
        <x:v>First Round Emily | Emily 1st interviewer Suzie | Self intro, why ibd, why bofa</x:v>
      </x:c>
    </x:row>
    <x:row r="785" ht="32" customHeight="1">
      <x:c r="A785" s="30" t="str">
        <x:v>QB1254</x:v>
      </x:c>
      <x:c r="B785" s="30" t="str">
        <x:v>Bofa IBD</x:v>
      </x:c>
      <x:c r="C785" s="30" t="str">
        <x:v>IBD / GCM</x:v>
      </x:c>
      <x:c r="D785" s="31" t="str">
        <x:v>Tell me about yourself</x:v>
      </x:c>
      <x:c r="E785" s="31" t="str">
        <x:v>Tell me about yourself / walk me through your resume</x:v>
      </x:c>
      <x:c r="F785" s="31" t="str">
        <x:v>Other Question</x:v>
      </x:c>
      <x:c r="G785" s="30" t="str">
        <x:v>CL0001</x:v>
      </x:c>
      <x:c r="H785" s="32" t="n">
        <x:f>COUNTIF($G$5:$G$1725,G785)</x:f>
        <x:v>170</x:v>
      </x:c>
      <x:c r="I785" s="30" t="str">
        <x:v>C5</x:v>
      </x:c>
      <x:c r="J785" s="31" t="str">
        <x:v>1st Round Regan | 12 April Yu</x:v>
      </x:c>
    </x:row>
    <x:row r="786" ht="32" customHeight="1">
      <x:c r="A786" s="30" t="str">
        <x:v>QB1255</x:v>
      </x:c>
      <x:c r="B786" s="30" t="str">
        <x:v>Bofa IBD</x:v>
      </x:c>
      <x:c r="C786" s="30" t="str">
        <x:v>IBD / GCM</x:v>
      </x:c>
      <x:c r="D786" s="31" t="str">
        <x:v>2why ibd considering your bg in pe consulting and dcm?</x:v>
      </x:c>
      <x:c r="E786" s="31" t="str">
        <x:v>Why investment banking?</x:v>
      </x:c>
      <x:c r="F786" s="31" t="str">
        <x:v>Fit &amp; Motivation</x:v>
      </x:c>
      <x:c r="G786" s="30" t="str">
        <x:v>CL0003</x:v>
      </x:c>
      <x:c r="H786" s="32" t="n">
        <x:f>COUNTIF($G$5:$G$1725,G786)</x:f>
        <x:v>34</x:v>
      </x:c>
      <x:c r="I786" s="30" t="str">
        <x:v>E5</x:v>
      </x:c>
      <x:c r="J786" s="31" t="str">
        <x:v>24 Alan 1st round | 1self intro</x:v>
      </x:c>
    </x:row>
    <x:row r="787" ht="92" customHeight="1">
      <x:c r="A787" s="30" t="str">
        <x:v>QB1256</x:v>
      </x:c>
      <x:c r="B787" s="30" t="str">
        <x:v>Bofa IBD</x:v>
      </x:c>
      <x:c r="C787" s="30" t="str">
        <x:v>IBD / GCM</x:v>
      </x:c>
      <x:c r="D787" s="31" t="str">
        <x:v>Have I done model? Have I taken corporate finance and accounting?</x:v>
      </x:c>
      <x:c r="E787" s="31" t="str">
        <x:v>Have I done model? Have I taken corporate finance and accounting</x:v>
      </x:c>
      <x:c r="F787" s="31" t="str">
        <x:v>Accounting &amp; Financial Statements</x:v>
      </x:c>
      <x:c r="G787" s="30" t="str">
        <x:v>CL0360</x:v>
      </x:c>
      <x:c r="H787" s="32" t="n">
        <x:f>COUNTIF($G$5:$G$1725,G787)</x:f>
        <x:v>1</x:v>
      </x:c>
      <x:c r="I787" s="30" t="str">
        <x:v>G5</x:v>
      </x:c>
      <x:c r="J787" s="31" t="str">
        <x:v>25 2nd Round Emily with Jack Cho | (general feeling: He probably doens't like me because I ask dumb questions but not personal ones he seems to want to be more chill......) | Told me to talk for 5 mins on: short term and long term career...</x:v>
      </x:c>
    </x:row>
    <x:row r="788" ht="48" customHeight="1">
      <x:c r="A788" s="30" t="str">
        <x:v>QB1257</x:v>
      </x:c>
      <x:c r="B788" s="30" t="str">
        <x:v>Bofa IBD</x:v>
      </x:c>
      <x:c r="C788" s="30" t="str">
        <x:v>IBD / GCM</x:v>
      </x:c>
      <x:c r="D788" s="31" t="str">
        <x:v>(I said I only know 1 deal so she changed to all technical)</x:v>
      </x:c>
      <x:c r="E788" s="31" t="str">
        <x:v>(I said I only know 1 deal so she changed to all technical)</x:v>
      </x:c>
      <x:c r="F788" s="31" t="str">
        <x:v>Company, Industry &amp; Deals</x:v>
      </x:c>
      <x:c r="G788" s="30" t="str">
        <x:v>CL0058</x:v>
      </x:c>
      <x:c r="H788" s="32" t="n">
        <x:f>COUNTIF($G$5:$G$1725,G788)</x:f>
        <x:v>1</x:v>
      </x:c>
      <x:c r="I788" s="30" t="str">
        <x:v>A6</x:v>
      </x:c>
      <x:c r="J788" s="31" t="str">
        <x:v>Emily 1st interviewer Suzie | Self intro, why ibd, why bofa | Tell me about an industry, industry trends, key deals in the industry and trends in dealmaking</x:v>
      </x:c>
    </x:row>
    <x:row r="789" ht="32" customHeight="1">
      <x:c r="A789" s="30" t="str">
        <x:v>QB1258</x:v>
      </x:c>
      <x:c r="B789" s="30" t="str">
        <x:v>Bofa IBD</x:v>
      </x:c>
      <x:c r="C789" s="30" t="str">
        <x:v>IBD / GCM</x:v>
      </x:c>
      <x:c r="D789" s="31" t="str">
        <x:v>Give me a broad overview of your cv</x:v>
      </x:c>
      <x:c r="E789" s="31" t="str">
        <x:v>Tell me about yourself / walk me through your resume</x:v>
      </x:c>
      <x:c r="F789" s="31" t="str">
        <x:v>Resume &amp; Experience</x:v>
      </x:c>
      <x:c r="G789" s="30" t="str">
        <x:v>CL0001</x:v>
      </x:c>
      <x:c r="H789" s="32" t="n">
        <x:f>COUNTIF($G$5:$G$1725,G789)</x:f>
        <x:v>170</x:v>
      </x:c>
      <x:c r="I789" s="30" t="str">
        <x:v>C6</x:v>
      </x:c>
      <x:c r="J789" s="31" t="str">
        <x:v>1st Round Regan | 12 April Yu | Tell me about yourself</x:v>
      </x:c>
    </x:row>
    <x:row r="790" ht="32" customHeight="1">
      <x:c r="A790" s="30" t="str">
        <x:v>QB1259</x:v>
      </x:c>
      <x:c r="B790" s="30" t="str">
        <x:v>Bofa IBD</x:v>
      </x:c>
      <x:c r="C790" s="30" t="str">
        <x:v>IBD / GCM</x:v>
      </x:c>
      <x:c r="D790" s="31" t="str">
        <x:v>3any preference sector for choosing to work? (i said industrials)</x:v>
      </x:c>
      <x:c r="E790" s="31" t="str">
        <x:v>3any preference sector for choosing to work? (i said industrials)</x:v>
      </x:c>
      <x:c r="F790" s="31" t="str">
        <x:v>Company, Industry &amp; Deals</x:v>
      </x:c>
      <x:c r="G790" s="30" t="str">
        <x:v>CL0078</x:v>
      </x:c>
      <x:c r="H790" s="32" t="n">
        <x:f>COUNTIF($G$5:$G$1725,G790)</x:f>
        <x:v>1</x:v>
      </x:c>
      <x:c r="I790" s="30" t="str">
        <x:v>E6</x:v>
      </x:c>
      <x:c r="J790" s="31" t="str">
        <x:v>24 Alan 1st round | 1self intro | 2why ibd considering your bg in pe consulting and dcm?</x:v>
      </x:c>
    </x:row>
    <x:row r="791" ht="92" customHeight="1">
      <x:c r="A791" s="30" t="str">
        <x:v>QB1260</x:v>
      </x:c>
      <x:c r="B791" s="30" t="str">
        <x:v>Bofa IBD</x:v>
      </x:c>
      <x:c r="C791" s="30" t="str">
        <x:v>IBD / GCM</x:v>
      </x:c>
      <x:c r="D791" s="31" t="str">
        <x:v>If I sent you a model done by others and there are a lot of errors, probably because of circular referencing, where would you start checking and how would you make amendments for it?</x:v>
      </x:c>
      <x:c r="E791" s="31" t="str">
        <x:v>If I sent you a model done by others and there are a lot of errors, probably because of circular referencing, where would you start checking and how would you make amendments for it</x:v>
      </x:c>
      <x:c r="F791" s="31" t="str">
        <x:v>Other Technical</x:v>
      </x:c>
      <x:c r="G791" s="30" t="str">
        <x:v>CL0515</x:v>
      </x:c>
      <x:c r="H791" s="32" t="n">
        <x:f>COUNTIF($G$5:$G$1725,G791)</x:f>
        <x:v>1</x:v>
      </x:c>
      <x:c r="I791" s="30" t="str">
        <x:v>G6</x:v>
      </x:c>
      <x:c r="J791" s="31" t="str">
        <x:v>(general feeling: He probably doens't like me because I ask dumb questions but not personal ones he seems to want to be more chill......) | Told me to talk for 5 mins on: short term and long term career goal, what are my major strengths ...</x:v>
      </x:c>
    </x:row>
    <x:row r="792" ht="68" customHeight="1">
      <x:c r="A792" s="30" t="str">
        <x:v>QB1261</x:v>
      </x:c>
      <x:c r="B792" s="30" t="str">
        <x:v>Bofa IBD</x:v>
      </x:c>
      <x:c r="C792" s="30" t="str">
        <x:v>IBD / GCM</x:v>
      </x:c>
      <x:c r="D792" s="31" t="str">
        <x:v>What’s net working capital</x:v>
      </x:c>
      <x:c r="E792" s="31" t="str">
        <x:v>What’s net working capital</x:v>
      </x:c>
      <x:c r="F792" s="31" t="str">
        <x:v>Accounting &amp; Financial Statements</x:v>
      </x:c>
      <x:c r="G792" s="30" t="str">
        <x:v>CL1046</x:v>
      </x:c>
      <x:c r="H792" s="32" t="n">
        <x:f>COUNTIF($G$5:$G$1725,G792)</x:f>
        <x:v>1</x:v>
      </x:c>
      <x:c r="I792" s="30" t="str">
        <x:v>A7</x:v>
      </x:c>
      <x:c r="J792" s="31" t="str">
        <x:v>Self intro, why ibd, why bofa | Tell me about an industry, industry trends, key deals in the industry and trends in dealmaking | (I said I only know 1 deal so she changed to all technical)</x:v>
      </x:c>
    </x:row>
    <x:row r="793" ht="32" customHeight="1">
      <x:c r="A793" s="30" t="str">
        <x:v>QB1262</x:v>
      </x:c>
      <x:c r="B793" s="30" t="str">
        <x:v>Bofa IBD</x:v>
      </x:c>
      <x:c r="C793" s="30" t="str">
        <x:v>IBD / GCM</x:v>
      </x:c>
      <x:c r="D793" s="31" t="str">
        <x:v>Why ibd not capital markets</x:v>
      </x:c>
      <x:c r="E793" s="31" t="str">
        <x:v>Why investment banking?</x:v>
      </x:c>
      <x:c r="F793" s="31" t="str">
        <x:v>Fit &amp; Motivation</x:v>
      </x:c>
      <x:c r="G793" s="30" t="str">
        <x:v>CL0003</x:v>
      </x:c>
      <x:c r="H793" s="32" t="n">
        <x:f>COUNTIF($G$5:$G$1725,G793)</x:f>
        <x:v>34</x:v>
      </x:c>
      <x:c r="I793" s="30" t="str">
        <x:v>C7</x:v>
      </x:c>
      <x:c r="J793" s="31" t="str">
        <x:v>12 April Yu | Tell me about yourself | Give me a broad overview of your cv</x:v>
      </x:c>
    </x:row>
    <x:row r="794" ht="68" customHeight="1">
      <x:c r="A794" s="30" t="str">
        <x:v>QB1263</x:v>
      </x:c>
      <x:c r="B794" s="30" t="str">
        <x:v>Bofa IBD</x:v>
      </x:c>
      <x:c r="C794" s="30" t="str">
        <x:v>IBD / GCM</x:v>
      </x:c>
      <x:c r="D794" s="31" t="str">
        <x:v>4any experience in electronic vehicles(get exposed to some, but could share another rragrding different industry in my internship, but she said not really interested😂)</x:v>
      </x:c>
      <x:c r="E794" s="31" t="str">
        <x:v>4any experience in electronic vehicles(get exposed to some, but could share another rragrding different industry in my internship, but she said not really interested😂)</x:v>
      </x:c>
      <x:c r="F794" s="31" t="str">
        <x:v>Resume &amp; Experience</x:v>
      </x:c>
      <x:c r="G794" s="30" t="str">
        <x:v>CL0080</x:v>
      </x:c>
      <x:c r="H794" s="32" t="n">
        <x:f>COUNTIF($G$5:$G$1725,G794)</x:f>
        <x:v>1</x:v>
      </x:c>
      <x:c r="I794" s="30" t="str">
        <x:v>E7</x:v>
      </x:c>
      <x:c r="J794" s="31" t="str">
        <x:v>1self intro | 2why ibd considering your bg in pe consulting and dcm? | 3any preference sector for choosing to work? (i said industrials)</x:v>
      </x:c>
    </x:row>
    <x:row r="795" ht="118" customHeight="1">
      <x:c r="A795" s="30" t="str">
        <x:v>QB1264</x:v>
      </x:c>
      <x:c r="B795" s="30" t="str">
        <x:v>Bofa IBD</x:v>
      </x:c>
      <x:c r="C795" s="30" t="str">
        <x:v>IBD / GCM</x:v>
      </x:c>
      <x:c r="D795" s="31" t="str">
        <x:v>Terminal growth value use what number for a Chinese company? (I said GDP, he said it's too high), and asked what is terminal value and what's the purpose of it?</x:v>
      </x:c>
      <x:c r="E795" s="31" t="str">
        <x:v>Terminal growth value use what number for a Chinese company? (I said GDP, he said it's too high), and asked what is terminal value and what's the purpose of it</x:v>
      </x:c>
      <x:c r="F795" s="31" t="str">
        <x:v>Accounting &amp; Financial Statements</x:v>
      </x:c>
      <x:c r="G795" s="30" t="str">
        <x:v>CL0779</x:v>
      </x:c>
      <x:c r="H795" s="32" t="n">
        <x:f>COUNTIF($G$5:$G$1725,G795)</x:f>
        <x:v>1</x:v>
      </x:c>
      <x:c r="I795" s="30" t="str">
        <x:v>G7</x:v>
      </x:c>
      <x:c r="J795" s="31" t="str">
        <x:v>Told me to talk for 5 mins on: short term and long term career goal, what are my major strengths and how I can stand out from other candidates | Have I done model? Have I taken corporate finance and accounting? | If I sent you a model do...</x:v>
      </x:c>
    </x:row>
    <x:row r="796" ht="32" customHeight="1">
      <x:c r="A796" s="30" t="str">
        <x:v>QB1266</x:v>
      </x:c>
      <x:c r="B796" s="30" t="str">
        <x:v>Bofa IBD</x:v>
      </x:c>
      <x:c r="C796" s="30" t="str">
        <x:v>IBD / GCM</x:v>
      </x:c>
      <x:c r="D796" s="31" t="str">
        <x:v>Why ibd not pe</x:v>
      </x:c>
      <x:c r="E796" s="31" t="str">
        <x:v>Why investment banking?</x:v>
      </x:c>
      <x:c r="F796" s="31" t="str">
        <x:v>Fit &amp; Motivation</x:v>
      </x:c>
      <x:c r="G796" s="30" t="str">
        <x:v>CL0003</x:v>
      </x:c>
      <x:c r="H796" s="32" t="n">
        <x:f>COUNTIF($G$5:$G$1725,G796)</x:f>
        <x:v>34</x:v>
      </x:c>
      <x:c r="I796" s="30" t="str">
        <x:v>C8</x:v>
      </x:c>
      <x:c r="J796" s="31" t="str">
        <x:v>Tell me about yourself | Give me a broad overview of your cv | Why ibd not capital markets</x:v>
      </x:c>
    </x:row>
    <x:row r="797" ht="92" customHeight="1">
      <x:c r="A797" s="30" t="str">
        <x:v>QB1267</x:v>
      </x:c>
      <x:c r="B797" s="30" t="str">
        <x:v>Bofa IBD</x:v>
      </x:c>
      <x:c r="C797" s="30" t="str">
        <x:v>IBD / GCM</x:v>
      </x:c>
      <x:c r="D797" s="31" t="str">
        <x:v>5for bain, any research in tmt? (yes), tell me about the semiconductor</x:v>
      </x:c>
      <x:c r="E797" s="31" t="str">
        <x:v>5for bain, any research in tmt? (yes), tell me about the semiconductor</x:v>
      </x:c>
      <x:c r="F797" s="31" t="str">
        <x:v>Other Question</x:v>
      </x:c>
      <x:c r="G797" s="30" t="str">
        <x:v>CL0082</x:v>
      </x:c>
      <x:c r="H797" s="32" t="n">
        <x:f>COUNTIF($G$5:$G$1725,G797)</x:f>
        <x:v>1</x:v>
      </x:c>
      <x:c r="I797" s="30" t="str">
        <x:v>E8</x:v>
      </x:c>
      <x:c r="J797" s="31" t="str">
        <x:v>2why ibd considering your bg in pe consulting and dcm? | 3any preference sector for choosing to work? (i said industrials) | 4any experience in electronic vehicles(get exposed to some, but could share another rragrding different industry...</x:v>
      </x:c>
    </x:row>
    <x:row r="798" ht="118" customHeight="1">
      <x:c r="A798" s="30" t="str">
        <x:v>QB1268</x:v>
      </x:c>
      <x:c r="B798" s="30" t="str">
        <x:v>Bofa IBD</x:v>
      </x:c>
      <x:c r="C798" s="30" t="str">
        <x:v>IBD / GCM</x:v>
      </x:c>
      <x:c r="D798" s="31" t="str">
        <x:v>When looking at the comparables from trading comps and also transaction comps, what are some considerations you should keep in mind?</x:v>
      </x:c>
      <x:c r="E798" s="31" t="str">
        <x:v>When looking at the comparables from trading comps and also transaction comps, what are some considerations you should keep in mind</x:v>
      </x:c>
      <x:c r="F798" s="31" t="str">
        <x:v>Valuation</x:v>
      </x:c>
      <x:c r="G798" s="30" t="str">
        <x:v>CL1079</x:v>
      </x:c>
      <x:c r="H798" s="32" t="n">
        <x:f>COUNTIF($G$5:$G$1725,G798)</x:f>
        <x:v>1</x:v>
      </x:c>
      <x:c r="I798" s="30" t="str">
        <x:v>G8</x:v>
      </x:c>
      <x:c r="J798" s="31" t="str">
        <x:v>Have I done model? Have I taken corporate finance and accounting? | If I sent you a model done by others and there are a lot of errors, probably because of circular referencing, where would you start checking and how would you make amend...</x:v>
      </x:c>
    </x:row>
    <x:row r="799" ht="48" customHeight="1">
      <x:c r="A799" s="30" t="str">
        <x:v>QB1269</x:v>
      </x:c>
      <x:c r="B799" s="30" t="str">
        <x:v>Bofa IBD</x:v>
      </x:c>
      <x:c r="C799" s="30" t="str">
        <x:v>IBD / GCM</x:v>
      </x:c>
      <x:c r="D799" s="31" t="str">
        <x:v>How do you account for cash in net working capital?</x:v>
      </x:c>
      <x:c r="E799" s="31" t="str">
        <x:v>How do you account for cash in net working capital</x:v>
      </x:c>
      <x:c r="F799" s="31" t="str">
        <x:v>Accounting &amp; Financial Statements</x:v>
      </x:c>
      <x:c r="G799" s="30" t="str">
        <x:v>CL0398</x:v>
      </x:c>
      <x:c r="H799" s="32" t="n">
        <x:f>COUNTIF($G$5:$G$1725,G799)</x:f>
        <x:v>1</x:v>
      </x:c>
      <x:c r="I799" s="30" t="str">
        <x:v>A9</x:v>
      </x:c>
      <x:c r="J799" s="31" t="str">
        <x:v>(I said I only know 1 deal so she changed to all technical) | What’s net working capital | Key components in net working capital</x:v>
      </x:c>
    </x:row>
    <x:row r="800" ht="32" customHeight="1">
      <x:c r="A800" s="30" t="str">
        <x:v>QB1270</x:v>
      </x:c>
      <x:c r="B800" s="30" t="str">
        <x:v>Bofa IBD</x:v>
      </x:c>
      <x:c r="C800" s="30" t="str">
        <x:v>IBD / GCM</x:v>
      </x:c>
      <x:c r="D800" s="31" t="str">
        <x:v>What is the difference between private placement and rights issue</x:v>
      </x:c>
      <x:c r="E800" s="31" t="str">
        <x:v>What is the difference between private placement and rights issue</x:v>
      </x:c>
      <x:c r="F800" s="31" t="str">
        <x:v>Accounting &amp; Financial Statements</x:v>
      </x:c>
      <x:c r="G800" s="30" t="str">
        <x:v>CL0978</x:v>
      </x:c>
      <x:c r="H800" s="32" t="n">
        <x:f>COUNTIF($G$5:$G$1725,G800)</x:f>
        <x:v>1</x:v>
      </x:c>
      <x:c r="I800" s="30" t="str">
        <x:v>C9</x:v>
      </x:c>
      <x:c r="J800" s="31" t="str">
        <x:v>Give me a broad overview of your cv | Why ibd not capital markets | Why ibd not pe</x:v>
      </x:c>
    </x:row>
    <x:row r="801" ht="92" customHeight="1">
      <x:c r="A801" s="30" t="str">
        <x:v>QB1271</x:v>
      </x:c>
      <x:c r="B801" s="30" t="str">
        <x:v>Bofa IBD</x:v>
      </x:c>
      <x:c r="C801" s="30" t="str">
        <x:v>IBD / GCM</x:v>
      </x:c>
      <x:c r="D801" s="31" t="str">
        <x:v>6any valuation job before? tell me difference between different valuation mathod, (basically pros and cons)</x:v>
      </x:c>
      <x:c r="E801" s="31" t="str">
        <x:v>6any valuation job before? tell me difference between different valuation mathod, (basically pros and cons)</x:v>
      </x:c>
      <x:c r="F801" s="31" t="str">
        <x:v>Valuation</x:v>
      </x:c>
      <x:c r="G801" s="30" t="str">
        <x:v>CL0083</x:v>
      </x:c>
      <x:c r="H801" s="32" t="n">
        <x:f>COUNTIF($G$5:$G$1725,G801)</x:f>
        <x:v>1</x:v>
      </x:c>
      <x:c r="I801" s="30" t="str">
        <x:v>E9</x:v>
      </x:c>
      <x:c r="J801" s="31" t="str">
        <x:v>3any preference sector for choosing to work? (i said industrials) | 4any experience in electronic vehicles(get exposed to some, but could share another rragrding different industry in my internship, but she said not really interested😂) ...</x:v>
      </x:c>
    </x:row>
    <x:row r="802" ht="118" customHeight="1">
      <x:c r="A802" s="30" t="str">
        <x:v>QB1272</x:v>
      </x:c>
      <x:c r="B802" s="30" t="str">
        <x:v>Bofa IBD</x:v>
      </x:c>
      <x:c r="C802" s="30" t="str">
        <x:v>IBD / GCM</x:v>
      </x:c>
      <x:c r="D802" s="31" t="str">
        <x:v>Where I grew up in, primary and secondary school, where my parents are from</x:v>
      </x:c>
      <x:c r="E802" s="31" t="str">
        <x:v>Where I grew up in, primary and secondary school, where my parents are from</x:v>
      </x:c>
      <x:c r="F802" s="31" t="str">
        <x:v>Resume &amp; Experience</x:v>
      </x:c>
      <x:c r="G802" s="30" t="str">
        <x:v>CL1088</x:v>
      </x:c>
      <x:c r="H802" s="32" t="n">
        <x:f>COUNTIF($G$5:$G$1725,G802)</x:f>
        <x:v>1</x:v>
      </x:c>
      <x:c r="I802" s="30" t="str">
        <x:v>G9</x:v>
      </x:c>
      <x:c r="J802" s="31" t="str">
        <x:v>If I sent you a model done by others and there are a lot of errors, probably because of circular referencing, where would you start checking and how would you make amendments for it? | Terminal growth value use what number for a Chinese ...</x:v>
      </x:c>
    </x:row>
    <x:row r="803" ht="48" customHeight="1">
      <x:c r="A803" s="30" t="str">
        <x:v>QB1273</x:v>
      </x:c>
      <x:c r="B803" s="30" t="str">
        <x:v>Bofa IBD</x:v>
      </x:c>
      <x:c r="C803" s="30" t="str">
        <x:v>IBD / GCM</x:v>
      </x:c>
      <x:c r="D803" s="31" t="str">
        <x:v>Would you include long term debt in net working capital and why?</x:v>
      </x:c>
      <x:c r="E803" s="31" t="str">
        <x:v>Would you include long term debt in net working capital and why</x:v>
      </x:c>
      <x:c r="F803" s="31" t="str">
        <x:v>Accounting &amp; Financial Statements</x:v>
      </x:c>
      <x:c r="G803" s="30" t="str">
        <x:v>CL1195</x:v>
      </x:c>
      <x:c r="H803" s="32" t="n">
        <x:f>COUNTIF($G$5:$G$1725,G803)</x:f>
        <x:v>1</x:v>
      </x:c>
      <x:c r="I803" s="30" t="str">
        <x:v>A10</x:v>
      </x:c>
      <x:c r="J803" s="31" t="str">
        <x:v>What’s net working capital | Key components in net working capital | How do you account for cash in net working capital?</x:v>
      </x:c>
    </x:row>
    <x:row r="804" ht="48" customHeight="1">
      <x:c r="A804" s="30" t="str">
        <x:v>QB1274</x:v>
      </x:c>
      <x:c r="B804" s="30" t="str">
        <x:v>Bofa IBD</x:v>
      </x:c>
      <x:c r="C804" s="30" t="str">
        <x:v>IBD / GCM</x:v>
      </x:c>
      <x:c r="D804" s="31" t="str">
        <x:v>Do u think u can work long hours</x:v>
      </x:c>
      <x:c r="E804" s="31" t="str">
        <x:v>Do u think u can work long hours</x:v>
      </x:c>
      <x:c r="F804" s="31" t="str">
        <x:v>Fit &amp; Motivation</x:v>
      </x:c>
      <x:c r="G804" s="30" t="str">
        <x:v>CL0264</x:v>
      </x:c>
      <x:c r="H804" s="32" t="n">
        <x:f>COUNTIF($G$5:$G$1725,G804)</x:f>
        <x:v>1</x:v>
      </x:c>
      <x:c r="I804" s="30" t="str">
        <x:v>C10</x:v>
      </x:c>
      <x:c r="J804" s="31" t="str">
        <x:v>Why ibd not capital markets | Why ibd not pe | What is the difference between private placement and rights issue</x:v>
      </x:c>
    </x:row>
    <x:row r="805" ht="92" customHeight="1">
      <x:c r="A805" s="30" t="str">
        <x:v>QB1275</x:v>
      </x:c>
      <x:c r="B805" s="30" t="str">
        <x:v>Bofa IBD</x:v>
      </x:c>
      <x:c r="C805" s="30" t="str">
        <x:v>IBD / GCM</x:v>
      </x:c>
      <x:c r="D805" s="31" t="str">
        <x:v>7how 3 statement changed if there will be minority interest?</x:v>
      </x:c>
      <x:c r="E805" s="31" t="str">
        <x:v>7how 3 statement changed if there will be minority interest</x:v>
      </x:c>
      <x:c r="F805" s="31" t="str">
        <x:v>Accounting &amp; Financial Statements</x:v>
      </x:c>
      <x:c r="G805" s="30" t="str">
        <x:v>CL0084</x:v>
      </x:c>
      <x:c r="H805" s="32" t="n">
        <x:f>COUNTIF($G$5:$G$1725,G805)</x:f>
        <x:v>1</x:v>
      </x:c>
      <x:c r="I805" s="30" t="str">
        <x:v>E10</x:v>
      </x:c>
      <x:c r="J805" s="31" t="str">
        <x:v>4any experience in electronic vehicles(get exposed to some, but could share another rragrding different industry in my internship, but she said not really interested😂) | 5for bain, any research in tmt? (yes), tell me about the semicondu...</x:v>
      </x:c>
    </x:row>
    <x:row r="806" ht="48" customHeight="1">
      <x:c r="A806" s="30" t="str">
        <x:v>QB1277</x:v>
      </x:c>
      <x:c r="B806" s="30" t="str">
        <x:v>Bofa IBD</x:v>
      </x:c>
      <x:c r="C806" s="30" t="str">
        <x:v>IBD / GCM</x:v>
      </x:c>
      <x:c r="D806" s="31" t="str">
        <x:v>How do you account for equity investment in net working capital?</x:v>
      </x:c>
      <x:c r="E806" s="31" t="str">
        <x:v>How do you account for equity investment in net working capital</x:v>
      </x:c>
      <x:c r="F806" s="31" t="str">
        <x:v>Accounting &amp; Financial Statements</x:v>
      </x:c>
      <x:c r="G806" s="30" t="str">
        <x:v>CL0399</x:v>
      </x:c>
      <x:c r="H806" s="32" t="n">
        <x:f>COUNTIF($G$5:$G$1725,G806)</x:f>
        <x:v>1</x:v>
      </x:c>
      <x:c r="I806" s="30" t="str">
        <x:v>A11</x:v>
      </x:c>
      <x:c r="J806" s="31" t="str">
        <x:v>Key components in net working capital | How do you account for cash in net working capital? | Would you include long term debt in net working capital and why?</x:v>
      </x:c>
    </x:row>
    <x:row r="807" ht="48" customHeight="1">
      <x:c r="A807" s="30" t="str">
        <x:v>QB1278</x:v>
      </x:c>
      <x:c r="B807" s="30" t="str">
        <x:v>Bofa IBD</x:v>
      </x:c>
      <x:c r="C807" s="30" t="str">
        <x:v>IBD / GCM</x:v>
      </x:c>
      <x:c r="D807" s="31" t="str">
        <x:v>3 statement year 1 start 100M loan buy fixed asset; year 1 end 10M repayment, 5% interest, 10 year straight line depreciation, 30% tax rate</x:v>
      </x:c>
      <x:c r="E807" s="31" t="str">
        <x:v>3 statement year 1 start 100M loan buy fixed asset; year 1 end 10M repayment, 5% interest, 10 year straight line depreciation, 30% tax rate</x:v>
      </x:c>
      <x:c r="F807" s="31" t="str">
        <x:v>Accounting &amp; Financial Statements</x:v>
      </x:c>
      <x:c r="G807" s="30" t="str">
        <x:v>CL0077</x:v>
      </x:c>
      <x:c r="H807" s="32" t="n">
        <x:f>COUNTIF($G$5:$G$1725,G807)</x:f>
        <x:v>1</x:v>
      </x:c>
      <x:c r="I807" s="30" t="str">
        <x:v>C11</x:v>
      </x:c>
      <x:c r="J807" s="31" t="str">
        <x:v>Why ibd not pe | What is the difference between private placement and rights issue | Do u think u can work long hours</x:v>
      </x:c>
    </x:row>
    <x:row r="808" ht="68" customHeight="1">
      <x:c r="A808" s="30" t="str">
        <x:v>QB1279</x:v>
      </x:c>
      <x:c r="B808" s="30" t="str">
        <x:v>Bofa IBD</x:v>
      </x:c>
      <x:c r="C808" s="30" t="str">
        <x:v>IBD / GCM</x:v>
      </x:c>
      <x:c r="D808" s="31" t="str">
        <x:v>8 ev question, can equity value be negative? difference between book value and market value for equity value?</x:v>
      </x:c>
      <x:c r="E808" s="31" t="str">
        <x:v>8 ev question, can equity value be negative? difference between book value and market value for equity value</x:v>
      </x:c>
      <x:c r="F808" s="31" t="str">
        <x:v>Valuation</x:v>
      </x:c>
      <x:c r="G808" s="30" t="str">
        <x:v>CL0085</x:v>
      </x:c>
      <x:c r="H808" s="32" t="n">
        <x:f>COUNTIF($G$5:$G$1725,G808)</x:f>
        <x:v>1</x:v>
      </x:c>
      <x:c r="I808" s="30" t="str">
        <x:v>E11</x:v>
      </x:c>
      <x:c r="J808" s="31" t="str">
        <x:v>5for bain, any research in tmt? (yes), tell me about the semiconductor | 6any valuation job before? tell me difference between different valuation mathod, (basically pros and cons) | 7how 3 statement changed if there will be minority int...</x:v>
      </x:c>
    </x:row>
    <x:row r="809" ht="68" customHeight="1">
      <x:c r="A809" s="30" t="str">
        <x:v>QB1280</x:v>
      </x:c>
      <x:c r="B809" s="30" t="str">
        <x:v>Bofa IBD</x:v>
      </x:c>
      <x:c r="C809" s="30" t="str">
        <x:v>IBD / GCM</x:v>
      </x:c>
      <x:c r="D809" s="31" t="str">
        <x:v>What’s deferred expense</x:v>
      </x:c>
      <x:c r="E809" s="31" t="str">
        <x:v>What’s deferred expense</x:v>
      </x:c>
      <x:c r="F809" s="31" t="str">
        <x:v>Other Question</x:v>
      </x:c>
      <x:c r="G809" s="30" t="str">
        <x:v>CL1044</x:v>
      </x:c>
      <x:c r="H809" s="32" t="n">
        <x:f>COUNTIF($G$5:$G$1725,G809)</x:f>
        <x:v>1</x:v>
      </x:c>
      <x:c r="I809" s="30" t="str">
        <x:v>A12</x:v>
      </x:c>
      <x:c r="J809" s="31" t="str">
        <x:v>How do you account for cash in net working capital? | Would you include long term debt in net working capital and why? | How do you account for equity investment in net working capital?</x:v>
      </x:c>
    </x:row>
    <x:row r="810" ht="92" customHeight="1">
      <x:c r="A810" s="30" t="str">
        <x:v>QB1281</x:v>
      </x:c>
      <x:c r="B810" s="30" t="str">
        <x:v>Bofa IBD</x:v>
      </x:c>
      <x:c r="C810" s="30" t="str">
        <x:v>IBD / GCM</x:v>
      </x:c>
      <x:c r="D810" s="31" t="str">
        <x:v>8 jsa question, team 1 gave u a job, needa finish 12am. when working till 9pm, team b md gave you another project to do. also needa finish 12am. what would you do?</x:v>
      </x:c>
      <x:c r="E810" s="31" t="str">
        <x:v>8 jsa question, team 1 gave u a job, needa finish 12am. when working till 9pm, team b md gave you another project to do. also needa finish 12am. what would you do</x:v>
      </x:c>
      <x:c r="F810" s="31" t="str">
        <x:v>Behavioral &amp; Situational</x:v>
      </x:c>
      <x:c r="G810" s="30" t="str">
        <x:v>CL0087</x:v>
      </x:c>
      <x:c r="H810" s="32" t="n">
        <x:f>COUNTIF($G$5:$G$1725,G810)</x:f>
        <x:v>1</x:v>
      </x:c>
      <x:c r="I810" s="30" t="str">
        <x:v>E12</x:v>
      </x:c>
      <x:c r="J810" s="31" t="str">
        <x:v>6any valuation job before? tell me difference between different valuation mathod, (basically pros and cons) | 7how 3 statement changed if there will be minority interest? | 8 ev question, can equity value be negative? difference between ...</x:v>
      </x:c>
    </x:row>
    <x:row r="811" ht="48" customHeight="1">
      <x:c r="A811" s="30" t="str">
        <x:v>QB1282</x:v>
      </x:c>
      <x:c r="B811" s="30" t="str">
        <x:v>Bofa IBD</x:v>
      </x:c>
      <x:c r="C811" s="30" t="str">
        <x:v>IBD / GCM</x:v>
      </x:c>
      <x:c r="D811" s="31" t="str">
        <x:v>What’s deferred revenue</x:v>
      </x:c>
      <x:c r="E811" s="31" t="str">
        <x:v>What’s deferred revenue</x:v>
      </x:c>
      <x:c r="F811" s="31" t="str">
        <x:v>Company, Industry &amp; Deals</x:v>
      </x:c>
      <x:c r="G811" s="30" t="str">
        <x:v>CL1045</x:v>
      </x:c>
      <x:c r="H811" s="32" t="n">
        <x:f>COUNTIF($G$5:$G$1725,G811)</x:f>
        <x:v>1</x:v>
      </x:c>
      <x:c r="I811" s="30" t="str">
        <x:v>A13</x:v>
      </x:c>
      <x:c r="J811" s="31" t="str">
        <x:v>Would you include long term debt in net working capital and why? | How do you account for equity investment in net working capital? | What’s deferred expense</x:v>
      </x:c>
    </x:row>
    <x:row r="812" ht="48" customHeight="1">
      <x:c r="A812" s="30" t="str">
        <x:v>QB1284</x:v>
      </x:c>
      <x:c r="B812" s="30" t="str">
        <x:v>Bofa IBD</x:v>
      </x:c>
      <x:c r="C812" s="30" t="str">
        <x:v>IBD / GCM</x:v>
      </x:c>
      <x:c r="D812" s="31" t="str">
        <x:v>Formula of enterprise value</x:v>
      </x:c>
      <x:c r="E812" s="31" t="str">
        <x:v>Formula of enterprise value</x:v>
      </x:c>
      <x:c r="F812" s="31" t="str">
        <x:v>Valuation</x:v>
      </x:c>
      <x:c r="G812" s="30" t="str">
        <x:v>CL0340</x:v>
      </x:c>
      <x:c r="H812" s="32" t="n">
        <x:f>COUNTIF($G$5:$G$1725,G812)</x:f>
        <x:v>1</x:v>
      </x:c>
      <x:c r="I812" s="30" t="str">
        <x:v>A14</x:v>
      </x:c>
      <x:c r="J812" s="31" t="str">
        <x:v>How do you account for equity investment in net working capital? | What’s deferred expense | What’s deferred revenue</x:v>
      </x:c>
    </x:row>
    <x:row r="813" ht="68" customHeight="1">
      <x:c r="A813" s="30" t="str">
        <x:v>QB1285</x:v>
      </x:c>
      <x:c r="B813" s="30" t="str">
        <x:v>Bofa IBD</x:v>
      </x:c>
      <x:c r="C813" s="30" t="str">
        <x:v>IBD / GCM</x:v>
      </x:c>
      <x:c r="D813" s="31" t="str">
        <x:v>What is the market for sell side right now</x:v>
      </x:c>
      <x:c r="E813" s="31" t="str">
        <x:v>What is the market for sell side right now</x:v>
      </x:c>
      <x:c r="F813" s="31" t="str">
        <x:v>Accounting &amp; Financial Statements</x:v>
      </x:c>
      <x:c r="G813" s="30" t="str">
        <x:v>CL0985</x:v>
      </x:c>
      <x:c r="H813" s="32" t="n">
        <x:f>COUNTIF($G$5:$G$1725,G813)</x:f>
        <x:v>1</x:v>
      </x:c>
      <x:c r="I813" s="30" t="str">
        <x:v>C14</x:v>
      </x:c>
      <x:c r="J813" s="31" t="str">
        <x:v>Do u think u can work long hours | 3 statement year 1 start 100M loan buy fixed asset; year 1 end 10M repayment, 5% interest, 10 year straight line depreciation, 30% tax rate | 18 Kai tang director bofa</x:v>
      </x:c>
    </x:row>
    <x:row r="814" ht="32" customHeight="1">
      <x:c r="A814" s="30" t="str">
        <x:v>QB1286</x:v>
      </x:c>
      <x:c r="B814" s="30" t="str">
        <x:v>Bofa IBD</x:v>
      </x:c>
      <x:c r="C814" s="30" t="str">
        <x:v>IBD / GCM</x:v>
      </x:c>
      <x:c r="D814" s="31" t="str">
        <x:v>If we borrow money from a bank for 100, how will it affect Enterprise value?</x:v>
      </x:c>
      <x:c r="E814" s="31" t="str">
        <x:v>If we borrow money from a bank for 100, how will it affect Enterprise value</x:v>
      </x:c>
      <x:c r="F814" s="31" t="str">
        <x:v>Valuation</x:v>
      </x:c>
      <x:c r="G814" s="30" t="str">
        <x:v>CL0524</x:v>
      </x:c>
      <x:c r="H814" s="32" t="n">
        <x:f>COUNTIF($G$5:$G$1725,G814)</x:f>
        <x:v>1</x:v>
      </x:c>
      <x:c r="I814" s="30" t="str">
        <x:v>A15</x:v>
      </x:c>
      <x:c r="J814" s="31" t="str">
        <x:v>What’s deferred expense | What’s deferred revenue | Formula of enterprise value</x:v>
      </x:c>
    </x:row>
    <x:row r="815" ht="68" customHeight="1">
      <x:c r="A815" s="30" t="str">
        <x:v>QB1287</x:v>
      </x:c>
      <x:c r="B815" s="30" t="str">
        <x:v>Bofa IBD</x:v>
      </x:c>
      <x:c r="C815" s="30" t="str">
        <x:v>IBD / GCM</x:v>
      </x:c>
      <x:c r="D815" s="31" t="str">
        <x:v>Considerations between debt and equity in this market, which would you suggest for companies to issue</x:v>
      </x:c>
      <x:c r="E815" s="31" t="str">
        <x:v>How should a company choose between debt and equity financing?</x:v>
      </x:c>
      <x:c r="F815" s="31" t="str">
        <x:v>Company, Industry &amp; Deals</x:v>
      </x:c>
      <x:c r="G815" s="30" t="str">
        <x:v>CL0005</x:v>
      </x:c>
      <x:c r="H815" s="32" t="n">
        <x:f>COUNTIF($G$5:$G$1725,G815)</x:f>
        <x:v>21</x:v>
      </x:c>
      <x:c r="I815" s="30" t="str">
        <x:v>C15</x:v>
      </x:c>
      <x:c r="J815" s="31" t="str">
        <x:v>3 statement year 1 start 100M loan buy fixed asset; year 1 end 10M repayment, 5% interest, 10 year straight line depreciation, 30% tax rate | 18 Kai tang director bofa | What is the market for sell side right now</x:v>
      </x:c>
    </x:row>
    <x:row r="816" ht="48" customHeight="1">
      <x:c r="A816" s="30" t="str">
        <x:v>QB1288</x:v>
      </x:c>
      <x:c r="B816" s="30" t="str">
        <x:v>Bofa IBD</x:v>
      </x:c>
      <x:c r="C816" s="30" t="str">
        <x:v>IBD / GCM</x:v>
      </x:c>
      <x:c r="D816" s="31" t="str">
        <x:v>Subscription model for 1 year, $100m, 3 statement</x:v>
      </x:c>
      <x:c r="E816" s="31" t="str">
        <x:v>Subscription model for 1 year, $100m, 3 statement</x:v>
      </x:c>
      <x:c r="F816" s="31" t="str">
        <x:v>Accounting &amp; Financial Statements</x:v>
      </x:c>
      <x:c r="G816" s="30" t="str">
        <x:v>CL0692</x:v>
      </x:c>
      <x:c r="H816" s="32" t="n">
        <x:f>COUNTIF($G$5:$G$1725,G816)</x:f>
        <x:v>1</x:v>
      </x:c>
      <x:c r="I816" s="30" t="str">
        <x:v>A16</x:v>
      </x:c>
      <x:c r="J816" s="31" t="str">
        <x:v>What’s deferred revenue | Formula of enterprise value | If we borrow money from a bank for 100, how will it affect Enterprise value?</x:v>
      </x:c>
    </x:row>
    <x:row r="817" ht="68" customHeight="1">
      <x:c r="A817" s="30" t="str">
        <x:v>QB1289</x:v>
      </x:c>
      <x:c r="B817" s="30" t="str">
        <x:v>Bofa IBD</x:v>
      </x:c>
      <x:c r="C817" s="30" t="str">
        <x:v>IBD / GCM</x:v>
      </x:c>
      <x:c r="D817" s="31" t="str">
        <x:v>Why would company issue debt over equity</x:v>
      </x:c>
      <x:c r="E817" s="31" t="str">
        <x:v>How should a company choose between debt and equity financing?</x:v>
      </x:c>
      <x:c r="F817" s="31" t="str">
        <x:v>Fit &amp; Motivation</x:v>
      </x:c>
      <x:c r="G817" s="30" t="str">
        <x:v>CL0005</x:v>
      </x:c>
      <x:c r="H817" s="32" t="n">
        <x:f>COUNTIF($G$5:$G$1725,G817)</x:f>
        <x:v>21</x:v>
      </x:c>
      <x:c r="I817" s="30" t="str">
        <x:v>C16</x:v>
      </x:c>
      <x:c r="J817" s="31" t="str">
        <x:v>18 Kai tang director bofa | What is the market for sell side right now | Considerations between debt and equity in this market, which would you suggest for companies to issue</x:v>
      </x:c>
    </x:row>
    <x:row r="818" ht="48" customHeight="1">
      <x:c r="A818" s="30" t="str">
        <x:v>QB1290</x:v>
      </x:c>
      <x:c r="B818" s="30" t="str">
        <x:v>Bofa IBD</x:v>
      </x:c>
      <x:c r="C818" s="30" t="str">
        <x:v>IBD / GCM</x:v>
      </x:c>
      <x:c r="D818" s="31" t="str">
        <x:v>After 1 year, what happens? Feel free to ask assumption (Tax: 20%)</x:v>
      </x:c>
      <x:c r="E818" s="31" t="str">
        <x:v>After 1 year, what happens? Feel free to ask assumption (Tax: 20%)</x:v>
      </x:c>
      <x:c r="F818" s="31" t="str">
        <x:v>Other Question</x:v>
      </x:c>
      <x:c r="G818" s="30" t="str">
        <x:v>CL0104</x:v>
      </x:c>
      <x:c r="H818" s="32" t="n">
        <x:f>COUNTIF($G$5:$G$1725,G818)</x:f>
        <x:v>1</x:v>
      </x:c>
      <x:c r="I818" s="30" t="str">
        <x:v>A17</x:v>
      </x:c>
      <x:c r="J818" s="31" t="str">
        <x:v>Formula of enterprise value | If we borrow money from a bank for 100, how will it affect Enterprise value? | Subscription model for 1 year, $100m, 3 statement</x:v>
      </x:c>
    </x:row>
    <x:row r="819" ht="68" customHeight="1">
      <x:c r="A819" s="30" t="str">
        <x:v>QB1291</x:v>
      </x:c>
      <x:c r="B819" s="30" t="str">
        <x:v>Bofa IBD</x:v>
      </x:c>
      <x:c r="C819" s="30" t="str">
        <x:v>IBD / GCM</x:v>
      </x:c>
      <x:c r="D819" s="31" t="str">
        <x:v>Why bofa</x:v>
      </x:c>
      <x:c r="E819" s="31" t="str">
        <x:v>Why this firm?</x:v>
      </x:c>
      <x:c r="F819" s="31" t="str">
        <x:v>Fit &amp; Motivation</x:v>
      </x:c>
      <x:c r="G819" s="30" t="str">
        <x:v>CL0002</x:v>
      </x:c>
      <x:c r="H819" s="32" t="n">
        <x:f>COUNTIF($G$5:$G$1725,G819)</x:f>
        <x:v>39</x:v>
      </x:c>
      <x:c r="I819" s="30" t="str">
        <x:v>C17</x:v>
      </x:c>
      <x:c r="J819" s="31" t="str">
        <x:v>What is the market for sell side right now | Considerations between debt and equity in this market, which would you suggest for companies to issue | Why would company issue debt over equity</x:v>
      </x:c>
    </x:row>
    <x:row r="820" ht="48" customHeight="1">
      <x:c r="A820" s="30" t="str">
        <x:v>QB1293</x:v>
      </x:c>
      <x:c r="B820" s="30" t="str">
        <x:v>Bofa IBD</x:v>
      </x:c>
      <x:c r="C820" s="30" t="str">
        <x:v>IBD / GCM</x:v>
      </x:c>
      <x:c r="D820" s="31" t="str">
        <x:v>For WACC, if company was in a net cash position, how does this affect and how do you find the acc</x:v>
      </x:c>
      <x:c r="E820" s="31" t="str">
        <x:v>For WACC, if company was in a net cash position, how does this affect and how do you find the acc</x:v>
      </x:c>
      <x:c r="F820" s="31" t="str">
        <x:v>Valuation</x:v>
      </x:c>
      <x:c r="G820" s="30" t="str">
        <x:v>CL0339</x:v>
      </x:c>
      <x:c r="H820" s="32" t="n">
        <x:f>COUNTIF($G$5:$G$1725,G820)</x:f>
        <x:v>1</x:v>
      </x:c>
      <x:c r="I820" s="30" t="str">
        <x:v>C18</x:v>
      </x:c>
      <x:c r="J820" s="31" t="str">
        <x:v>Considerations between debt and equity in this market, which would you suggest for companies to issue | Why would company issue debt over equity | Why bofa</x:v>
      </x:c>
    </x:row>
    <x:row r="821" ht="48" customHeight="1">
      <x:c r="A821" s="30" t="str">
        <x:v>QB1294</x:v>
      </x:c>
      <x:c r="B821" s="30" t="str">
        <x:v>Bofa IBD</x:v>
      </x:c>
      <x:c r="C821" s="30" t="str">
        <x:v>IBD / GCM</x:v>
      </x:c>
      <x:c r="D821" s="31" t="str">
        <x:v>Would you use dcf for loss making company, how else would you value it</x:v>
      </x:c>
      <x:c r="E821" s="31" t="str">
        <x:v>Would you use dcf for loss making company, how else would you value it</x:v>
      </x:c>
      <x:c r="F821" s="31" t="str">
        <x:v>Valuation</x:v>
      </x:c>
      <x:c r="G821" s="30" t="str">
        <x:v>CL1197</x:v>
      </x:c>
      <x:c r="H821" s="32" t="n">
        <x:f>COUNTIF($G$5:$G$1725,G821)</x:f>
        <x:v>1</x:v>
      </x:c>
      <x:c r="I821" s="30" t="str">
        <x:v>C19</x:v>
      </x:c>
      <x:c r="J821" s="31" t="str">
        <x:v>Why would company issue debt over equity | Why bofa | For WACC, if company was in a net cash position, how does this affect and how do you find the acc</x:v>
      </x:c>
    </x:row>
    <x:row r="822" ht="68" customHeight="1">
      <x:c r="A822" s="30" t="str">
        <x:v>QB1296</x:v>
      </x:c>
      <x:c r="B822" s="30" t="str">
        <x:v>Bofa IBD</x:v>
      </x:c>
      <x:c r="C822" s="30" t="str">
        <x:v>IBD / GCM</x:v>
      </x:c>
      <x:c r="D822" s="31" t="str">
        <x:v>What if you projected it for longer</x:v>
      </x:c>
      <x:c r="E822" s="31" t="str">
        <x:v>What if you projected it for longer</x:v>
      </x:c>
      <x:c r="F822" s="31" t="str">
        <x:v>Other Question</x:v>
      </x:c>
      <x:c r="G822" s="30" t="str">
        <x:v>CL0957</x:v>
      </x:c>
      <x:c r="H822" s="32" t="n">
        <x:f>COUNTIF($G$5:$G$1725,G822)</x:f>
        <x:v>1</x:v>
      </x:c>
      <x:c r="I822" s="30" t="str">
        <x:v>C20</x:v>
      </x:c>
      <x:c r="J822" s="31" t="str">
        <x:v>Why bofa | For WACC, if company was in a net cash position, how does this affect and how do you find the acc | Would you use dcf for loss making company, how else would you value it</x:v>
      </x:c>
    </x:row>
    <x:row r="823" ht="48" customHeight="1">
      <x:c r="A823" s="30" t="str">
        <x:v>QB1297</x:v>
      </x:c>
      <x:c r="B823" s="30" t="str">
        <x:v>Bofa IBD</x:v>
      </x:c>
      <x:c r="C823" s="30" t="str">
        <x:v>IBD / GCM</x:v>
      </x:c>
      <x:c r="D823" s="31" t="str">
        <x:v>Self intro</x:v>
      </x:c>
      <x:c r="E823" s="31" t="str">
        <x:v>Tell me about yourself / walk me through your resume</x:v>
      </x:c>
      <x:c r="F823" s="31" t="str">
        <x:v>Resume &amp; Experience</x:v>
      </x:c>
      <x:c r="G823" s="30" t="str">
        <x:v>CL0001</x:v>
      </x:c>
      <x:c r="H823" s="32" t="n">
        <x:f>COUNTIF($G$5:$G$1725,G823)</x:f>
        <x:v>170</x:v>
      </x:c>
      <x:c r="I823" s="30" t="str">
        <x:v>A21</x:v>
      </x:c>
      <x:c r="J823" s="31" t="str">
        <x:v>After 1 year, what happens? Feel free to ask assumption (Tax: 20%) | 1 question | Emily 2nd interviewer Johnny</x:v>
      </x:c>
    </x:row>
    <x:row r="824" ht="32" customHeight="1">
      <x:c r="A824" s="30" t="str">
        <x:v>QB1300</x:v>
      </x:c>
      <x:c r="B824" s="30" t="str">
        <x:v>Bofa IBD</x:v>
      </x:c>
      <x:c r="C824" s="30" t="str">
        <x:v>IBD / GCM</x:v>
      </x:c>
      <x:c r="D824" s="31" t="str">
        <x:v>Post-money valuation of the company</x:v>
      </x:c>
      <x:c r="E824" s="31" t="str">
        <x:v>Post-money valuation of the company</x:v>
      </x:c>
      <x:c r="F824" s="31" t="str">
        <x:v>Valuation</x:v>
      </x:c>
      <x:c r="G824" s="30" t="str">
        <x:v>CL0642</x:v>
      </x:c>
      <x:c r="H824" s="32" t="n">
        <x:f>COUNTIF($G$5:$G$1725,G824)</x:f>
        <x:v>1</x:v>
      </x:c>
      <x:c r="I824" s="30" t="str">
        <x:v>A23</x:v>
      </x:c>
      <x:c r="J824" s="31" t="str">
        <x:v>Emily 2nd interviewer Johnny | Self intro | Duties in Ody</x:v>
      </x:c>
    </x:row>
    <x:row r="825" ht="32" customHeight="1">
      <x:c r="A825" s="30" t="str">
        <x:v>QB1302</x:v>
      </x:c>
      <x:c r="B825" s="30" t="str">
        <x:v>Bofa IBD</x:v>
      </x:c>
      <x:c r="C825" s="30" t="str">
        <x:v>IBD / GCM</x:v>
      </x:c>
      <x:c r="D825" s="31" t="str">
        <x:v>Enterprise value questions</x:v>
      </x:c>
      <x:c r="E825" s="31" t="str">
        <x:v>Enterprise value questions</x:v>
      </x:c>
      <x:c r="F825" s="31" t="str">
        <x:v>Valuation</x:v>
      </x:c>
      <x:c r="G825" s="30" t="str">
        <x:v>CL0309</x:v>
      </x:c>
      <x:c r="H825" s="32" t="n">
        <x:f>COUNTIF($G$5:$G$1725,G825)</x:f>
        <x:v>1</x:v>
      </x:c>
      <x:c r="I825" s="30" t="str">
        <x:v>A24</x:v>
      </x:c>
      <x:c r="J825" s="31" t="str">
        <x:v>Self intro | Duties in Ody | Post-money valuation of the company</x:v>
      </x:c>
    </x:row>
    <x:row r="826" ht="48" customHeight="1">
      <x:c r="A826" s="30" t="str">
        <x:v>QB1303</x:v>
      </x:c>
      <x:c r="B826" s="30" t="str">
        <x:v>Bofa IBD</x:v>
      </x:c>
      <x:c r="C826" s="30" t="str">
        <x:v>IBD / GCM</x:v>
      </x:c>
      <x:c r="D826" s="31" t="str">
        <x:v>Walk me through the rights issue and your main considerations (e.g. dilution effect, subscription price considerations, timeline)</x:v>
      </x:c>
      <x:c r="E826" s="31" t="str">
        <x:v>Walk me through the rights issue and your main considerations (e.g. dilution effect, subscription price considerations, timeline)</x:v>
      </x:c>
      <x:c r="F826" s="31" t="str">
        <x:v>Capital Markets &amp; Financing</x:v>
      </x:c>
      <x:c r="G826" s="30" t="str">
        <x:v>CL0838</x:v>
      </x:c>
      <x:c r="H826" s="32" t="n">
        <x:f>COUNTIF($G$5:$G$1725,G826)</x:f>
        <x:v>1</x:v>
      </x:c>
      <x:c r="I826" s="30" t="str">
        <x:v>C24</x:v>
      </x:c>
      <x:c r="J826" s="31" t="str">
        <x:v>What if you projected it for longer | Questions | Xin wang - director, corp fin</x:v>
      </x:c>
    </x:row>
    <x:row r="827" ht="32" customHeight="1">
      <x:c r="A827" s="30" t="str">
        <x:v>QB1304</x:v>
      </x:c>
      <x:c r="B827" s="30" t="str">
        <x:v>Bofa IBD</x:v>
      </x:c>
      <x:c r="C827" s="30" t="str">
        <x:v>IBD / GCM</x:v>
      </x:c>
      <x:c r="D827" s="31" t="str">
        <x:v>How do you calculate the value of preferred shares</x:v>
      </x:c>
      <x:c r="E827" s="31" t="str">
        <x:v>How do you calculate the value of preferred shares</x:v>
      </x:c>
      <x:c r="F827" s="31" t="str">
        <x:v>Private Equity &amp; LBO</x:v>
      </x:c>
      <x:c r="G827" s="30" t="str">
        <x:v>CL0401</x:v>
      </x:c>
      <x:c r="H827" s="32" t="n">
        <x:f>COUNTIF($G$5:$G$1725,G827)</x:f>
        <x:v>1</x:v>
      </x:c>
      <x:c r="I827" s="30" t="str">
        <x:v>A25</x:v>
      </x:c>
      <x:c r="J827" s="31" t="str">
        <x:v>Duties in Ody | Post-money valuation of the company | Enterprise value questions</x:v>
      </x:c>
    </x:row>
    <x:row r="828" ht="48" customHeight="1">
      <x:c r="A828" s="30" t="str">
        <x:v>QB1306</x:v>
      </x:c>
      <x:c r="B828" s="30" t="str">
        <x:v>Bofa IBD</x:v>
      </x:c>
      <x:c r="C828" s="30" t="str">
        <x:v>IBD / GCM</x:v>
      </x:c>
      <x:c r="D828" s="31" t="str">
        <x:v>Which one will produce more return: Preferred shares vs corporate bond, senior bond vs junior bond</x:v>
      </x:c>
      <x:c r="E828" s="31" t="str">
        <x:v>Which one will produce more return: Preferred shares vs corporate bond, senior bond vs junior bond</x:v>
      </x:c>
      <x:c r="F828" s="31" t="str">
        <x:v>Private Equity &amp; LBO</x:v>
      </x:c>
      <x:c r="G828" s="30" t="str">
        <x:v>CL1099</x:v>
      </x:c>
      <x:c r="H828" s="32" t="n">
        <x:f>COUNTIF($G$5:$G$1725,G828)</x:f>
        <x:v>1</x:v>
      </x:c>
      <x:c r="I828" s="30" t="str">
        <x:v>A26</x:v>
      </x:c>
      <x:c r="J828" s="31" t="str">
        <x:v>Post-money valuation of the company | Enterprise value questions | How do you calculate the value of preferred shares</x:v>
      </x:c>
    </x:row>
    <x:row r="829" ht="92" customHeight="1">
      <x:c r="A829" s="30" t="str">
        <x:v>QB1307</x:v>
      </x:c>
      <x:c r="B829" s="30" t="str">
        <x:v>Bofa IBD</x:v>
      </x:c>
      <x:c r="C829" s="30" t="str">
        <x:v>IBD / GCM</x:v>
      </x:c>
      <x:c r="D829" s="31" t="str">
        <x:v>How do to comparable company analysis and your choice of multiples</x:v>
      </x:c>
      <x:c r="E829" s="31" t="str">
        <x:v>How do to comparable company analysis and your choice of multiples</x:v>
      </x:c>
      <x:c r="F829" s="31" t="str">
        <x:v>Valuation</x:v>
      </x:c>
      <x:c r="G829" s="30" t="str">
        <x:v>CL0395</x:v>
      </x:c>
      <x:c r="H829" s="32" t="n">
        <x:f>COUNTIF($G$5:$G$1725,G829)</x:f>
        <x:v>1</x:v>
      </x:c>
      <x:c r="I829" s="30" t="str">
        <x:v>C26</x:v>
      </x:c>
      <x:c r="J829" s="31" t="str">
        <x:v>Xin wang - director, corp fin | Walk me through the rights issue and your main considerations (e.g. dilution effect, subscription price considerations, timeline) | Distressed clients - what would be your recommendations (choose between r...</x:v>
      </x:c>
    </x:row>
    <x:row r="830" ht="68" customHeight="1">
      <x:c r="A830" s="30" t="str">
        <x:v>QB1308</x:v>
      </x:c>
      <x:c r="B830" s="30" t="str">
        <x:v>Bofa IBD</x:v>
      </x:c>
      <x:c r="C830" s="30" t="str">
        <x:v>IBD / GCM</x:v>
      </x:c>
      <x:c r="D830" s="31" t="str">
        <x:v>Enterprise value: how to account for cash, long term investment, short term financial instrument</x:v>
      </x:c>
      <x:c r="E830" s="31" t="str">
        <x:v>Enterprise value: how to account for cash, long term investment, short term financial instrument</x:v>
      </x:c>
      <x:c r="F830" s="31" t="str">
        <x:v>Valuation</x:v>
      </x:c>
      <x:c r="G830" s="30" t="str">
        <x:v>CL0310</x:v>
      </x:c>
      <x:c r="H830" s="32" t="n">
        <x:f>COUNTIF($G$5:$G$1725,G830)</x:f>
        <x:v>1</x:v>
      </x:c>
      <x:c r="I830" s="30" t="str">
        <x:v>A27</x:v>
      </x:c>
      <x:c r="J830" s="31" t="str">
        <x:v>Enterprise value questions | How do you calculate the value of preferred shares | Which one will produce more return: Preferred shares vs corporate bond, senior bond vs junior bond</x:v>
      </x:c>
    </x:row>
    <x:row r="831" ht="92" customHeight="1">
      <x:c r="A831" s="30" t="str">
        <x:v>QB1309</x:v>
      </x:c>
      <x:c r="B831" s="30" t="str">
        <x:v>Bofa IBD</x:v>
      </x:c>
      <x:c r="C831" s="30" t="str">
        <x:v>IBD / GCM</x:v>
      </x:c>
      <x:c r="D831" s="31" t="str">
        <x:v>What did you do for research for HKU Business School</x:v>
      </x:c>
      <x:c r="E831" s="31" t="str">
        <x:v>What did you do for research for HKU Business School</x:v>
      </x:c>
      <x:c r="F831" s="31" t="str">
        <x:v>Resume &amp; Experience</x:v>
      </x:c>
      <x:c r="G831" s="30" t="str">
        <x:v>CL0898</x:v>
      </x:c>
      <x:c r="H831" s="32" t="n">
        <x:f>COUNTIF($G$5:$G$1725,G831)</x:f>
        <x:v>1</x:v>
      </x:c>
      <x:c r="I831" s="30" t="str">
        <x:v>C27</x:v>
      </x:c>
      <x:c r="J831" s="31" t="str">
        <x:v>Walk me through the rights issue and your main considerations (e.g. dilution effect, subscription price considerations, timeline) | Distressed clients - what would be your recommendations (choose between restructuring, extend credit line...</x:v>
      </x:c>
    </x:row>
    <x:row r="832" ht="68" customHeight="1">
      <x:c r="A832" s="30" t="str">
        <x:v>QB1310</x:v>
      </x:c>
      <x:c r="B832" s="30" t="str">
        <x:v>Bofa IBD</x:v>
      </x:c>
      <x:c r="C832" s="30" t="str">
        <x:v>IBD / GCM</x:v>
      </x:c>
      <x:c r="D832" s="31" t="str">
        <x:v>Financial instrument taken stock at end of 2022, now 31st Jan 2023, use which value?</x:v>
      </x:c>
      <x:c r="E832" s="31" t="str">
        <x:v>Financial instrument taken stock at end of 2022, now 31st Jan 2023, use which value</x:v>
      </x:c>
      <x:c r="F832" s="31" t="str">
        <x:v>Other Question</x:v>
      </x:c>
      <x:c r="G832" s="30" t="str">
        <x:v>CL0324</x:v>
      </x:c>
      <x:c r="H832" s="32" t="n">
        <x:f>COUNTIF($G$5:$G$1725,G832)</x:f>
        <x:v>1</x:v>
      </x:c>
      <x:c r="I832" s="30" t="str">
        <x:v>A28</x:v>
      </x:c>
      <x:c r="J832" s="31" t="str">
        <x:v>How do you calculate the value of preferred shares | Which one will produce more return: Preferred shares vs corporate bond, senior bond vs junior bond | Enterprise value: how to account for cash, long term investment, short term financi...</x:v>
      </x:c>
    </x:row>
    <x:row r="833" ht="68" customHeight="1">
      <x:c r="A833" s="30" t="str">
        <x:v>QB1314</x:v>
      </x:c>
      <x:c r="B833" s="30" t="str">
        <x:v>Bofa IBD</x:v>
      </x:c>
      <x:c r="C833" s="30" t="str">
        <x:v>IBD / GCM</x:v>
      </x:c>
      <x:c r="D833" s="31" t="str">
        <x:v>Self Intro</x:v>
      </x:c>
      <x:c r="E833" s="31" t="str">
        <x:v>Tell me about yourself / walk me through your resume</x:v>
      </x:c>
      <x:c r="F833" s="31" t="str">
        <x:v>Resume &amp; Experience</x:v>
      </x:c>
      <x:c r="G833" s="30" t="str">
        <x:v>CL0001</x:v>
      </x:c>
      <x:c r="H833" s="32" t="n">
        <x:f>COUNTIF($G$5:$G$1725,G833)</x:f>
        <x:v>170</x:v>
      </x:c>
      <x:c r="I833" s="30" t="str">
        <x:v>A31</x:v>
      </x:c>
      <x:c r="J833" s="31" t="str">
        <x:v>Enterprise value: how to account for cash, long term investment, short term financial instrument | Financial instrument taken stock at end of 2022, now 31st Jan 2023, use which value? | 20 Emily Bofa 3rd Interview Sophia</x:v>
      </x:c>
    </x:row>
    <x:row r="834" ht="48" customHeight="1">
      <x:c r="A834" s="30" t="str">
        <x:v>QB1315</x:v>
      </x:c>
      <x:c r="B834" s="30" t="str">
        <x:v>Bofa IBD</x:v>
      </x:c>
      <x:c r="C834" s="30" t="str">
        <x:v>IBD / GCM</x:v>
      </x:c>
      <x:c r="D834" s="31" t="str">
        <x:v>Why did you do HKEX?</x:v>
      </x:c>
      <x:c r="E834" s="31" t="str">
        <x:v>Why did you do HKEX</x:v>
      </x:c>
      <x:c r="F834" s="31" t="str">
        <x:v>Fit &amp; Motivation</x:v>
      </x:c>
      <x:c r="G834" s="30" t="str">
        <x:v>CL1119</x:v>
      </x:c>
      <x:c r="H834" s="32" t="n">
        <x:f>COUNTIF($G$5:$G$1725,G834)</x:f>
        <x:v>1</x:v>
      </x:c>
      <x:c r="I834" s="30" t="str">
        <x:v>A32</x:v>
      </x:c>
      <x:c r="J834" s="31" t="str">
        <x:v>Financial instrument taken stock at end of 2022, now 31st Jan 2023, use which value? | 20 Emily Bofa 3rd Interview Sophia | Self Intro</x:v>
      </x:c>
    </x:row>
    <x:row r="835" ht="32" customHeight="1">
      <x:c r="A835" s="30" t="str">
        <x:v>QB1316</x:v>
      </x:c>
      <x:c r="B835" s="30" t="str">
        <x:v>Bofa IBD</x:v>
      </x:c>
      <x:c r="C835" s="30" t="str">
        <x:v>IBD / GCM</x:v>
      </x:c>
      <x:c r="D835" s="31" t="str">
        <x:v>Why did you apply to Bofa IBD, why not stay in equity research and HKEX?</x:v>
      </x:c>
      <x:c r="E835" s="31" t="str">
        <x:v>Why did you apply to Bofa IBD, why not stay in equity research and HKEX</x:v>
      </x:c>
      <x:c r="F835" s="31" t="str">
        <x:v>Fit &amp; Motivation</x:v>
      </x:c>
      <x:c r="G835" s="30" t="str">
        <x:v>CL1118</x:v>
      </x:c>
      <x:c r="H835" s="32" t="n">
        <x:f>COUNTIF($G$5:$G$1725,G835)</x:f>
        <x:v>1</x:v>
      </x:c>
      <x:c r="I835" s="30" t="str">
        <x:v>A33</x:v>
      </x:c>
      <x:c r="J835" s="31" t="str">
        <x:v>20 Emily Bofa 3rd Interview Sophia | Self Intro | Why did you do HKEX?</x:v>
      </x:c>
    </x:row>
    <x:row r="836" ht="48" customHeight="1">
      <x:c r="A836" s="30" t="str">
        <x:v>QB1317</x:v>
      </x:c>
      <x:c r="B836" s="30" t="str">
        <x:v>Bofa IBD</x:v>
      </x:c>
      <x:c r="C836" s="30" t="str">
        <x:v>IBD / GCM</x:v>
      </x:c>
      <x:c r="D836" s="31" t="str">
        <x:v>Tell me about an intation you did (Company overview, investment thesis, industry, valuation)</x:v>
      </x:c>
      <x:c r="E836" s="31" t="str">
        <x:v>Tell me about an intation you did (Company overview, investment thesis, industry, valuation)</x:v>
      </x:c>
      <x:c r="F836" s="31" t="str">
        <x:v>Valuation</x:v>
      </x:c>
      <x:c r="G836" s="30" t="str">
        <x:v>CL0040</x:v>
      </x:c>
      <x:c r="H836" s="32" t="n">
        <x:f>COUNTIF($G$5:$G$1725,G836)</x:f>
        <x:v>2</x:v>
      </x:c>
      <x:c r="I836" s="30" t="str">
        <x:v>A34</x:v>
      </x:c>
      <x:c r="J836" s="31" t="str">
        <x:v>Self Intro | Why did you do HKEX? | Why did you apply to Bofa IBD, why not stay in equity research and HKEX?</x:v>
      </x:c>
    </x:row>
    <x:row r="837" ht="68" customHeight="1">
      <x:c r="A837" s="30" t="str">
        <x:v>QB1318</x:v>
      </x:c>
      <x:c r="B837" s="30" t="str">
        <x:v>Bofa IBD</x:v>
      </x:c>
      <x:c r="C837" s="30" t="str">
        <x:v>IBD / GCM</x:v>
      </x:c>
      <x:c r="D837" s="31" t="str">
        <x:v>Walk me through how you do DCF</x:v>
      </x:c>
      <x:c r="E837" s="31" t="str">
        <x:v>Walk me through how you do DCF</x:v>
      </x:c>
      <x:c r="F837" s="31" t="str">
        <x:v>Valuation</x:v>
      </x:c>
      <x:c r="G837" s="30" t="str">
        <x:v>CL0042</x:v>
      </x:c>
      <x:c r="H837" s="32" t="n">
        <x:f>COUNTIF($G$5:$G$1725,G837)</x:f>
        <x:v>2</x:v>
      </x:c>
      <x:c r="I837" s="30" t="str">
        <x:v>A35</x:v>
      </x:c>
      <x:c r="J837" s="31" t="str">
        <x:v>Why did you do HKEX? | Why did you apply to Bofa IBD, why not stay in equity research and HKEX? | Tell me about an intation you did (Company overview, investment thesis, industry, valuation)</x:v>
      </x:c>
    </x:row>
    <x:row r="838" ht="68" customHeight="1">
      <x:c r="A838" s="30" t="str">
        <x:v>QB1319</x:v>
      </x:c>
      <x:c r="B838" s="30" t="str">
        <x:v>Bofa IBD</x:v>
      </x:c>
      <x:c r="C838" s="30" t="str">
        <x:v>IBD / GCM</x:v>
      </x:c>
      <x:c r="D838" s="31" t="str">
        <x:v>WACC? (actual number + how to get the number)</x:v>
      </x:c>
      <x:c r="E838" s="31" t="str">
        <x:v>WACC? (actual number + how to get the number)</x:v>
      </x:c>
      <x:c r="F838" s="31" t="str">
        <x:v>Valuation</x:v>
      </x:c>
      <x:c r="G838" s="30" t="str">
        <x:v>CL0821</x:v>
      </x:c>
      <x:c r="H838" s="32" t="n">
        <x:f>COUNTIF($G$5:$G$1725,G838)</x:f>
        <x:v>1</x:v>
      </x:c>
      <x:c r="I838" s="30" t="str">
        <x:v>A36</x:v>
      </x:c>
      <x:c r="J838" s="31" t="str">
        <x:v>Why did you apply to Bofa IBD, why not stay in equity research and HKEX? | Tell me about an intation you did (Company overview, investment thesis, industry, valuation) | Walk me through how you do DCF</x:v>
      </x:c>
    </x:row>
    <x:row r="839" ht="68" customHeight="1">
      <x:c r="A839" s="30" t="str">
        <x:v>QB1320</x:v>
      </x:c>
      <x:c r="B839" s="30" t="str">
        <x:v>Bofa IBD</x:v>
      </x:c>
      <x:c r="C839" s="30" t="str">
        <x:v>IBD / GCM</x:v>
      </x:c>
      <x:c r="D839" s="31" t="str">
        <x:v>How to find cost of debt</x:v>
      </x:c>
      <x:c r="E839" s="31" t="str">
        <x:v>How to find cost of debt</x:v>
      </x:c>
      <x:c r="F839" s="31" t="str">
        <x:v>Valuation</x:v>
      </x:c>
      <x:c r="G839" s="30" t="str">
        <x:v>CL0467</x:v>
      </x:c>
      <x:c r="H839" s="32" t="n">
        <x:f>COUNTIF($G$5:$G$1725,G839)</x:f>
        <x:v>1</x:v>
      </x:c>
      <x:c r="I839" s="30" t="str">
        <x:v>A37</x:v>
      </x:c>
      <x:c r="J839" s="31" t="str">
        <x:v>Tell me about an intation you did (Company overview, investment thesis, industry, valuation) | Walk me through how you do DCF | WACC? (actual number + how to get the number)</x:v>
      </x:c>
    </x:row>
    <x:row r="840" ht="48" customHeight="1">
      <x:c r="A840" s="30" t="str">
        <x:v>QB1321</x:v>
      </x:c>
      <x:c r="B840" s="30" t="str">
        <x:v>Bofa IBD</x:v>
      </x:c>
      <x:c r="C840" s="30" t="str">
        <x:v>IBD / GCM</x:v>
      </x:c>
      <x:c r="D840" s="31" t="str">
        <x:v>Cost of equity: Risk premium should you include country risk? (bro idk)</x:v>
      </x:c>
      <x:c r="E840" s="31" t="str">
        <x:v>Cost of equity: Risk premium should you include country risk? (bro idk)</x:v>
      </x:c>
      <x:c r="F840" s="31" t="str">
        <x:v>Valuation</x:v>
      </x:c>
      <x:c r="G840" s="30" t="str">
        <x:v>CL0209</x:v>
      </x:c>
      <x:c r="H840" s="32" t="n">
        <x:f>COUNTIF($G$5:$G$1725,G840)</x:f>
        <x:v>1</x:v>
      </x:c>
      <x:c r="I840" s="30" t="str">
        <x:v>A38</x:v>
      </x:c>
      <x:c r="J840" s="31" t="str">
        <x:v>Walk me through how you do DCF | WACC? (actual number + how to get the number) | How to find cost of debt</x:v>
      </x:c>
    </x:row>
    <x:row r="841" ht="48" customHeight="1">
      <x:c r="A841" s="30" t="str">
        <x:v>QB1322</x:v>
      </x:c>
      <x:c r="B841" s="30" t="str">
        <x:v>Bofa IBD</x:v>
      </x:c>
      <x:c r="C841" s="30" t="str">
        <x:v>IBD / GCM</x:v>
      </x:c>
      <x:c r="D841" s="31" t="str">
        <x:v>Tell me about the different methods china companies can IPO in HK (H shares, Red chip, P share)</x:v>
      </x:c>
      <x:c r="E841" s="31" t="str">
        <x:v>Tell me about the different methods china companies can IPO in HK (H shares, Red chip, P share)</x:v>
      </x:c>
      <x:c r="F841" s="31" t="str">
        <x:v>Capital Markets &amp; Financing</x:v>
      </x:c>
      <x:c r="G841" s="30" t="str">
        <x:v>CL0740</x:v>
      </x:c>
      <x:c r="H841" s="32" t="n">
        <x:f>COUNTIF($G$5:$G$1725,G841)</x:f>
        <x:v>1</x:v>
      </x:c>
      <x:c r="I841" s="30" t="str">
        <x:v>A39</x:v>
      </x:c>
      <x:c r="J841" s="31" t="str">
        <x:v>WACC? (actual number + how to get the number) | How to find cost of debt | Cost of equity: Risk premium should you include country risk? (bro idk)</x:v>
      </x:c>
    </x:row>
    <x:row r="842" ht="68" customHeight="1">
      <x:c r="A842" s="30" t="str">
        <x:v>QB1324</x:v>
      </x:c>
      <x:c r="B842" s="30" t="str">
        <x:v>Bofa IBD</x:v>
      </x:c>
      <x:c r="C842" s="30" t="str">
        <x:v>IBD / GCM</x:v>
      </x:c>
      <x:c r="D842" s="31" t="str">
        <x:v>What is VIE, and why would company list like VIE? Pros of VIE?</x:v>
      </x:c>
      <x:c r="E842" s="31" t="str">
        <x:v>What is VIE, and why would company list like VIE? Pros of VIE</x:v>
      </x:c>
      <x:c r="F842" s="31" t="str">
        <x:v>Fit &amp; Motivation</x:v>
      </x:c>
      <x:c r="G842" s="30" t="str">
        <x:v>CL0999</x:v>
      </x:c>
      <x:c r="H842" s="32" t="n">
        <x:f>COUNTIF($G$5:$G$1725,G842)</x:f>
        <x:v>1</x:v>
      </x:c>
      <x:c r="I842" s="30" t="str">
        <x:v>A41</x:v>
      </x:c>
      <x:c r="J842" s="31" t="str">
        <x:v>Cost of equity: Risk premium should you include country risk? (bro idk) | Tell me about the different methods china companies can IPO in HK (H shares, Red chip, P share) | (So she is looking for VIE [Variable Interest Entity])</x:v>
      </x:c>
    </x:row>
    <x:row r="843" ht="48" customHeight="1">
      <x:c r="A843" s="30" t="str">
        <x:v>QB1326</x:v>
      </x:c>
      <x:c r="B843" s="30" t="str">
        <x:v>Bofa IBD</x:v>
      </x:c>
      <x:c r="C843" s="30" t="str">
        <x:v>IBD / GCM</x:v>
      </x:c>
      <x:c r="D843" s="31" t="str">
        <x:v>Self Intro</x:v>
      </x:c>
      <x:c r="E843" s="31" t="str">
        <x:v>Tell me about yourself / walk me through your resume</x:v>
      </x:c>
      <x:c r="F843" s="31" t="str">
        <x:v>Resume &amp; Experience</x:v>
      </x:c>
      <x:c r="G843" s="30" t="str">
        <x:v>CL0001</x:v>
      </x:c>
      <x:c r="H843" s="32" t="n">
        <x:f>COUNTIF($G$5:$G$1725,G843)</x:f>
        <x:v>170</x:v>
      </x:c>
      <x:c r="I843" s="30" t="str">
        <x:v>A44</x:v>
      </x:c>
      <x:c r="J843" s="31" t="str">
        <x:v>(So she is looking for VIE [Variable Interest Entity]) | What is VIE, and why would company list like VIE? Pros of VIE? | 20 Emily Bofa 4th Interview Henu</x:v>
      </x:c>
    </x:row>
    <x:row r="844" ht="48" customHeight="1">
      <x:c r="A844" s="30" t="str">
        <x:v>QB1327</x:v>
      </x:c>
      <x:c r="B844" s="30" t="str">
        <x:v>Bofa IBD</x:v>
      </x:c>
      <x:c r="C844" s="30" t="str">
        <x:v>IBD / GCM</x:v>
      </x:c>
      <x:c r="D844" s="31" t="str">
        <x:v>Why IBD, why not equity research?</x:v>
      </x:c>
      <x:c r="E844" s="31" t="str">
        <x:v>Why investment banking?</x:v>
      </x:c>
      <x:c r="F844" s="31" t="str">
        <x:v>Fit &amp; Motivation</x:v>
      </x:c>
      <x:c r="G844" s="30" t="str">
        <x:v>CL0003</x:v>
      </x:c>
      <x:c r="H844" s="32" t="n">
        <x:f>COUNTIF($G$5:$G$1725,G844)</x:f>
        <x:v>34</x:v>
      </x:c>
      <x:c r="I844" s="30" t="str">
        <x:v>A45</x:v>
      </x:c>
      <x:c r="J844" s="31" t="str">
        <x:v>What is VIE, and why would company list like VIE? Pros of VIE? | 20 Emily Bofa 4th Interview Henu | Self Intro</x:v>
      </x:c>
    </x:row>
    <x:row r="845" ht="48" customHeight="1">
      <x:c r="A845" s="30" t="str">
        <x:v>QB1328</x:v>
      </x:c>
      <x:c r="B845" s="30" t="str">
        <x:v>Bofa IBD</x:v>
      </x:c>
      <x:c r="C845" s="30" t="str">
        <x:v>IBD / GCM</x:v>
      </x:c>
      <x:c r="D845" s="31" t="str">
        <x:v>Tell me about an intation you did (Company overview, investment thesis, industry, valuation)</x:v>
      </x:c>
      <x:c r="E845" s="31" t="str">
        <x:v>Tell me about an intation you did (Company overview, investment thesis, industry, valuation)</x:v>
      </x:c>
      <x:c r="F845" s="31" t="str">
        <x:v>Valuation</x:v>
      </x:c>
      <x:c r="G845" s="30" t="str">
        <x:v>CL0040</x:v>
      </x:c>
      <x:c r="H845" s="32" t="n">
        <x:f>COUNTIF($G$5:$G$1725,G845)</x:f>
        <x:v>2</x:v>
      </x:c>
      <x:c r="I845" s="30" t="str">
        <x:v>A46</x:v>
      </x:c>
      <x:c r="J845" s="31" t="str">
        <x:v>20 Emily Bofa 4th Interview Henu | Self Intro | Why IBD, why not equity research?</x:v>
      </x:c>
    </x:row>
    <x:row r="846" ht="48" customHeight="1">
      <x:c r="A846" s="30" t="str">
        <x:v>QB1329</x:v>
      </x:c>
      <x:c r="B846" s="30" t="str">
        <x:v>Bofa IBD</x:v>
      </x:c>
      <x:c r="C846" s="30" t="str">
        <x:v>IBD / GCM</x:v>
      </x:c>
      <x:c r="D846" s="31" t="str">
        <x:v>Walk me through how you do DCF</x:v>
      </x:c>
      <x:c r="E846" s="31" t="str">
        <x:v>Walk me through how you do DCF</x:v>
      </x:c>
      <x:c r="F846" s="31" t="str">
        <x:v>Valuation</x:v>
      </x:c>
      <x:c r="G846" s="30" t="str">
        <x:v>CL0042</x:v>
      </x:c>
      <x:c r="H846" s="32" t="n">
        <x:f>COUNTIF($G$5:$G$1725,G846)</x:f>
        <x:v>2</x:v>
      </x:c>
      <x:c r="I846" s="30" t="str">
        <x:v>A47</x:v>
      </x:c>
      <x:c r="J846" s="31" t="str">
        <x:v>Self Intro | Why IBD, why not equity research? | Tell me about an intation you did (Company overview, investment thesis, industry, valuation)</x:v>
      </x:c>
    </x:row>
    <x:row r="847" ht="68" customHeight="1">
      <x:c r="A847" s="30" t="str">
        <x:v>QB1330</x:v>
      </x:c>
      <x:c r="B847" s="30" t="str">
        <x:v>Bofa IBD</x:v>
      </x:c>
      <x:c r="C847" s="30" t="str">
        <x:v>IBD / GCM</x:v>
      </x:c>
      <x:c r="D847" s="31" t="str">
        <x:v>WACC? (actual number + how to get the number, break down of cost of debt and equity)</x:v>
      </x:c>
      <x:c r="E847" s="31" t="str">
        <x:v>How should a company choose between debt and equity financing?</x:v>
      </x:c>
      <x:c r="F847" s="31" t="str">
        <x:v>Valuation</x:v>
      </x:c>
      <x:c r="G847" s="30" t="str">
        <x:v>CL0005</x:v>
      </x:c>
      <x:c r="H847" s="32" t="n">
        <x:f>COUNTIF($G$5:$G$1725,G847)</x:f>
        <x:v>21</x:v>
      </x:c>
      <x:c r="I847" s="30" t="str">
        <x:v>A48</x:v>
      </x:c>
      <x:c r="J847" s="31" t="str">
        <x:v>Why IBD, why not equity research? | Tell me about an intation you did (Company overview, investment thesis, industry, valuation) | Walk me through how you do DCF</x:v>
      </x:c>
    </x:row>
    <x:row r="848" ht="68" customHeight="1">
      <x:c r="A848" s="30" t="str">
        <x:v>QB1332</x:v>
      </x:c>
      <x:c r="B848" s="30" t="str">
        <x:v>Bofa IBD</x:v>
      </x:c>
      <x:c r="C848" s="30" t="str">
        <x:v>IBD / GCM</x:v>
      </x:c>
      <x:c r="D848" s="31" t="str">
        <x:v>Why would you include country risk? Doesn't risk free rate include it already? (fk me why did I say that)</x:v>
      </x:c>
      <x:c r="E848" s="31" t="str">
        <x:v>Why would you include country risk? Doesn't risk free rate include it already? (fk me why did I say that)</x:v>
      </x:c>
      <x:c r="F848" s="31" t="str">
        <x:v>Fit &amp; Motivation</x:v>
      </x:c>
      <x:c r="G848" s="30" t="str">
        <x:v>CL1178</x:v>
      </x:c>
      <x:c r="H848" s="32" t="n">
        <x:f>COUNTIF($G$5:$G$1725,G848)</x:f>
        <x:v>1</x:v>
      </x:c>
      <x:c r="I848" s="30" t="str">
        <x:v>A50</x:v>
      </x:c>
      <x:c r="J848" s="31" t="str">
        <x:v>Walk me through how you do DCF | WACC? (actual number + how to get the number, break down of cost of debt and equity) | (I thought I'm smart and say risk premium includes country risk)</x:v>
      </x:c>
    </x:row>
    <x:row r="849" ht="68" customHeight="1">
      <x:c r="A849" s="30" t="str">
        <x:v>QB1333</x:v>
      </x:c>
      <x:c r="B849" s="30" t="str">
        <x:v>Bofa IBD</x:v>
      </x:c>
      <x:c r="C849" s="30" t="str">
        <x:v>IBD / GCM</x:v>
      </x:c>
      <x:c r="D849" s="31" t="str">
        <x:v>Is risk free rate truly risk free? For example US investor investing in China companies? (wtf use China yield - US yield? i dont get)</x:v>
      </x:c>
      <x:c r="E849" s="31" t="str">
        <x:v>Is risk free rate truly risk free? For example US investor investing in China companies? (wtf use China yield - US yield? i dont get)</x:v>
      </x:c>
      <x:c r="F849" s="31" t="str">
        <x:v>Accounting &amp; Financial Statements</x:v>
      </x:c>
      <x:c r="G849" s="30" t="str">
        <x:v>CL0557</x:v>
      </x:c>
      <x:c r="H849" s="32" t="n">
        <x:f>COUNTIF($G$5:$G$1725,G849)</x:f>
        <x:v>1</x:v>
      </x:c>
      <x:c r="I849" s="30" t="str">
        <x:v>A51</x:v>
      </x:c>
      <x:c r="J849" s="31" t="str">
        <x:v>WACC? (actual number + how to get the number, break down of cost of debt and equity) | (I thought I'm smart and say risk premium includes country risk) | Why would you include country risk? Doesn't risk free rate include it already? (fk ...</x:v>
      </x:c>
    </x:row>
    <x:row r="850" ht="92" customHeight="1">
      <x:c r="A850" s="30" t="str">
        <x:v>QB1334</x:v>
      </x:c>
      <x:c r="B850" s="30" t="str">
        <x:v>Bofa IBD</x:v>
      </x:c>
      <x:c r="C850" s="30" t="str">
        <x:v>IBD / GCM</x:v>
      </x:c>
      <x:c r="D850" s="31" t="str">
        <x:v>Investment accounting (why did i not revise this): company A acquire 30% of a company B with 100 dollars, effect on 3 statement</x:v>
      </x:c>
      <x:c r="E850" s="31" t="str">
        <x:v>Investment accounting (why did i not revise this): company A acquire 30% of a company B with 100 dollars, effect on 3 statement</x:v>
      </x:c>
      <x:c r="F850" s="31" t="str">
        <x:v>Fit &amp; Motivation</x:v>
      </x:c>
      <x:c r="G850" s="30" t="str">
        <x:v>CL0552</x:v>
      </x:c>
      <x:c r="H850" s="32" t="n">
        <x:f>COUNTIF($G$5:$G$1725,G850)</x:f>
        <x:v>1</x:v>
      </x:c>
      <x:c r="I850" s="30" t="str">
        <x:v>A52</x:v>
      </x:c>
      <x:c r="J850" s="31" t="str">
        <x:v>(I thought I'm smart and say risk premium includes country risk) | Why would you include country risk? Doesn't risk free rate include it already? (fk me why did I say that) | Is risk free rate truly risk free? For example US investor inv...</x:v>
      </x:c>
    </x:row>
    <x:row r="851" ht="92" customHeight="1">
      <x:c r="A851" s="30" t="str">
        <x:v>QB1335</x:v>
      </x:c>
      <x:c r="B851" s="30" t="str">
        <x:v>Bofa IBD</x:v>
      </x:c>
      <x:c r="C851" s="30" t="str">
        <x:v>IBD / GCM</x:v>
      </x:c>
      <x:c r="D851" s="31" t="str">
        <x:v>Same situation, and company has 100 dollars profit, how is it reflected on company A 3 statement? (damn so the 30 NI is profit after tax no need tax damn)</x:v>
      </x:c>
      <x:c r="E851" s="31" t="str">
        <x:v>Same situation, and company has 100 dollars profit, how is it reflected on company A 3 statement? (damn so the 30 NI is profit after tax no need tax damn)</x:v>
      </x:c>
      <x:c r="F851" s="31" t="str">
        <x:v>Fit &amp; Motivation</x:v>
      </x:c>
      <x:c r="G851" s="30" t="str">
        <x:v>CL0667</x:v>
      </x:c>
      <x:c r="H851" s="32" t="n">
        <x:f>COUNTIF($G$5:$G$1725,G851)</x:f>
        <x:v>1</x:v>
      </x:c>
      <x:c r="I851" s="30" t="str">
        <x:v>A53</x:v>
      </x:c>
      <x:c r="J851" s="31" t="str">
        <x:v>Why would you include country risk? Doesn't risk free rate include it already? (fk me why did I say that) | Is risk free rate truly risk free? For example US investor investing in China companies? (wtf use China yield - US yield? i dont ...</x:v>
      </x:c>
    </x:row>
    <x:row r="852" ht="68" customHeight="1">
      <x:c r="A852" s="30" t="str">
        <x:v>QB1338</x:v>
      </x:c>
      <x:c r="B852" s="30" t="str">
        <x:v>Bofa IBD</x:v>
      </x:c>
      <x:c r="C852" s="30" t="str">
        <x:v>IBD / GCM</x:v>
      </x:c>
      <x:c r="D852" s="31" t="str">
        <x:v>His self intro</x:v>
      </x:c>
      <x:c r="E852" s="31" t="str">
        <x:v>Tell me about yourself / walk me through your resume</x:v>
      </x:c>
      <x:c r="F852" s="31" t="str">
        <x:v>Resume &amp; Experience</x:v>
      </x:c>
      <x:c r="G852" s="30" t="str">
        <x:v>CL0001</x:v>
      </x:c>
      <x:c r="H852" s="32" t="n">
        <x:f>COUNTIF($G$5:$G$1725,G852)</x:f>
        <x:v>170</x:v>
      </x:c>
      <x:c r="I852" s="30" t="str">
        <x:v>A57</x:v>
      </x:c>
      <x:c r="J852" s="31" t="str">
        <x:v>Same situation, and company has 100 dollars profit, how is it reflected on company A 3 statement? (damn so the 30 NI is profit after tax no need tax damn) | Questions | 24 5th Interview with Bob</x:v>
      </x:c>
    </x:row>
    <x:row r="853" ht="32" customHeight="1">
      <x:c r="A853" s="30" t="str">
        <x:v>QB1339</x:v>
      </x:c>
      <x:c r="B853" s="30" t="str">
        <x:v>Bofa IBD</x:v>
      </x:c>
      <x:c r="C853" s="30" t="str">
        <x:v>IBD / GCM</x:v>
      </x:c>
      <x:c r="D853" s="31" t="str">
        <x:v>My Self intro</x:v>
      </x:c>
      <x:c r="E853" s="31" t="str">
        <x:v>Tell me about yourself / walk me through your resume</x:v>
      </x:c>
      <x:c r="F853" s="31" t="str">
        <x:v>Resume &amp; Experience</x:v>
      </x:c>
      <x:c r="G853" s="30" t="str">
        <x:v>CL0001</x:v>
      </x:c>
      <x:c r="H853" s="32" t="n">
        <x:f>COUNTIF($G$5:$G$1725,G853)</x:f>
        <x:v>170</x:v>
      </x:c>
      <x:c r="I853" s="30" t="str">
        <x:v>A58</x:v>
      </x:c>
      <x:c r="J853" s="31" t="str">
        <x:v>Questions | 24 5th Interview with Bob | His self intro</x:v>
      </x:c>
    </x:row>
    <x:row r="854" ht="32" customHeight="1">
      <x:c r="A854" s="30" t="str">
        <x:v>QB1340</x:v>
      </x:c>
      <x:c r="B854" s="30" t="str">
        <x:v>Bofa IBD</x:v>
      </x:c>
      <x:c r="C854" s="30" t="str">
        <x:v>IBD / GCM</x:v>
      </x:c>
      <x:c r="D854" s="31" t="str">
        <x:v>What is epee fencing? Why fencing and how did you get started?</x:v>
      </x:c>
      <x:c r="E854" s="31" t="str">
        <x:v>What is epee fencing? Why fencing and how did you get started</x:v>
      </x:c>
      <x:c r="F854" s="31" t="str">
        <x:v>Fit &amp; Motivation</x:v>
      </x:c>
      <x:c r="G854" s="30" t="str">
        <x:v>CL0969</x:v>
      </x:c>
      <x:c r="H854" s="32" t="n">
        <x:f>COUNTIF($G$5:$G$1725,G854)</x:f>
        <x:v>1</x:v>
      </x:c>
      <x:c r="I854" s="30" t="str">
        <x:v>A59</x:v>
      </x:c>
      <x:c r="J854" s="31" t="str">
        <x:v>24 5th Interview with Bob | His self intro | My Self intro</x:v>
      </x:c>
    </x:row>
    <x:row r="855" ht="48" customHeight="1">
      <x:c r="A855" s="30" t="str">
        <x:v>QB1341</x:v>
      </x:c>
      <x:c r="B855" s="30" t="str">
        <x:v>Bofa IBD</x:v>
      </x:c>
      <x:c r="C855" s="30" t="str">
        <x:v>IBD / GCM</x:v>
      </x:c>
      <x:c r="D855" s="31" t="str">
        <x:v>Suwen stock initiation: stock pitch, comparable companies how to screen, what multiples you use</x:v>
      </x:c>
      <x:c r="E855" s="31" t="str">
        <x:v>Pitch me a stock</x:v>
      </x:c>
      <x:c r="F855" s="31" t="str">
        <x:v>Valuation</x:v>
      </x:c>
      <x:c r="G855" s="30" t="str">
        <x:v>CL0006</x:v>
      </x:c>
      <x:c r="H855" s="32" t="n">
        <x:f>COUNTIF($G$5:$G$1725,G855)</x:f>
        <x:v>19</x:v>
      </x:c>
      <x:c r="I855" s="30" t="str">
        <x:v>A60</x:v>
      </x:c>
      <x:c r="J855" s="31" t="str">
        <x:v>His self intro | My Self intro | What is epee fencing? Why fencing and how did you get started?</x:v>
      </x:c>
    </x:row>
    <x:row r="856" ht="68" customHeight="1">
      <x:c r="A856" s="30" t="str">
        <x:v>QB1342</x:v>
      </x:c>
      <x:c r="B856" s="30" t="str">
        <x:v>Bofa IBD</x:v>
      </x:c>
      <x:c r="C856" s="30" t="str">
        <x:v>IBD / GCM</x:v>
      </x:c>
      <x:c r="D856" s="31" t="str">
        <x:v>Why use EV/EBITDA instead of PE multiple? (he was looking for NI vs EBITDA reasoning)</x:v>
      </x:c>
      <x:c r="E856" s="31" t="str">
        <x:v>Why use EV/EBITDA instead of PE multiple? (he was looking for NI vs EBITDA reasoning)</x:v>
      </x:c>
      <x:c r="F856" s="31" t="str">
        <x:v>Fit &amp; Motivation</x:v>
      </x:c>
      <x:c r="G856" s="30" t="str">
        <x:v>CL1170</x:v>
      </x:c>
      <x:c r="H856" s="32" t="n">
        <x:f>COUNTIF($G$5:$G$1725,G856)</x:f>
        <x:v>1</x:v>
      </x:c>
      <x:c r="I856" s="30" t="str">
        <x:v>A61</x:v>
      </x:c>
      <x:c r="J856" s="31" t="str">
        <x:v>My Self intro | What is epee fencing? Why fencing and how did you get started? | Suwen stock initiation: stock pitch, comparable companies how to screen, what multiples you use</x:v>
      </x:c>
    </x:row>
    <x:row r="857" ht="68" customHeight="1">
      <x:c r="A857" s="30" t="str">
        <x:v>QB1343</x:v>
      </x:c>
      <x:c r="B857" s="30" t="str">
        <x:v>Bofa IBD</x:v>
      </x:c>
      <x:c r="C857" s="30" t="str">
        <x:v>IBD / GCM</x:v>
      </x:c>
      <x:c r="D857" s="31" t="str">
        <x:v>Dongwei stock initiation: revenue drivers, top-line CAGR, why such high growth?</x:v>
      </x:c>
      <x:c r="E857" s="31" t="str">
        <x:v>Dongwei stock initiation: revenue drivers, top-line CAGR, why such high growth</x:v>
      </x:c>
      <x:c r="F857" s="31" t="str">
        <x:v>Fit &amp; Motivation</x:v>
      </x:c>
      <x:c r="G857" s="30" t="str">
        <x:v>CL0304</x:v>
      </x:c>
      <x:c r="H857" s="32" t="n">
        <x:f>COUNTIF($G$5:$G$1725,G857)</x:f>
        <x:v>1</x:v>
      </x:c>
      <x:c r="I857" s="30" t="str">
        <x:v>A62</x:v>
      </x:c>
      <x:c r="J857" s="31" t="str">
        <x:v>What is epee fencing? Why fencing and how did you get started? | Suwen stock initiation: stock pitch, comparable companies how to screen, what multiples you use | Why use EV/EBITDA instead of PE multiple? (he was looking for NI vs EBITDA...</x:v>
      </x:c>
    </x:row>
    <x:row r="858" ht="92" customHeight="1">
      <x:c r="A858" s="30" t="str">
        <x:v>QB1344</x:v>
      </x:c>
      <x:c r="B858" s="30" t="str">
        <x:v>Bofa IBD</x:v>
      </x:c>
      <x:c r="C858" s="30" t="str">
        <x:v>IBD / GCM</x:v>
      </x:c>
      <x:c r="D858" s="31" t="str">
        <x:v>HKEX: what was your responsibility and what did you learn from it?</x:v>
      </x:c>
      <x:c r="E858" s="31" t="str">
        <x:v>HKEX: what was your responsibility and what did you learn from it</x:v>
      </x:c>
      <x:c r="F858" s="31" t="str">
        <x:v>Resume &amp; Experience</x:v>
      </x:c>
      <x:c r="G858" s="30" t="str">
        <x:v>CL0367</x:v>
      </x:c>
      <x:c r="H858" s="32" t="n">
        <x:f>COUNTIF($G$5:$G$1725,G858)</x:f>
        <x:v>1</x:v>
      </x:c>
      <x:c r="I858" s="30" t="str">
        <x:v>A63</x:v>
      </x:c>
      <x:c r="J858" s="31" t="str">
        <x:v>Suwen stock initiation: stock pitch, comparable companies how to screen, what multiples you use | Why use EV/EBITDA instead of PE multiple? (he was looking for NI vs EBITDA reasoning) | Dongwei stock initiation: revenue drivers, top-line...</x:v>
      </x:c>
    </x:row>
    <x:row r="859" ht="68" customHeight="1">
      <x:c r="A859" s="30" t="str">
        <x:v>QB1345</x:v>
      </x:c>
      <x:c r="B859" s="30" t="str">
        <x:v>Bofa IBD</x:v>
      </x:c>
      <x:c r="C859" s="30" t="str">
        <x:v>IBD / GCM</x:v>
      </x:c>
      <x:c r="D859" s="31" t="str">
        <x:v>Preference towards industry group?</x:v>
      </x:c>
      <x:c r="E859" s="31" t="str">
        <x:v>Preference towards industry group</x:v>
      </x:c>
      <x:c r="F859" s="31" t="str">
        <x:v>Company, Industry &amp; Deals</x:v>
      </x:c>
      <x:c r="G859" s="30" t="str">
        <x:v>CL0649</x:v>
      </x:c>
      <x:c r="H859" s="32" t="n">
        <x:f>COUNTIF($G$5:$G$1725,G859)</x:f>
        <x:v>1</x:v>
      </x:c>
      <x:c r="I859" s="30" t="str">
        <x:v>A64</x:v>
      </x:c>
      <x:c r="J859" s="31" t="str">
        <x:v>Why use EV/EBITDA instead of PE multiple? (he was looking for NI vs EBITDA reasoning) | Dongwei stock initiation: revenue drivers, top-line CAGR, why such high growth? | HKEX: what was your responsibility and what did you learn from it?</x:v>
      </x:c>
    </x:row>
    <x:row r="860" ht="68" customHeight="1">
      <x:c r="A860" s="30" t="str">
        <x:v>QB1346</x:v>
      </x:c>
      <x:c r="B860" s="30" t="str">
        <x:v>Bofa IBD</x:v>
      </x:c>
      <x:c r="C860" s="30" t="str">
        <x:v>IBD / GCM</x:v>
      </x:c>
      <x:c r="D860" s="31" t="str">
        <x:v>Why Bofa?</x:v>
      </x:c>
      <x:c r="E860" s="31" t="str">
        <x:v>Why this firm?</x:v>
      </x:c>
      <x:c r="F860" s="31" t="str">
        <x:v>Fit &amp; Motivation</x:v>
      </x:c>
      <x:c r="G860" s="30" t="str">
        <x:v>CL0002</x:v>
      </x:c>
      <x:c r="H860" s="32" t="n">
        <x:f>COUNTIF($G$5:$G$1725,G860)</x:f>
        <x:v>39</x:v>
      </x:c>
      <x:c r="I860" s="30" t="str">
        <x:v>A65</x:v>
      </x:c>
      <x:c r="J860" s="31" t="str">
        <x:v>Dongwei stock initiation: revenue drivers, top-line CAGR, why such high growth? | HKEX: what was your responsibility and what did you learn from it? | Preference towards industry group?</x:v>
      </x:c>
    </x:row>
    <x:row r="861" ht="48" customHeight="1">
      <x:c r="A861" s="30" t="str">
        <x:v>QB1353</x:v>
      </x:c>
      <x:c r="B861" s="30" t="str">
        <x:v>Bofa IBD</x:v>
      </x:c>
      <x:c r="C861" s="30" t="str">
        <x:v>IBD / GCM</x:v>
      </x:c>
      <x:c r="D861" s="31" t="str">
        <x:v>Self Intro and ask bg: where did you grow up in, where is high school, HKU?</x:v>
      </x:c>
      <x:c r="E861" s="31" t="str">
        <x:v>Tell me about yourself / walk me through your resume</x:v>
      </x:c>
      <x:c r="F861" s="31" t="str">
        <x:v>Resume &amp; Experience</x:v>
      </x:c>
      <x:c r="G861" s="30" t="str">
        <x:v>CL0001</x:v>
      </x:c>
      <x:c r="H861" s="32" t="n">
        <x:f>COUNTIF($G$5:$G$1725,G861)</x:f>
        <x:v>170</x:v>
      </x:c>
      <x:c r="I861" s="30" t="str">
        <x:v>C71</x:v>
      </x:c>
      <x:c r="J861" s="31" t="str">
        <x:v>Overall went deep into cv exp and asked technical questions based on them | 2025 SA Emily | 8 1st Round (By Sam Hsu Asso)</x:v>
      </x:c>
    </x:row>
    <x:row r="862" ht="32" customHeight="1">
      <x:c r="A862" s="30" t="str">
        <x:v>QB1354</x:v>
      </x:c>
      <x:c r="B862" s="30" t="str">
        <x:v>Bofa IBD</x:v>
      </x:c>
      <x:c r="C862" s="30" t="str">
        <x:v>IBD / GCM</x:v>
      </x:c>
      <x:c r="D862" s="31" t="str">
        <x:v>Self intro</x:v>
      </x:c>
      <x:c r="E862" s="31" t="str">
        <x:v>Tell me about yourself / walk me through your resume</x:v>
      </x:c>
      <x:c r="F862" s="31" t="str">
        <x:v>Resume &amp; Experience</x:v>
      </x:c>
      <x:c r="G862" s="30" t="str">
        <x:v>CL0001</x:v>
      </x:c>
      <x:c r="H862" s="32" t="n">
        <x:f>COUNTIF($G$5:$G$1725,G862)</x:f>
        <x:v>170</x:v>
      </x:c>
      <x:c r="I862" s="30" t="str">
        <x:v>A72</x:v>
      </x:c>
      <x:c r="J862" s="31" t="str">
        <x:v>2025 FT | 1st Round Jimmy | 8 Andy Shin, M&amp;A</x:v>
      </x:c>
    </x:row>
    <x:row r="863" ht="48" customHeight="1">
      <x:c r="A863" s="30" t="str">
        <x:v>QB1355</x:v>
      </x:c>
      <x:c r="B863" s="30" t="str">
        <x:v>Bofa IBD</x:v>
      </x:c>
      <x:c r="C863" s="30" t="str">
        <x:v>IBD / GCM</x:v>
      </x:c>
      <x:c r="D863" s="31" t="str">
        <x:v>Why no return? Did you seek feedback from people you worked with?</x:v>
      </x:c>
      <x:c r="E863" s="31" t="str">
        <x:v>Why no return? Did you seek feedback from people you worked with</x:v>
      </x:c>
      <x:c r="F863" s="31" t="str">
        <x:v>Fit &amp; Motivation</x:v>
      </x:c>
      <x:c r="G863" s="30" t="str">
        <x:v>CL1154</x:v>
      </x:c>
      <x:c r="H863" s="32" t="n">
        <x:f>COUNTIF($G$5:$G$1725,G863)</x:f>
        <x:v>1</x:v>
      </x:c>
      <x:c r="I863" s="30" t="str">
        <x:v>C72</x:v>
      </x:c>
      <x:c r="J863" s="31" t="str">
        <x:v>2025 SA Emily | 8 1st Round (By Sam Hsu Asso) | Self Intro and ask bg: where did you grow up in, where is high school, HKU?</x:v>
      </x:c>
    </x:row>
    <x:row r="864" ht="32" customHeight="1">
      <x:c r="A864" s="30" t="str">
        <x:v>QB1356</x:v>
      </x:c>
      <x:c r="B864" s="30" t="str">
        <x:v>Bofa IBD</x:v>
      </x:c>
      <x:c r="C864" s="30" t="str">
        <x:v>IBD / GCM</x:v>
      </x:c>
      <x:c r="D864" s="31" t="str">
        <x:v>Why IBD</x:v>
      </x:c>
      <x:c r="E864" s="31" t="str">
        <x:v>Why investment banking?</x:v>
      </x:c>
      <x:c r="F864" s="31" t="str">
        <x:v>Fit &amp; Motivation</x:v>
      </x:c>
      <x:c r="G864" s="30" t="str">
        <x:v>CL0003</x:v>
      </x:c>
      <x:c r="H864" s="32" t="n">
        <x:f>COUNTIF($G$5:$G$1725,G864)</x:f>
        <x:v>34</x:v>
      </x:c>
      <x:c r="I864" s="30" t="str">
        <x:v>A73</x:v>
      </x:c>
      <x:c r="J864" s="31" t="str">
        <x:v>1st Round Jimmy | 8 Andy Shin, M&amp;A | Self intro</x:v>
      </x:c>
    </x:row>
    <x:row r="865" ht="68" customHeight="1">
      <x:c r="A865" s="30" t="str">
        <x:v>QB1357</x:v>
      </x:c>
      <x:c r="B865" s="30" t="str">
        <x:v>Bofa IBD</x:v>
      </x:c>
      <x:c r="C865" s="30" t="str">
        <x:v>IBD / GCM</x:v>
      </x:c>
      <x:c r="D865" s="31" t="str">
        <x:v>Daiwa energy storage: walk me through industry, trends, company, highlight</x:v>
      </x:c>
      <x:c r="E865" s="31" t="str">
        <x:v>Daiwa energy storage: walk me through industry, trends, company, highlight</x:v>
      </x:c>
      <x:c r="F865" s="31" t="str">
        <x:v>Company, Industry &amp; Deals</x:v>
      </x:c>
      <x:c r="G865" s="30" t="str">
        <x:v>CL0217</x:v>
      </x:c>
      <x:c r="H865" s="32" t="n">
        <x:f>COUNTIF($G$5:$G$1725,G865)</x:f>
        <x:v>1</x:v>
      </x:c>
      <x:c r="I865" s="30" t="str">
        <x:v>C73</x:v>
      </x:c>
      <x:c r="J865" s="31" t="str">
        <x:v>8 1st Round (By Sam Hsu Asso) | Self Intro and ask bg: where did you grow up in, where is high school, HKU? | Why no return? Did you seek feedback from people you worked with?</x:v>
      </x:c>
    </x:row>
    <x:row r="866" ht="32" customHeight="1">
      <x:c r="A866" s="30" t="str">
        <x:v>QB1358</x:v>
      </x:c>
      <x:c r="B866" s="30" t="str">
        <x:v>Bofa IBD</x:v>
      </x:c>
      <x:c r="C866" s="30" t="str">
        <x:v>IBD / GCM</x:v>
      </x:c>
      <x:c r="D866" s="31" t="str">
        <x:v>Tell me about the SEA hospital platform, is it RSD?</x:v>
      </x:c>
      <x:c r="E866" s="31" t="str">
        <x:v>Tell me about the SEA hospital platform, is it RSD</x:v>
      </x:c>
      <x:c r="F866" s="31" t="str">
        <x:v>Accounting &amp; Financial Statements</x:v>
      </x:c>
      <x:c r="G866" s="30" t="str">
        <x:v>CL0746</x:v>
      </x:c>
      <x:c r="H866" s="32" t="n">
        <x:f>COUNTIF($G$5:$G$1725,G866)</x:f>
        <x:v>1</x:v>
      </x:c>
      <x:c r="I866" s="30" t="str">
        <x:v>A74</x:v>
      </x:c>
      <x:c r="J866" s="31" t="str">
        <x:v>8 Andy Shin, M&amp;A | Self intro | Why IBD</x:v>
      </x:c>
    </x:row>
    <x:row r="867" ht="68" customHeight="1">
      <x:c r="A867" s="30" t="str">
        <x:v>QB1359</x:v>
      </x:c>
      <x:c r="B867" s="30" t="str">
        <x:v>Bofa IBD</x:v>
      </x:c>
      <x:c r="C867" s="30" t="str">
        <x:v>IBD / GCM</x:v>
      </x:c>
      <x:c r="D867" s="31" t="str">
        <x:v>How is the electricity price like in China? Fluctuate to market or fixed?</x:v>
      </x:c>
      <x:c r="E867" s="31" t="str">
        <x:v>How is the electricity price like in China? Fluctuate to market or fixed</x:v>
      </x:c>
      <x:c r="F867" s="31" t="str">
        <x:v>Accounting &amp; Financial Statements</x:v>
      </x:c>
      <x:c r="G867" s="30" t="str">
        <x:v>CL0447</x:v>
      </x:c>
      <x:c r="H867" s="32" t="n">
        <x:f>COUNTIF($G$5:$G$1725,G867)</x:f>
        <x:v>1</x:v>
      </x:c>
      <x:c r="I867" s="30" t="str">
        <x:v>C74</x:v>
      </x:c>
      <x:c r="J867" s="31" t="str">
        <x:v>Self Intro and ask bg: where did you grow up in, where is high school, HKU? | Why no return? Did you seek feedback from people you worked with? | Daiwa energy storage: walk me through industry, trends, company, highlight</x:v>
      </x:c>
    </x:row>
    <x:row r="868" ht="32" customHeight="1">
      <x:c r="A868" s="30" t="str">
        <x:v>QB1360</x:v>
      </x:c>
      <x:c r="B868" s="30" t="str">
        <x:v>Bofa IBD</x:v>
      </x:c>
      <x:c r="C868" s="30" t="str">
        <x:v>IBD / GCM</x:v>
      </x:c>
      <x:c r="D868" s="31" t="str">
        <x:v>What is its valuation, what is your view on it</x:v>
      </x:c>
      <x:c r="E868" s="31" t="str">
        <x:v>What is its valuation, what is your view on it</x:v>
      </x:c>
      <x:c r="F868" s="31" t="str">
        <x:v>Accounting &amp; Financial Statements</x:v>
      </x:c>
      <x:c r="G868" s="30" t="str">
        <x:v>CL0971</x:v>
      </x:c>
      <x:c r="H868" s="32" t="n">
        <x:f>COUNTIF($G$5:$G$1725,G868)</x:f>
        <x:v>1</x:v>
      </x:c>
      <x:c r="I868" s="30" t="str">
        <x:v>A75</x:v>
      </x:c>
      <x:c r="J868" s="31" t="str">
        <x:v>Self intro | Why IBD | Tell me about the SEA hospital platform, is it RSD?</x:v>
      </x:c>
    </x:row>
    <x:row r="869" ht="68" customHeight="1">
      <x:c r="A869" s="30" t="str">
        <x:v>QB1361</x:v>
      </x:c>
      <x:c r="B869" s="30" t="str">
        <x:v>Bofa IBD</x:v>
      </x:c>
      <x:c r="C869" s="30" t="str">
        <x:v>IBD / GCM</x:v>
      </x:c>
      <x:c r="D869" s="31" t="str">
        <x:v>Is the electricity connected to the grid?</x:v>
      </x:c>
      <x:c r="E869" s="31" t="str">
        <x:v>Is the electricity connected to the grid</x:v>
      </x:c>
      <x:c r="F869" s="31" t="str">
        <x:v>Accounting &amp; Financial Statements</x:v>
      </x:c>
      <x:c r="G869" s="30" t="str">
        <x:v>CL0559</x:v>
      </x:c>
      <x:c r="H869" s="32" t="n">
        <x:f>COUNTIF($G$5:$G$1725,G869)</x:f>
        <x:v>1</x:v>
      </x:c>
      <x:c r="I869" s="30" t="str">
        <x:v>C75</x:v>
      </x:c>
      <x:c r="J869" s="31" t="str">
        <x:v>Why no return? Did you seek feedback from people you worked with? | Daiwa energy storage: walk me through industry, trends, company, highlight | How is the electricity price like in China? Fluctuate to market or fixed?</x:v>
      </x:c>
    </x:row>
    <x:row r="870" ht="48" customHeight="1">
      <x:c r="A870" s="30" t="str">
        <x:v>QB1362</x:v>
      </x:c>
      <x:c r="B870" s="30" t="str">
        <x:v>Bofa IBD</x:v>
      </x:c>
      <x:c r="C870" s="30" t="str">
        <x:v>IBD / GCM</x:v>
      </x:c>
      <x:c r="D870" s="31" t="str">
        <x:v>Why use EV/EBITDA</x:v>
      </x:c>
      <x:c r="E870" s="31" t="str">
        <x:v>Why use EV/EBITDA</x:v>
      </x:c>
      <x:c r="F870" s="31" t="str">
        <x:v>Fit &amp; Motivation</x:v>
      </x:c>
      <x:c r="G870" s="30" t="str">
        <x:v>CL1168</x:v>
      </x:c>
      <x:c r="H870" s="32" t="n">
        <x:f>COUNTIF($G$5:$G$1725,G870)</x:f>
        <x:v>1</x:v>
      </x:c>
      <x:c r="I870" s="30" t="str">
        <x:v>A76</x:v>
      </x:c>
      <x:c r="J870" s="31" t="str">
        <x:v>Why IBD | Tell me about the SEA hospital platform, is it RSD? | What is its valuation, what is your view on it</x:v>
      </x:c>
    </x:row>
    <x:row r="871" ht="68" customHeight="1">
      <x:c r="A871" s="30" t="str">
        <x:v>QB1363</x:v>
      </x:c>
      <x:c r="B871" s="30" t="str">
        <x:v>Bofa IBD</x:v>
      </x:c>
      <x:c r="C871" s="30" t="str">
        <x:v>IBD / GCM</x:v>
      </x:c>
      <x:c r="D871" s="31" t="str">
        <x:v>UBS walk me through a deal you worked on (Oil vessel)</x:v>
      </x:c>
      <x:c r="E871" s="31" t="str">
        <x:v>Walk me through a deal you worked on</x:v>
      </x:c>
      <x:c r="F871" s="31" t="str">
        <x:v>Resume &amp; Experience</x:v>
      </x:c>
      <x:c r="G871" s="30" t="str">
        <x:v>CL0017</x:v>
      </x:c>
      <x:c r="H871" s="32" t="n">
        <x:f>COUNTIF($G$5:$G$1725,G871)</x:f>
        <x:v>8</x:v>
      </x:c>
      <x:c r="I871" s="30" t="str">
        <x:v>C76</x:v>
      </x:c>
      <x:c r="J871" s="31" t="str">
        <x:v>Daiwa energy storage: walk me through industry, trends, company, highlight | How is the electricity price like in China? Fluctuate to market or fixed? | Is the electricity connected to the grid?</x:v>
      </x:c>
    </x:row>
    <x:row r="872" ht="48" customHeight="1">
      <x:c r="A872" s="30" t="str">
        <x:v>QB1364</x:v>
      </x:c>
      <x:c r="B872" s="30" t="str">
        <x:v>Bofa IBD</x:v>
      </x:c>
      <x:c r="C872" s="30" t="str">
        <x:v>IBD / GCM</x:v>
      </x:c>
      <x:c r="D872" s="31" t="str">
        <x:v>Why do you think it is a resonable price?</x:v>
      </x:c>
      <x:c r="E872" s="31" t="str">
        <x:v>Why do you think it is a resonable price</x:v>
      </x:c>
      <x:c r="F872" s="31" t="str">
        <x:v>Fit &amp; Motivation</x:v>
      </x:c>
      <x:c r="G872" s="30" t="str">
        <x:v>CL1129</x:v>
      </x:c>
      <x:c r="H872" s="32" t="n">
        <x:f>COUNTIF($G$5:$G$1725,G872)</x:f>
        <x:v>1</x:v>
      </x:c>
      <x:c r="I872" s="30" t="str">
        <x:v>A77</x:v>
      </x:c>
      <x:c r="J872" s="31" t="str">
        <x:v>Tell me about the SEA hospital platform, is it RSD? | What is its valuation, what is your view on it | Why use EV/EBITDA</x:v>
      </x:c>
    </x:row>
    <x:row r="873" ht="68" customHeight="1">
      <x:c r="A873" s="30" t="str">
        <x:v>QB1365</x:v>
      </x:c>
      <x:c r="B873" s="30" t="str">
        <x:v>Bofa IBD</x:v>
      </x:c>
      <x:c r="C873" s="30" t="str">
        <x:v>IBD / GCM</x:v>
      </x:c>
      <x:c r="D873" s="31" t="str">
        <x:v>How is the orderbook being calculated? (Drilled for 2 times)</x:v>
      </x:c>
      <x:c r="E873" s="31" t="str">
        <x:v>How is the orderbook being calculated? (Drilled for 2 times)</x:v>
      </x:c>
      <x:c r="F873" s="31" t="str">
        <x:v>Accounting &amp; Financial Statements</x:v>
      </x:c>
      <x:c r="G873" s="30" t="str">
        <x:v>CL0450</x:v>
      </x:c>
      <x:c r="H873" s="32" t="n">
        <x:f>COUNTIF($G$5:$G$1725,G873)</x:f>
        <x:v>1</x:v>
      </x:c>
      <x:c r="I873" s="30" t="str">
        <x:v>C77</x:v>
      </x:c>
      <x:c r="J873" s="31" t="str">
        <x:v>How is the electricity price like in China? Fluctuate to market or fixed? | Is the electricity connected to the grid? | UBS walk me through a deal you worked on (Oil vessel)</x:v>
      </x:c>
    </x:row>
    <x:row r="874" ht="68" customHeight="1">
      <x:c r="A874" s="30" t="str">
        <x:v>QB1366</x:v>
      </x:c>
      <x:c r="B874" s="30" t="str">
        <x:v>Bofa IBD</x:v>
      </x:c>
      <x:c r="C874" s="30" t="str">
        <x:v>IBD / GCM</x:v>
      </x:c>
      <x:c r="D874" s="31" t="str">
        <x:v>Two companies A has $100 Asset, $60 Liability, $40 Equity, B has $60 Asset, $40 Liability, $20 Equity, A acquires 50% equity in B for $30 and gains control, what is the change in balance sheet?</x:v>
      </x:c>
      <x:c r="E874" s="31" t="str">
        <x:v>Two companies A has $100 Asset, $60 Liability, $40 Equity, B has $60 Asset, $40 Liability, $20 Equity, A acquires 50% equity in B for $30 and gains control, what is the change in balance sheet</x:v>
      </x:c>
      <x:c r="F874" s="31" t="str">
        <x:v>Accounting &amp; Financial Statements</x:v>
      </x:c>
      <x:c r="G874" s="30" t="str">
        <x:v>CL0805</x:v>
      </x:c>
      <x:c r="H874" s="32" t="n">
        <x:f>COUNTIF($G$5:$G$1725,G874)</x:f>
        <x:v>1</x:v>
      </x:c>
      <x:c r="I874" s="30" t="str">
        <x:v>A78</x:v>
      </x:c>
      <x:c r="J874" s="31" t="str">
        <x:v>What is its valuation, what is your view on it | Why use EV/EBITDA | Why do you think it is a resonable price?</x:v>
      </x:c>
    </x:row>
    <x:row r="875" ht="68" customHeight="1">
      <x:c r="A875" s="30" t="str">
        <x:v>QB1368</x:v>
      </x:c>
      <x:c r="B875" s="30" t="str">
        <x:v>Bofa IBD</x:v>
      </x:c>
      <x:c r="C875" s="30" t="str">
        <x:v>IBD / GCM</x:v>
      </x:c>
      <x:c r="D875" s="31" t="str">
        <x:v>Any account to be created and why?</x:v>
      </x:c>
      <x:c r="E875" s="31" t="str">
        <x:v>Any account to be created and why</x:v>
      </x:c>
      <x:c r="F875" s="31" t="str">
        <x:v>Other Question</x:v>
      </x:c>
      <x:c r="G875" s="30" t="str">
        <x:v>CL0111</x:v>
      </x:c>
      <x:c r="H875" s="32" t="n">
        <x:f>COUNTIF($G$5:$G$1725,G875)</x:f>
        <x:v>1</x:v>
      </x:c>
      <x:c r="I875" s="30" t="str">
        <x:v>A79</x:v>
      </x:c>
      <x:c r="J875" s="31" t="str">
        <x:v>Why use EV/EBITDA | Why do you think it is a resonable price? | Two companies A has $100 Asset, $60 Liability, $40 Equity, B has $60 Asset, $40 Liability, $20 Equity, A acquires 50% equity in B for $30 and gains control, what is the chan...</x:v>
      </x:c>
    </x:row>
    <x:row r="876" ht="48" customHeight="1">
      <x:c r="A876" s="30" t="str">
        <x:v>QB1369</x:v>
      </x:c>
      <x:c r="B876" s="30" t="str">
        <x:v>Bofa IBD</x:v>
      </x:c>
      <x:c r="C876" s="30" t="str">
        <x:v>IBD / GCM</x:v>
      </x:c>
      <x:c r="D876" s="31" t="str">
        <x:v>Walk me through impact of dividend and NI of A if A holds 30% of B. How about if A holds 80% of B? (Only qualitative walk through)</x:v>
      </x:c>
      <x:c r="E876" s="31" t="str">
        <x:v>Walk me through impact of dividend and NI of A if A holds 30% of B. How about if A holds 80% of B? (Only qualitative walk through)</x:v>
      </x:c>
      <x:c r="F876" s="31" t="str">
        <x:v>Other Question</x:v>
      </x:c>
      <x:c r="G876" s="30" t="str">
        <x:v>CL0832</x:v>
      </x:c>
      <x:c r="H876" s="32" t="n">
        <x:f>COUNTIF($G$5:$G$1725,G876)</x:f>
        <x:v>1</x:v>
      </x:c>
      <x:c r="I876" s="30" t="str">
        <x:v>C79</x:v>
      </x:c>
      <x:c r="J876" s="31" t="str">
        <x:v>UBS walk me through a deal you worked on (Oil vessel) | How is the orderbook being calculated? (Drilled for 2 times) | More follow up questions</x:v>
      </x:c>
    </x:row>
    <x:row r="877" ht="92" customHeight="1">
      <x:c r="A877" s="30" t="str">
        <x:v>QB1370</x:v>
      </x:c>
      <x:c r="B877" s="30" t="str">
        <x:v>Bofa IBD</x:v>
      </x:c>
      <x:c r="C877" s="30" t="str">
        <x:v>IBD / GCM</x:v>
      </x:c>
      <x:c r="D877" s="31" t="str">
        <x:v>What is goodwill?</x:v>
      </x:c>
      <x:c r="E877" s="31" t="str">
        <x:v>What is goodwill</x:v>
      </x:c>
      <x:c r="F877" s="31" t="str">
        <x:v>Accounting &amp; Financial Statements</x:v>
      </x:c>
      <x:c r="G877" s="30" t="str">
        <x:v>CL0046</x:v>
      </x:c>
      <x:c r="H877" s="32" t="n">
        <x:f>COUNTIF($G$5:$G$1725,G877)</x:f>
        <x:v>2</x:v>
      </x:c>
      <x:c r="I877" s="30" t="str">
        <x:v>A80</x:v>
      </x:c>
      <x:c r="J877" s="31" t="str">
        <x:v>Why do you think it is a resonable price? | Two companies A has $100 Asset, $60 Liability, $40 Equity, B has $60 Asset, $40 Liability, $20 Equity, A acquires 50% equity in B for $30 and gains control, what is the change in balance sheet?...</x:v>
      </x:c>
    </x:row>
    <x:row r="878" ht="32" customHeight="1">
      <x:c r="A878" s="30" t="str">
        <x:v>QB1373</x:v>
      </x:c>
      <x:c r="B878" s="30" t="str">
        <x:v>Bofa IBD</x:v>
      </x:c>
      <x:c r="C878" s="30" t="str">
        <x:v>IBD / GCM</x:v>
      </x:c>
      <x:c r="D878" s="31" t="str">
        <x:v>Self intro</x:v>
      </x:c>
      <x:c r="E878" s="31" t="str">
        <x:v>Tell me about yourself / walk me through your resume</x:v>
      </x:c>
      <x:c r="F878" s="31" t="str">
        <x:v>Resume &amp; Experience</x:v>
      </x:c>
      <x:c r="G878" s="30" t="str">
        <x:v>CL0001</x:v>
      </x:c>
      <x:c r="H878" s="32" t="n">
        <x:f>COUNTIF($G$5:$G$1725,G878)</x:f>
        <x:v>170</x:v>
      </x:c>
      <x:c r="I878" s="30" t="str">
        <x:v>A83</x:v>
      </x:c>
      <x:c r="J878" s="31" t="str">
        <x:v>Any account to be created and why? | What is goodwill? | 8 Tim Tian, FSG</x:v>
      </x:c>
    </x:row>
    <x:row r="879" ht="68" customHeight="1">
      <x:c r="A879" s="30" t="str">
        <x:v>QB1374</x:v>
      </x:c>
      <x:c r="B879" s="30" t="str">
        <x:v>Bofa IBD</x:v>
      </x:c>
      <x:c r="C879" s="30" t="str">
        <x:v>IBD / GCM</x:v>
      </x:c>
      <x:c r="D879" s="31" t="str">
        <x:v>Self Intro, why would you want to work with us?</x:v>
      </x:c>
      <x:c r="E879" s="31" t="str">
        <x:v>Tell me about yourself / walk me through your resume</x:v>
      </x:c>
      <x:c r="F879" s="31" t="str">
        <x:v>Fit &amp; Motivation</x:v>
      </x:c>
      <x:c r="G879" s="30" t="str">
        <x:v>CL0001</x:v>
      </x:c>
      <x:c r="H879" s="32" t="n">
        <x:f>COUNTIF($G$5:$G$1725,G879)</x:f>
        <x:v>170</x:v>
      </x:c>
      <x:c r="I879" s="30" t="str">
        <x:v>C83</x:v>
      </x:c>
      <x:c r="J879" s="31" t="str">
        <x:v>More follow up questions | Walk me through impact of dividend and NI of A if A holds 30% of B. How about if A holds 80% of B? (Only qualitative walk through) | 8 2nd Round (By Jenny Jia)</x:v>
      </x:c>
    </x:row>
    <x:row r="880" ht="32" customHeight="1">
      <x:c r="A880" s="30" t="str">
        <x:v>QB1375</x:v>
      </x:c>
      <x:c r="B880" s="30" t="str">
        <x:v>Bofa IBD</x:v>
      </x:c>
      <x:c r="C880" s="30" t="str">
        <x:v>IBD / GCM</x:v>
      </x:c>
      <x:c r="D880" s="31" t="str">
        <x:v>Tell me about a deal you've down at BlackRock</x:v>
      </x:c>
      <x:c r="E880" s="31" t="str">
        <x:v>Tell me about a deal you've down at BlackRock</x:v>
      </x:c>
      <x:c r="F880" s="31" t="str">
        <x:v>Company, Industry &amp; Deals</x:v>
      </x:c>
      <x:c r="G880" s="30" t="str">
        <x:v>CL0722</x:v>
      </x:c>
      <x:c r="H880" s="32" t="n">
        <x:f>COUNTIF($G$5:$G$1725,G880)</x:f>
        <x:v>1</x:v>
      </x:c>
      <x:c r="I880" s="30" t="str">
        <x:v>A84</x:v>
      </x:c>
      <x:c r="J880" s="31" t="str">
        <x:v>What is goodwill? | 8 Tim Tian, FSG | Self intro</x:v>
      </x:c>
    </x:row>
    <x:row r="881" ht="68" customHeight="1">
      <x:c r="A881" s="30" t="str">
        <x:v>QB1376</x:v>
      </x:c>
      <x:c r="B881" s="30" t="str">
        <x:v>Bofa IBD</x:v>
      </x:c>
      <x:c r="C881" s="30" t="str">
        <x:v>IBD / GCM</x:v>
      </x:c>
      <x:c r="D881" s="31" t="str">
        <x:v>Why no return? What was the feedback you got? What specific techncial skills you lack? What project was it</x:v>
      </x:c>
      <x:c r="E881" s="31" t="str">
        <x:v>Why no return? What was the feedback you got? What specific techncial skills you lack? What project was it</x:v>
      </x:c>
      <x:c r="F881" s="31" t="str">
        <x:v>Fit &amp; Motivation</x:v>
      </x:c>
      <x:c r="G881" s="30" t="str">
        <x:v>CL1155</x:v>
      </x:c>
      <x:c r="H881" s="32" t="n">
        <x:f>COUNTIF($G$5:$G$1725,G881)</x:f>
        <x:v>1</x:v>
      </x:c>
      <x:c r="I881" s="30" t="str">
        <x:v>C84</x:v>
      </x:c>
      <x:c r="J881" s="31" t="str">
        <x:v>Walk me through impact of dividend and NI of A if A holds 30% of B. How about if A holds 80% of B? (Only qualitative walk through) | 8 2nd Round (By Jenny Jia) | Self Intro, why would you want to work with us?</x:v>
      </x:c>
    </x:row>
    <x:row r="882" ht="32" customHeight="1">
      <x:c r="A882" s="30" t="str">
        <x:v>QB1377</x:v>
      </x:c>
      <x:c r="B882" s="30" t="str">
        <x:v>Bofa IBD</x:v>
      </x:c>
      <x:c r="C882" s="30" t="str">
        <x:v>IBD / GCM</x:v>
      </x:c>
      <x:c r="D882" s="31" t="str">
        <x:v>How is your view on the EV/EBITDA</x:v>
      </x:c>
      <x:c r="E882" s="31" t="str">
        <x:v>How is your view on the EV/EBITDA</x:v>
      </x:c>
      <x:c r="F882" s="31" t="str">
        <x:v>Accounting &amp; Financial Statements</x:v>
      </x:c>
      <x:c r="G882" s="30" t="str">
        <x:v>CL0451</x:v>
      </x:c>
      <x:c r="H882" s="32" t="n">
        <x:f>COUNTIF($G$5:$G$1725,G882)</x:f>
        <x:v>1</x:v>
      </x:c>
      <x:c r="I882" s="30" t="str">
        <x:v>A85</x:v>
      </x:c>
      <x:c r="J882" s="31" t="str">
        <x:v>8 Tim Tian, FSG | Self intro | Tell me about a deal you've down at BlackRock</x:v>
      </x:c>
    </x:row>
    <x:row r="883" ht="68" customHeight="1">
      <x:c r="A883" s="30" t="str">
        <x:v>QB1378</x:v>
      </x:c>
      <x:c r="B883" s="30" t="str">
        <x:v>Bofa IBD</x:v>
      </x:c>
      <x:c r="C883" s="30" t="str">
        <x:v>IBD / GCM</x:v>
      </x:c>
      <x:c r="D883" s="31" t="str">
        <x:v>For the credit analysis, what was the revenue build up? How did you do the model ?</x:v>
      </x:c>
      <x:c r="E883" s="31" t="str">
        <x:v>For the credit analysis, what was the revenue build up? How did you do the model</x:v>
      </x:c>
      <x:c r="F883" s="31" t="str">
        <x:v>Company, Industry &amp; Deals</x:v>
      </x:c>
      <x:c r="G883" s="30" t="str">
        <x:v>CL0333</x:v>
      </x:c>
      <x:c r="H883" s="32" t="n">
        <x:f>COUNTIF($G$5:$G$1725,G883)</x:f>
        <x:v>1</x:v>
      </x:c>
      <x:c r="I883" s="30" t="str">
        <x:v>C85</x:v>
      </x:c>
      <x:c r="J883" s="31" t="str">
        <x:v>8 2nd Round (By Jenny Jia) | Self Intro, why would you want to work with us? | Why no return? What was the feedback you got? What specific techncial skills you lack? What project was it</x:v>
      </x:c>
    </x:row>
    <x:row r="884" ht="48" customHeight="1">
      <x:c r="A884" s="30" t="str">
        <x:v>QB1379</x:v>
      </x:c>
      <x:c r="B884" s="30" t="str">
        <x:v>Bofa IBD</x:v>
      </x:c>
      <x:c r="C884" s="30" t="str">
        <x:v>IBD / GCM</x:v>
      </x:c>
      <x:c r="D884" s="31" t="str">
        <x:v>Any protection if indian premium collapse in the future, how would you plan to save the valuation?</x:v>
      </x:c>
      <x:c r="E884" s="31" t="str">
        <x:v>Any protection if indian premium collapse in the future, how would you plan to save the valuation</x:v>
      </x:c>
      <x:c r="F884" s="31" t="str">
        <x:v>Valuation</x:v>
      </x:c>
      <x:c r="G884" s="30" t="str">
        <x:v>CL0120</x:v>
      </x:c>
      <x:c r="H884" s="32" t="n">
        <x:f>COUNTIF($G$5:$G$1725,G884)</x:f>
        <x:v>1</x:v>
      </x:c>
      <x:c r="I884" s="30" t="str">
        <x:v>A86</x:v>
      </x:c>
      <x:c r="J884" s="31" t="str">
        <x:v>Self intro | Tell me about a deal you've down at BlackRock | How is your view on the EV/EBITDA</x:v>
      </x:c>
    </x:row>
    <x:row r="885" ht="68" customHeight="1">
      <x:c r="A885" s="30" t="str">
        <x:v>QB1380</x:v>
      </x:c>
      <x:c r="B885" s="30" t="str">
        <x:v>Bofa IBD</x:v>
      </x:c>
      <x:c r="C885" s="30" t="str">
        <x:v>IBD / GCM</x:v>
      </x:c>
      <x:c r="D885" s="31" t="str">
        <x:v>Walk me through a valuation project you had</x:v>
      </x:c>
      <x:c r="E885" s="31" t="str">
        <x:v>Walk me through a valuation project you had</x:v>
      </x:c>
      <x:c r="F885" s="31" t="str">
        <x:v>Resume &amp; Experience</x:v>
      </x:c>
      <x:c r="G885" s="30" t="str">
        <x:v>CL0830</x:v>
      </x:c>
      <x:c r="H885" s="32" t="n">
        <x:f>COUNTIF($G$5:$G$1725,G885)</x:f>
        <x:v>1</x:v>
      </x:c>
      <x:c r="I885" s="30" t="str">
        <x:v>C86</x:v>
      </x:c>
      <x:c r="J885" s="31" t="str">
        <x:v>Self Intro, why would you want to work with us? | Why no return? What was the feedback you got? What specific techncial skills you lack? What project was it | For the credit analysis, what was the revenue build up? How did you do the mod...</x:v>
      </x:c>
    </x:row>
    <x:row r="886" ht="68" customHeight="1">
      <x:c r="A886" s="30" t="str">
        <x:v>QB1381</x:v>
      </x:c>
      <x:c r="B886" s="30" t="str">
        <x:v>Bofa IBD</x:v>
      </x:c>
      <x:c r="C886" s="30" t="str">
        <x:v>IBD / GCM</x:v>
      </x:c>
      <x:c r="D886" s="31" t="str">
        <x:v>How do you project the growth rate for revenues given you brokedown revenue by single client account?</x:v>
      </x:c>
      <x:c r="E886" s="31" t="str">
        <x:v>How do you project the growth rate for revenues given you brokedown revenue by single client account</x:v>
      </x:c>
      <x:c r="F886" s="31" t="str">
        <x:v>Company, Industry &amp; Deals</x:v>
      </x:c>
      <x:c r="G886" s="30" t="str">
        <x:v>CL0420</x:v>
      </x:c>
      <x:c r="H886" s="32" t="n">
        <x:f>COUNTIF($G$5:$G$1725,G886)</x:f>
        <x:v>1</x:v>
      </x:c>
      <x:c r="I886" s="30" t="str">
        <x:v>A87</x:v>
      </x:c>
      <x:c r="J886" s="31" t="str">
        <x:v>Tell me about a deal you've down at BlackRock | How is your view on the EV/EBITDA | Any protection if indian premium collapse in the future, how would you plan to save the valuation?</x:v>
      </x:c>
    </x:row>
    <x:row r="887" ht="118" customHeight="1">
      <x:c r="A887" s="30" t="str">
        <x:v>QB1383</x:v>
      </x:c>
      <x:c r="B887" s="30" t="str">
        <x:v>Bofa IBD</x:v>
      </x:c>
      <x:c r="C887" s="30" t="str">
        <x:v>IBD / GCM</x:v>
      </x:c>
      <x:c r="D887" s="31" t="str">
        <x:v>A company has two shareholders, A and B with 50% equity each, and $500 debt with $150 EBITDA. A financial sponsor is buying the company at 10x EV/EBITDA. A cashed out while B has 20% rollover Equity. The sponsor is structuring the deal with 50% Debt and 50% Equity, what is the sources and uses of fund, what are the values of Equity hold by financial sponsor and B after transaction?</x:v>
      </x:c>
      <x:c r="E887" s="31" t="str">
        <x:v>How should a company choose between debt and equity financing?</x:v>
      </x:c>
      <x:c r="F887" s="31" t="str">
        <x:v>Accounting &amp; Financial Statements</x:v>
      </x:c>
      <x:c r="G887" s="30" t="str">
        <x:v>CL0005</x:v>
      </x:c>
      <x:c r="H887" s="32" t="n">
        <x:f>COUNTIF($G$5:$G$1725,G887)</x:f>
        <x:v>21</x:v>
      </x:c>
      <x:c r="I887" s="30" t="str">
        <x:v>A88</x:v>
      </x:c>
      <x:c r="J887" s="31" t="str">
        <x:v>How is your view on the EV/EBITDA | Any protection if indian premium collapse in the future, how would you plan to save the valuation? | How do you project the growth rate for revenues given you brokedown revenue by single client account?</x:v>
      </x:c>
    </x:row>
    <x:row r="888" ht="48" customHeight="1">
      <x:c r="A888" s="30" t="str">
        <x:v>QB1384</x:v>
      </x:c>
      <x:c r="B888" s="30" t="str">
        <x:v>Bofa IBD</x:v>
      </x:c>
      <x:c r="C888" s="30" t="str">
        <x:v>IBD / GCM</x:v>
      </x:c>
      <x:c r="D888" s="31" t="str">
        <x:v>Since it is in a developing country, do you think WACC 11% is too low? Why?</x:v>
      </x:c>
      <x:c r="E888" s="31" t="str">
        <x:v>Since it is in a developing country, do you think WACC 11% is too low? Why</x:v>
      </x:c>
      <x:c r="F888" s="31" t="str">
        <x:v>Accounting &amp; Financial Statements</x:v>
      </x:c>
      <x:c r="G888" s="30" t="str">
        <x:v>CL0679</x:v>
      </x:c>
      <x:c r="H888" s="32" t="n">
        <x:f>COUNTIF($G$5:$G$1725,G888)</x:f>
        <x:v>1</x:v>
      </x:c>
      <x:c r="I888" s="30" t="str">
        <x:v>C88</x:v>
      </x:c>
      <x:c r="J888" s="31" t="str">
        <x:v>For the credit analysis, what was the revenue build up? How did you do the model ? | Walk me through a valuation project you had | Key drivers of the model</x:v>
      </x:c>
    </x:row>
    <x:row r="889" ht="48" customHeight="1">
      <x:c r="A889" s="30" t="str">
        <x:v>QB1385</x:v>
      </x:c>
      <x:c r="B889" s="30" t="str">
        <x:v>Bofa IBD</x:v>
      </x:c>
      <x:c r="C889" s="30" t="str">
        <x:v>IBD / GCM</x:v>
      </x:c>
      <x:c r="D889" s="31" t="str">
        <x:v>Why use EV/EBITDA as the exit multiple metrics and trading comparables?</x:v>
      </x:c>
      <x:c r="E889" s="31" t="str">
        <x:v>Why use EV/EBITDA as the exit multiple metrics and trading comparables</x:v>
      </x:c>
      <x:c r="F889" s="31" t="str">
        <x:v>Fit &amp; Motivation</x:v>
      </x:c>
      <x:c r="G889" s="30" t="str">
        <x:v>CL1169</x:v>
      </x:c>
      <x:c r="H889" s="32" t="n">
        <x:f>COUNTIF($G$5:$G$1725,G889)</x:f>
        <x:v>1</x:v>
      </x:c>
      <x:c r="I889" s="30" t="str">
        <x:v>C89</x:v>
      </x:c>
      <x:c r="J889" s="31" t="str">
        <x:v>Walk me through a valuation project you had | Key drivers of the model | Since it is in a developing country, do you think WACC 11% is too low? Why?</x:v>
      </x:c>
    </x:row>
    <x:row r="890" ht="118" customHeight="1">
      <x:c r="A890" s="30" t="str">
        <x:v>QB1386</x:v>
      </x:c>
      <x:c r="B890" s="30" t="str">
        <x:v>Bofa IBD</x:v>
      </x:c>
      <x:c r="C890" s="30" t="str">
        <x:v>IBD / GCM</x:v>
      </x:c>
      <x:c r="D890" s="31" t="str">
        <x:v>16 2nd Round Yining, ED China Team &amp; Chelsy(?) TMT</x:v>
      </x:c>
      <x:c r="E890" s="31" t="str">
        <x:v>16 2nd Round Yining, ED China Team &amp; Chelsy(?) TMT</x:v>
      </x:c>
      <x:c r="F890" s="31" t="str">
        <x:v>Behavioral &amp; Situational</x:v>
      </x:c>
      <x:c r="G890" s="30" t="str">
        <x:v>CL0066</x:v>
      </x:c>
      <x:c r="H890" s="32" t="n">
        <x:f>COUNTIF($G$5:$G$1725,G890)</x:f>
        <x:v>1</x:v>
      </x:c>
      <x:c r="I890" s="30" t="str">
        <x:v>A90</x:v>
      </x:c>
      <x:c r="J890" s="31" t="str">
        <x:v>Any protection if indian premium collapse in the future, how would you plan to save the valuation? | How do you project the growth rate for revenues given you brokedown revenue by single client account? | A company has two shareholders, ...</x:v>
      </x:c>
    </x:row>
    <x:row r="891" ht="118" customHeight="1">
      <x:c r="A891" s="30" t="str">
        <x:v>QB1387</x:v>
      </x:c>
      <x:c r="B891" s="30" t="str">
        <x:v>Bofa IBD</x:v>
      </x:c>
      <x:c r="C891" s="30" t="str">
        <x:v>IBD / GCM</x:v>
      </x:c>
      <x:c r="D891" s="31" t="str">
        <x:v>BlackRock, do you have return offer, why?</x:v>
      </x:c>
      <x:c r="E891" s="31" t="str">
        <x:v>BlackRock, do you have return offer, why</x:v>
      </x:c>
      <x:c r="F891" s="31" t="str">
        <x:v>Fit &amp; Motivation</x:v>
      </x:c>
      <x:c r="G891" s="30" t="str">
        <x:v>CL0164</x:v>
      </x:c>
      <x:c r="H891" s="32" t="n">
        <x:f>COUNTIF($G$5:$G$1725,G891)</x:f>
        <x:v>1</x:v>
      </x:c>
      <x:c r="I891" s="30" t="str">
        <x:v>A91</x:v>
      </x:c>
      <x:c r="J891" s="31" t="str">
        <x:v>How do you project the growth rate for revenues given you brokedown revenue by single client account? | A company has two shareholders, A and B with 50% equity each, and $500 debt with $150 EBITDA. A financial sponsor is buying the compa...</x:v>
      </x:c>
    </x:row>
    <x:row r="892" ht="118" customHeight="1">
      <x:c r="A892" s="30" t="str">
        <x:v>QB1389</x:v>
      </x:c>
      <x:c r="B892" s="30" t="str">
        <x:v>Bofa IBD</x:v>
      </x:c>
      <x:c r="C892" s="30" t="str">
        <x:v>IBD / GCM</x:v>
      </x:c>
      <x:c r="D892" s="31" t="str">
        <x:v>How many interns in BlackRock, how many teams, divide by asset classes?</x:v>
      </x:c>
      <x:c r="E892" s="31" t="str">
        <x:v>How many interns in BlackRock, how many teams, divide by asset classes</x:v>
      </x:c>
      <x:c r="F892" s="31" t="str">
        <x:v>Other Question</x:v>
      </x:c>
      <x:c r="G892" s="30" t="str">
        <x:v>CL0455</x:v>
      </x:c>
      <x:c r="H892" s="32" t="n">
        <x:f>COUNTIF($G$5:$G$1725,G892)</x:f>
        <x:v>1</x:v>
      </x:c>
      <x:c r="I892" s="30" t="str">
        <x:v>A92</x:v>
      </x:c>
      <x:c r="J892" s="31" t="str">
        <x:v>A company has two shareholders, A and B with 50% equity each, and $500 debt with $150 EBITDA. A financial sponsor is buying the company at 10x EV/EBITDA. A cashed out while B has 20% rollover Equity. The sponsor is structuring the deal w...</x:v>
      </x:c>
    </x:row>
    <x:row r="893" ht="68" customHeight="1">
      <x:c r="A893" s="30" t="str">
        <x:v>QB1390</x:v>
      </x:c>
      <x:c r="B893" s="30" t="str">
        <x:v>Bofa IBD</x:v>
      </x:c>
      <x:c r="C893" s="30" t="str">
        <x:v>IBD / GCM</x:v>
      </x:c>
      <x:c r="D893" s="31" t="str">
        <x:v>Self intro, why you want to work with us?</x:v>
      </x:c>
      <x:c r="E893" s="31" t="str">
        <x:v>Tell me about yourself / walk me through your resume</x:v>
      </x:c>
      <x:c r="F893" s="31" t="str">
        <x:v>Fit &amp; Motivation</x:v>
      </x:c>
      <x:c r="G893" s="30" t="str">
        <x:v>CL0001</x:v>
      </x:c>
      <x:c r="H893" s="32" t="n">
        <x:f>COUNTIF($G$5:$G$1725,G893)</x:f>
        <x:v>170</x:v>
      </x:c>
      <x:c r="I893" s="30" t="str">
        <x:v>C92</x:v>
      </x:c>
      <x:c r="J893" s="31" t="str">
        <x:v>Since it is in a developing country, do you think WACC 11% is too low? Why? | Why use EV/EBITDA as the exit multiple metrics and trading comparables? | 10 3rd Round (By Huang Sun, VP)</x:v>
      </x:c>
    </x:row>
    <x:row r="894" ht="68" customHeight="1">
      <x:c r="A894" s="30" t="str">
        <x:v>QB1391</x:v>
      </x:c>
      <x:c r="B894" s="30" t="str">
        <x:v>Bofa IBD</x:v>
      </x:c>
      <x:c r="C894" s="30" t="str">
        <x:v>IBD / GCM</x:v>
      </x:c>
      <x:c r="D894" s="31" t="str">
        <x:v>Tell me about the IT service company you did in BLK, what kind of IT service does it provide?</x:v>
      </x:c>
      <x:c r="E894" s="31" t="str">
        <x:v>Tell me about the IT service company you did in BLK, what kind of IT service does it provide</x:v>
      </x:c>
      <x:c r="F894" s="31" t="str">
        <x:v>Company, Industry &amp; Deals</x:v>
      </x:c>
      <x:c r="G894" s="30" t="str">
        <x:v>CL0743</x:v>
      </x:c>
      <x:c r="H894" s="32" t="n">
        <x:f>COUNTIF($G$5:$G$1725,G894)</x:f>
        <x:v>1</x:v>
      </x:c>
      <x:c r="I894" s="30" t="str">
        <x:v>A93</x:v>
      </x:c>
      <x:c r="J894" s="31" t="str">
        <x:v>16 2nd Round Yining, ED China Team &amp; Chelsy(?) TMT | BlackRock, do you have return offer, why? | How many interns in BlackRock, how many teams, divide by asset classes?</x:v>
      </x:c>
    </x:row>
    <x:row r="895" ht="68" customHeight="1">
      <x:c r="A895" s="30" t="str">
        <x:v>QB1393</x:v>
      </x:c>
      <x:c r="B895" s="30" t="str">
        <x:v>Bofa IBD</x:v>
      </x:c>
      <x:c r="C895" s="30" t="str">
        <x:v>IBD / GCM</x:v>
      </x:c>
      <x:c r="D895" s="31" t="str">
        <x:v>What is the top line? How did you determine the revenue growth rate?</x:v>
      </x:c>
      <x:c r="E895" s="31" t="str">
        <x:v>What is the top line? How did you determine the revenue growth rate</x:v>
      </x:c>
      <x:c r="F895" s="31" t="str">
        <x:v>Accounting &amp; Financial Statements</x:v>
      </x:c>
      <x:c r="G895" s="30" t="str">
        <x:v>CL0995</x:v>
      </x:c>
      <x:c r="H895" s="32" t="n">
        <x:f>COUNTIF($G$5:$G$1725,G895)</x:f>
        <x:v>1</x:v>
      </x:c>
      <x:c r="I895" s="30" t="str">
        <x:v>A94</x:v>
      </x:c>
      <x:c r="J895" s="31" t="str">
        <x:v>BlackRock, do you have return offer, why? | How many interns in BlackRock, how many teams, divide by asset classes? | Tell me about the IT service company you did in BLK, what kind of IT service does it provide?</x:v>
      </x:c>
    </x:row>
    <x:row r="896" ht="48" customHeight="1">
      <x:c r="A896" s="30" t="str">
        <x:v>QB1394</x:v>
      </x:c>
      <x:c r="B896" s="30" t="str">
        <x:v>Bofa IBD</x:v>
      </x:c>
      <x:c r="C896" s="30" t="str">
        <x:v>IBD / GCM</x:v>
      </x:c>
      <x:c r="D896" s="31" t="str">
        <x:v>B2B payment pre ipo: Tell me about industry, investment highlights, how you did trading comps, what are the competitors you chose</x:v>
      </x:c>
      <x:c r="E896" s="31" t="str">
        <x:v>B2B payment pre ipo: Tell me about industry, investment highlights, how you did trading comps, what are the competitors you chose</x:v>
      </x:c>
      <x:c r="F896" s="31" t="str">
        <x:v>Valuation</x:v>
      </x:c>
      <x:c r="G896" s="30" t="str">
        <x:v>CL0152</x:v>
      </x:c>
      <x:c r="H896" s="32" t="n">
        <x:f>COUNTIF($G$5:$G$1725,G896)</x:f>
        <x:v>1</x:v>
      </x:c>
      <x:c r="I896" s="30" t="str">
        <x:v>C94</x:v>
      </x:c>
      <x:c r="J896" s="31" t="str">
        <x:v>10 3rd Round (By Huang Sun, VP) | Self intro, why you want to work with us? | (Drill CV)</x:v>
      </x:c>
    </x:row>
    <x:row r="897" ht="68" customHeight="1">
      <x:c r="A897" s="30" t="str">
        <x:v>QB1395</x:v>
      </x:c>
      <x:c r="B897" s="30" t="str">
        <x:v>Bofa IBD</x:v>
      </x:c>
      <x:c r="C897" s="30" t="str">
        <x:v>IBD / GCM</x:v>
      </x:c>
      <x:c r="D897" s="31" t="str">
        <x:v>How did you justify this company is growing faster than market average? Growth driver?</x:v>
      </x:c>
      <x:c r="E897" s="31" t="str">
        <x:v>How did you justify this company is growing faster than market average? Growth driver</x:v>
      </x:c>
      <x:c r="F897" s="31" t="str">
        <x:v>Accounting &amp; Financial Statements</x:v>
      </x:c>
      <x:c r="G897" s="30" t="str">
        <x:v>CL0390</x:v>
      </x:c>
      <x:c r="H897" s="32" t="n">
        <x:f>COUNTIF($G$5:$G$1725,G897)</x:f>
        <x:v>1</x:v>
      </x:c>
      <x:c r="I897" s="30" t="str">
        <x:v>A95</x:v>
      </x:c>
      <x:c r="J897" s="31" t="str">
        <x:v>How many interns in BlackRock, how many teams, divide by asset classes? | Tell me about the IT service company you did in BLK, what kind of IT service does it provide? | What is the top line? How did you determine the revenue growth rate?</x:v>
      </x:c>
    </x:row>
    <x:row r="898" ht="68" customHeight="1">
      <x:c r="A898" s="30" t="str">
        <x:v>QB1396</x:v>
      </x:c>
      <x:c r="B898" s="30" t="str">
        <x:v>Bofa IBD</x:v>
      </x:c>
      <x:c r="C898" s="30" t="str">
        <x:v>IBD / GCM</x:v>
      </x:c>
      <x:c r="D898" s="31" t="str">
        <x:v>Why you picked these competitors? One of these competitor main business isn't just B2B, why choose? Did you adjust EBITDA for that?</x:v>
      </x:c>
      <x:c r="E898" s="31" t="str">
        <x:v>Why you picked these competitors? One of these competitor main business isn't just B2B, why choose? Did you adjust EBITDA for that</x:v>
      </x:c>
      <x:c r="F898" s="31" t="str">
        <x:v>Fit &amp; Motivation</x:v>
      </x:c>
      <x:c r="G898" s="30" t="str">
        <x:v>CL1181</x:v>
      </x:c>
      <x:c r="H898" s="32" t="n">
        <x:f>COUNTIF($G$5:$G$1725,G898)</x:f>
        <x:v>1</x:v>
      </x:c>
      <x:c r="I898" s="30" t="str">
        <x:v>C95</x:v>
      </x:c>
      <x:c r="J898" s="31" t="str">
        <x:v>Self intro, why you want to work with us? | (Drill CV) | B2B payment pre ipo: Tell me about industry, investment highlights, how you did trading comps, what are the competitors you chose</x:v>
      </x:c>
    </x:row>
    <x:row r="899" ht="68" customHeight="1">
      <x:c r="A899" s="30" t="str">
        <x:v>QB1397</x:v>
      </x:c>
      <x:c r="B899" s="30" t="str">
        <x:v>Bofa IBD</x:v>
      </x:c>
      <x:c r="C899" s="30" t="str">
        <x:v>IBD / GCM</x:v>
      </x:c>
      <x:c r="D899" s="31" t="str">
        <x:v>How did you do comps analysis for the international school platform?</x:v>
      </x:c>
      <x:c r="E899" s="31" t="str">
        <x:v>How did you do comps analysis for the international school platform</x:v>
      </x:c>
      <x:c r="F899" s="31" t="str">
        <x:v>Resume &amp; Experience</x:v>
      </x:c>
      <x:c r="G899" s="30" t="str">
        <x:v>CL0381</x:v>
      </x:c>
      <x:c r="H899" s="32" t="n">
        <x:f>COUNTIF($G$5:$G$1725,G899)</x:f>
        <x:v>1</x:v>
      </x:c>
      <x:c r="I899" s="30" t="str">
        <x:v>A96</x:v>
      </x:c>
      <x:c r="J899" s="31" t="str">
        <x:v>Tell me about the IT service company you did in BLK, what kind of IT service does it provide? | What is the top line? How did you determine the revenue growth rate? | How did you justify this company is growing faster than market average...</x:v>
      </x:c>
    </x:row>
    <x:row r="900" ht="92" customHeight="1">
      <x:c r="A900" s="30" t="str">
        <x:v>QB1398</x:v>
      </x:c>
      <x:c r="B900" s="30" t="str">
        <x:v>Bofa IBD</x:v>
      </x:c>
      <x:c r="C900" s="30" t="str">
        <x:v>IBD / GCM</x:v>
      </x:c>
      <x:c r="D900" s="31" t="str">
        <x:v>This company is private, there's no EBITDA? where can you find this number?</x:v>
      </x:c>
      <x:c r="E900" s="31" t="str">
        <x:v>This company is private, there's no EBITDA? where can you find this number</x:v>
      </x:c>
      <x:c r="F900" s="31" t="str">
        <x:v>Accounting &amp; Financial Statements</x:v>
      </x:c>
      <x:c r="G900" s="30" t="str">
        <x:v>CL0793</x:v>
      </x:c>
      <x:c r="H900" s="32" t="n">
        <x:f>COUNTIF($G$5:$G$1725,G900)</x:f>
        <x:v>1</x:v>
      </x:c>
      <x:c r="I900" s="30" t="str">
        <x:v>C96</x:v>
      </x:c>
      <x:c r="J900" s="31" t="str">
        <x:v>(Drill CV) | B2B payment pre ipo: Tell me about industry, investment highlights, how you did trading comps, what are the competitors you chose | Why you picked these competitors? One of these competitor main business isn't just B2B, why ...</x:v>
      </x:c>
    </x:row>
    <x:row r="901" ht="68" customHeight="1">
      <x:c r="A901" s="30" t="str">
        <x:v>QB1399</x:v>
      </x:c>
      <x:c r="B901" s="30" t="str">
        <x:v>Bofa IBD</x:v>
      </x:c>
      <x:c r="C901" s="30" t="str">
        <x:v>IBD / GCM</x:v>
      </x:c>
      <x:c r="D901" s="31" t="str">
        <x:v>Any exposure to china market?</x:v>
      </x:c>
      <x:c r="E901" s="31" t="str">
        <x:v>Any exposure to china market</x:v>
      </x:c>
      <x:c r="F901" s="31" t="str">
        <x:v>Markets &amp; Macro</x:v>
      </x:c>
      <x:c r="G901" s="30" t="str">
        <x:v>CL0115</x:v>
      </x:c>
      <x:c r="H901" s="32" t="n">
        <x:f>COUNTIF($G$5:$G$1725,G901)</x:f>
        <x:v>1</x:v>
      </x:c>
      <x:c r="I901" s="30" t="str">
        <x:v>A97</x:v>
      </x:c>
      <x:c r="J901" s="31" t="str">
        <x:v>What is the top line? How did you determine the revenue growth rate? | How did you justify this company is growing faster than market average? Growth driver? | How did you do comps analysis for the international school platform?</x:v>
      </x:c>
    </x:row>
    <x:row r="902" ht="92" customHeight="1">
      <x:c r="A902" s="30" t="str">
        <x:v>QB1400</x:v>
      </x:c>
      <x:c r="B902" s="30" t="str">
        <x:v>Bofa IBD</x:v>
      </x:c>
      <x:c r="C902" s="30" t="str">
        <x:v>IBD / GCM</x:v>
      </x:c>
      <x:c r="D902" s="31" t="str">
        <x:v>Commercial bank buyside pitch: investment highlights, operating metrics</x:v>
      </x:c>
      <x:c r="E902" s="31" t="str">
        <x:v>Commercial bank buyside pitch: investment highlights, operating metrics</x:v>
      </x:c>
      <x:c r="F902" s="31" t="str">
        <x:v>M&amp;A</x:v>
      </x:c>
      <x:c r="G902" s="30" t="str">
        <x:v>CL0201</x:v>
      </x:c>
      <x:c r="H902" s="32" t="n">
        <x:f>COUNTIF($G$5:$G$1725,G902)</x:f>
        <x:v>1</x:v>
      </x:c>
      <x:c r="I902" s="30" t="str">
        <x:v>C97</x:v>
      </x:c>
      <x:c r="J902" s="31" t="str">
        <x:v>B2B payment pre ipo: Tell me about industry, investment highlights, how you did trading comps, what are the competitors you chose | Why you picked these competitors? One of these competitor main business isn't just B2B, why choose? Did y...</x:v>
      </x:c>
    </x:row>
    <x:row r="903" ht="68" customHeight="1">
      <x:c r="A903" s="30" t="str">
        <x:v>QB1401</x:v>
      </x:c>
      <x:c r="B903" s="30" t="str">
        <x:v>Bofa IBD</x:v>
      </x:c>
      <x:c r="C903" s="30" t="str">
        <x:v>IBD / GCM</x:v>
      </x:c>
      <x:c r="D903" s="31" t="str">
        <x:v>What is the risk? Policy wide?</x:v>
      </x:c>
      <x:c r="E903" s="31" t="str">
        <x:v>What is the risk? Policy wide</x:v>
      </x:c>
      <x:c r="F903" s="31" t="str">
        <x:v>Accounting &amp; Financial Statements</x:v>
      </x:c>
      <x:c r="G903" s="30" t="str">
        <x:v>CL0993</x:v>
      </x:c>
      <x:c r="H903" s="32" t="n">
        <x:f>COUNTIF($G$5:$G$1725,G903)</x:f>
        <x:v>1</x:v>
      </x:c>
      <x:c r="I903" s="30" t="str">
        <x:v>A98</x:v>
      </x:c>
      <x:c r="J903" s="31" t="str">
        <x:v>How did you justify this company is growing faster than market average? Growth driver? | How did you do comps analysis for the international school platform? | Any exposure to china market?</x:v>
      </x:c>
    </x:row>
    <x:row r="904" ht="48" customHeight="1">
      <x:c r="A904" s="30" t="str">
        <x:v>QB1403</x:v>
      </x:c>
      <x:c r="B904" s="30" t="str">
        <x:v>Bofa IBD</x:v>
      </x:c>
      <x:c r="C904" s="30" t="str">
        <x:v>IBD / GCM</x:v>
      </x:c>
      <x:c r="D904" s="31" t="str">
        <x:v>Any DCF work?</x:v>
      </x:c>
      <x:c r="E904" s="31" t="str">
        <x:v>Any DCF work</x:v>
      </x:c>
      <x:c r="F904" s="31" t="str">
        <x:v>Valuation</x:v>
      </x:c>
      <x:c r="G904" s="30" t="str">
        <x:v>CL0112</x:v>
      </x:c>
      <x:c r="H904" s="32" t="n">
        <x:f>COUNTIF($G$5:$G$1725,G904)</x:f>
        <x:v>1</x:v>
      </x:c>
      <x:c r="I904" s="30" t="str">
        <x:v>A99</x:v>
      </x:c>
      <x:c r="J904" s="31" t="str">
        <x:v>How did you do comps analysis for the international school platform? | Any exposure to china market? | What is the risk? Policy wide?</x:v>
      </x:c>
    </x:row>
    <x:row r="905" ht="32" customHeight="1">
      <x:c r="A905" s="30" t="str">
        <x:v>QB1405</x:v>
      </x:c>
      <x:c r="B905" s="30" t="str">
        <x:v>Bofa IBD</x:v>
      </x:c>
      <x:c r="C905" s="30" t="str">
        <x:v>IBD / GCM</x:v>
      </x:c>
      <x:c r="D905" s="31" t="str">
        <x:v>What is the gross margin for the China freight forwarding company?</x:v>
      </x:c>
      <x:c r="E905" s="31" t="str">
        <x:v>What is the gross margin for the China freight forwarding company</x:v>
      </x:c>
      <x:c r="F905" s="31" t="str">
        <x:v>Accounting &amp; Financial Statements</x:v>
      </x:c>
      <x:c r="G905" s="30" t="str">
        <x:v>CL0981</x:v>
      </x:c>
      <x:c r="H905" s="32" t="n">
        <x:f>COUNTIF($G$5:$G$1725,G905)</x:f>
        <x:v>1</x:v>
      </x:c>
      <x:c r="I905" s="30" t="str">
        <x:v>A100</x:v>
      </x:c>
      <x:c r="J905" s="31" t="str">
        <x:v>Any exposure to china market? | What is the risk? Policy wide? | Any DCF work?</x:v>
      </x:c>
    </x:row>
    <x:row r="906" ht="48" customHeight="1">
      <x:c r="A906" s="30" t="str">
        <x:v>QB1406</x:v>
      </x:c>
      <x:c r="B906" s="30" t="str">
        <x:v>Bofa IBD</x:v>
      </x:c>
      <x:c r="C906" s="30" t="str">
        <x:v>IBD / GCM</x:v>
      </x:c>
      <x:c r="D906" s="31" t="str">
        <x:v>Landscape of China express delivery market?</x:v>
      </x:c>
      <x:c r="E906" s="31" t="str">
        <x:v>Landscape of China express delivery market</x:v>
      </x:c>
      <x:c r="F906" s="31" t="str">
        <x:v>Other Question</x:v>
      </x:c>
      <x:c r="G906" s="30" t="str">
        <x:v>CL0590</x:v>
      </x:c>
      <x:c r="H906" s="32" t="n">
        <x:f>COUNTIF($G$5:$G$1725,G906)</x:f>
        <x:v>1</x:v>
      </x:c>
      <x:c r="I906" s="30" t="str">
        <x:v>A101</x:v>
      </x:c>
      <x:c r="J906" s="31" t="str">
        <x:v>What is the risk? Policy wide? | Any DCF work? | What is the gross margin for the China freight forwarding company?</x:v>
      </x:c>
    </x:row>
    <x:row r="907" ht="48" customHeight="1">
      <x:c r="A907" s="30" t="str">
        <x:v>QB1408</x:v>
      </x:c>
      <x:c r="B907" s="30" t="str">
        <x:v>Bofa IBD</x:v>
      </x:c>
      <x:c r="C907" s="30" t="str">
        <x:v>IBD / GCM</x:v>
      </x:c>
      <x:c r="D907" s="31" t="str">
        <x:v>Landscape of SEA logistic market?</x:v>
      </x:c>
      <x:c r="E907" s="31" t="str">
        <x:v>Landscape of SEA logistic market</x:v>
      </x:c>
      <x:c r="F907" s="31" t="str">
        <x:v>Other Question</x:v>
      </x:c>
      <x:c r="G907" s="30" t="str">
        <x:v>CL0591</x:v>
      </x:c>
      <x:c r="H907" s="32" t="n">
        <x:f>COUNTIF($G$5:$G$1725,G907)</x:f>
        <x:v>1</x:v>
      </x:c>
      <x:c r="I907" s="30" t="str">
        <x:v>A102</x:v>
      </x:c>
      <x:c r="J907" s="31" t="str">
        <x:v>Any DCF work? | What is the gross margin for the China freight forwarding company? | Landscape of China express delivery market?</x:v>
      </x:c>
    </x:row>
    <x:row r="908" ht="32" customHeight="1">
      <x:c r="A908" s="30" t="str">
        <x:v>QB1409</x:v>
      </x:c>
      <x:c r="B908" s="30" t="str">
        <x:v>Bofa IBD</x:v>
      </x:c>
      <x:c r="C908" s="30" t="str">
        <x:v>IBD / GCM</x:v>
      </x:c>
      <x:c r="D908" s="31" t="str">
        <x:v>Self intro, why you want to work with us?</x:v>
      </x:c>
      <x:c r="E908" s="31" t="str">
        <x:v>Tell me about yourself / walk me through your resume</x:v>
      </x:c>
      <x:c r="F908" s="31" t="str">
        <x:v>Fit &amp; Motivation</x:v>
      </x:c>
      <x:c r="G908" s="30" t="str">
        <x:v>CL0001</x:v>
      </x:c>
      <x:c r="H908" s="32" t="n">
        <x:f>COUNTIF($G$5:$G$1725,G908)</x:f>
        <x:v>170</x:v>
      </x:c>
      <x:c r="I908" s="30" t="str">
        <x:v>C102</x:v>
      </x:c>
      <x:c r="J908" s="31" t="str">
        <x:v>Net revenue formula | NPL formula, and what is NPL | 10 4th Round (By Teng Xuan, Director)</x:v>
      </x:c>
    </x:row>
    <x:row r="909" ht="48" customHeight="1">
      <x:c r="A909" s="30" t="str">
        <x:v>QB1410</x:v>
      </x:c>
      <x:c r="B909" s="30" t="str">
        <x:v>Bofa IBD</x:v>
      </x:c>
      <x:c r="C909" s="30" t="str">
        <x:v>IBD / GCM</x:v>
      </x:c>
      <x:c r="D909" s="31" t="str">
        <x:v>What do you do at spare time?</x:v>
      </x:c>
      <x:c r="E909" s="31" t="str">
        <x:v>What do you do at spare time</x:v>
      </x:c>
      <x:c r="F909" s="31" t="str">
        <x:v>Other Question</x:v>
      </x:c>
      <x:c r="G909" s="30" t="str">
        <x:v>CL0913</x:v>
      </x:c>
      <x:c r="H909" s="32" t="n">
        <x:f>COUNTIF($G$5:$G$1725,G909)</x:f>
        <x:v>1</x:v>
      </x:c>
      <x:c r="I909" s="30" t="str">
        <x:v>A103</x:v>
      </x:c>
      <x:c r="J909" s="31" t="str">
        <x:v>What is the gross margin for the China freight forwarding company? | Landscape of China express delivery market? | Landscape of SEA logistic market?</x:v>
      </x:c>
    </x:row>
    <x:row r="910" ht="48" customHeight="1">
      <x:c r="A910" s="30" t="str">
        <x:v>QB1411</x:v>
      </x:c>
      <x:c r="B910" s="30" t="str">
        <x:v>Bofa IBD</x:v>
      </x:c>
      <x:c r="C910" s="30" t="str">
        <x:v>IBD / GCM</x:v>
      </x:c>
      <x:c r="D910" s="31" t="str">
        <x:v>Tell me about an industry that you would like to pitch to an investor to invest in? What are some risks also?</x:v>
      </x:c>
      <x:c r="E910" s="31" t="str">
        <x:v>Tell me about an industry that you would like to pitch to an investor to invest in? What are some risks also</x:v>
      </x:c>
      <x:c r="F910" s="31" t="str">
        <x:v>Company, Industry &amp; Deals</x:v>
      </x:c>
      <x:c r="G910" s="30" t="str">
        <x:v>CL0734</x:v>
      </x:c>
      <x:c r="H910" s="32" t="n">
        <x:f>COUNTIF($G$5:$G$1725,G910)</x:f>
        <x:v>1</x:v>
      </x:c>
      <x:c r="I910" s="30" t="str">
        <x:v>C103</x:v>
      </x:c>
      <x:c r="J910" s="31" t="str">
        <x:v>NPL formula, and what is NPL | 10 4th Round (By Teng Xuan, Director) | Self intro, why you want to work with us?</x:v>
      </x:c>
    </x:row>
    <x:row r="911" ht="48" customHeight="1">
      <x:c r="A911" s="30" t="str">
        <x:v>QB1412</x:v>
      </x:c>
      <x:c r="B911" s="30" t="str">
        <x:v>Bofa IBD</x:v>
      </x:c>
      <x:c r="C911" s="30" t="str">
        <x:v>IBD / GCM</x:v>
      </x:c>
      <x:c r="D911" s="31" t="str">
        <x:v>How long is your reading week?</x:v>
      </x:c>
      <x:c r="E911" s="31" t="str">
        <x:v>How long is your reading week</x:v>
      </x:c>
      <x:c r="F911" s="31" t="str">
        <x:v>Accounting &amp; Financial Statements</x:v>
      </x:c>
      <x:c r="G911" s="30" t="str">
        <x:v>CL0452</x:v>
      </x:c>
      <x:c r="H911" s="32" t="n">
        <x:f>COUNTIF($G$5:$G$1725,G911)</x:f>
        <x:v>1</x:v>
      </x:c>
      <x:c r="I911" s="30" t="str">
        <x:v>A104</x:v>
      </x:c>
      <x:c r="J911" s="31" t="str">
        <x:v>Landscape of China express delivery market? | Landscape of SEA logistic market? | What do you do at spare time?</x:v>
      </x:c>
    </x:row>
    <x:row r="912" ht="68" customHeight="1">
      <x:c r="A912" s="30" t="str">
        <x:v>QB1413</x:v>
      </x:c>
      <x:c r="B912" s="30" t="str">
        <x:v>Bofa IBD</x:v>
      </x:c>
      <x:c r="C912" s="30" t="str">
        <x:v>IBD / GCM</x:v>
      </x:c>
      <x:c r="D912" s="31" t="str">
        <x:v>Did you do any valuation work?</x:v>
      </x:c>
      <x:c r="E912" s="31" t="str">
        <x:v>Did you do any valuation work</x:v>
      </x:c>
      <x:c r="F912" s="31" t="str">
        <x:v>Valuation</x:v>
      </x:c>
      <x:c r="G912" s="30" t="str">
        <x:v>CL0239</x:v>
      </x:c>
      <x:c r="H912" s="32" t="n">
        <x:f>COUNTIF($G$5:$G$1725,G912)</x:f>
        <x:v>1</x:v>
      </x:c>
      <x:c r="I912" s="30" t="str">
        <x:v>C104</x:v>
      </x:c>
      <x:c r="J912" s="31" t="str">
        <x:v>10 4th Round (By Teng Xuan, Director) | Self intro, why you want to work with us? | Tell me about an industry that you would like to pitch to an investor to invest in? What are some risks also?</x:v>
      </x:c>
    </x:row>
    <x:row r="913" ht="68" customHeight="1">
      <x:c r="A913" s="30" t="str">
        <x:v>QB1415</x:v>
      </x:c>
      <x:c r="B913" s="30" t="str">
        <x:v>Bofa IBD</x:v>
      </x:c>
      <x:c r="C913" s="30" t="str">
        <x:v>IBD / GCM</x:v>
      </x:c>
      <x:c r="D913" s="31" t="str">
        <x:v>For trading comps, how would you pick? (Also have operating metrics!!)</x:v>
      </x:c>
      <x:c r="E913" s="31" t="str">
        <x:v>For trading comps, how would you pick? (Also have operating metrics!!)</x:v>
      </x:c>
      <x:c r="F913" s="31" t="str">
        <x:v>Valuation</x:v>
      </x:c>
      <x:c r="G913" s="30" t="str">
        <x:v>CL0336</x:v>
      </x:c>
      <x:c r="H913" s="32" t="n">
        <x:f>COUNTIF($G$5:$G$1725,G913)</x:f>
        <x:v>1</x:v>
      </x:c>
      <x:c r="I913" s="30" t="str">
        <x:v>C105</x:v>
      </x:c>
      <x:c r="J913" s="31" t="str">
        <x:v>Self intro, why you want to work with us? | Tell me about an industry that you would like to pitch to an investor to invest in? What are some risks also? | Did you do any valuation work?</x:v>
      </x:c>
    </x:row>
    <x:row r="914" ht="68" customHeight="1">
      <x:c r="A914" s="30" t="str">
        <x:v>QB1416</x:v>
      </x:c>
      <x:c r="B914" s="30" t="str">
        <x:v>Bofa IBD</x:v>
      </x:c>
      <x:c r="C914" s="30" t="str">
        <x:v>IBD / GCM</x:v>
      </x:c>
      <x:c r="D914" s="31" t="str">
        <x:v>A (100M market cap) buys B (50M market cap, 30M equity BV) for 50M, by 100% changes to equity value?</x:v>
      </x:c>
      <x:c r="E914" s="31" t="str">
        <x:v>A (100M market cap) buys B (50M market cap, 30M equity BV) for 50M, by 100% changes to equity value</x:v>
      </x:c>
      <x:c r="F914" s="31" t="str">
        <x:v>Valuation</x:v>
      </x:c>
      <x:c r="G914" s="30" t="str">
        <x:v>CL0088</x:v>
      </x:c>
      <x:c r="H914" s="32" t="n">
        <x:f>COUNTIF($G$5:$G$1725,G914)</x:f>
        <x:v>1</x:v>
      </x:c>
      <x:c r="I914" s="30" t="str">
        <x:v>C106</x:v>
      </x:c>
      <x:c r="J914" s="31" t="str">
        <x:v>Tell me about an industry that you would like to pitch to an investor to invest in? What are some risks also? | Did you do any valuation work? | For trading comps, how would you pick? (Also have operating metrics!!)</x:v>
      </x:c>
    </x:row>
    <x:row r="915" ht="32" customHeight="1">
      <x:c r="A915" s="30" t="str">
        <x:v>QB1422</x:v>
      </x:c>
      <x:c r="B915" s="30" t="str">
        <x:v>Bofa GCM</x:v>
      </x:c>
      <x:c r="C915" s="30" t="str">
        <x:v>IBD / GCM</x:v>
      </x:c>
      <x:c r="D915" s="31" t="str">
        <x:v>Self-intro</x:v>
      </x:c>
      <x:c r="E915" s="31" t="str">
        <x:v>Tell me about yourself / walk me through your resume</x:v>
      </x:c>
      <x:c r="F915" s="31" t="str">
        <x:v>Resume &amp; Experience</x:v>
      </x:c>
      <x:c r="G915" s="30" t="str">
        <x:v>CL0001</x:v>
      </x:c>
      <x:c r="H915" s="32" t="n">
        <x:f>COUNTIF($G$5:$G$1725,G915)</x:f>
        <x:v>170</x:v>
      </x:c>
      <x:c r="I915" s="30" t="str">
        <x:v>A3</x:v>
      </x:c>
      <x:c r="J915" s="31" t="str">
        <x:v>2026 SA | DCM Asso</x:v>
      </x:c>
    </x:row>
    <x:row r="916" ht="32" customHeight="1">
      <x:c r="A916" s="30" t="str">
        <x:v>QB1423</x:v>
      </x:c>
      <x:c r="B916" s="30" t="str">
        <x:v>Bofa GCM</x:v>
      </x:c>
      <x:c r="C916" s="30" t="str">
        <x:v>IBD / GCM</x:v>
      </x:c>
      <x:c r="D916" s="31" t="str">
        <x:v>Self-intro</x:v>
      </x:c>
      <x:c r="E916" s="31" t="str">
        <x:v>Tell me about yourself / walk me through your resume</x:v>
      </x:c>
      <x:c r="F916" s="31" t="str">
        <x:v>Resume &amp; Experience</x:v>
      </x:c>
      <x:c r="G916" s="30" t="str">
        <x:v>CL0001</x:v>
      </x:c>
      <x:c r="H916" s="32" t="n">
        <x:f>COUNTIF($G$5:$G$1725,G916)</x:f>
        <x:v>170</x:v>
      </x:c>
      <x:c r="I916" s="30" t="str">
        <x:v>B3</x:v>
      </x:c>
      <x:c r="J916" s="31" t="str">
        <x:v>ECM Asso</x:v>
      </x:c>
    </x:row>
    <x:row r="917" ht="32" customHeight="1">
      <x:c r="A917" s="30" t="str">
        <x:v>QB1424</x:v>
      </x:c>
      <x:c r="B917" s="30" t="str">
        <x:v>Bofa GCM</x:v>
      </x:c>
      <x:c r="C917" s="30" t="str">
        <x:v>IBD / GCM</x:v>
      </x:c>
      <x:c r="D917" s="31" t="str">
        <x:v>Self-intro</x:v>
      </x:c>
      <x:c r="E917" s="31" t="str">
        <x:v>Tell me about yourself / walk me through your resume</x:v>
      </x:c>
      <x:c r="F917" s="31" t="str">
        <x:v>Resume &amp; Experience</x:v>
      </x:c>
      <x:c r="G917" s="30" t="str">
        <x:v>CL0001</x:v>
      </x:c>
      <x:c r="H917" s="32" t="n">
        <x:f>COUNTIF($G$5:$G$1725,G917)</x:f>
        <x:v>170</x:v>
      </x:c>
      <x:c r="I917" s="30" t="str">
        <x:v>C3</x:v>
      </x:c>
      <x:c r="J917" s="31" t="str">
        <x:v>Equity-linked solution D</x:v>
      </x:c>
    </x:row>
    <x:row r="918" ht="32" customHeight="1">
      <x:c r="A918" s="30" t="str">
        <x:v>QB1425</x:v>
      </x:c>
      <x:c r="B918" s="30" t="str">
        <x:v>Bofa GCM</x:v>
      </x:c>
      <x:c r="C918" s="30" t="str">
        <x:v>IBD / GCM</x:v>
      </x:c>
      <x:c r="D918" s="31" t="str">
        <x:v>Self-intro</x:v>
      </x:c>
      <x:c r="E918" s="31" t="str">
        <x:v>Tell me about yourself / walk me through your resume</x:v>
      </x:c>
      <x:c r="F918" s="31" t="str">
        <x:v>Resume &amp; Experience</x:v>
      </x:c>
      <x:c r="G918" s="30" t="str">
        <x:v>CL0001</x:v>
      </x:c>
      <x:c r="H918" s="32" t="n">
        <x:f>COUNTIF($G$5:$G$1725,G918)</x:f>
        <x:v>170</x:v>
      </x:c>
      <x:c r="I918" s="30" t="str">
        <x:v>D3</x:v>
      </x:c>
      <x:c r="J918" s="31" t="str">
        <x:v>ECM D</x:v>
      </x:c>
    </x:row>
    <x:row r="919" ht="32" customHeight="1">
      <x:c r="A919" s="30" t="str">
        <x:v>QB1426</x:v>
      </x:c>
      <x:c r="B919" s="30" t="str">
        <x:v>Bofa GCM</x:v>
      </x:c>
      <x:c r="C919" s="30" t="str">
        <x:v>IBD / GCM</x:v>
      </x:c>
      <x:c r="D919" s="31" t="str">
        <x:v>Why Bofa &amp; why GCM</x:v>
      </x:c>
      <x:c r="E919" s="31" t="str">
        <x:v>Why this firm?</x:v>
      </x:c>
      <x:c r="F919" s="31" t="str">
        <x:v>Fit &amp; Motivation</x:v>
      </x:c>
      <x:c r="G919" s="30" t="str">
        <x:v>CL0002</x:v>
      </x:c>
      <x:c r="H919" s="32" t="n">
        <x:f>COUNTIF($G$5:$G$1725,G919)</x:f>
        <x:v>39</x:v>
      </x:c>
      <x:c r="I919" s="30" t="str">
        <x:v>A4</x:v>
      </x:c>
      <x:c r="J919" s="31" t="str">
        <x:v>2026 SA | DCM Asso | Self-intro</x:v>
      </x:c>
    </x:row>
    <x:row r="920" ht="32" customHeight="1">
      <x:c r="A920" s="30" t="str">
        <x:v>QB1427</x:v>
      </x:c>
      <x:c r="B920" s="30" t="str">
        <x:v>Bofa GCM</x:v>
      </x:c>
      <x:c r="C920" s="30" t="str">
        <x:v>IBD / GCM</x:v>
      </x:c>
      <x:c r="D920" s="31" t="str">
        <x:v>what do you do in NB? (didnt go deep)</x:v>
      </x:c>
      <x:c r="E920" s="31" t="str">
        <x:v>What do you do in NB? (didnt go deep)</x:v>
      </x:c>
      <x:c r="F920" s="31" t="str">
        <x:v>Other Question</x:v>
      </x:c>
      <x:c r="G920" s="30" t="str">
        <x:v>CL0916</x:v>
      </x:c>
      <x:c r="H920" s="32" t="n">
        <x:f>COUNTIF($G$5:$G$1725,G920)</x:f>
        <x:v>1</x:v>
      </x:c>
      <x:c r="I920" s="30" t="str">
        <x:v>B4</x:v>
      </x:c>
      <x:c r="J920" s="31" t="str">
        <x:v>ECM Asso | Self-intro</x:v>
      </x:c>
    </x:row>
    <x:row r="921" ht="32" customHeight="1">
      <x:c r="A921" s="30" t="str">
        <x:v>QB1428</x:v>
      </x:c>
      <x:c r="B921" s="30" t="str">
        <x:v>Bofa GCM</x:v>
      </x:c>
      <x:c r="C921" s="30" t="str">
        <x:v>IBD / GCM</x:v>
      </x:c>
      <x:c r="D921" s="31" t="str">
        <x:v>Why GCM? why not other divisions?</x:v>
      </x:c>
      <x:c r="E921" s="31" t="str">
        <x:v>Why global capital markets?</x:v>
      </x:c>
      <x:c r="F921" s="31" t="str">
        <x:v>Fit &amp; Motivation</x:v>
      </x:c>
      <x:c r="G921" s="30" t="str">
        <x:v>CL0009</x:v>
      </x:c>
      <x:c r="H921" s="32" t="n">
        <x:f>COUNTIF($G$5:$G$1725,G921)</x:f>
        <x:v>14</x:v>
      </x:c>
      <x:c r="I921" s="30" t="str">
        <x:v>C4</x:v>
      </x:c>
      <x:c r="J921" s="31" t="str">
        <x:v>Equity-linked solution D | Self-intro</x:v>
      </x:c>
    </x:row>
    <x:row r="922" ht="32" customHeight="1">
      <x:c r="A922" s="30" t="str">
        <x:v>QB1430</x:v>
      </x:c>
      <x:c r="B922" s="30" t="str">
        <x:v>Bofa GCM</x:v>
      </x:c>
      <x:c r="C922" s="30" t="str">
        <x:v>IBD / GCM</x:v>
      </x:c>
      <x:c r="D922" s="31" t="str">
        <x:v>Walk thru deal by Bofa (I talked about IPO deal)</x:v>
      </x:c>
      <x:c r="E922" s="31" t="str">
        <x:v>Discuss a recent deal completed by this firm</x:v>
      </x:c>
      <x:c r="F922" s="31" t="str">
        <x:v>Resume &amp; Experience</x:v>
      </x:c>
      <x:c r="G922" s="30" t="str">
        <x:v>CL0008</x:v>
      </x:c>
      <x:c r="H922" s="32" t="n">
        <x:f>COUNTIF($G$5:$G$1725,G922)</x:f>
        <x:v>14</x:v>
      </x:c>
      <x:c r="I922" s="30" t="str">
        <x:v>A5</x:v>
      </x:c>
      <x:c r="J922" s="31" t="str">
        <x:v>DCM Asso | Self-intro | Why Bofa &amp; why GCM</x:v>
      </x:c>
    </x:row>
    <x:row r="923" ht="32" customHeight="1">
      <x:c r="A923" s="30" t="str">
        <x:v>QB1431</x:v>
      </x:c>
      <x:c r="B923" s="30" t="str">
        <x:v>Bofa GCM</x:v>
      </x:c>
      <x:c r="C923" s="30" t="str">
        <x:v>IBD / GCM</x:v>
      </x:c>
      <x:c r="D923" s="31" t="str">
        <x:v>tell me 2 macro news</x:v>
      </x:c>
      <x:c r="E923" s="31" t="str">
        <x:v>Tell me 2 macro news</x:v>
      </x:c>
      <x:c r="F923" s="31" t="str">
        <x:v>Markets &amp; Macro</x:v>
      </x:c>
      <x:c r="G923" s="30" t="str">
        <x:v>CL0702</x:v>
      </x:c>
      <x:c r="H923" s="32" t="n">
        <x:f>COUNTIF($G$5:$G$1725,G923)</x:f>
        <x:v>1</x:v>
      </x:c>
      <x:c r="I923" s="30" t="str">
        <x:v>B5</x:v>
      </x:c>
      <x:c r="J923" s="31" t="str">
        <x:v>ECM Asso | Self-intro | what do you do in NB? (didnt go deep)</x:v>
      </x:c>
    </x:row>
    <x:row r="924" ht="32" customHeight="1">
      <x:c r="A924" s="30" t="str">
        <x:v>QB1433</x:v>
      </x:c>
      <x:c r="B924" s="30" t="str">
        <x:v>Bofa GCM</x:v>
      </x:c>
      <x:c r="C924" s="30" t="str">
        <x:v>IBD / GCM</x:v>
      </x:c>
      <x:c r="D924" s="31" t="str">
        <x:v>NB internship detail, sector I'm working on and investment thesis</x:v>
      </x:c>
      <x:c r="E924" s="31" t="str">
        <x:v>NB internship detail, sector I'm working on and investment thesis</x:v>
      </x:c>
      <x:c r="F924" s="31" t="str">
        <x:v>Resume &amp; Experience</x:v>
      </x:c>
      <x:c r="G924" s="30" t="str">
        <x:v>CL0617</x:v>
      </x:c>
      <x:c r="H924" s="32" t="n">
        <x:f>COUNTIF($G$5:$G$1725,G924)</x:f>
        <x:v>1</x:v>
      </x:c>
      <x:c r="I924" s="30" t="str">
        <x:v>D5</x:v>
      </x:c>
      <x:c r="J924" s="31" t="str">
        <x:v>ECM D | Self-intro | followup on my self intro, like my background, when i came to hk</x:v>
      </x:c>
    </x:row>
    <x:row r="925" ht="32" customHeight="1">
      <x:c r="A925" s="30" t="str">
        <x:v>QB1435</x:v>
      </x:c>
      <x:c r="B925" s="30" t="str">
        <x:v>Bofa GCM</x:v>
      </x:c>
      <x:c r="C925" s="30" t="str">
        <x:v>IBD / GCM</x:v>
      </x:c>
      <x:c r="D925" s="31" t="str">
        <x:v>how do you view the recent stock rally? is it sustainable?</x:v>
      </x:c>
      <x:c r="E925" s="31" t="str">
        <x:v>How do you view the recent stock rally? is it sustainable</x:v>
      </x:c>
      <x:c r="F925" s="31" t="str">
        <x:v>Accounting &amp; Financial Statements</x:v>
      </x:c>
      <x:c r="G925" s="30" t="str">
        <x:v>CL0431</x:v>
      </x:c>
      <x:c r="H925" s="32" t="n">
        <x:f>COUNTIF($G$5:$G$1725,G925)</x:f>
        <x:v>1</x:v>
      </x:c>
      <x:c r="I925" s="30" t="str">
        <x:v>B6</x:v>
      </x:c>
      <x:c r="J925" s="31" t="str">
        <x:v>Self-intro | what do you do in NB? (didnt go deep) | tell me 2 macro news</x:v>
      </x:c>
    </x:row>
    <x:row r="926" ht="48" customHeight="1">
      <x:c r="A926" s="30" t="str">
        <x:v>QB1437</x:v>
      </x:c>
      <x:c r="B926" s="30" t="str">
        <x:v>Bofa GCM</x:v>
      </x:c>
      <x:c r="C926" s="30" t="str">
        <x:v>IBD / GCM</x:v>
      </x:c>
      <x:c r="D926" s="31" t="str">
        <x:v>ER internship, pitched him a stock I worked on</x:v>
      </x:c>
      <x:c r="E926" s="31" t="str">
        <x:v>ER internship, pitched him a stock I worked on</x:v>
      </x:c>
      <x:c r="F926" s="31" t="str">
        <x:v>Resume &amp; Experience</x:v>
      </x:c>
      <x:c r="G926" s="30" t="str">
        <x:v>CL0313</x:v>
      </x:c>
      <x:c r="H926" s="32" t="n">
        <x:f>COUNTIF($G$5:$G$1725,G926)</x:f>
        <x:v>1</x:v>
      </x:c>
      <x:c r="I926" s="30" t="str">
        <x:v>D6</x:v>
      </x:c>
      <x:c r="J926" s="31" t="str">
        <x:v>Self-intro | followup on my self intro, like my background, when i came to hk | NB internship detail, sector I'm working on and investment thesis</x:v>
      </x:c>
    </x:row>
    <x:row r="927" ht="48" customHeight="1">
      <x:c r="A927" s="30" t="str">
        <x:v>QB1442</x:v>
      </x:c>
      <x:c r="B927" s="30" t="str">
        <x:v>Bofa GCM</x:v>
      </x:c>
      <x:c r="C927" s="30" t="str">
        <x:v>IBD / GCM</x:v>
      </x:c>
      <x:c r="D927" s="31" t="str">
        <x:v>你ER的實習會看oil&amp;gas嗎？聊聊你對oil的看法吧</x:v>
      </x:c>
      <x:c r="E927" s="31" t="str">
        <x:v>你ER的實習會看oil&amp;gas嗎？聊聊你對oil的看法吧</x:v>
      </x:c>
      <x:c r="F927" s="31" t="str">
        <x:v>Other Question</x:v>
      </x:c>
      <x:c r="G927" s="30" t="str">
        <x:v>CL1226</x:v>
      </x:c>
      <x:c r="H927" s="32" t="n">
        <x:f>COUNTIF($G$5:$G$1725,G927)</x:f>
        <x:v>1</x:v>
      </x:c>
      <x:c r="I927" s="30" t="str">
        <x:v>A8</x:v>
      </x:c>
      <x:c r="J927" s="31" t="str">
        <x:v>Walk thru deal by Bofa (I talked about IPO deal) | Follow-up: how abt debt offering? | CV question: Sellside vs Buyside, Primary vs Secondary</x:v>
      </x:c>
    </x:row>
    <x:row r="928" ht="48" customHeight="1">
      <x:c r="A928" s="30" t="str">
        <x:v>QB1443</x:v>
      </x:c>
      <x:c r="B928" s="30" t="str">
        <x:v>Bofa GCM</x:v>
      </x:c>
      <x:c r="C928" s="30" t="str">
        <x:v>IBD / GCM</x:v>
      </x:c>
      <x:c r="D928" s="31" t="str">
        <x:v>given the current macro environment, advise on a company in need of cash, you have three options: follows-on, convertible bond, block trade</x:v>
      </x:c>
      <x:c r="E928" s="31" t="str">
        <x:v>Explain convertible bonds and why an issuer might use them</x:v>
      </x:c>
      <x:c r="F928" s="31" t="str">
        <x:v>Capital Markets &amp; Financing</x:v>
      </x:c>
      <x:c r="G928" s="30" t="str">
        <x:v>CL0016</x:v>
      </x:c>
      <x:c r="H928" s="32" t="n">
        <x:f>COUNTIF($G$5:$G$1725,G928)</x:f>
        <x:v>8</x:v>
      </x:c>
      <x:c r="I928" s="30" t="str">
        <x:v>B8</x:v>
      </x:c>
      <x:c r="J928" s="31" t="str">
        <x:v>tell me 2 macro news | how do you view the recent stock rally? is it sustainable? | sector you bullish on</x:v>
      </x:c>
    </x:row>
    <x:row r="929" ht="48" customHeight="1">
      <x:c r="A929" s="30" t="str">
        <x:v>QB1445</x:v>
      </x:c>
      <x:c r="B929" s="30" t="str">
        <x:v>Bofa GCM</x:v>
      </x:c>
      <x:c r="C929" s="30" t="str">
        <x:v>IBD / GCM</x:v>
      </x:c>
      <x:c r="D929" s="31" t="str">
        <x:v>compared with tencent, alibaba, why should I buy the one you pitch? its overvalued</x:v>
      </x:c>
      <x:c r="E929" s="31" t="str">
        <x:v>Compared with tencent, alibaba, why should I buy the one you pitch? its overvalued</x:v>
      </x:c>
      <x:c r="F929" s="31" t="str">
        <x:v>Fit &amp; Motivation</x:v>
      </x:c>
      <x:c r="G929" s="30" t="str">
        <x:v>CL0203</x:v>
      </x:c>
      <x:c r="H929" s="32" t="n">
        <x:f>COUNTIF($G$5:$G$1725,G929)</x:f>
        <x:v>1</x:v>
      </x:c>
      <x:c r="I929" s="30" t="str">
        <x:v>D8</x:v>
      </x:c>
      <x:c r="J929" s="31" t="str">
        <x:v>NB internship detail, sector I'm working on and investment thesis | ER internship, pitched him a stock I worked on | followup questions on my stock pitch</x:v>
      </x:c>
    </x:row>
    <x:row r="930" ht="68" customHeight="1">
      <x:c r="A930" s="30" t="str">
        <x:v>QB1449</x:v>
      </x:c>
      <x:c r="B930" s="30" t="str">
        <x:v>Bofa GCM</x:v>
      </x:c>
      <x:c r="C930" s="30" t="str">
        <x:v>IBD / GCM</x:v>
      </x:c>
      <x:c r="D930" s="31" t="str">
        <x:v>why i'm interested in GCM</x:v>
      </x:c>
      <x:c r="E930" s="31" t="str">
        <x:v>Why i'm interested in GCM</x:v>
      </x:c>
      <x:c r="F930" s="31" t="str">
        <x:v>Fit &amp; Motivation</x:v>
      </x:c>
      <x:c r="G930" s="30" t="str">
        <x:v>CL1139</x:v>
      </x:c>
      <x:c r="H930" s="32" t="n">
        <x:f>COUNTIF($G$5:$G$1725,G930)</x:f>
        <x:v>1</x:v>
      </x:c>
      <x:c r="I930" s="30" t="str">
        <x:v>D9</x:v>
      </x:c>
      <x:c r="J930" s="31" t="str">
        <x:v>ER internship, pitched him a stock I worked on | followup questions on my stock pitch | compared with tencent, alibaba, why should I buy the one you pitch? its overvalued</x:v>
      </x:c>
    </x:row>
    <x:row r="931" ht="32" customHeight="1">
      <x:c r="A931" s="30" t="str">
        <x:v>QB1454</x:v>
      </x:c>
      <x:c r="B931" s="30" t="str">
        <x:v>Bofa GCM</x:v>
      </x:c>
      <x:c r="C931" s="30" t="str">
        <x:v>IBD / GCM</x:v>
      </x:c>
      <x:c r="D931" s="31" t="str">
        <x:v>怎麼用excel vba的？</x:v>
      </x:c>
      <x:c r="E931" s="31" t="str">
        <x:v>怎麼用excel vba的</x:v>
      </x:c>
      <x:c r="F931" s="31" t="str">
        <x:v>Other Technical</x:v>
      </x:c>
      <x:c r="G931" s="30" t="str">
        <x:v>CL1243</x:v>
      </x:c>
      <x:c r="H931" s="32" t="n">
        <x:f>COUNTIF($G$5:$G$1725,G931)</x:f>
        <x:v>1</x:v>
      </x:c>
      <x:c r="I931" s="30" t="str">
        <x:v>A11</x:v>
      </x:c>
      <x:c r="J931" s="31" t="str">
        <x:v>你ER的實習會看oil&amp;gas嗎？聊聊你對oil的看法吧 | 聊聊你對能源市場的看法吧 | 說說credit profile怎麼做</x:v>
      </x:c>
    </x:row>
    <x:row r="932" ht="32" customHeight="1">
      <x:c r="A932" s="30" t="str">
        <x:v>QB1464</x:v>
      </x:c>
      <x:c r="B932" s="30" t="str">
        <x:v>Bofa GCM</x:v>
      </x:c>
      <x:c r="C932" s="30" t="str">
        <x:v>IBD / GCM</x:v>
      </x:c>
      <x:c r="D932" s="31" t="str">
        <x:v>Self-intro</x:v>
      </x:c>
      <x:c r="E932" s="31" t="str">
        <x:v>Tell me about yourself / walk me through your resume</x:v>
      </x:c>
      <x:c r="F932" s="31" t="str">
        <x:v>Resume &amp; Experience</x:v>
      </x:c>
      <x:c r="G932" s="30" t="str">
        <x:v>CL0001</x:v>
      </x:c>
      <x:c r="H932" s="32" t="n">
        <x:f>COUNTIF($G$5:$G$1725,G932)</x:f>
        <x:v>170</x:v>
      </x:c>
      <x:c r="I932" s="30" t="str">
        <x:v>A17</x:v>
      </x:c>
      <x:c r="J932" s="31" t="str">
        <x:v>(~25min) | 2026 FT Kari | Lisa Huang - Asso</x:v>
      </x:c>
    </x:row>
    <x:row r="933" ht="32" customHeight="1">
      <x:c r="A933" s="30" t="str">
        <x:v>QB1465</x:v>
      </x:c>
      <x:c r="B933" s="30" t="str">
        <x:v>Bofa GCM</x:v>
      </x:c>
      <x:c r="C933" s="30" t="str">
        <x:v>IBD / GCM</x:v>
      </x:c>
      <x:c r="D933" s="31" t="str">
        <x:v>Why no return</x:v>
      </x:c>
      <x:c r="E933" s="31" t="str">
        <x:v>Why no return</x:v>
      </x:c>
      <x:c r="F933" s="31" t="str">
        <x:v>Fit &amp; Motivation</x:v>
      </x:c>
      <x:c r="G933" s="30" t="str">
        <x:v>CL1152</x:v>
      </x:c>
      <x:c r="H933" s="32" t="n">
        <x:f>COUNTIF($G$5:$G$1725,G933)</x:f>
        <x:v>1</x:v>
      </x:c>
      <x:c r="I933" s="30" t="str">
        <x:v>A18</x:v>
      </x:c>
      <x:c r="J933" s="31" t="str">
        <x:v>2026 FT Kari | Lisa Huang - Asso | Self-intro</x:v>
      </x:c>
    </x:row>
    <x:row r="934" ht="32" customHeight="1">
      <x:c r="A934" s="30" t="str">
        <x:v>QB1473</x:v>
      </x:c>
      <x:c r="B934" s="30" t="str">
        <x:v>JPM</x:v>
      </x:c>
      <x:c r="C934" s="30" t="str">
        <x:v>IBD / GCM</x:v>
      </x:c>
      <x:c r="D934" s="31" t="str">
        <x:v>self intro (she said 5 mins walk thru?? )</x:v>
      </x:c>
      <x:c r="E934" s="31" t="str">
        <x:v>Tell me about yourself / walk me through your resume</x:v>
      </x:c>
      <x:c r="F934" s="31" t="str">
        <x:v>Resume &amp; Experience</x:v>
      </x:c>
      <x:c r="G934" s="30" t="str">
        <x:v>CL0001</x:v>
      </x:c>
      <x:c r="H934" s="32" t="n">
        <x:f>COUNTIF($G$5:$G$1725,G934)</x:f>
        <x:v>170</x:v>
      </x:c>
      <x:c r="I934" s="30" t="str">
        <x:v>A4</x:v>
      </x:c>
      <x:c r="J934" s="31" t="str">
        <x:v>2024 SA | 23 Jasmine 1st round (Victoria Cai) | resume based</x:v>
      </x:c>
    </x:row>
    <x:row r="935" ht="48" customHeight="1">
      <x:c r="A935" s="30" t="str">
        <x:v>QB1475</x:v>
      </x:c>
      <x:c r="B935" s="30" t="str">
        <x:v>JPM</x:v>
      </x:c>
      <x:c r="C935" s="30" t="str">
        <x:v>IBD / GCM</x:v>
      </x:c>
      <x:c r="D935" s="31" t="str">
        <x:v>how did i valuate for AIBC case com</x:v>
      </x:c>
      <x:c r="E935" s="31" t="str">
        <x:v>How did i valuate for AIBC case com</x:v>
      </x:c>
      <x:c r="F935" s="31" t="str">
        <x:v>Other Question</x:v>
      </x:c>
      <x:c r="G935" s="30" t="str">
        <x:v>CL0376</x:v>
      </x:c>
      <x:c r="H935" s="32" t="n">
        <x:f>COUNTIF($G$5:$G$1725,G935)</x:f>
        <x:v>1</x:v>
      </x:c>
      <x:c r="I935" s="30" t="str">
        <x:v>A5</x:v>
      </x:c>
      <x:c r="J935" s="31" t="str">
        <x:v>23 Jasmine 1st round (Victoria Cai) | resume based | self intro (she said 5 mins walk thru?? )</x:v>
      </x:c>
    </x:row>
    <x:row r="936" ht="32" customHeight="1">
      <x:c r="A936" s="30" t="str">
        <x:v>QB1476</x:v>
      </x:c>
      <x:c r="B936" s="30" t="str">
        <x:v>JPM</x:v>
      </x:c>
      <x:c r="C936" s="30" t="str">
        <x:v>IBD / GCM</x:v>
      </x:c>
      <x:c r="D936" s="31" t="str">
        <x:v>self intro</x:v>
      </x:c>
      <x:c r="E936" s="31" t="str">
        <x:v>Tell me about yourself / walk me through your resume</x:v>
      </x:c>
      <x:c r="F936" s="31" t="str">
        <x:v>Resume &amp; Experience</x:v>
      </x:c>
      <x:c r="G936" s="30" t="str">
        <x:v>CL0001</x:v>
      </x:c>
      <x:c r="H936" s="32" t="n">
        <x:f>COUNTIF($G$5:$G$1725,G936)</x:f>
        <x:v>170</x:v>
      </x:c>
      <x:c r="I936" s="30" t="str">
        <x:v>C5</x:v>
      </x:c>
      <x:c r="J936" s="31" t="str">
        <x:v>JPM spd Jasmine | Raymond Lau -ipo</x:v>
      </x:c>
    </x:row>
    <x:row r="937" ht="68" customHeight="1">
      <x:c r="A937" s="30" t="str">
        <x:v>QB1477</x:v>
      </x:c>
      <x:c r="B937" s="30" t="str">
        <x:v>JPM</x:v>
      </x:c>
      <x:c r="C937" s="30" t="str">
        <x:v>IBD / GCM</x:v>
      </x:c>
      <x:c r="D937" s="31" t="str">
        <x:v>any special considerations shen acquiring a hk-listed company (i bs about premium, she said shes looking into the more practical legal regulations for takeover in hk)</x:v>
      </x:c>
      <x:c r="E937" s="31" t="str">
        <x:v>Any special considerations shen acquiring a hk-listed company (i bs about premium, she said shes looking into the more practical legal regulations for takeover in hk)</x:v>
      </x:c>
      <x:c r="F937" s="31" t="str">
        <x:v>Accounting &amp; Financial Statements</x:v>
      </x:c>
      <x:c r="G937" s="30" t="str">
        <x:v>CL0124</x:v>
      </x:c>
      <x:c r="H937" s="32" t="n">
        <x:f>COUNTIF($G$5:$G$1725,G937)</x:f>
        <x:v>1</x:v>
      </x:c>
      <x:c r="I937" s="30" t="str">
        <x:v>A6</x:v>
      </x:c>
      <x:c r="J937" s="31" t="str">
        <x:v>resume based | self intro (she said 5 mins walk thru?? ) | how did i valuate for AIBC case com</x:v>
      </x:c>
    </x:row>
    <x:row r="938" ht="32" customHeight="1">
      <x:c r="A938" s="30" t="str">
        <x:v>QB1478</x:v>
      </x:c>
      <x:c r="B938" s="30" t="str">
        <x:v>JPM</x:v>
      </x:c>
      <x:c r="C938" s="30" t="str">
        <x:v>IBD / GCM</x:v>
      </x:c>
      <x:c r="D938" s="31" t="str">
        <x:v>What news am I following (i said esports on hanzhou asian game)</x:v>
      </x:c>
      <x:c r="E938" s="31" t="str">
        <x:v>What news am I following (i said esports on hanzhou asian game)</x:v>
      </x:c>
      <x:c r="F938" s="31" t="str">
        <x:v>Other Question</x:v>
      </x:c>
      <x:c r="G938" s="30" t="str">
        <x:v>CL1022</x:v>
      </x:c>
      <x:c r="H938" s="32" t="n">
        <x:f>COUNTIF($G$5:$G$1725,G938)</x:f>
        <x:v>1</x:v>
      </x:c>
      <x:c r="I938" s="30" t="str">
        <x:v>C6</x:v>
      </x:c>
      <x:c r="J938" s="31" t="str">
        <x:v>JPM spd Jasmine | Raymond Lau -ipo | self intro</x:v>
      </x:c>
    </x:row>
    <x:row r="939" ht="68" customHeight="1">
      <x:c r="A939" s="30" t="str">
        <x:v>QB1479</x:v>
      </x:c>
      <x:c r="B939" s="30" t="str">
        <x:v>JPM</x:v>
      </x:c>
      <x:c r="C939" s="30" t="str">
        <x:v>IBD / GCM</x:v>
      </x:c>
      <x:c r="D939" s="31" t="str">
        <x:v>tell me about your work in odysseus</x:v>
      </x:c>
      <x:c r="E939" s="31" t="str">
        <x:v>Tell me about your work in odysseus</x:v>
      </x:c>
      <x:c r="F939" s="31" t="str">
        <x:v>Other Question</x:v>
      </x:c>
      <x:c r="G939" s="30" t="str">
        <x:v>CL0758</x:v>
      </x:c>
      <x:c r="H939" s="32" t="n">
        <x:f>COUNTIF($G$5:$G$1725,G939)</x:f>
        <x:v>1</x:v>
      </x:c>
      <x:c r="I939" s="30" t="str">
        <x:v>A7</x:v>
      </x:c>
      <x:c r="J939" s="31" t="str">
        <x:v>self intro (she said 5 mins walk thru?? ) | how did i valuate for AIBC case com | any special considerations shen acquiring a hk-listed company (i bs about premium, she said shes looking into the more practical legal regulations for take...</x:v>
      </x:c>
    </x:row>
    <x:row r="940" ht="48" customHeight="1">
      <x:c r="A940" s="30" t="str">
        <x:v>QB1480</x:v>
      </x:c>
      <x:c r="B940" s="30" t="str">
        <x:v>JPM</x:v>
      </x:c>
      <x:c r="C940" s="30" t="str">
        <x:v>IBD / GCM</x:v>
      </x:c>
      <x:c r="D940" s="31" t="str">
        <x:v>what did i do in the esports project</x:v>
      </x:c>
      <x:c r="E940" s="31" t="str">
        <x:v>What did i do in the esports project</x:v>
      </x:c>
      <x:c r="F940" s="31" t="str">
        <x:v>Other Question</x:v>
      </x:c>
      <x:c r="G940" s="30" t="str">
        <x:v>CL0893</x:v>
      </x:c>
      <x:c r="H940" s="32" t="n">
        <x:f>COUNTIF($G$5:$G$1725,G940)</x:f>
        <x:v>1</x:v>
      </x:c>
      <x:c r="I940" s="30" t="str">
        <x:v>C7</x:v>
      </x:c>
      <x:c r="J940" s="31" t="str">
        <x:v>Raymond Lau -ipo | self intro | What news am I following (i said esports on hanzhou asian game)</x:v>
      </x:c>
    </x:row>
    <x:row r="941" ht="68" customHeight="1">
      <x:c r="A941" s="30" t="str">
        <x:v>QB1481</x:v>
      </x:c>
      <x:c r="B941" s="30" t="str">
        <x:v>JPM</x:v>
      </x:c>
      <x:c r="C941" s="30" t="str">
        <x:v>IBD / GCM</x:v>
      </x:c>
      <x:c r="D941" s="31" t="str">
        <x:v>why not law but ibd</x:v>
      </x:c>
      <x:c r="E941" s="31" t="str">
        <x:v>Why not law but ibd</x:v>
      </x:c>
      <x:c r="F941" s="31" t="str">
        <x:v>Fit &amp; Motivation</x:v>
      </x:c>
      <x:c r="G941" s="30" t="str">
        <x:v>CL1157</x:v>
      </x:c>
      <x:c r="H941" s="32" t="n">
        <x:f>COUNTIF($G$5:$G$1725,G941)</x:f>
        <x:v>1</x:v>
      </x:c>
      <x:c r="I941" s="30" t="str">
        <x:v>A8</x:v>
      </x:c>
      <x:c r="J941" s="31" t="str">
        <x:v>how did i valuate for AIBC case com | any special considerations shen acquiring a hk-listed company (i bs about premium, she said shes looking into the more practical legal regulations for takeover in hk) | tell me about your work in ody...</x:v>
      </x:c>
    </x:row>
    <x:row r="942" ht="48" customHeight="1">
      <x:c r="A942" s="30" t="str">
        <x:v>QB1482</x:v>
      </x:c>
      <x:c r="B942" s="30" t="str">
        <x:v>JPM</x:v>
      </x:c>
      <x:c r="C942" s="30" t="str">
        <x:v>IBD / GCM</x:v>
      </x:c>
      <x:c r="D942" s="31" t="str">
        <x:v>Do you watch any games, favorite character in LOL (i said idk and he said i should know…)</x:v>
      </x:c>
      <x:c r="E942" s="31" t="str">
        <x:v>Do you watch any games, favorite character in LOL (i said idk and he said i should know…)</x:v>
      </x:c>
      <x:c r="F942" s="31" t="str">
        <x:v>Other Question</x:v>
      </x:c>
      <x:c r="G942" s="30" t="str">
        <x:v>CL0301</x:v>
      </x:c>
      <x:c r="H942" s="32" t="n">
        <x:f>COUNTIF($G$5:$G$1725,G942)</x:f>
        <x:v>1</x:v>
      </x:c>
      <x:c r="I942" s="30" t="str">
        <x:v>C8</x:v>
      </x:c>
      <x:c r="J942" s="31" t="str">
        <x:v>self intro | What news am I following (i said esports on hanzhou asian game) | what did i do in the esports project</x:v>
      </x:c>
    </x:row>
    <x:row r="943" ht="68" customHeight="1">
      <x:c r="A943" s="30" t="str">
        <x:v>QB1485</x:v>
      </x:c>
      <x:c r="B943" s="30" t="str">
        <x:v>JPM</x:v>
      </x:c>
      <x:c r="C943" s="30" t="str">
        <x:v>IBD / GCM</x:v>
      </x:c>
      <x:c r="D943" s="31" t="str">
        <x:v>how would i do differently now</x:v>
      </x:c>
      <x:c r="E943" s="31" t="str">
        <x:v>How would i do differently now</x:v>
      </x:c>
      <x:c r="F943" s="31" t="str">
        <x:v>Other Question</x:v>
      </x:c>
      <x:c r="G943" s="30" t="str">
        <x:v>CL0491</x:v>
      </x:c>
      <x:c r="H943" s="32" t="n">
        <x:f>COUNTIF($G$5:$G$1725,G943)</x:f>
        <x:v>1</x:v>
      </x:c>
      <x:c r="I943" s="30" t="str">
        <x:v>C10</x:v>
      </x:c>
      <x:c r="J943" s="31" t="str">
        <x:v>what did i do in the esports project | Do you watch any games, favorite character in LOL (i said idk and he said i should know…) | a time when i face conflict in a team</x:v>
      </x:c>
    </x:row>
    <x:row r="944" ht="68" customHeight="1">
      <x:c r="A944" s="30" t="str">
        <x:v>QB1486</x:v>
      </x:c>
      <x:c r="B944" s="30" t="str">
        <x:v>JPM</x:v>
      </x:c>
      <x:c r="C944" s="30" t="str">
        <x:v>IBD / GCM</x:v>
      </x:c>
      <x:c r="D944" s="31" t="str">
        <x:v>how am i enjoying football</x:v>
      </x:c>
      <x:c r="E944" s="31" t="str">
        <x:v>How am i enjoying football</x:v>
      </x:c>
      <x:c r="F944" s="31" t="str">
        <x:v>Other Question</x:v>
      </x:c>
      <x:c r="G944" s="30" t="str">
        <x:v>CL0372</x:v>
      </x:c>
      <x:c r="H944" s="32" t="n">
        <x:f>COUNTIF($G$5:$G$1725,G944)</x:f>
        <x:v>1</x:v>
      </x:c>
      <x:c r="I944" s="30" t="str">
        <x:v>C11</x:v>
      </x:c>
      <x:c r="J944" s="31" t="str">
        <x:v>Do you watch any games, favorite character in LOL (i said idk and he said i should know…) | a time when i face conflict in a team | how would i do differently now</x:v>
      </x:c>
    </x:row>
    <x:row r="945" ht="48" customHeight="1">
      <x:c r="A945" s="30" t="str">
        <x:v>QB1488</x:v>
      </x:c>
      <x:c r="B945" s="30" t="str">
        <x:v>JPM</x:v>
      </x:c>
      <x:c r="C945" s="30" t="str">
        <x:v>IBD / GCM</x:v>
      </x:c>
      <x:c r="D945" s="31" t="str">
        <x:v>which position do i play</x:v>
      </x:c>
      <x:c r="E945" s="31" t="str">
        <x:v>Which position do i play</x:v>
      </x:c>
      <x:c r="F945" s="31" t="str">
        <x:v>Other Question</x:v>
      </x:c>
      <x:c r="G945" s="30" t="str">
        <x:v>CL1100</x:v>
      </x:c>
      <x:c r="H945" s="32" t="n">
        <x:f>COUNTIF($G$5:$G$1725,G945)</x:f>
        <x:v>1</x:v>
      </x:c>
      <x:c r="I945" s="30" t="str">
        <x:v>C12</x:v>
      </x:c>
      <x:c r="J945" s="31" t="str">
        <x:v>a time when i face conflict in a team | how would i do differently now | how am i enjoying football</x:v>
      </x:c>
    </x:row>
    <x:row r="946" ht="48" customHeight="1">
      <x:c r="A946" s="30" t="str">
        <x:v>QB1494</x:v>
      </x:c>
      <x:c r="B946" s="30" t="str">
        <x:v>JPM</x:v>
      </x:c>
      <x:c r="C946" s="30" t="str">
        <x:v>IBD / GCM</x:v>
      </x:c>
      <x:c r="D946" s="31" t="str">
        <x:v>own 51% of a healthcare listed company (went public 4yrs ago when healthcare was hot)</x:v>
      </x:c>
      <x:c r="E946" s="31" t="str">
        <x:v>Own 51% of a healthcare listed company (went public 4yrs ago when healthcare was hot)</x:v>
      </x:c>
      <x:c r="F946" s="31" t="str">
        <x:v>Company, Industry &amp; Deals</x:v>
      </x:c>
      <x:c r="G946" s="30" t="str">
        <x:v>CL0631</x:v>
      </x:c>
      <x:c r="H946" s="32" t="n">
        <x:f>COUNTIF($G$5:$G$1725,G946)</x:f>
        <x:v>1</x:v>
      </x:c>
      <x:c r="I946" s="30" t="str">
        <x:v>A17</x:v>
      </x:c>
      <x:c r="J946" s="31" t="str">
        <x:v>hk-listed, main operation in china | 60% owned by founder, rest by institutional investors | diverse businesses:</x:v>
      </x:c>
    </x:row>
    <x:row r="947" ht="32" customHeight="1">
      <x:c r="A947" s="30" t="str">
        <x:v>QB1497</x:v>
      </x:c>
      <x:c r="B947" s="30" t="str">
        <x:v>JPM</x:v>
      </x:c>
      <x:c r="C947" s="30" t="str">
        <x:v>IBD / GCM</x:v>
      </x:c>
      <x:c r="D947" s="31" t="str">
        <x:v>self intro</x:v>
      </x:c>
      <x:c r="E947" s="31" t="str">
        <x:v>Tell me about yourself / walk me through your resume</x:v>
      </x:c>
      <x:c r="F947" s="31" t="str">
        <x:v>Resume &amp; Experience</x:v>
      </x:c>
      <x:c r="G947" s="30" t="str">
        <x:v>CL0001</x:v>
      </x:c>
      <x:c r="H947" s="32" t="n">
        <x:f>COUNTIF($G$5:$G$1725,G947)</x:f>
        <x:v>170</x:v>
      </x:c>
      <x:c r="I947" s="30" t="str">
        <x:v>C18</x:v>
      </x:c>
      <x:c r="J947" s="31" t="str">
        <x:v>toughest time in life | am i still in touch with my host family | Shawn Jiang -ecm</x:v>
      </x:c>
    </x:row>
    <x:row r="948" ht="48" customHeight="1">
      <x:c r="A948" s="30" t="str">
        <x:v>QB1503</x:v>
      </x:c>
      <x:c r="B948" s="30" t="str">
        <x:v>JPM</x:v>
      </x:c>
      <x:c r="C948" s="30" t="str">
        <x:v>IBD / GCM</x:v>
      </x:c>
      <x:c r="D948" s="31" t="str">
        <x:v>why is my top preference being m&amp;a and industry coverage</x:v>
      </x:c>
      <x:c r="E948" s="31" t="str">
        <x:v>Why is my top preference being m&amp;a and industry coverage</x:v>
      </x:c>
      <x:c r="F948" s="31" t="str">
        <x:v>Fit &amp; Motivation</x:v>
      </x:c>
      <x:c r="G948" s="30" t="str">
        <x:v>CL1148</x:v>
      </x:c>
      <x:c r="H948" s="32" t="n">
        <x:f>COUNTIF($G$5:$G$1725,G948)</x:f>
        <x:v>1</x:v>
      </x:c>
      <x:c r="I948" s="30" t="str">
        <x:v>C21</x:v>
      </x:c>
      <x:c r="J948" s="31" t="str">
        <x:v>self intro | a time when i face conflict in a team | 三個優點三個缺點 (i could only squeeze one good and one bad out)</x:v>
      </x:c>
    </x:row>
    <x:row r="949" ht="48" customHeight="1">
      <x:c r="A949" s="30" t="str">
        <x:v>QB1508</x:v>
      </x:c>
      <x:c r="B949" s="30" t="str">
        <x:v>JPM</x:v>
      </x:c>
      <x:c r="C949" s="30" t="str">
        <x:v>IBD / GCM</x:v>
      </x:c>
      <x:c r="D949" s="31" t="str">
        <x:v>liquidity issue with USD 1B debt due in 8 months, but only 300m cash in hand</x:v>
      </x:c>
      <x:c r="E949" s="31" t="str">
        <x:v>Liquidity issue with USD 1B debt due in 8 months, but only 300m cash in hand</x:v>
      </x:c>
      <x:c r="F949" s="31" t="str">
        <x:v>Markets &amp; Macro</x:v>
      </x:c>
      <x:c r="G949" s="30" t="str">
        <x:v>CL0592</x:v>
      </x:c>
      <x:c r="H949" s="32" t="n">
        <x:f>COUNTIF($G$5:$G$1725,G949)</x:f>
        <x:v>1</x:v>
      </x:c>
      <x:c r="I949" s="30" t="str">
        <x:v>A25</x:v>
      </x:c>
      <x:c r="J949" s="31" t="str">
        <x:v>life insurance | company currently facing 2 problems: | trading at deep discount (p/b 0.4x)</x:v>
      </x:c>
    </x:row>
    <x:row r="950" ht="92" customHeight="1">
      <x:c r="A950" s="30" t="str">
        <x:v>QB1509</x:v>
      </x:c>
      <x:c r="B950" s="30" t="str">
        <x:v>JPM</x:v>
      </x:c>
      <x:c r="C950" s="30" t="str">
        <x:v>IBD / GCM</x:v>
      </x:c>
      <x:c r="D950" s="31" t="str">
        <x:v>self intro</x:v>
      </x:c>
      <x:c r="E950" s="31" t="str">
        <x:v>Tell me about yourself / walk me through your resume</x:v>
      </x:c>
      <x:c r="F950" s="31" t="str">
        <x:v>Resume &amp; Experience</x:v>
      </x:c>
      <x:c r="G950" s="30" t="str">
        <x:v>CL0001</x:v>
      </x:c>
      <x:c r="H950" s="32" t="n">
        <x:f>COUNTIF($G$5:$G$1725,G950)</x:f>
        <x:v>170</x:v>
      </x:c>
      <x:c r="I950" s="30" t="str">
        <x:v>C26</x:v>
      </x:c>
      <x:c r="J950" s="31" t="str">
        <x:v>why is my top preference being m&amp;a and industry coverage | (i said cuz my past internships more related, and then he started telling me about why ecm is good for 10 minutes :o……….. and no more questions…….. and i asked some cliche questi...</x:v>
      </x:c>
    </x:row>
    <x:row r="951" ht="92" customHeight="1">
      <x:c r="A951" s="30" t="str">
        <x:v>QB1510</x:v>
      </x:c>
      <x:c r="B951" s="30" t="str">
        <x:v>JPM</x:v>
      </x:c>
      <x:c r="C951" s="30" t="str">
        <x:v>IBD / GCM</x:v>
      </x:c>
      <x:c r="D951" s="31" t="str">
        <x:v>are you born and raised in hk</x:v>
      </x:c>
      <x:c r="E951" s="31" t="str">
        <x:v>Are you born and raised in hk</x:v>
      </x:c>
      <x:c r="F951" s="31" t="str">
        <x:v>Other Question</x:v>
      </x:c>
      <x:c r="G951" s="30" t="str">
        <x:v>CL0133</x:v>
      </x:c>
      <x:c r="H951" s="32" t="n">
        <x:f>COUNTIF($G$5:$G$1725,G951)</x:f>
        <x:v>1</x:v>
      </x:c>
      <x:c r="I951" s="30" t="str">
        <x:v>C27</x:v>
      </x:c>
      <x:c r="J951" s="31" t="str">
        <x:v>(i said cuz my past internships more related, and then he started telling me about why ecm is good for 10 minutes :o……….. and no more questions…….. and i asked some cliche questions and he gave wonderful insights for the next 10 minutes…...</x:v>
      </x:c>
    </x:row>
    <x:row r="952" ht="32" customHeight="1">
      <x:c r="A952" s="30" t="str">
        <x:v>QB1512</x:v>
      </x:c>
      <x:c r="B952" s="30" t="str">
        <x:v>JPM</x:v>
      </x:c>
      <x:c r="C952" s="30" t="str">
        <x:v>IBD / GCM</x:v>
      </x:c>
      <x:c r="D952" s="31" t="str">
        <x:v>tell me about a time where you are in a group setting, and acted as a significant role</x:v>
      </x:c>
      <x:c r="E952" s="31" t="str">
        <x:v>Tell me about a time where you are in a group setting, and acted as a significant role</x:v>
      </x:c>
      <x:c r="F952" s="31" t="str">
        <x:v>Other Question</x:v>
      </x:c>
      <x:c r="G952" s="30" t="str">
        <x:v>CL0732</x:v>
      </x:c>
      <x:c r="H952" s="32" t="n">
        <x:f>COUNTIF($G$5:$G$1725,G952)</x:f>
        <x:v>1</x:v>
      </x:c>
      <x:c r="I952" s="30" t="str">
        <x:v>C29</x:v>
      </x:c>
      <x:c r="J952" s="31" t="str">
        <x:v>self intro | are you born and raised in hk | 為什麼想做投行 （普通話）</x:v>
      </x:c>
    </x:row>
    <x:row r="953" ht="48" customHeight="1">
      <x:c r="A953" s="30" t="str">
        <x:v>QB1513</x:v>
      </x:c>
      <x:c r="B953" s="30" t="str">
        <x:v>JPM</x:v>
      </x:c>
      <x:c r="C953" s="30" t="str">
        <x:v>IBD / GCM</x:v>
      </x:c>
      <x:c r="D953" s="31" t="str">
        <x:v>tell me about the tech startup you worked in</x:v>
      </x:c>
      <x:c r="E953" s="31" t="str">
        <x:v>Tell me about the tech startup you worked in</x:v>
      </x:c>
      <x:c r="F953" s="31" t="str">
        <x:v>Other Question</x:v>
      </x:c>
      <x:c r="G953" s="30" t="str">
        <x:v>CL0747</x:v>
      </x:c>
      <x:c r="H953" s="32" t="n">
        <x:f>COUNTIF($G$5:$G$1725,G953)</x:f>
        <x:v>1</x:v>
      </x:c>
      <x:c r="I953" s="30" t="str">
        <x:v>C30</x:v>
      </x:c>
      <x:c r="J953" s="31" t="str">
        <x:v>are you born and raised in hk | 為什麼想做投行 （普通話） | tell me about a time where you are in a group setting, and acted as a significant role</x:v>
      </x:c>
    </x:row>
    <x:row r="954" ht="48" customHeight="1">
      <x:c r="A954" s="30" t="str">
        <x:v>QB1514</x:v>
      </x:c>
      <x:c r="B954" s="30" t="str">
        <x:v>JPM</x:v>
      </x:c>
      <x:c r="C954" s="30" t="str">
        <x:v>IBD / GCM</x:v>
      </x:c>
      <x:c r="D954" s="31" t="str">
        <x:v>how to do credit analysis</x:v>
      </x:c>
      <x:c r="E954" s="31" t="str">
        <x:v>How to do credit analysis</x:v>
      </x:c>
      <x:c r="F954" s="31" t="str">
        <x:v>Other Question</x:v>
      </x:c>
      <x:c r="G954" s="30" t="str">
        <x:v>CL0464</x:v>
      </x:c>
      <x:c r="H954" s="32" t="n">
        <x:f>COUNTIF($G$5:$G$1725,G954)</x:f>
        <x:v>1</x:v>
      </x:c>
      <x:c r="I954" s="30" t="str">
        <x:v>C31</x:v>
      </x:c>
      <x:c r="J954" s="31" t="str">
        <x:v>為什麼想做投行 （普通話） | tell me about a time where you are in a group setting, and acted as a significant role | tell me about the tech startup you worked in</x:v>
      </x:c>
    </x:row>
    <x:row r="955" ht="68" customHeight="1">
      <x:c r="A955" s="30" t="str">
        <x:v>QB1515</x:v>
      </x:c>
      <x:c r="B955" s="30" t="str">
        <x:v>JPM</x:v>
      </x:c>
      <x:c r="C955" s="30" t="str">
        <x:v>IBD / GCM</x:v>
      </x:c>
      <x:c r="D955" s="31" t="str">
        <x:v>how would you do valuation for a instant noodle company</x:v>
      </x:c>
      <x:c r="E955" s="31" t="str">
        <x:v>How would you do valuation for a instant noodle company</x:v>
      </x:c>
      <x:c r="F955" s="31" t="str">
        <x:v>Valuation</x:v>
      </x:c>
      <x:c r="G955" s="30" t="str">
        <x:v>CL0497</x:v>
      </x:c>
      <x:c r="H955" s="32" t="n">
        <x:f>COUNTIF($G$5:$G$1725,G955)</x:f>
        <x:v>1</x:v>
      </x:c>
      <x:c r="I955" s="30" t="str">
        <x:v>C32</x:v>
      </x:c>
      <x:c r="J955" s="31" t="str">
        <x:v>tell me about a time where you are in a group setting, and acted as a significant role | tell me about the tech startup you worked in | how to do credit analysis</x:v>
      </x:c>
    </x:row>
    <x:row r="956" ht="48" customHeight="1">
      <x:c r="A956" s="30" t="str">
        <x:v>QB1516</x:v>
      </x:c>
      <x:c r="B956" s="30" t="str">
        <x:v>JPM</x:v>
      </x:c>
      <x:c r="C956" s="30" t="str">
        <x:v>IBD / GCM</x:v>
      </x:c>
      <x:c r="D956" s="31" t="str">
        <x:v>how do you do dcf</x:v>
      </x:c>
      <x:c r="E956" s="31" t="str">
        <x:v>How do you do dcf</x:v>
      </x:c>
      <x:c r="F956" s="31" t="str">
        <x:v>Valuation</x:v>
      </x:c>
      <x:c r="G956" s="30" t="str">
        <x:v>CL0406</x:v>
      </x:c>
      <x:c r="H956" s="32" t="n">
        <x:f>COUNTIF($G$5:$G$1725,G956)</x:f>
        <x:v>1</x:v>
      </x:c>
      <x:c r="I956" s="30" t="str">
        <x:v>C33</x:v>
      </x:c>
      <x:c r="J956" s="31" t="str">
        <x:v>tell me about the tech startup you worked in | how to do credit analysis | how would you do valuation for a instant noodle company</x:v>
      </x:c>
    </x:row>
    <x:row r="957" ht="48" customHeight="1">
      <x:c r="A957" s="30" t="str">
        <x:v>QB1517</x:v>
      </x:c>
      <x:c r="B957" s="30" t="str">
        <x:v>JPM</x:v>
      </x:c>
      <x:c r="C957" s="30" t="str">
        <x:v>IBD / GCM</x:v>
      </x:c>
      <x:c r="D957" s="31" t="str">
        <x:v>how to get fcf from revenue</x:v>
      </x:c>
      <x:c r="E957" s="31" t="str">
        <x:v>How to get fcf from revenue</x:v>
      </x:c>
      <x:c r="F957" s="31" t="str">
        <x:v>Company, Industry &amp; Deals</x:v>
      </x:c>
      <x:c r="G957" s="30" t="str">
        <x:v>CL0476</x:v>
      </x:c>
      <x:c r="H957" s="32" t="n">
        <x:f>COUNTIF($G$5:$G$1725,G957)</x:f>
        <x:v>1</x:v>
      </x:c>
      <x:c r="I957" s="30" t="str">
        <x:v>C34</x:v>
      </x:c>
      <x:c r="J957" s="31" t="str">
        <x:v>how to do credit analysis | how would you do valuation for a instant noodle company | how do you do dcf</x:v>
      </x:c>
    </x:row>
    <x:row r="958" ht="48" customHeight="1">
      <x:c r="A958" s="30" t="str">
        <x:v>QB1518</x:v>
      </x:c>
      <x:c r="B958" s="30" t="str">
        <x:v>JPM</x:v>
      </x:c>
      <x:c r="C958" s="30" t="str">
        <x:v>IBD / GCM</x:v>
      </x:c>
      <x:c r="D958" s="31" t="str">
        <x:v>what is a continuation fund (i did in TR)</x:v>
      </x:c>
      <x:c r="E958" s="31" t="str">
        <x:v>What is a continuation fund (i did in TR)</x:v>
      </x:c>
      <x:c r="F958" s="31" t="str">
        <x:v>Accounting &amp; Financial Statements</x:v>
      </x:c>
      <x:c r="G958" s="30" t="str">
        <x:v>CL0960</x:v>
      </x:c>
      <x:c r="H958" s="32" t="n">
        <x:f>COUNTIF($G$5:$G$1725,G958)</x:f>
        <x:v>1</x:v>
      </x:c>
      <x:c r="I958" s="30" t="str">
        <x:v>C35</x:v>
      </x:c>
      <x:c r="J958" s="31" t="str">
        <x:v>how would you do valuation for a instant noodle company | how do you do dcf | how to get fcf from revenue</x:v>
      </x:c>
    </x:row>
    <x:row r="959" ht="32" customHeight="1">
      <x:c r="A959" s="30" t="str">
        <x:v>QB1530</x:v>
      </x:c>
      <x:c r="B959" s="30" t="str">
        <x:v>Grant Samuel</x:v>
      </x:c>
      <x:c r="C959" s="30" t="str">
        <x:v>IBD / GCM</x:v>
      </x:c>
      <x:c r="D959" s="31" t="str">
        <x:v>What did you do in BNP?</x:v>
      </x:c>
      <x:c r="E959" s="31" t="str">
        <x:v>What did you do in BNP</x:v>
      </x:c>
      <x:c r="F959" s="31" t="str">
        <x:v>Resume &amp; Experience</x:v>
      </x:c>
      <x:c r="G959" s="30" t="str">
        <x:v>CL0026</x:v>
      </x:c>
      <x:c r="H959" s="32" t="n">
        <x:f>COUNTIF($G$5:$G$1725,G959)</x:f>
        <x:v>3</x:v>
      </x:c>
      <x:c r="I959" s="30" t="str">
        <x:v>A5</x:v>
      </x:c>
      <x:c r="J959" s="31" t="str">
        <x:v>IBD First Round | Beata | Anthony So: Analyst (TMT)</x:v>
      </x:c>
    </x:row>
    <x:row r="960" ht="32" customHeight="1">
      <x:c r="A960" s="30" t="str">
        <x:v>QB1531</x:v>
      </x:c>
      <x:c r="B960" s="30" t="str">
        <x:v>Grant Samuel</x:v>
      </x:c>
      <x:c r="C960" s="30" t="str">
        <x:v>IBD / GCM</x:v>
      </x:c>
      <x:c r="D960" s="31" t="str">
        <x:v>For trading comps, what's the difference between EV/EBITDA, P/E, and EV/Sales</x:v>
      </x:c>
      <x:c r="E960" s="31" t="str">
        <x:v>For trading comps, what's the difference between EV/EBITDA, P/E, and EV/Sales</x:v>
      </x:c>
      <x:c r="F960" s="31" t="str">
        <x:v>Valuation</x:v>
      </x:c>
      <x:c r="G960" s="30" t="str">
        <x:v>CL0337</x:v>
      </x:c>
      <x:c r="H960" s="32" t="n">
        <x:f>COUNTIF($G$5:$G$1725,G960)</x:f>
        <x:v>1</x:v>
      </x:c>
      <x:c r="I960" s="30" t="str">
        <x:v>A6</x:v>
      </x:c>
      <x:c r="J960" s="31" t="str">
        <x:v>Beata | Anthony So: Analyst (TMT) | What did you do in BNP?</x:v>
      </x:c>
    </x:row>
    <x:row r="961" ht="48" customHeight="1">
      <x:c r="A961" s="30" t="str">
        <x:v>QB1532</x:v>
      </x:c>
      <x:c r="B961" s="30" t="str">
        <x:v>Grant Samuel</x:v>
      </x:c>
      <x:c r="C961" s="30" t="str">
        <x:v>IBD / GCM</x:v>
      </x:c>
      <x:c r="D961" s="31" t="str">
        <x:v>Scenarios with higher ev/ebitda, e.g. 900x?</x:v>
      </x:c>
      <x:c r="E961" s="31" t="str">
        <x:v>Scenarios with higher ev/ebitda, e.g. 900x</x:v>
      </x:c>
      <x:c r="F961" s="31" t="str">
        <x:v>Other Question</x:v>
      </x:c>
      <x:c r="G961" s="30" t="str">
        <x:v>CL0668</x:v>
      </x:c>
      <x:c r="H961" s="32" t="n">
        <x:f>COUNTIF($G$5:$G$1725,G961)</x:f>
        <x:v>1</x:v>
      </x:c>
      <x:c r="I961" s="30" t="str">
        <x:v>A7</x:v>
      </x:c>
      <x:c r="J961" s="31" t="str">
        <x:v>Anthony So: Analyst (TMT) | What did you do in BNP? | For trading comps, what's the difference between EV/EBITDA, P/E, and EV/Sales</x:v>
      </x:c>
    </x:row>
    <x:row r="962" ht="68" customHeight="1">
      <x:c r="A962" s="30" t="str">
        <x:v>QB1534</x:v>
      </x:c>
      <x:c r="B962" s="30" t="str">
        <x:v>Grant Samuel</x:v>
      </x:c>
      <x:c r="C962" s="30" t="str">
        <x:v>IBD / GCM</x:v>
      </x:c>
      <x:c r="D962" s="31" t="str">
        <x:v>Walk me thru impact on 3 FS, acquiring pp&amp;e at the start of the year, you can make your own assumptions</x:v>
      </x:c>
      <x:c r="E962" s="31" t="str">
        <x:v>Walk me thru impact on 3 FS, acquiring pp&amp;e at the start of the year, you can make your own assumptions</x:v>
      </x:c>
      <x:c r="F962" s="31" t="str">
        <x:v>Other Question</x:v>
      </x:c>
      <x:c r="G962" s="30" t="str">
        <x:v>CL0844</x:v>
      </x:c>
      <x:c r="H962" s="32" t="n">
        <x:f>COUNTIF($G$5:$G$1725,G962)</x:f>
        <x:v>1</x:v>
      </x:c>
      <x:c r="I962" s="30" t="str">
        <x:v>A9</x:v>
      </x:c>
      <x:c r="J962" s="31" t="str">
        <x:v>For trading comps, what's the difference between EV/EBITDA, P/E, and EV/Sales | Scenarios with higher ev/ebitda, e.g. 900x? | &gt; may be different stages, e.g., turning into profitability</x:v>
      </x:c>
    </x:row>
    <x:row r="963" ht="68" customHeight="1">
      <x:c r="A963" s="30" t="str">
        <x:v>QB1535</x:v>
      </x:c>
      <x:c r="B963" s="30" t="str">
        <x:v>Grant Samuel</x:v>
      </x:c>
      <x:c r="C963" s="30" t="str">
        <x:v>IBD / GCM</x:v>
      </x:c>
      <x:c r="D963" s="31" t="str">
        <x:v>All-stock deal, buyer has a higher p/e, is it accretive or dlitutive? Why?</x:v>
      </x:c>
      <x:c r="E963" s="31" t="str">
        <x:v>What makes an M&amp;A deal accretive or dilutive?</x:v>
      </x:c>
      <x:c r="F963" s="31" t="str">
        <x:v>Accounting &amp; Financial Statements</x:v>
      </x:c>
      <x:c r="G963" s="30" t="str">
        <x:v>CL0048</x:v>
      </x:c>
      <x:c r="H963" s="32" t="n">
        <x:f>COUNTIF($G$5:$G$1725,G963)</x:f>
        <x:v>2</x:v>
      </x:c>
      <x:c r="I963" s="30" t="str">
        <x:v>A10</x:v>
      </x:c>
      <x:c r="J963" s="31" t="str">
        <x:v>Scenarios with higher ev/ebitda, e.g. 900x? | &gt; may be different stages, e.g., turning into profitability | Walk me thru impact on 3 FS, acquiring pp&amp;e at the start of the year, you can make your own assumptions</x:v>
      </x:c>
    </x:row>
    <x:row r="964" ht="68" customHeight="1">
      <x:c r="A964" s="30" t="str">
        <x:v>QB1536</x:v>
      </x:c>
      <x:c r="B964" s="30" t="str">
        <x:v>Grant Samuel</x:v>
      </x:c>
      <x:c r="C964" s="30" t="str">
        <x:v>IBD / GCM</x:v>
      </x:c>
      <x:c r="D964" s="31" t="str">
        <x:v>In most of the cases, involving debt financing, cash, e.g., acquisition involves all three, what are some of the impacts that have to encounter for the merger model</x:v>
      </x:c>
      <x:c r="E964" s="31" t="str">
        <x:v>In most of the cases, involving debt financing, cash, e.g., acquisition involves all three, what are some of the impacts that have to encounter for the merger model</x:v>
      </x:c>
      <x:c r="F964" s="31" t="str">
        <x:v>M&amp;A</x:v>
      </x:c>
      <x:c r="G964" s="30" t="str">
        <x:v>CL0540</x:v>
      </x:c>
      <x:c r="H964" s="32" t="n">
        <x:f>COUNTIF($G$5:$G$1725,G964)</x:f>
        <x:v>1</x:v>
      </x:c>
      <x:c r="I964" s="30" t="str">
        <x:v>A11</x:v>
      </x:c>
      <x:c r="J964" s="31" t="str">
        <x:v>&gt; may be different stages, e.g., turning into profitability | Walk me thru impact on 3 FS, acquiring pp&amp;e at the start of the year, you can make your own assumptions | All-stock deal, buyer has a higher p/e, is it accretive or dlitutive?...</x:v>
      </x:c>
    </x:row>
    <x:row r="965" ht="92" customHeight="1">
      <x:c r="A965" s="30" t="str">
        <x:v>QB1537</x:v>
      </x:c>
      <x:c r="B965" s="30" t="str">
        <x:v>Grant Samuel</x:v>
      </x:c>
      <x:c r="C965" s="30" t="str">
        <x:v>IBD / GCM</x:v>
      </x:c>
      <x:c r="D965" s="31" t="str">
        <x:v>e.g., you're advising a company, client comes to u, I lack capital rn, whether I should use debt/equity/convertivble bonds, what questions to ask to decide which to use</x:v>
      </x:c>
      <x:c r="E965" s="31" t="str">
        <x:v>How should a company choose between debt and equity financing?</x:v>
      </x:c>
      <x:c r="F965" s="31" t="str">
        <x:v>Company, Industry &amp; Deals</x:v>
      </x:c>
      <x:c r="G965" s="30" t="str">
        <x:v>CL0005</x:v>
      </x:c>
      <x:c r="H965" s="32" t="n">
        <x:f>COUNTIF($G$5:$G$1725,G965)</x:f>
        <x:v>21</x:v>
      </x:c>
      <x:c r="I965" s="30" t="str">
        <x:v>A12</x:v>
      </x:c>
      <x:c r="J965" s="31" t="str">
        <x:v>Walk me thru impact on 3 FS, acquiring pp&amp;e at the start of the year, you can make your own assumptions | All-stock deal, buyer has a higher p/e, is it accretive or dlitutive? Why? | In most of the cases, involving debt financing, cash, ...</x:v>
      </x:c>
    </x:row>
    <x:row r="966" ht="118" customHeight="1">
      <x:c r="A966" s="30" t="str">
        <x:v>QB1539</x:v>
      </x:c>
      <x:c r="B966" s="30" t="str">
        <x:v>Grant Samuel</x:v>
      </x:c>
      <x:c r="C966" s="30" t="str">
        <x:v>IBD / GCM</x:v>
      </x:c>
      <x:c r="D966" s="31" t="str">
        <x:v>If ur company is in early stage, what do u think about cost of debt or equity</x:v>
      </x:c>
      <x:c r="E966" s="31" t="str">
        <x:v>How should a company choose between debt and equity financing?</x:v>
      </x:c>
      <x:c r="F966" s="31" t="str">
        <x:v>Accounting &amp; Financial Statements</x:v>
      </x:c>
      <x:c r="G966" s="30" t="str">
        <x:v>CL0005</x:v>
      </x:c>
      <x:c r="H966" s="32" t="n">
        <x:f>COUNTIF($G$5:$G$1725,G966)</x:f>
        <x:v>21</x:v>
      </x:c>
      <x:c r="I966" s="30" t="str">
        <x:v>A14</x:v>
      </x:c>
      <x:c r="J966" s="31" t="str">
        <x:v>In most of the cases, involving debt financing, cash, e.g., acquisition involves all three, what are some of the impacts that have to encounter for the merger model | e.g., you're advising a company, client comes to u, I lack capital rn,...</x:v>
      </x:c>
    </x:row>
    <x:row r="967" ht="92" customHeight="1">
      <x:c r="A967" s="30" t="str">
        <x:v>QB1540</x:v>
      </x:c>
      <x:c r="B967" s="30" t="str">
        <x:v>Grant Samuel</x:v>
      </x:c>
      <x:c r="C967" s="30" t="str">
        <x:v>IBD / GCM</x:v>
      </x:c>
      <x:c r="D967" s="31" t="str">
        <x:v>e.g. advising on buy side, seller asks for crazy valuation, what is the counter thing, anything u can add to the term sheet?</x:v>
      </x:c>
      <x:c r="E967" s="31" t="str">
        <x:v>E.g. advising on buy side, seller asks for crazy valuation, what is the counter thing, anything u can add to the term sheet</x:v>
      </x:c>
      <x:c r="F967" s="31" t="str">
        <x:v>Accounting &amp; Financial Statements</x:v>
      </x:c>
      <x:c r="G967" s="30" t="str">
        <x:v>CL0305</x:v>
      </x:c>
      <x:c r="H967" s="32" t="n">
        <x:f>COUNTIF($G$5:$G$1725,G967)</x:f>
        <x:v>1</x:v>
      </x:c>
      <x:c r="I967" s="30" t="str">
        <x:v>A15</x:v>
      </x:c>
      <x:c r="J967" s="31" t="str">
        <x:v>e.g., you're advising a company, client comes to u, I lack capital rn, whether I should use debt/equity/convertivble bonds, what questions to ask to decide which to use | Companies have diff stages, what does growth stage mean | If ur co...</x:v>
      </x:c>
    </x:row>
    <x:row r="968" ht="92" customHeight="1">
      <x:c r="A968" s="30" t="str">
        <x:v>QB1541</x:v>
      </x:c>
      <x:c r="B968" s="30" t="str">
        <x:v>Grant Samuel</x:v>
      </x:c>
      <x:c r="C968" s="30" t="str">
        <x:v>IBD / GCM</x:v>
      </x:c>
      <x:c r="D968" s="31" t="str">
        <x:v>&gt; in real life, earnout model, divide into phase to unlock, add put option, get liquidity much easier</x:v>
      </x:c>
      <x:c r="E968" s="31" t="str">
        <x:v>&gt; in real life, earnout model, divide into phase to unlock, add put option, get liquidity much easier</x:v>
      </x:c>
      <x:c r="F968" s="31" t="str">
        <x:v>Sales &amp; Trading</x:v>
      </x:c>
      <x:c r="G968" s="30" t="str">
        <x:v>CL0062</x:v>
      </x:c>
      <x:c r="H968" s="32" t="n">
        <x:f>COUNTIF($G$5:$G$1725,G968)</x:f>
        <x:v>1</x:v>
      </x:c>
      <x:c r="I968" s="30" t="str">
        <x:v>A16</x:v>
      </x:c>
      <x:c r="J968" s="31" t="str">
        <x:v>Companies have diff stages, what does growth stage mean | If ur company is in early stage, what do u think about cost of debt or equity | e.g. advising on buy side, seller asks for crazy valuation, what is the counter thing, anything u c...</x:v>
      </x:c>
    </x:row>
    <x:row r="969" ht="92" customHeight="1">
      <x:c r="A969" s="30" t="str">
        <x:v>QB1543</x:v>
      </x:c>
      <x:c r="B969" s="30" t="str">
        <x:v>Grant Samuel</x:v>
      </x:c>
      <x:c r="C969" s="30" t="str">
        <x:v>IBD / GCM</x:v>
      </x:c>
      <x:c r="D969" s="31" t="str">
        <x:v>Did you get any feedback from Lazard? Why didn't you get in?</x:v>
      </x:c>
      <x:c r="E969" s="31" t="str">
        <x:v>Did you get any feedback from Lazard? Why didn't you get in</x:v>
      </x:c>
      <x:c r="F969" s="31" t="str">
        <x:v>Fit &amp; Motivation</x:v>
      </x:c>
      <x:c r="G969" s="30" t="str">
        <x:v>CL0243</x:v>
      </x:c>
      <x:c r="H969" s="32" t="n">
        <x:f>COUNTIF($G$5:$G$1725,G969)</x:f>
        <x:v>1</x:v>
      </x:c>
      <x:c r="I969" s="30" t="str">
        <x:v>A19</x:v>
      </x:c>
      <x:c r="J969" s="31" t="str">
        <x:v>e.g. advising on buy side, seller asks for crazy valuation, what is the counter thing, anything u can add to the term sheet? | &gt; in real life, earnout model, divide into phase to unlock, add put option, get liquidity much easier | Tina Z...</x:v>
      </x:c>
    </x:row>
    <x:row r="970" ht="68" customHeight="1">
      <x:c r="A970" s="30" t="str">
        <x:v>QB1544</x:v>
      </x:c>
      <x:c r="B970" s="30" t="str">
        <x:v>Grant Samuel</x:v>
      </x:c>
      <x:c r="C970" s="30" t="str">
        <x:v>IBD / GCM</x:v>
      </x:c>
      <x:c r="D970" s="31" t="str">
        <x:v>How do you value mining assets</x:v>
      </x:c>
      <x:c r="E970" s="31" t="str">
        <x:v>How do you value mining assets</x:v>
      </x:c>
      <x:c r="F970" s="31" t="str">
        <x:v>Other Question</x:v>
      </x:c>
      <x:c r="G970" s="30" t="str">
        <x:v>CL0429</x:v>
      </x:c>
      <x:c r="H970" s="32" t="n">
        <x:f>COUNTIF($G$5:$G$1725,G970)</x:f>
        <x:v>1</x:v>
      </x:c>
      <x:c r="I970" s="30" t="str">
        <x:v>A20</x:v>
      </x:c>
      <x:c r="J970" s="31" t="str">
        <x:v>&gt; in real life, earnout model, divide into phase to unlock, add put option, get liquidity much easier | Tina Zhang: Analyst (metal and mining) | Did you get any feedback from Lazard? Why didn't you get in?</x:v>
      </x:c>
    </x:row>
    <x:row r="971" ht="48" customHeight="1">
      <x:c r="A971" s="30" t="str">
        <x:v>QB1546</x:v>
      </x:c>
      <x:c r="B971" s="30" t="str">
        <x:v>Grant Samuel</x:v>
      </x:c>
      <x:c r="C971" s="30" t="str">
        <x:v>IBD / GCM</x:v>
      </x:c>
      <x:c r="D971" s="31" t="str">
        <x:v>How to get equity value from EV</x:v>
      </x:c>
      <x:c r="E971" s="31" t="str">
        <x:v>How to get equity value from EV</x:v>
      </x:c>
      <x:c r="F971" s="31" t="str">
        <x:v>Valuation</x:v>
      </x:c>
      <x:c r="G971" s="30" t="str">
        <x:v>CL0034</x:v>
      </x:c>
      <x:c r="H971" s="32" t="n">
        <x:f>COUNTIF($G$5:$G$1725,G971)</x:f>
        <x:v>2</x:v>
      </x:c>
      <x:c r="I971" s="30" t="str">
        <x:v>A22</x:v>
      </x:c>
      <x:c r="J971" s="31" t="str">
        <x:v>Did you get any feedback from Lazard? Why didn't you get in? | How do you value mining assets | NPV vs NAV</x:v>
      </x:c>
    </x:row>
    <x:row r="972" ht="32" customHeight="1">
      <x:c r="A972" s="30" t="str">
        <x:v>QB1548</x:v>
      </x:c>
      <x:c r="B972" s="30" t="str">
        <x:v>Grant Samuel</x:v>
      </x:c>
      <x:c r="C972" s="30" t="str">
        <x:v>IBD / GCM</x:v>
      </x:c>
      <x:c r="D972" s="31" t="str">
        <x:v>TV in mining DCF</x:v>
      </x:c>
      <x:c r="E972" s="31" t="str">
        <x:v>TV in mining DCF</x:v>
      </x:c>
      <x:c r="F972" s="31" t="str">
        <x:v>Valuation</x:v>
      </x:c>
      <x:c r="G972" s="30" t="str">
        <x:v>CL0804</x:v>
      </x:c>
      <x:c r="H972" s="32" t="n">
        <x:f>COUNTIF($G$5:$G$1725,G972)</x:f>
        <x:v>1</x:v>
      </x:c>
      <x:c r="I972" s="30" t="str">
        <x:v>A24</x:v>
      </x:c>
      <x:c r="J972" s="31" t="str">
        <x:v>NPV vs NAV | How to get equity value from EV | Reserves vs Resources</x:v>
      </x:c>
    </x:row>
    <x:row r="973" ht="32" customHeight="1">
      <x:c r="A973" s="30" t="str">
        <x:v>QB1549</x:v>
      </x:c>
      <x:c r="B973" s="30" t="str">
        <x:v>Grant Samuel</x:v>
      </x:c>
      <x:c r="C973" s="30" t="str">
        <x:v>IBD / GCM</x:v>
      </x:c>
      <x:c r="D973" s="31" t="str">
        <x:v>Mining valuation multiples</x:v>
      </x:c>
      <x:c r="E973" s="31" t="str">
        <x:v>Mining valuation multiples</x:v>
      </x:c>
      <x:c r="F973" s="31" t="str">
        <x:v>Valuation</x:v>
      </x:c>
      <x:c r="G973" s="30" t="str">
        <x:v>CL0606</x:v>
      </x:c>
      <x:c r="H973" s="32" t="n">
        <x:f>COUNTIF($G$5:$G$1725,G973)</x:f>
        <x:v>1</x:v>
      </x:c>
      <x:c r="I973" s="30" t="str">
        <x:v>A25</x:v>
      </x:c>
      <x:c r="J973" s="31" t="str">
        <x:v>How to get equity value from EV | Reserves vs Resources | TV in mining DCF</x:v>
      </x:c>
    </x:row>
    <x:row r="974" ht="32" customHeight="1">
      <x:c r="A974" s="30" t="str">
        <x:v>QB1550</x:v>
      </x:c>
      <x:c r="B974" s="30" t="str">
        <x:v>Grant Samuel</x:v>
      </x:c>
      <x:c r="C974" s="30" t="str">
        <x:v>IBD / GCM</x:v>
      </x:c>
      <x:c r="D974" s="31" t="str">
        <x:v>What's your MBTI</x:v>
      </x:c>
      <x:c r="E974" s="31" t="str">
        <x:v>What's your MBTI</x:v>
      </x:c>
      <x:c r="F974" s="31" t="str">
        <x:v>Other Question</x:v>
      </x:c>
      <x:c r="G974" s="30" t="str">
        <x:v>CL1065</x:v>
      </x:c>
      <x:c r="H974" s="32" t="n">
        <x:f>COUNTIF($G$5:$G$1725,G974)</x:f>
        <x:v>1</x:v>
      </x:c>
      <x:c r="I974" s="30" t="str">
        <x:v>A26</x:v>
      </x:c>
      <x:c r="J974" s="31" t="str">
        <x:v>Reserves vs Resources | TV in mining DCF | Mining valuation multiples</x:v>
      </x:c>
    </x:row>
    <x:row r="975" ht="32" customHeight="1">
      <x:c r="A975" s="30" t="str">
        <x:v>QB1551</x:v>
      </x:c>
      <x:c r="B975" s="30" t="str">
        <x:v>Grant Samuel</x:v>
      </x:c>
      <x:c r="C975" s="30" t="str">
        <x:v>IBD / GCM</x:v>
      </x:c>
      <x:c r="D975" s="31" t="str">
        <x:v>How much time did you spend on studying mining?</x:v>
      </x:c>
      <x:c r="E975" s="31" t="str">
        <x:v>How much time did you spend on studying mining</x:v>
      </x:c>
      <x:c r="F975" s="31" t="str">
        <x:v>Other Question</x:v>
      </x:c>
      <x:c r="G975" s="30" t="str">
        <x:v>CL0459</x:v>
      </x:c>
      <x:c r="H975" s="32" t="n">
        <x:f>COUNTIF($G$5:$G$1725,G975)</x:f>
        <x:v>1</x:v>
      </x:c>
      <x:c r="I975" s="30" t="str">
        <x:v>A27</x:v>
      </x:c>
      <x:c r="J975" s="31" t="str">
        <x:v>TV in mining DCF | Mining valuation multiples | What's your MBTI</x:v>
      </x:c>
    </x:row>
    <x:row r="976" ht="32" customHeight="1">
      <x:c r="A976" s="30" t="str">
        <x:v>QB1556</x:v>
      </x:c>
      <x:c r="B976" s="30" t="str">
        <x:v>Moelis</x:v>
      </x:c>
      <x:c r="C976" s="30" t="str">
        <x:v>IBD / GCM</x:v>
      </x:c>
      <x:c r="D976" s="31" t="str">
        <x:v>Self intro</x:v>
      </x:c>
      <x:c r="E976" s="31" t="str">
        <x:v>Tell me about yourself / walk me through your resume</x:v>
      </x:c>
      <x:c r="F976" s="31" t="str">
        <x:v>Resume &amp; Experience</x:v>
      </x:c>
      <x:c r="G976" s="30" t="str">
        <x:v>CL0001</x:v>
      </x:c>
      <x:c r="H976" s="32" t="n">
        <x:f>COUNTIF($G$5:$G$1725,G976)</x:f>
        <x:v>170</x:v>
      </x:c>
      <x:c r="I976" s="30" t="str">
        <x:v>A3</x:v>
      </x:c>
      <x:c r="J976" s="31" t="str">
        <x:v>2025 IBD Summer | 1st interviewer Asso Chelsea</x:v>
      </x:c>
    </x:row>
    <x:row r="977" ht="32" customHeight="1">
      <x:c r="A977" s="30" t="str">
        <x:v>QB1557</x:v>
      </x:c>
      <x:c r="B977" s="30" t="str">
        <x:v>Moelis</x:v>
      </x:c>
      <x:c r="C977" s="30" t="str">
        <x:v>IBD / GCM</x:v>
      </x:c>
      <x:c r="D977" s="31" t="str">
        <x:v>How did you do DCF for the energy storage company in ur ER internship?</x:v>
      </x:c>
      <x:c r="E977" s="31" t="str">
        <x:v>How did you do DCF for the energy storage company in ur ER internship</x:v>
      </x:c>
      <x:c r="F977" s="31" t="str">
        <x:v>Resume &amp; Experience</x:v>
      </x:c>
      <x:c r="G977" s="30" t="str">
        <x:v>CL0382</x:v>
      </x:c>
      <x:c r="H977" s="32" t="n">
        <x:f>COUNTIF($G$5:$G$1725,G977)</x:f>
        <x:v>1</x:v>
      </x:c>
      <x:c r="I977" s="30" t="str">
        <x:v>A4</x:v>
      </x:c>
      <x:c r="J977" s="31" t="str">
        <x:v>2025 IBD Summer | 1st interviewer Asso Chelsea | Self intro</x:v>
      </x:c>
    </x:row>
    <x:row r="978" ht="48" customHeight="1">
      <x:c r="A978" s="30" t="str">
        <x:v>QB1558</x:v>
      </x:c>
      <x:c r="B978" s="30" t="str">
        <x:v>Moelis</x:v>
      </x:c>
      <x:c r="C978" s="30" t="str">
        <x:v>IBD / GCM</x:v>
      </x:c>
      <x:c r="D978" s="31" t="str">
        <x:v>How did you find the forecast numbers?</x:v>
      </x:c>
      <x:c r="E978" s="31" t="str">
        <x:v>How did you find the forecast numbers</x:v>
      </x:c>
      <x:c r="F978" s="31" t="str">
        <x:v>Other Question</x:v>
      </x:c>
      <x:c r="G978" s="30" t="str">
        <x:v>CL0388</x:v>
      </x:c>
      <x:c r="H978" s="32" t="n">
        <x:f>COUNTIF($G$5:$G$1725,G978)</x:f>
        <x:v>1</x:v>
      </x:c>
      <x:c r="I978" s="30" t="str">
        <x:v>A5</x:v>
      </x:c>
      <x:c r="J978" s="31" t="str">
        <x:v>1st interviewer Asso Chelsea | Self intro | How did you do DCF for the energy storage company in ur ER internship?</x:v>
      </x:c>
    </x:row>
    <x:row r="979" ht="48" customHeight="1">
      <x:c r="A979" s="30" t="str">
        <x:v>QB1559</x:v>
      </x:c>
      <x:c r="B979" s="30" t="str">
        <x:v>Moelis</x:v>
      </x:c>
      <x:c r="C979" s="30" t="str">
        <x:v>IBD / GCM</x:v>
      </x:c>
      <x:c r="D979" s="31" t="str">
        <x:v>Tell me about your CPS deal in UBS</x:v>
      </x:c>
      <x:c r="E979" s="31" t="str">
        <x:v>Discuss a recent deal completed by this firm</x:v>
      </x:c>
      <x:c r="F979" s="31" t="str">
        <x:v>Private Equity &amp; LBO</x:v>
      </x:c>
      <x:c r="G979" s="30" t="str">
        <x:v>CL0008</x:v>
      </x:c>
      <x:c r="H979" s="32" t="n">
        <x:f>COUNTIF($G$5:$G$1725,G979)</x:f>
        <x:v>14</x:v>
      </x:c>
      <x:c r="I979" s="30" t="str">
        <x:v>A6</x:v>
      </x:c>
      <x:c r="J979" s="31" t="str">
        <x:v>Self intro | How did you do DCF for the energy storage company in ur ER internship? | How did you find the forecast numbers?</x:v>
      </x:c>
    </x:row>
    <x:row r="980" ht="48" customHeight="1">
      <x:c r="A980" s="30" t="str">
        <x:v>QB1560</x:v>
      </x:c>
      <x:c r="B980" s="30" t="str">
        <x:v>Moelis</x:v>
      </x:c>
      <x:c r="C980" s="30" t="str">
        <x:v>IBD / GCM</x:v>
      </x:c>
      <x:c r="D980" s="31" t="str">
        <x:v>How did you do the valuation?</x:v>
      </x:c>
      <x:c r="E980" s="31" t="str">
        <x:v>How did you do the valuation</x:v>
      </x:c>
      <x:c r="F980" s="31" t="str">
        <x:v>Valuation</x:v>
      </x:c>
      <x:c r="G980" s="30" t="str">
        <x:v>CL0385</x:v>
      </x:c>
      <x:c r="H980" s="32" t="n">
        <x:f>COUNTIF($G$5:$G$1725,G980)</x:f>
        <x:v>1</x:v>
      </x:c>
      <x:c r="I980" s="30" t="str">
        <x:v>A7</x:v>
      </x:c>
      <x:c r="J980" s="31" t="str">
        <x:v>How did you do DCF for the energy storage company in ur ER internship? | How did you find the forecast numbers? | Tell me about your CPS deal in UBS</x:v>
      </x:c>
    </x:row>
    <x:row r="981" ht="48" customHeight="1">
      <x:c r="A981" s="30" t="str">
        <x:v>QB1561</x:v>
      </x:c>
      <x:c r="B981" s="30" t="str">
        <x:v>Moelis</x:v>
      </x:c>
      <x:c r="C981" s="30" t="str">
        <x:v>IBD / GCM</x:v>
      </x:c>
      <x:c r="D981" s="31" t="str">
        <x:v>How do you choose comps ?</x:v>
      </x:c>
      <x:c r="E981" s="31" t="str">
        <x:v>How do you select comparable companies?</x:v>
      </x:c>
      <x:c r="F981" s="31" t="str">
        <x:v>Valuation</x:v>
      </x:c>
      <x:c r="G981" s="30" t="str">
        <x:v>CL0012</x:v>
      </x:c>
      <x:c r="H981" s="32" t="n">
        <x:f>COUNTIF($G$5:$G$1725,G981)</x:f>
        <x:v>12</x:v>
      </x:c>
      <x:c r="I981" s="30" t="str">
        <x:v>A8</x:v>
      </x:c>
      <x:c r="J981" s="31" t="str">
        <x:v>How did you find the forecast numbers? | Tell me about your CPS deal in UBS | How did you do the valuation?</x:v>
      </x:c>
    </x:row>
    <x:row r="982" ht="48" customHeight="1">
      <x:c r="A982" s="30" t="str">
        <x:v>QB1562</x:v>
      </x:c>
      <x:c r="B982" s="30" t="str">
        <x:v>Moelis</x:v>
      </x:c>
      <x:c r="C982" s="30" t="str">
        <x:v>IBD / GCM</x:v>
      </x:c>
      <x:c r="D982" s="31" t="str">
        <x:v>What multiples for comps and any special multiples?</x:v>
      </x:c>
      <x:c r="E982" s="31" t="str">
        <x:v>What multiples for comps and any special multiples</x:v>
      </x:c>
      <x:c r="F982" s="31" t="str">
        <x:v>Valuation</x:v>
      </x:c>
      <x:c r="G982" s="30" t="str">
        <x:v>CL1016</x:v>
      </x:c>
      <x:c r="H982" s="32" t="n">
        <x:f>COUNTIF($G$5:$G$1725,G982)</x:f>
        <x:v>1</x:v>
      </x:c>
      <x:c r="I982" s="30" t="str">
        <x:v>A9</x:v>
      </x:c>
      <x:c r="J982" s="31" t="str">
        <x:v>Tell me about your CPS deal in UBS | How did you do the valuation? | How do you choose comps ?</x:v>
      </x:c>
    </x:row>
    <x:row r="983" ht="48" customHeight="1">
      <x:c r="A983" s="30" t="str">
        <x:v>QB1563</x:v>
      </x:c>
      <x:c r="B983" s="30" t="str">
        <x:v>Moelis</x:v>
      </x:c>
      <x:c r="C983" s="30" t="str">
        <x:v>IBD / GCM</x:v>
      </x:c>
      <x:c r="D983" s="31" t="str">
        <x:v>Why these multiples?</x:v>
      </x:c>
      <x:c r="E983" s="31" t="str">
        <x:v>Why these multiples</x:v>
      </x:c>
      <x:c r="F983" s="31" t="str">
        <x:v>Fit &amp; Motivation</x:v>
      </x:c>
      <x:c r="G983" s="30" t="str">
        <x:v>CL1166</x:v>
      </x:c>
      <x:c r="H983" s="32" t="n">
        <x:f>COUNTIF($G$5:$G$1725,G983)</x:f>
        <x:v>1</x:v>
      </x:c>
      <x:c r="I983" s="30" t="str">
        <x:v>A10</x:v>
      </x:c>
      <x:c r="J983" s="31" t="str">
        <x:v>How did you do the valuation? | How do you choose comps ? | What multiples for comps and any special multiples?</x:v>
      </x:c>
    </x:row>
    <x:row r="984" ht="48" customHeight="1">
      <x:c r="A984" s="30" t="str">
        <x:v>QB1565</x:v>
      </x:c>
      <x:c r="B984" s="30" t="str">
        <x:v>Moelis</x:v>
      </x:c>
      <x:c r="C984" s="30" t="str">
        <x:v>IBD / GCM</x:v>
      </x:c>
      <x:c r="D984" s="31" t="str">
        <x:v>Cash flow $100 every year, 10% discount rate, how much would u pay to buy it?</x:v>
      </x:c>
      <x:c r="E984" s="31" t="str">
        <x:v>Cash flow $100 every year, 10% discount rate, how much would u pay to buy it</x:v>
      </x:c>
      <x:c r="F984" s="31" t="str">
        <x:v>Accounting &amp; Financial Statements</x:v>
      </x:c>
      <x:c r="G984" s="30" t="str">
        <x:v>CL0197</x:v>
      </x:c>
      <x:c r="H984" s="32" t="n">
        <x:f>COUNTIF($G$5:$G$1725,G984)</x:f>
        <x:v>1</x:v>
      </x:c>
      <x:c r="I984" s="30" t="str">
        <x:v>A12</x:v>
      </x:c>
      <x:c r="J984" s="31" t="str">
        <x:v>What multiples for comps and any special multiples? | Why these multiples? | Factory $100, selling at $80, 25% TR</x:v>
      </x:c>
    </x:row>
    <x:row r="985" ht="48" customHeight="1">
      <x:c r="A985" s="30" t="str">
        <x:v>QB1566</x:v>
      </x:c>
      <x:c r="B985" s="30" t="str">
        <x:v>Moelis</x:v>
      </x:c>
      <x:c r="C985" s="30" t="str">
        <x:v>IBD / GCM</x:v>
      </x:c>
      <x:c r="D985" s="31" t="str">
        <x:v>If the company's operations are in China, but listed in US, what Rf do you use?</x:v>
      </x:c>
      <x:c r="E985" s="31" t="str">
        <x:v>If the company's operations are in China, but listed in US, what Rf do you use</x:v>
      </x:c>
      <x:c r="F985" s="31" t="str">
        <x:v>Company, Industry &amp; Deals</x:v>
      </x:c>
      <x:c r="G985" s="30" t="str">
        <x:v>CL0517</x:v>
      </x:c>
      <x:c r="H985" s="32" t="n">
        <x:f>COUNTIF($G$5:$G$1725,G985)</x:f>
        <x:v>1</x:v>
      </x:c>
      <x:c r="I985" s="30" t="str">
        <x:v>A13</x:v>
      </x:c>
      <x:c r="J985" s="31" t="str">
        <x:v>Why these multiples? | Factory $100, selling at $80, 25% TR | Cash flow $100 every year, 10% discount rate, how much would u pay to buy it?</x:v>
      </x:c>
    </x:row>
    <x:row r="986" ht="68" customHeight="1">
      <x:c r="A986" s="30" t="str">
        <x:v>QB1567</x:v>
      </x:c>
      <x:c r="B986" s="30" t="str">
        <x:v>Moelis</x:v>
      </x:c>
      <x:c r="C986" s="30" t="str">
        <x:v>IBD / GCM</x:v>
      </x:c>
      <x:c r="D986" s="31" t="str">
        <x:v>CAPEX $100 to buy PPE?</x:v>
      </x:c>
      <x:c r="E986" s="31" t="str">
        <x:v>CAPEX $100 to buy PPE</x:v>
      </x:c>
      <x:c r="F986" s="31" t="str">
        <x:v>Other Question</x:v>
      </x:c>
      <x:c r="G986" s="30" t="str">
        <x:v>CL0190</x:v>
      </x:c>
      <x:c r="H986" s="32" t="n">
        <x:f>COUNTIF($G$5:$G$1725,G986)</x:f>
        <x:v>1</x:v>
      </x:c>
      <x:c r="I986" s="30" t="str">
        <x:v>A14</x:v>
      </x:c>
      <x:c r="J986" s="31" t="str">
        <x:v>Factory $100, selling at $80, 25% TR | Cash flow $100 every year, 10% discount rate, how much would u pay to buy it? | If the company's operations are in China, but listed in US, what Rf do you use?</x:v>
      </x:c>
    </x:row>
    <x:row r="987" ht="68" customHeight="1">
      <x:c r="A987" s="30" t="str">
        <x:v>QB1568</x:v>
      </x:c>
      <x:c r="B987" s="30" t="str">
        <x:v>Moelis</x:v>
      </x:c>
      <x:c r="C987" s="30" t="str">
        <x:v>IBD / GCM</x:v>
      </x:c>
      <x:c r="D987" s="31" t="str">
        <x:v>What are the factors that will affect the NPV of the company?</x:v>
      </x:c>
      <x:c r="E987" s="31" t="str">
        <x:v>What are the factors that will affect the NPV of the company</x:v>
      </x:c>
      <x:c r="F987" s="31" t="str">
        <x:v>Company, Industry &amp; Deals</x:v>
      </x:c>
      <x:c r="G987" s="30" t="str">
        <x:v>CL0881</x:v>
      </x:c>
      <x:c r="H987" s="32" t="n">
        <x:f>COUNTIF($G$5:$G$1725,G987)</x:f>
        <x:v>1</x:v>
      </x:c>
      <x:c r="I987" s="30" t="str">
        <x:v>A15</x:v>
      </x:c>
      <x:c r="J987" s="31" t="str">
        <x:v>Cash flow $100 every year, 10% discount rate, how much would u pay to buy it? | If the company's operations are in China, but listed in US, what Rf do you use? | CAPEX $100 to buy PPE?</x:v>
      </x:c>
    </x:row>
    <x:row r="988" ht="48" customHeight="1">
      <x:c r="A988" s="30" t="str">
        <x:v>QB1570</x:v>
      </x:c>
      <x:c r="B988" s="30" t="str">
        <x:v>Moelis</x:v>
      </x:c>
      <x:c r="C988" s="30" t="str">
        <x:v>IBD / GCM</x:v>
      </x:c>
      <x:c r="D988" s="31" t="str">
        <x:v>Self intro</x:v>
      </x:c>
      <x:c r="E988" s="31" t="str">
        <x:v>Tell me about yourself / walk me through your resume</x:v>
      </x:c>
      <x:c r="F988" s="31" t="str">
        <x:v>Resume &amp; Experience</x:v>
      </x:c>
      <x:c r="G988" s="30" t="str">
        <x:v>CL0001</x:v>
      </x:c>
      <x:c r="H988" s="32" t="n">
        <x:f>COUNTIF($G$5:$G$1725,G988)</x:f>
        <x:v>170</x:v>
      </x:c>
      <x:c r="I988" s="30" t="str">
        <x:v>A18</x:v>
      </x:c>
      <x:c r="J988" s="31" t="str">
        <x:v>CAPEX $100 to buy PPE? | What are the factors that will affect the NPV of the company? | 2nd interviewer VP Sophia (Metal and mining M&amp;A)</x:v>
      </x:c>
    </x:row>
    <x:row r="989" ht="48" customHeight="1">
      <x:c r="A989" s="30" t="str">
        <x:v>QB1571</x:v>
      </x:c>
      <x:c r="B989" s="30" t="str">
        <x:v>Moelis</x:v>
      </x:c>
      <x:c r="C989" s="30" t="str">
        <x:v>IBD / GCM</x:v>
      </x:c>
      <x:c r="D989" s="31" t="str">
        <x:v>Tell me about CPS deal in UBS: responsibilities, investment highlight, DCF assumptions</x:v>
      </x:c>
      <x:c r="E989" s="31" t="str">
        <x:v>Discuss a recent deal completed by this firm</x:v>
      </x:c>
      <x:c r="F989" s="31" t="str">
        <x:v>Resume &amp; Experience</x:v>
      </x:c>
      <x:c r="G989" s="30" t="str">
        <x:v>CL0008</x:v>
      </x:c>
      <x:c r="H989" s="32" t="n">
        <x:f>COUNTIF($G$5:$G$1725,G989)</x:f>
        <x:v>14</x:v>
      </x:c>
      <x:c r="I989" s="30" t="str">
        <x:v>A19</x:v>
      </x:c>
      <x:c r="J989" s="31" t="str">
        <x:v>What are the factors that will affect the NPV of the company? | 2nd interviewer VP Sophia (Metal and mining M&amp;A) | Self intro</x:v>
      </x:c>
    </x:row>
    <x:row r="990" ht="48" customHeight="1">
      <x:c r="A990" s="30" t="str">
        <x:v>QB1572</x:v>
      </x:c>
      <x:c r="B990" s="30" t="str">
        <x:v>Moelis</x:v>
      </x:c>
      <x:c r="C990" s="30" t="str">
        <x:v>IBD / GCM</x:v>
      </x:c>
      <x:c r="D990" s="31" t="str">
        <x:v>Why Moelis?</x:v>
      </x:c>
      <x:c r="E990" s="31" t="str">
        <x:v>Why this firm?</x:v>
      </x:c>
      <x:c r="F990" s="31" t="str">
        <x:v>Fit &amp; Motivation</x:v>
      </x:c>
      <x:c r="G990" s="30" t="str">
        <x:v>CL0002</x:v>
      </x:c>
      <x:c r="H990" s="32" t="n">
        <x:f>COUNTIF($G$5:$G$1725,G990)</x:f>
        <x:v>39</x:v>
      </x:c>
      <x:c r="I990" s="30" t="str">
        <x:v>A20</x:v>
      </x:c>
      <x:c r="J990" s="31" t="str">
        <x:v>2nd interviewer VP Sophia (Metal and mining M&amp;A) | Self intro | Tell me about CPS deal in UBS: responsibilities, investment highlight, DCF assumptions</x:v>
      </x:c>
    </x:row>
    <x:row r="991" ht="48" customHeight="1">
      <x:c r="A991" s="30" t="str">
        <x:v>QB1573</x:v>
      </x:c>
      <x:c r="B991" s="30" t="str">
        <x:v>Moelis</x:v>
      </x:c>
      <x:c r="C991" s="30" t="str">
        <x:v>IBD / GCM</x:v>
      </x:c>
      <x:c r="D991" s="31" t="str">
        <x:v>Entry: EBITDA $100, $600 debt, no cash, 10x multiple. Exit: Year 5 EBITDA $150, exit 9x multiple. What is the MOIC? (2.5x)</x:v>
      </x:c>
      <x:c r="E991" s="31" t="str">
        <x:v>Entry: EBITDA $100, $600 debt, no cash, 10x multiple. Exit: Year 5 EBITDA $150, exit 9x multiple. What is the MOIC? (2.5x)</x:v>
      </x:c>
      <x:c r="F991" s="31" t="str">
        <x:v>Accounting &amp; Financial Statements</x:v>
      </x:c>
      <x:c r="G991" s="30" t="str">
        <x:v>CL0312</x:v>
      </x:c>
      <x:c r="H991" s="32" t="n">
        <x:f>COUNTIF($G$5:$G$1725,G991)</x:f>
        <x:v>1</x:v>
      </x:c>
      <x:c r="I991" s="30" t="str">
        <x:v>A21</x:v>
      </x:c>
      <x:c r="J991" s="31" t="str">
        <x:v>Self intro | Tell me about CPS deal in UBS: responsibilities, investment highlight, DCF assumptions | Why Moelis?</x:v>
      </x:c>
    </x:row>
    <x:row r="992" ht="68" customHeight="1">
      <x:c r="A992" s="30" t="str">
        <x:v>QB1574</x:v>
      </x:c>
      <x:c r="B992" s="30" t="str">
        <x:v>Moelis</x:v>
      </x:c>
      <x:c r="C992" s="30" t="str">
        <x:v>IBD / GCM</x:v>
      </x:c>
      <x:c r="D992" s="31" t="str">
        <x:v>What is the IRR? (20%)</x:v>
      </x:c>
      <x:c r="E992" s="31" t="str">
        <x:v>What is the IRR? (20%)</x:v>
      </x:c>
      <x:c r="F992" s="31" t="str">
        <x:v>Accounting &amp; Financial Statements</x:v>
      </x:c>
      <x:c r="G992" s="30" t="str">
        <x:v>CL0983</x:v>
      </x:c>
      <x:c r="H992" s="32" t="n">
        <x:f>COUNTIF($G$5:$G$1725,G992)</x:f>
        <x:v>1</x:v>
      </x:c>
      <x:c r="I992" s="30" t="str">
        <x:v>A22</x:v>
      </x:c>
      <x:c r="J992" s="31" t="str">
        <x:v>Tell me about CPS deal in UBS: responsibilities, investment highlight, DCF assumptions | Why Moelis? | Entry: EBITDA $100, $600 debt, no cash, 10x multiple. Exit: Year 5 EBITDA $150, exit 9x multiple. What is the MOIC? (2.5x)</x:v>
      </x:c>
    </x:row>
    <x:row r="993" ht="32" customHeight="1">
      <x:c r="A993" s="30" t="str">
        <x:v>QB1578</x:v>
      </x:c>
      <x:c r="B993" s="30" t="str">
        <x:v>Moelis</x:v>
      </x:c>
      <x:c r="C993" s="30" t="str">
        <x:v>IBD / GCM</x:v>
      </x:c>
      <x:c r="D993" s="31" t="str">
        <x:v>Self-introduction</x:v>
      </x:c>
      <x:c r="E993" s="31" t="str">
        <x:v>Tell me about yourself / walk me through your resume</x:v>
      </x:c>
      <x:c r="F993" s="31" t="str">
        <x:v>Resume &amp; Experience</x:v>
      </x:c>
      <x:c r="G993" s="30" t="str">
        <x:v>CL0001</x:v>
      </x:c>
      <x:c r="H993" s="32" t="n">
        <x:f>COUNTIF($G$5:$G$1725,G993)</x:f>
        <x:v>170</x:v>
      </x:c>
      <x:c r="I993" s="30" t="str">
        <x:v>A27</x:v>
      </x:c>
      <x:c r="J993" s="31" t="str">
        <x:v>What is the IRR? (20%) | Beata (First Round) | Kevin Kee, Metal and mining, Associate</x:v>
      </x:c>
    </x:row>
    <x:row r="994" ht="32" customHeight="1">
      <x:c r="A994" s="30" t="str">
        <x:v>QB1579</x:v>
      </x:c>
      <x:c r="B994" s="30" t="str">
        <x:v>Moelis</x:v>
      </x:c>
      <x:c r="C994" s="30" t="str">
        <x:v>IBD / GCM</x:v>
      </x:c>
      <x:c r="D994" s="31" t="str">
        <x:v>Walk me through your resume</x:v>
      </x:c>
      <x:c r="E994" s="31" t="str">
        <x:v>Tell me about yourself / walk me through your resume</x:v>
      </x:c>
      <x:c r="F994" s="31" t="str">
        <x:v>Resume &amp; Experience</x:v>
      </x:c>
      <x:c r="G994" s="30" t="str">
        <x:v>CL0001</x:v>
      </x:c>
      <x:c r="H994" s="32" t="n">
        <x:f>COUNTIF($G$5:$G$1725,G994)</x:f>
        <x:v>170</x:v>
      </x:c>
      <x:c r="I994" s="30" t="str">
        <x:v>C27</x:v>
      </x:c>
      <x:c r="J994" s="31" t="str">
        <x:v>Keven Li Liu - VP</x:v>
      </x:c>
    </x:row>
    <x:row r="995" ht="48" customHeight="1">
      <x:c r="A995" s="30" t="str">
        <x:v>QB1580</x:v>
      </x:c>
      <x:c r="B995" s="30" t="str">
        <x:v>Moelis</x:v>
      </x:c>
      <x:c r="C995" s="30" t="str">
        <x:v>IBD / GCM</x:v>
      </x:c>
      <x:c r="D995" s="31" t="str">
        <x:v>Screensharing Excel, a few questions on FCF, NPV, multiples, and follow-up, Year 1: 50, Year 4: 175, Find the CAGR</x:v>
      </x:c>
      <x:c r="E995" s="31" t="str">
        <x:v>Screensharing Excel, a few questions on FCF, NPV, multiples, and follow-up, Year 1: 50, Year 4: 175, Find the CAGR</x:v>
      </x:c>
      <x:c r="F995" s="31" t="str">
        <x:v>Valuation</x:v>
      </x:c>
      <x:c r="G995" s="30" t="str">
        <x:v>CL0669</x:v>
      </x:c>
      <x:c r="H995" s="32" t="n">
        <x:f>COUNTIF($G$5:$G$1725,G995)</x:f>
        <x:v>1</x:v>
      </x:c>
      <x:c r="I995" s="30" t="str">
        <x:v>C28</x:v>
      </x:c>
      <x:c r="J995" s="31" t="str">
        <x:v>Keven Li Liu - VP | Walk me through your resume</x:v>
      </x:c>
    </x:row>
    <x:row r="996" ht="32" customHeight="1">
      <x:c r="A996" s="30" t="str">
        <x:v>QB1581</x:v>
      </x:c>
      <x:c r="B996" s="30" t="str">
        <x:v>Moelis</x:v>
      </x:c>
      <x:c r="C996" s="30" t="str">
        <x:v>IBD / GCM</x:v>
      </x:c>
      <x:c r="D996" s="31" t="str">
        <x:v>Is AMPB a specialized program?</x:v>
      </x:c>
      <x:c r="E996" s="31" t="str">
        <x:v>Is AMPB a specialized program</x:v>
      </x:c>
      <x:c r="F996" s="31" t="str">
        <x:v>Accounting &amp; Financial Statements</x:v>
      </x:c>
      <x:c r="G996" s="30" t="str">
        <x:v>CL0553</x:v>
      </x:c>
      <x:c r="H996" s="32" t="n">
        <x:f>COUNTIF($G$5:$G$1725,G996)</x:f>
        <x:v>1</x:v>
      </x:c>
      <x:c r="I996" s="30" t="str">
        <x:v>A29</x:v>
      </x:c>
      <x:c r="J996" s="31" t="str">
        <x:v>Beata (First Round) | Kevin Kee, Metal and mining, Associate | Self-introduction</x:v>
      </x:c>
    </x:row>
    <x:row r="997" ht="48" customHeight="1">
      <x:c r="A997" s="30" t="str">
        <x:v>QB1582</x:v>
      </x:c>
      <x:c r="B997" s="30" t="str">
        <x:v>Moelis</x:v>
      </x:c>
      <x:c r="C997" s="30" t="str">
        <x:v>IBD / GCM</x:v>
      </x:c>
      <x:c r="D997" s="31" t="str">
        <x:v>Why Moelis?</x:v>
      </x:c>
      <x:c r="E997" s="31" t="str">
        <x:v>Why this firm?</x:v>
      </x:c>
      <x:c r="F997" s="31" t="str">
        <x:v>Fit &amp; Motivation</x:v>
      </x:c>
      <x:c r="G997" s="30" t="str">
        <x:v>CL0002</x:v>
      </x:c>
      <x:c r="H997" s="32" t="n">
        <x:f>COUNTIF($G$5:$G$1725,G997)</x:f>
        <x:v>39</x:v>
      </x:c>
      <x:c r="I997" s="30" t="str">
        <x:v>A31</x:v>
      </x:c>
      <x:c r="J997" s="31" t="str">
        <x:v>Kevin Kee, Metal and mining, Associate | Self-introduction | Is AMPB a specialized program?</x:v>
      </x:c>
    </x:row>
    <x:row r="998" ht="32" customHeight="1">
      <x:c r="A998" s="30" t="str">
        <x:v>QB1585</x:v>
      </x:c>
      <x:c r="B998" s="30" t="str">
        <x:v>Moelis</x:v>
      </x:c>
      <x:c r="C998" s="30" t="str">
        <x:v>IBD / GCM</x:v>
      </x:c>
      <x:c r="D998" s="31" t="str">
        <x:v>i. What did you do?</x:v>
      </x:c>
      <x:c r="E998" s="31" t="str">
        <x:v>I. What did you do</x:v>
      </x:c>
      <x:c r="F998" s="31" t="str">
        <x:v>Resume &amp; Experience</x:v>
      </x:c>
      <x:c r="G998" s="30" t="str">
        <x:v>CL0507</x:v>
      </x:c>
      <x:c r="H998" s="32" t="n">
        <x:f>COUNTIF($G$5:$G$1725,G998)</x:f>
        <x:v>1</x:v>
      </x:c>
      <x:c r="I998" s="30" t="str">
        <x:v>A37</x:v>
      </x:c>
      <x:c r="J998" s="31" t="str">
        <x:v>Why Moelis? | BNP Paribas | l Restaurant chain pitch</x:v>
      </x:c>
    </x:row>
    <x:row r="999" ht="32" customHeight="1">
      <x:c r="A999" s="30" t="str">
        <x:v>QB1587</x:v>
      </x:c>
      <x:c r="B999" s="30" t="str">
        <x:v>Moelis</x:v>
      </x:c>
      <x:c r="C999" s="30" t="str">
        <x:v>IBD / GCM</x:v>
      </x:c>
      <x:c r="D999" s="31" t="str">
        <x:v>i. What did you do? Also walked through some industry trends</x:v>
      </x:c>
      <x:c r="E999" s="31" t="str">
        <x:v>I. What did you do? Also walked through some industry trends</x:v>
      </x:c>
      <x:c r="F999" s="31" t="str">
        <x:v>Resume &amp; Experience</x:v>
      </x:c>
      <x:c r="G999" s="30" t="str">
        <x:v>CL0508</x:v>
      </x:c>
      <x:c r="H999" s="32" t="n">
        <x:f>COUNTIF($G$5:$G$1725,G999)</x:f>
        <x:v>1</x:v>
      </x:c>
      <x:c r="I999" s="30" t="str">
        <x:v>A41</x:v>
      </x:c>
      <x:c r="J999" s="31" t="str">
        <x:v>l Restaurant chain pitch | i. What did you do? | l EV pitch</x:v>
      </x:c>
    </x:row>
    <x:row r="1000" ht="48" customHeight="1">
      <x:c r="A1000" s="30" t="str">
        <x:v>QB1589</x:v>
      </x:c>
      <x:c r="B1000" s="30" t="str">
        <x:v>Moelis</x:v>
      </x:c>
      <x:c r="C1000" s="30" t="str">
        <x:v>IBD / GCM</x:v>
      </x:c>
      <x:c r="D1000" s="31" t="str">
        <x:v>What do you think about the FI?</x:v>
      </x:c>
      <x:c r="E1000" s="31" t="str">
        <x:v>What do you think about the FI</x:v>
      </x:c>
      <x:c r="F1000" s="31" t="str">
        <x:v>Other Question</x:v>
      </x:c>
      <x:c r="G1000" s="30" t="str">
        <x:v>CL0925</x:v>
      </x:c>
      <x:c r="H1000" s="32" t="n">
        <x:f>COUNTIF($G$5:$G$1725,G1000)</x:f>
        <x:v>1</x:v>
      </x:c>
      <x:c r="I1000" s="30" t="str">
        <x:v>A45</x:v>
      </x:c>
      <x:c r="J1000" s="31" t="str">
        <x:v>l EV pitch | i. What did you do? Also walked through some industry trends | ii. Trading comps</x:v>
      </x:c>
    </x:row>
    <x:row r="1001" ht="48" customHeight="1">
      <x:c r="A1001" s="30" t="str">
        <x:v>QB1590</x:v>
      </x:c>
      <x:c r="B1001" s="30" t="str">
        <x:v>Moelis</x:v>
      </x:c>
      <x:c r="C1001" s="30" t="str">
        <x:v>IBD / GCM</x:v>
      </x:c>
      <x:c r="D1001" s="31" t="str">
        <x:v>l Shared a pitch on a Cambodia-based insurance company -&gt; was surprised that Cambodia has a huge potential in insurance market due to its under penetration rate</x:v>
      </x:c>
      <x:c r="E1001" s="31" t="str">
        <x:v>L Shared a pitch on a Cambodia-based insurance company -&gt; was surprised that Cambodia has a huge potential in insurance market due to its under penetration rate</x:v>
      </x:c>
      <x:c r="F1001" s="31" t="str">
        <x:v>Company, Industry &amp; Deals</x:v>
      </x:c>
      <x:c r="G1001" s="30" t="str">
        <x:v>CL0582</x:v>
      </x:c>
      <x:c r="H1001" s="32" t="n">
        <x:f>COUNTIF($G$5:$G$1725,G1001)</x:f>
        <x:v>1</x:v>
      </x:c>
      <x:c r="I1001" s="30" t="str">
        <x:v>A47</x:v>
      </x:c>
      <x:c r="J1001" s="31" t="str">
        <x:v>i. What did you do? Also walked through some industry trends | ii. Trading comps | What do you think about the FI?</x:v>
      </x:c>
    </x:row>
    <x:row r="1002" ht="68" customHeight="1">
      <x:c r="A1002" s="30" t="str">
        <x:v>QB1591</x:v>
      </x:c>
      <x:c r="B1002" s="30" t="str">
        <x:v>Moelis</x:v>
      </x:c>
      <x:c r="C1002" s="30" t="str">
        <x:v>IBD / GCM</x:v>
      </x:c>
      <x:c r="D1002" s="31" t="str">
        <x:v>i. What do you think are the drivers?</x:v>
      </x:c>
      <x:c r="E1002" s="31" t="str">
        <x:v>I. What do you think are the drivers</x:v>
      </x:c>
      <x:c r="F1002" s="31" t="str">
        <x:v>Other Question</x:v>
      </x:c>
      <x:c r="G1002" s="30" t="str">
        <x:v>CL0509</x:v>
      </x:c>
      <x:c r="H1002" s="32" t="n">
        <x:f>COUNTIF($G$5:$G$1725,G1002)</x:f>
        <x:v>1</x:v>
      </x:c>
      <x:c r="I1002" s="30" t="str">
        <x:v>A49</x:v>
      </x:c>
      <x:c r="J1002" s="31" t="str">
        <x:v>ii. Trading comps | What do you think about the FI? | l Shared a pitch on a Cambodia-based insurance company -&gt; was surprised that Cambodia has a huge potential in insurance market due to its under penetration rate</x:v>
      </x:c>
    </x:row>
    <x:row r="1003" ht="68" customHeight="1">
      <x:c r="A1003" s="30" t="str">
        <x:v>QB1592</x:v>
      </x:c>
      <x:c r="B1003" s="30" t="str">
        <x:v>Moelis</x:v>
      </x:c>
      <x:c r="C1003" s="30" t="str">
        <x:v>IBD / GCM</x:v>
      </x:c>
      <x:c r="D1003" s="31" t="str">
        <x:v>DCF at Gusto Collective</x:v>
      </x:c>
      <x:c r="E1003" s="31" t="str">
        <x:v>DCF at Gusto Collective</x:v>
      </x:c>
      <x:c r="F1003" s="31" t="str">
        <x:v>Valuation</x:v>
      </x:c>
      <x:c r="G1003" s="30" t="str">
        <x:v>CL0224</x:v>
      </x:c>
      <x:c r="H1003" s="32" t="n">
        <x:f>COUNTIF($G$5:$G$1725,G1003)</x:f>
        <x:v>1</x:v>
      </x:c>
      <x:c r="I1003" s="30" t="str">
        <x:v>A51</x:v>
      </x:c>
      <x:c r="J1003" s="31" t="str">
        <x:v>What do you think about the FI? | l Shared a pitch on a Cambodia-based insurance company -&gt; was surprised that Cambodia has a huge potential in insurance market due to its under penetration rate | i. What do you think are the drivers?</x:v>
      </x:c>
    </x:row>
    <x:row r="1004" ht="68" customHeight="1">
      <x:c r="A1004" s="30" t="str">
        <x:v>QB1593</x:v>
      </x:c>
      <x:c r="B1004" s="30" t="str">
        <x:v>Moelis</x:v>
      </x:c>
      <x:c r="C1004" s="30" t="str">
        <x:v>IBD / GCM</x:v>
      </x:c>
      <x:c r="D1004" s="31" t="str">
        <x:v>l How did you find WACC? (IDK WHY BUT I JUST REALISED THAT I ANSWERED IN THE WAY OF CALCULATING CAPM KMS so in the end he asked if the company has debt, I said yes, he said oh since I heard that you mentioned about cost of equity)</x:v>
      </x:c>
      <x:c r="E1004" s="31" t="str">
        <x:v>How do you calculate WACC?</x:v>
      </x:c>
      <x:c r="F1004" s="31" t="str">
        <x:v>Fit &amp; Motivation</x:v>
      </x:c>
      <x:c r="G1004" s="30" t="str">
        <x:v>CL0011</x:v>
      </x:c>
      <x:c r="H1004" s="32" t="n">
        <x:f>COUNTIF($G$5:$G$1725,G1004)</x:f>
        <x:v>12</x:v>
      </x:c>
      <x:c r="I1004" s="30" t="str">
        <x:v>A53</x:v>
      </x:c>
      <x:c r="J1004" s="31" t="str">
        <x:v>l Shared a pitch on a Cambodia-based insurance company -&gt; was surprised that Cambodia has a huge potential in insurance market due to its under penetration rate | i. What do you think are the drivers? | DCF at Gusto Collective</x:v>
      </x:c>
    </x:row>
    <x:row r="1005" ht="92" customHeight="1">
      <x:c r="A1005" s="30" t="str">
        <x:v>QB1594</x:v>
      </x:c>
      <x:c r="B1005" s="30" t="str">
        <x:v>Moelis</x:v>
      </x:c>
      <x:c r="C1005" s="30" t="str">
        <x:v>IBD / GCM</x:v>
      </x:c>
      <x:c r="D1005" s="31" t="str">
        <x:v>l DCF</x:v>
      </x:c>
      <x:c r="E1005" s="31" t="str">
        <x:v>L DCF</x:v>
      </x:c>
      <x:c r="F1005" s="31" t="str">
        <x:v>Valuation</x:v>
      </x:c>
      <x:c r="G1005" s="30" t="str">
        <x:v>CL0571</x:v>
      </x:c>
      <x:c r="H1005" s="32" t="n">
        <x:f>COUNTIF($G$5:$G$1725,G1005)</x:f>
        <x:v>1</x:v>
      </x:c>
      <x:c r="I1005" s="30" t="str">
        <x:v>A55</x:v>
      </x:c>
      <x:c r="J1005" s="31" t="str">
        <x:v>i. What do you think are the drivers? | DCF at Gusto Collective | l How did you find WACC? (IDK WHY BUT I JUST REALISED THAT I ANSWERED IN THE WAY OF CALCULATING CAPM KMS so in the end he asked if the company has debt, I said yes, he sai...</x:v>
      </x:c>
    </x:row>
    <x:row r="1006" ht="68" customHeight="1">
      <x:c r="A1006" s="30" t="str">
        <x:v>QB1596</x:v>
      </x:c>
      <x:c r="B1006" s="30" t="str">
        <x:v>Moelis</x:v>
      </x:c>
      <x:c r="C1006" s="30" t="str">
        <x:v>IBD / GCM</x:v>
      </x:c>
      <x:c r="D1006" s="31" t="str">
        <x:v>l Did you go through SPA?</x:v>
      </x:c>
      <x:c r="E1006" s="31" t="str">
        <x:v>L Did you go through SPA</x:v>
      </x:c>
      <x:c r="F1006" s="31" t="str">
        <x:v>Other Question</x:v>
      </x:c>
      <x:c r="G1006" s="30" t="str">
        <x:v>CL0573</x:v>
      </x:c>
      <x:c r="H1006" s="32" t="n">
        <x:f>COUNTIF($G$5:$G$1725,G1006)</x:f>
        <x:v>1</x:v>
      </x:c>
      <x:c r="I1006" s="30" t="str">
        <x:v>A59</x:v>
      </x:c>
      <x:c r="J1006" s="31" t="str">
        <x:v>l How did you find WACC? (IDK WHY BUT I JUST REALISED THAT I ANSWERED IN THE WAY OF CALCULATING CAPM KMS so in the end he asked if the company has debt, I said yes, he said oh since I heard that you mentioned about cost of equity) | l DC...</x:v>
      </x:c>
    </x:row>
    <x:row r="1007" ht="68" customHeight="1">
      <x:c r="A1007" s="30" t="str">
        <x:v>QB1598</x:v>
      </x:c>
      <x:c r="B1007" s="30" t="str">
        <x:v>Moelis</x:v>
      </x:c>
      <x:c r="C1007" s="30" t="str">
        <x:v>IBD / GCM</x:v>
      </x:c>
      <x:c r="D1007" s="31" t="str">
        <x:v>What’s your favorite sector and what’s your least favorite sector at BNP Paribas?</x:v>
      </x:c>
      <x:c r="E1007" s="31" t="str">
        <x:v>What’s your favorite sector and what’s your least favorite sector at BNP Paribas</x:v>
      </x:c>
      <x:c r="F1007" s="31" t="str">
        <x:v>Company, Industry &amp; Deals</x:v>
      </x:c>
      <x:c r="G1007" s="30" t="str">
        <x:v>CL1063</x:v>
      </x:c>
      <x:c r="H1007" s="32" t="n">
        <x:f>COUNTIF($G$5:$G$1725,G1007)</x:f>
        <x:v>1</x:v>
      </x:c>
      <x:c r="I1007" s="30" t="str">
        <x:v>A63</x:v>
      </x:c>
      <x:c r="J1007" s="31" t="str">
        <x:v>i. Key assumptions | l Did you go through SPA? | i. I said I only arrived at the LOI stage when I left, he asked if I participated in drafting LOI, I said no but my boss showed me how it looked like</x:v>
      </x:c>
    </x:row>
    <x:row r="1008" ht="92" customHeight="1">
      <x:c r="A1008" s="30" t="str">
        <x:v>QB1599</x:v>
      </x:c>
      <x:c r="B1008" s="30" t="str">
        <x:v>Moelis</x:v>
      </x:c>
      <x:c r="C1008" s="30" t="str">
        <x:v>IBD / GCM</x:v>
      </x:c>
      <x:c r="D1008" s="31" t="str">
        <x:v>If there’s an energy company and you’re working on a sell side model, you have the ASP, sales volume, utilization rates, PPA, what inputs will you put into the model? Would you be more aggressive or less aggressive?</x:v>
      </x:c>
      <x:c r="E1008" s="31" t="str">
        <x:v>If there’s an energy company and you’re working on a sell side model, you have the ASP, sales volume, utilization rates, PPA, what inputs will you put into the model? Would you be more aggressive or less aggressive</x:v>
      </x:c>
      <x:c r="F1008" s="31" t="str">
        <x:v>M&amp;A</x:v>
      </x:c>
      <x:c r="G1008" s="30" t="str">
        <x:v>CL0523</x:v>
      </x:c>
      <x:c r="H1008" s="32" t="n">
        <x:f>COUNTIF($G$5:$G$1725,G1008)</x:f>
        <x:v>1</x:v>
      </x:c>
      <x:c r="I1008" s="30" t="str">
        <x:v>A65</x:v>
      </x:c>
      <x:c r="J1008" s="31" t="str">
        <x:v>l Did you go through SPA? | i. I said I only arrived at the LOI stage when I left, he asked if I participated in drafting LOI, I said no but my boss showed me how it looked like | What’s your favorite sector and what’s your least favorit...</x:v>
      </x:c>
    </x:row>
    <x:row r="1009" ht="118" customHeight="1">
      <x:c r="A1009" s="30" t="str">
        <x:v>QB1600</x:v>
      </x:c>
      <x:c r="B1009" s="30" t="str">
        <x:v>Moelis</x:v>
      </x:c>
      <x:c r="C1009" s="30" t="str">
        <x:v>IBD / GCM</x:v>
      </x:c>
      <x:c r="D1009" s="31" t="str">
        <x:v>l You mentioned that you will be more aggressive, would you be more aggressive in the sales price projection or the volume projection?</x:v>
      </x:c>
      <x:c r="E1009" s="31" t="str">
        <x:v>L You mentioned that you will be more aggressive, would you be more aggressive in the sales price projection or the volume projection</x:v>
      </x:c>
      <x:c r="F1009" s="31" t="str">
        <x:v>Other Question</x:v>
      </x:c>
      <x:c r="G1009" s="30" t="str">
        <x:v>CL0589</x:v>
      </x:c>
      <x:c r="H1009" s="32" t="n">
        <x:f>COUNTIF($G$5:$G$1725,G1009)</x:f>
        <x:v>1</x:v>
      </x:c>
      <x:c r="I1009" s="30" t="str">
        <x:v>A67</x:v>
      </x:c>
      <x:c r="J1009" s="31" t="str">
        <x:v>i. I said I only arrived at the LOI stage when I left, he asked if I participated in drafting LOI, I said no but my boss showed me how it looked like | What’s your favorite sector and what’s your least favorite sector at BNP Paribas? | I...</x:v>
      </x:c>
    </x:row>
    <x:row r="1010" ht="118" customHeight="1">
      <x:c r="A1010" s="30" t="str">
        <x:v>QB1601</x:v>
      </x:c>
      <x:c r="B1010" s="30" t="str">
        <x:v>Moelis</x:v>
      </x:c>
      <x:c r="C1010" s="30" t="str">
        <x:v>IBD / GCM</x:v>
      </x:c>
      <x:c r="D1010" s="31" t="str">
        <x:v>Given that you have the projected working capital on a consumer company you’re trying to buy, you see that the inventory is reducing, the cash is flat, CA is pretty flat too, do you spot any red flags?</x:v>
      </x:c>
      <x:c r="E1010" s="31" t="str">
        <x:v>Given that you have the projected working capital on a consumer company you’re trying to buy, you see that the inventory is reducing, the cash is flat, CA is pretty flat too, do you spot any red flags</x:v>
      </x:c>
      <x:c r="F1010" s="31" t="str">
        <x:v>Accounting &amp; Financial Statements</x:v>
      </x:c>
      <x:c r="G1010" s="30" t="str">
        <x:v>CL0354</x:v>
      </x:c>
      <x:c r="H1010" s="32" t="n">
        <x:f>COUNTIF($G$5:$G$1725,G1010)</x:f>
        <x:v>1</x:v>
      </x:c>
      <x:c r="I1010" s="30" t="str">
        <x:v>A69</x:v>
      </x:c>
      <x:c r="J1010" s="31" t="str">
        <x:v>What’s your favorite sector and what’s your least favorite sector at BNP Paribas? | If there’s an energy company and you’re working on a sell side model, you have the ASP, sales volume, utilization rates, PPA, what inputs will you put in...</x:v>
      </x:c>
    </x:row>
    <x:row r="1011" ht="118" customHeight="1">
      <x:c r="A1011" s="30" t="str">
        <x:v>QB1602</x:v>
      </x:c>
      <x:c r="B1011" s="30" t="str">
        <x:v>Moelis</x:v>
      </x:c>
      <x:c r="C1011" s="30" t="str">
        <x:v>IBD / GCM</x:v>
      </x:c>
      <x:c r="D1011" s="31" t="str">
        <x:v>l Given this situation, how would you negotiate in the SPA?</x:v>
      </x:c>
      <x:c r="E1011" s="31" t="str">
        <x:v>L Given this situation, how would you negotiate in the SPA</x:v>
      </x:c>
      <x:c r="F1011" s="31" t="str">
        <x:v>Other Question</x:v>
      </x:c>
      <x:c r="G1011" s="30" t="str">
        <x:v>CL0576</x:v>
      </x:c>
      <x:c r="H1011" s="32" t="n">
        <x:f>COUNTIF($G$5:$G$1725,G1011)</x:f>
        <x:v>1</x:v>
      </x:c>
      <x:c r="I1011" s="30" t="str">
        <x:v>A71</x:v>
      </x:c>
      <x:c r="J1011" s="31" t="str">
        <x:v>If there’s an energy company and you’re working on a sell side model, you have the ASP, sales volume, utilization rates, PPA, what inputs will you put into the model? Would you be more aggressive or less aggressive? | l You mentioned tha...</x:v>
      </x:c>
    </x:row>
    <x:row r="1012" ht="32" customHeight="1">
      <x:c r="A1012" s="30" t="str">
        <x:v>QB1606</x:v>
      </x:c>
      <x:c r="B1012" s="30" t="str">
        <x:v>Jefferies</x:v>
      </x:c>
      <x:c r="C1012" s="30" t="str">
        <x:v>IBD / GCM</x:v>
      </x:c>
      <x:c r="D1012" s="31" t="str">
        <x:v>1st Interviewer: Jim Chen, Private Capital Advisory</x:v>
      </x:c>
      <x:c r="E1012" s="31" t="str">
        <x:v>1st Interviewer: Jim Chen, Private Capital Advisory</x:v>
      </x:c>
      <x:c r="F1012" s="31" t="str">
        <x:v>Other Question</x:v>
      </x:c>
      <x:c r="G1012" s="30" t="str">
        <x:v>CL0068</x:v>
      </x:c>
      <x:c r="H1012" s="32" t="n">
        <x:f>COUNTIF($G$5:$G$1725,G1012)</x:f>
        <x:v>1</x:v>
      </x:c>
      <x:c r="I1012" s="30" t="str">
        <x:v>A4</x:v>
      </x:c>
      <x:c r="J1012" s="31" t="str">
        <x:v>2025 SA | IBD First Round | Beata</x:v>
      </x:c>
    </x:row>
    <x:row r="1013" ht="32" customHeight="1">
      <x:c r="A1013" s="30" t="str">
        <x:v>QB1608</x:v>
      </x:c>
      <x:c r="B1013" s="30" t="str">
        <x:v>Jefferies</x:v>
      </x:c>
      <x:c r="C1013" s="30" t="str">
        <x:v>IBD / GCM</x:v>
      </x:c>
      <x:c r="D1013" s="31" t="str">
        <x:v>Walk me through your resume</x:v>
      </x:c>
      <x:c r="E1013" s="31" t="str">
        <x:v>Tell me about yourself / walk me through your resume</x:v>
      </x:c>
      <x:c r="F1013" s="31" t="str">
        <x:v>Resume &amp; Experience</x:v>
      </x:c>
      <x:c r="G1013" s="30" t="str">
        <x:v>CL0001</x:v>
      </x:c>
      <x:c r="H1013" s="32" t="n">
        <x:f>COUNTIF($G$5:$G$1725,G1013)</x:f>
        <x:v>170</x:v>
      </x:c>
      <x:c r="I1013" s="30" t="str">
        <x:v>A5</x:v>
      </x:c>
      <x:c r="J1013" s="31" t="str">
        <x:v>IBD First Round | Beata | 1st Interviewer: Jim Chen, Private Capital Advisory</x:v>
      </x:c>
    </x:row>
    <x:row r="1014" ht="32" customHeight="1">
      <x:c r="A1014" s="30" t="str">
        <x:v>QB1609</x:v>
      </x:c>
      <x:c r="B1014" s="30" t="str">
        <x:v>Jefferies</x:v>
      </x:c>
      <x:c r="C1014" s="30" t="str">
        <x:v>IBD / GCM</x:v>
      </x:c>
      <x:c r="D1014" s="31" t="str">
        <x:v>Self-introduction / walk me through your resume</x:v>
      </x:c>
      <x:c r="E1014" s="31" t="str">
        <x:v>Tell me about yourself / walk me through your resume</x:v>
      </x:c>
      <x:c r="F1014" s="31" t="str">
        <x:v>Resume &amp; Experience</x:v>
      </x:c>
      <x:c r="G1014" s="30" t="str">
        <x:v>CL0001</x:v>
      </x:c>
      <x:c r="H1014" s="32" t="n">
        <x:f>COUNTIF($G$5:$G$1725,G1014)</x:f>
        <x:v>170</x:v>
      </x:c>
      <x:c r="I1014" s="30" t="str">
        <x:v>C5</x:v>
      </x:c>
      <x:c r="J1014" s="31" t="str">
        <x:v>2nd Interviewer: Lori Li, Industrials</x:v>
      </x:c>
    </x:row>
    <x:row r="1015" ht="32" customHeight="1">
      <x:c r="A1015" s="30" t="str">
        <x:v>QB1610</x:v>
      </x:c>
      <x:c r="B1015" s="30" t="str">
        <x:v>Jefferies</x:v>
      </x:c>
      <x:c r="C1015" s="30" t="str">
        <x:v>IBD / GCM</x:v>
      </x:c>
      <x:c r="D1015" s="31" t="str">
        <x:v>How do you see yourself in 3 to 5 years?</x:v>
      </x:c>
      <x:c r="E1015" s="31" t="str">
        <x:v>How do you see yourself in 3 to 5 years</x:v>
      </x:c>
      <x:c r="F1015" s="31" t="str">
        <x:v>Other Question</x:v>
      </x:c>
      <x:c r="G1015" s="30" t="str">
        <x:v>CL0423</x:v>
      </x:c>
      <x:c r="H1015" s="32" t="n">
        <x:f>COUNTIF($G$5:$G$1725,G1015)</x:f>
        <x:v>1</x:v>
      </x:c>
      <x:c r="I1015" s="30" t="str">
        <x:v>A6</x:v>
      </x:c>
      <x:c r="J1015" s="31" t="str">
        <x:v>Beata | 1st Interviewer: Jim Chen, Private Capital Advisory | Walk me through your resume</x:v>
      </x:c>
    </x:row>
    <x:row r="1016" ht="32" customHeight="1">
      <x:c r="A1016" s="30" t="str">
        <x:v>QB1611</x:v>
      </x:c>
      <x:c r="B1016" s="30" t="str">
        <x:v>Jefferies</x:v>
      </x:c>
      <x:c r="C1016" s="30" t="str">
        <x:v>IBD / GCM</x:v>
      </x:c>
      <x:c r="D1016" s="31" t="str">
        <x:v>l You did an exchange in PKU?</x:v>
      </x:c>
      <x:c r="E1016" s="31" t="str">
        <x:v>L You did an exchange in PKU</x:v>
      </x:c>
      <x:c r="F1016" s="31" t="str">
        <x:v>Resume &amp; Experience</x:v>
      </x:c>
      <x:c r="G1016" s="30" t="str">
        <x:v>CL0588</x:v>
      </x:c>
      <x:c r="H1016" s="32" t="n">
        <x:f>COUNTIF($G$5:$G$1725,G1016)</x:f>
        <x:v>1</x:v>
      </x:c>
      <x:c r="I1016" s="30" t="str">
        <x:v>C6</x:v>
      </x:c>
      <x:c r="J1016" s="31" t="str">
        <x:v>2nd Interviewer: Lori Li, Industrials | Self-introduction / walk me through your resume</x:v>
      </x:c>
    </x:row>
    <x:row r="1017" ht="48" customHeight="1">
      <x:c r="A1017" s="30" t="str">
        <x:v>QB1613</x:v>
      </x:c>
      <x:c r="B1017" s="30" t="str">
        <x:v>Jefferies</x:v>
      </x:c>
      <x:c r="C1017" s="30" t="str">
        <x:v>IBD / GCM</x:v>
      </x:c>
      <x:c r="D1017" s="31" t="str">
        <x:v>Why Jefferies?</x:v>
      </x:c>
      <x:c r="E1017" s="31" t="str">
        <x:v>Why this firm?</x:v>
      </x:c>
      <x:c r="F1017" s="31" t="str">
        <x:v>Fit &amp; Motivation</x:v>
      </x:c>
      <x:c r="G1017" s="30" t="str">
        <x:v>CL0002</x:v>
      </x:c>
      <x:c r="H1017" s="32" t="n">
        <x:f>COUNTIF($G$5:$G$1725,G1017)</x:f>
        <x:v>39</x:v>
      </x:c>
      <x:c r="I1017" s="30" t="str">
        <x:v>C7</x:v>
      </x:c>
      <x:c r="J1017" s="31" t="str">
        <x:v>2nd Interviewer: Lori Li, Industrials | Self-introduction / walk me through your resume | l You did an exchange in PKU?</x:v>
      </x:c>
    </x:row>
    <x:row r="1018" ht="32" customHeight="1">
      <x:c r="A1018" s="30" t="str">
        <x:v>QB1614</x:v>
      </x:c>
      <x:c r="B1018" s="30" t="str">
        <x:v>Jefferies</x:v>
      </x:c>
      <x:c r="C1018" s="30" t="str">
        <x:v>IBD / GCM</x:v>
      </x:c>
      <x:c r="D1018" s="31" t="str">
        <x:v>l If you are given only two statements, which two will you choose?</x:v>
      </x:c>
      <x:c r="E1018" s="31" t="str">
        <x:v>L If you are given only two statements, which two will you choose</x:v>
      </x:c>
      <x:c r="F1018" s="31" t="str">
        <x:v>Other Question</x:v>
      </x:c>
      <x:c r="G1018" s="30" t="str">
        <x:v>CL0578</x:v>
      </x:c>
      <x:c r="H1018" s="32" t="n">
        <x:f>COUNTIF($G$5:$G$1725,G1018)</x:f>
        <x:v>1</x:v>
      </x:c>
      <x:c r="I1018" s="30" t="str">
        <x:v>A8</x:v>
      </x:c>
      <x:c r="J1018" s="31" t="str">
        <x:v>Walk me through your resume | How do you see yourself in 3 to 5 years? | Technicals</x:v>
      </x:c>
    </x:row>
    <x:row r="1019" ht="48" customHeight="1">
      <x:c r="A1019" s="30" t="str">
        <x:v>QB1615</x:v>
      </x:c>
      <x:c r="B1019" s="30" t="str">
        <x:v>Jefferies</x:v>
      </x:c>
      <x:c r="C1019" s="30" t="str">
        <x:v>IBD / GCM</x:v>
      </x:c>
      <x:c r="D1019" s="31" t="str">
        <x:v>M&amp;A deal involving an Indian pharma company acquiring a French counterpart</x:v>
      </x:c>
      <x:c r="E1019" s="31" t="str">
        <x:v>M&amp;A deal involving an Indian pharma company acquiring a French counterpart</x:v>
      </x:c>
      <x:c r="F1019" s="31" t="str">
        <x:v>Company, Industry &amp; Deals</x:v>
      </x:c>
      <x:c r="G1019" s="30" t="str">
        <x:v>CL0595</x:v>
      </x:c>
      <x:c r="H1019" s="32" t="n">
        <x:f>COUNTIF($G$5:$G$1725,G1019)</x:f>
        <x:v>1</x:v>
      </x:c>
      <x:c r="I1019" s="30" t="str">
        <x:v>C8</x:v>
      </x:c>
      <x:c r="J1019" s="31" t="str">
        <x:v>Self-introduction / walk me through your resume | l You did an exchange in PKU? | Why Jefferies?</x:v>
      </x:c>
    </x:row>
    <x:row r="1020" ht="48" customHeight="1">
      <x:c r="A1020" s="30" t="str">
        <x:v>QB1616</x:v>
      </x:c>
      <x:c r="B1020" s="30" t="str">
        <x:v>Jefferies</x:v>
      </x:c>
      <x:c r="C1020" s="30" t="str">
        <x:v>IBD / GCM</x:v>
      </x:c>
      <x:c r="D1020" s="31" t="str">
        <x:v>l If you are only given one statement, which statement will you look at?</x:v>
      </x:c>
      <x:c r="E1020" s="31" t="str">
        <x:v>L If you are only given one statement, which statement will you look at</x:v>
      </x:c>
      <x:c r="F1020" s="31" t="str">
        <x:v>Other Question</x:v>
      </x:c>
      <x:c r="G1020" s="30" t="str">
        <x:v>CL0579</x:v>
      </x:c>
      <x:c r="H1020" s="32" t="n">
        <x:f>COUNTIF($G$5:$G$1725,G1020)</x:f>
        <x:v>1</x:v>
      </x:c>
      <x:c r="I1020" s="30" t="str">
        <x:v>A9</x:v>
      </x:c>
      <x:c r="J1020" s="31" t="str">
        <x:v>How do you see yourself in 3 to 5 years? | Technicals | l If you are given only two statements, which two will you choose?</x:v>
      </x:c>
    </x:row>
    <x:row r="1021" ht="48" customHeight="1">
      <x:c r="A1021" s="30" t="str">
        <x:v>QB1617</x:v>
      </x:c>
      <x:c r="B1021" s="30" t="str">
        <x:v>Jefferies</x:v>
      </x:c>
      <x:c r="C1021" s="30" t="str">
        <x:v>IBD / GCM</x:v>
      </x:c>
      <x:c r="D1021" s="31" t="str">
        <x:v>l What did you do in the deal?</x:v>
      </x:c>
      <x:c r="E1021" s="31" t="str">
        <x:v>L What did you do in the deal</x:v>
      </x:c>
      <x:c r="F1021" s="31" t="str">
        <x:v>Resume &amp; Experience</x:v>
      </x:c>
      <x:c r="G1021" s="30" t="str">
        <x:v>CL0585</x:v>
      </x:c>
      <x:c r="H1021" s="32" t="n">
        <x:f>COUNTIF($G$5:$G$1725,G1021)</x:f>
        <x:v>1</x:v>
      </x:c>
      <x:c r="I1021" s="30" t="str">
        <x:v>C9</x:v>
      </x:c>
      <x:c r="J1021" s="31" t="str">
        <x:v>l You did an exchange in PKU? | Why Jefferies? | M&amp;A deal involving an Indian pharma company acquiring a French counterpart</x:v>
      </x:c>
    </x:row>
    <x:row r="1022" ht="48" customHeight="1">
      <x:c r="A1022" s="30" t="str">
        <x:v>QB1618</x:v>
      </x:c>
      <x:c r="B1022" s="30" t="str">
        <x:v>Jefferies</x:v>
      </x:c>
      <x:c r="C1022" s="30" t="str">
        <x:v>IBD / GCM</x:v>
      </x:c>
      <x:c r="D1022" s="31" t="str">
        <x:v>l Why do you subtract cash from EV calculation?</x:v>
      </x:c>
      <x:c r="E1022" s="31" t="str">
        <x:v>L Why do you subtract cash from EV calculation</x:v>
      </x:c>
      <x:c r="F1022" s="31" t="str">
        <x:v>Fit &amp; Motivation</x:v>
      </x:c>
      <x:c r="G1022" s="30" t="str">
        <x:v>CL0586</x:v>
      </x:c>
      <x:c r="H1022" s="32" t="n">
        <x:f>COUNTIF($G$5:$G$1725,G1022)</x:f>
        <x:v>1</x:v>
      </x:c>
      <x:c r="I1022" s="30" t="str">
        <x:v>A10</x:v>
      </x:c>
      <x:c r="J1022" s="31" t="str">
        <x:v>Technicals | l If you are given only two statements, which two will you choose? | l If you are only given one statement, which statement will you look at?</x:v>
      </x:c>
    </x:row>
    <x:row r="1023" ht="48" customHeight="1">
      <x:c r="A1023" s="30" t="str">
        <x:v>QB1619</x:v>
      </x:c>
      <x:c r="B1023" s="30" t="str">
        <x:v>Jefferies</x:v>
      </x:c>
      <x:c r="C1023" s="30" t="str">
        <x:v>IBD / GCM</x:v>
      </x:c>
      <x:c r="D1023" s="31" t="str">
        <x:v>l Did you do any modelling?</x:v>
      </x:c>
      <x:c r="E1023" s="31" t="str">
        <x:v>L Did you do any modelling</x:v>
      </x:c>
      <x:c r="F1023" s="31" t="str">
        <x:v>Other Technical</x:v>
      </x:c>
      <x:c r="G1023" s="30" t="str">
        <x:v>CL0572</x:v>
      </x:c>
      <x:c r="H1023" s="32" t="n">
        <x:f>COUNTIF($G$5:$G$1725,G1023)</x:f>
        <x:v>1</x:v>
      </x:c>
      <x:c r="I1023" s="30" t="str">
        <x:v>C10</x:v>
      </x:c>
      <x:c r="J1023" s="31" t="str">
        <x:v>Why Jefferies? | M&amp;A deal involving an Indian pharma company acquiring a French counterpart | l What did you do in the deal?</x:v>
      </x:c>
    </x:row>
    <x:row r="1024" ht="68" customHeight="1">
      <x:c r="A1024" s="30" t="str">
        <x:v>QB1620</x:v>
      </x:c>
      <x:c r="B1024" s="30" t="str">
        <x:v>Jefferies</x:v>
      </x:c>
      <x:c r="C1024" s="30" t="str">
        <x:v>IBD / GCM</x:v>
      </x:c>
      <x:c r="D1024" s="31" t="str">
        <x:v>l What are the methodologies used in valuation?</x:v>
      </x:c>
      <x:c r="E1024" s="31" t="str">
        <x:v>L What are the methodologies used in valuation</x:v>
      </x:c>
      <x:c r="F1024" s="31" t="str">
        <x:v>Valuation</x:v>
      </x:c>
      <x:c r="G1024" s="30" t="str">
        <x:v>CL0584</x:v>
      </x:c>
      <x:c r="H1024" s="32" t="n">
        <x:f>COUNTIF($G$5:$G$1725,G1024)</x:f>
        <x:v>1</x:v>
      </x:c>
      <x:c r="I1024" s="30" t="str">
        <x:v>A11</x:v>
      </x:c>
      <x:c r="J1024" s="31" t="str">
        <x:v>l If you are given only two statements, which two will you choose? | l If you are only given one statement, which statement will you look at? | l Why do you subtract cash from EV calculation?</x:v>
      </x:c>
    </x:row>
    <x:row r="1025" ht="48" customHeight="1">
      <x:c r="A1025" s="30" t="str">
        <x:v>QB1621</x:v>
      </x:c>
      <x:c r="B1025" s="30" t="str">
        <x:v>Jefferies</x:v>
      </x:c>
      <x:c r="C1025" s="30" t="str">
        <x:v>IBD / GCM</x:v>
      </x:c>
      <x:c r="D1025" s="31" t="str">
        <x:v>Tell me a transaction that you were deeply involved</x:v>
      </x:c>
      <x:c r="E1025" s="31" t="str">
        <x:v>Tell me a transaction that you were deeply involved</x:v>
      </x:c>
      <x:c r="F1025" s="31" t="str">
        <x:v>Other Question</x:v>
      </x:c>
      <x:c r="G1025" s="30" t="str">
        <x:v>CL0720</x:v>
      </x:c>
      <x:c r="H1025" s="32" t="n">
        <x:f>COUNTIF($G$5:$G$1725,G1025)</x:f>
        <x:v>1</x:v>
      </x:c>
      <x:c r="I1025" s="30" t="str">
        <x:v>C11</x:v>
      </x:c>
      <x:c r="J1025" s="31" t="str">
        <x:v>M&amp;A deal involving an Indian pharma company acquiring a French counterpart | l What did you do in the deal? | l Did you do any modelling?</x:v>
      </x:c>
    </x:row>
    <x:row r="1026" ht="68" customHeight="1">
      <x:c r="A1026" s="30" t="str">
        <x:v>QB1622</x:v>
      </x:c>
      <x:c r="B1026" s="30" t="str">
        <x:v>Jefferies</x:v>
      </x:c>
      <x:c r="C1026" s="30" t="str">
        <x:v>IBD / GCM</x:v>
      </x:c>
      <x:c r="D1026" s="31" t="str">
        <x:v>i. Briefly explain/introduce the three valuation methodologies</x:v>
      </x:c>
      <x:c r="E1026" s="31" t="str">
        <x:v>What are the main valuation methodologies?</x:v>
      </x:c>
      <x:c r="F1026" s="31" t="str">
        <x:v>Valuation</x:v>
      </x:c>
      <x:c r="G1026" s="30" t="str">
        <x:v>CL0010</x:v>
      </x:c>
      <x:c r="H1026" s="32" t="n">
        <x:f>COUNTIF($G$5:$G$1725,G1026)</x:f>
        <x:v>13</x:v>
      </x:c>
      <x:c r="I1026" s="30" t="str">
        <x:v>A12</x:v>
      </x:c>
      <x:c r="J1026" s="31" t="str">
        <x:v>l If you are only given one statement, which statement will you look at? | l Why do you subtract cash from EV calculation? | l What are the methodologies used in valuation?</x:v>
      </x:c>
    </x:row>
    <x:row r="1027" ht="48" customHeight="1">
      <x:c r="A1027" s="30" t="str">
        <x:v>QB1623</x:v>
      </x:c>
      <x:c r="B1027" s="30" t="str">
        <x:v>Jefferies</x:v>
      </x:c>
      <x:c r="C1027" s="30" t="str">
        <x:v>IBD / GCM</x:v>
      </x:c>
      <x:c r="D1027" s="31" t="str">
        <x:v>l (I said a pitch) What did you do (+ explanation)?</x:v>
      </x:c>
      <x:c r="E1027" s="31" t="str">
        <x:v>L (I said a pitch) What did you do (+ explanation)</x:v>
      </x:c>
      <x:c r="F1027" s="31" t="str">
        <x:v>Resume &amp; Experience</x:v>
      </x:c>
      <x:c r="G1027" s="30" t="str">
        <x:v>CL0569</x:v>
      </x:c>
      <x:c r="H1027" s="32" t="n">
        <x:f>COUNTIF($G$5:$G$1725,G1027)</x:f>
        <x:v>1</x:v>
      </x:c>
      <x:c r="I1027" s="30" t="str">
        <x:v>C12</x:v>
      </x:c>
      <x:c r="J1027" s="31" t="str">
        <x:v>l What did you do in the deal? | l Did you do any modelling? | Tell me a transaction that you were deeply involved</x:v>
      </x:c>
    </x:row>
    <x:row r="1028" ht="48" customHeight="1">
      <x:c r="A1028" s="30" t="str">
        <x:v>QB1625</x:v>
      </x:c>
      <x:c r="B1028" s="30" t="str">
        <x:v>Jefferies</x:v>
      </x:c>
      <x:c r="C1028" s="30" t="str">
        <x:v>IBD / GCM</x:v>
      </x:c>
      <x:c r="D1028" s="31" t="str">
        <x:v>l For trading comps, did you do the adjustments? (She said probably Jefferies has different standards)</x:v>
      </x:c>
      <x:c r="E1028" s="31" t="str">
        <x:v>L For trading comps, did you do the adjustments? (She said probably Jefferies has different standards)</x:v>
      </x:c>
      <x:c r="F1028" s="31" t="str">
        <x:v>Valuation</x:v>
      </x:c>
      <x:c r="G1028" s="30" t="str">
        <x:v>CL0575</x:v>
      </x:c>
      <x:c r="H1028" s="32" t="n">
        <x:f>COUNTIF($G$5:$G$1725,G1028)</x:f>
        <x:v>1</x:v>
      </x:c>
      <x:c r="I1028" s="30" t="str">
        <x:v>C13</x:v>
      </x:c>
      <x:c r="J1028" s="31" t="str">
        <x:v>l Did you do any modelling? | Tell me a transaction that you were deeply involved | l (I said a pitch) What did you do (+ explanation)?</x:v>
      </x:c>
    </x:row>
    <x:row r="1029" ht="48" customHeight="1">
      <x:c r="A1029" s="30" t="str">
        <x:v>QB1626</x:v>
      </x:c>
      <x:c r="B1029" s="30" t="str">
        <x:v>Jefferies</x:v>
      </x:c>
      <x:c r="C1029" s="30" t="str">
        <x:v>IBD / GCM</x:v>
      </x:c>
      <x:c r="D1029" s="31" t="str">
        <x:v>DCF – what CF are you using (UFCF or LFCF)? What are the two ways to find the terminal value? What’s the discount rate used in DCF?</x:v>
      </x:c>
      <x:c r="E1029" s="31" t="str">
        <x:v>DCF – what CF are you using (UFCF or LFCF)? What are the two ways to find the terminal value? What’s the discount rate used in DCF</x:v>
      </x:c>
      <x:c r="F1029" s="31" t="str">
        <x:v>Valuation</x:v>
      </x:c>
      <x:c r="G1029" s="30" t="str">
        <x:v>CL0223</x:v>
      </x:c>
      <x:c r="H1029" s="32" t="n">
        <x:f>COUNTIF($G$5:$G$1725,G1029)</x:f>
        <x:v>1</x:v>
      </x:c>
      <x:c r="I1029" s="30" t="str">
        <x:v>A14</x:v>
      </x:c>
      <x:c r="J1029" s="31" t="str">
        <x:v>l What are the methodologies used in valuation? | i. Briefly explain/introduce the three valuation methodologies | ii. Follow-up</x:v>
      </x:c>
    </x:row>
    <x:row r="1030" ht="68" customHeight="1">
      <x:c r="A1030" s="30" t="str">
        <x:v>QB1627</x:v>
      </x:c>
      <x:c r="B1030" s="30" t="str">
        <x:v>Jefferies</x:v>
      </x:c>
      <x:c r="C1030" s="30" t="str">
        <x:v>IBD / GCM</x:v>
      </x:c>
      <x:c r="D1030" s="31" t="str">
        <x:v>l EV pitch – what’s the value chain? How are the valuation multiples?</x:v>
      </x:c>
      <x:c r="E1030" s="31" t="str">
        <x:v>L EV pitch – what’s the value chain? How are the valuation multiples</x:v>
      </x:c>
      <x:c r="F1030" s="31" t="str">
        <x:v>Valuation</x:v>
      </x:c>
      <x:c r="G1030" s="30" t="str">
        <x:v>CL0574</x:v>
      </x:c>
      <x:c r="H1030" s="32" t="n">
        <x:f>COUNTIF($G$5:$G$1725,G1030)</x:f>
        <x:v>1</x:v>
      </x:c>
      <x:c r="I1030" s="30" t="str">
        <x:v>C14</x:v>
      </x:c>
      <x:c r="J1030" s="31" t="str">
        <x:v>Tell me a transaction that you were deeply involved | l (I said a pitch) What did you do (+ explanation)? | l For trading comps, did you do the adjustments? (She said probably Jefferies has different standards)</x:v>
      </x:c>
    </x:row>
    <x:row r="1031" ht="68" customHeight="1">
      <x:c r="A1031" s="30" t="str">
        <x:v>QB1628</x:v>
      </x:c>
      <x:c r="B1031" s="30" t="str">
        <x:v>Jefferies</x:v>
      </x:c>
      <x:c r="C1031" s="30" t="str">
        <x:v>IBD / GCM</x:v>
      </x:c>
      <x:c r="D1031" s="31" t="str">
        <x:v>Trading comps – what are some common multiples used? Why would two companies with same growth profile have different multiples?</x:v>
      </x:c>
      <x:c r="E1031" s="31" t="str">
        <x:v>Trading comps – what are some common multiples used? Why would two companies with same growth profile have different multiples</x:v>
      </x:c>
      <x:c r="F1031" s="31" t="str">
        <x:v>Fit &amp; Motivation</x:v>
      </x:c>
      <x:c r="G1031" s="30" t="str">
        <x:v>CL0798</x:v>
      </x:c>
      <x:c r="H1031" s="32" t="n">
        <x:f>COUNTIF($G$5:$G$1725,G1031)</x:f>
        <x:v>1</x:v>
      </x:c>
      <x:c r="I1031" s="30" t="str">
        <x:v>A15</x:v>
      </x:c>
      <x:c r="J1031" s="31" t="str">
        <x:v>i. Briefly explain/introduce the three valuation methodologies | ii. Follow-up | DCF – what CF are you using (UFCF or LFCF)? What are the two ways to find the terminal value? What’s the discount rate used in DCF?</x:v>
      </x:c>
    </x:row>
    <x:row r="1032" ht="68" customHeight="1">
      <x:c r="A1032" s="30" t="str">
        <x:v>QB1629</x:v>
      </x:c>
      <x:c r="B1032" s="30" t="str">
        <x:v>Jefferies</x:v>
      </x:c>
      <x:c r="C1032" s="30" t="str">
        <x:v>IBD / GCM</x:v>
      </x:c>
      <x:c r="D1032" s="31" t="str">
        <x:v>How are the 3 FS linked together?</x:v>
      </x:c>
      <x:c r="E1032" s="31" t="str">
        <x:v>How are the 3 FS linked together</x:v>
      </x:c>
      <x:c r="F1032" s="31" t="str">
        <x:v>Other Question</x:v>
      </x:c>
      <x:c r="G1032" s="30" t="str">
        <x:v>CL0373</x:v>
      </x:c>
      <x:c r="H1032" s="32" t="n">
        <x:f>COUNTIF($G$5:$G$1725,G1032)</x:f>
        <x:v>1</x:v>
      </x:c>
      <x:c r="I1032" s="30" t="str">
        <x:v>C15</x:v>
      </x:c>
      <x:c r="J1032" s="31" t="str">
        <x:v>l (I said a pitch) What did you do (+ explanation)? | l For trading comps, did you do the adjustments? (She said probably Jefferies has different standards) | l EV pitch – what’s the value chain? How are the valuation multiples?</x:v>
      </x:c>
    </x:row>
    <x:row r="1033" ht="92" customHeight="1">
      <x:c r="A1033" s="30" t="str">
        <x:v>QB1630</x:v>
      </x:c>
      <x:c r="B1033" s="30" t="str">
        <x:v>Jefferies</x:v>
      </x:c>
      <x:c r="C1033" s="30" t="str">
        <x:v>IBD / GCM</x:v>
      </x:c>
      <x:c r="D1033" s="31" t="str">
        <x:v>Precedent transactions – what are the pros and cons?</x:v>
      </x:c>
      <x:c r="E1033" s="31" t="str">
        <x:v>Precedent transactions – what are the pros and cons</x:v>
      </x:c>
      <x:c r="F1033" s="31" t="str">
        <x:v>Valuation</x:v>
      </x:c>
      <x:c r="G1033" s="30" t="str">
        <x:v>CL0646</x:v>
      </x:c>
      <x:c r="H1033" s="32" t="n">
        <x:f>COUNTIF($G$5:$G$1725,G1033)</x:f>
        <x:v>1</x:v>
      </x:c>
      <x:c r="I1033" s="30" t="str">
        <x:v>A16</x:v>
      </x:c>
      <x:c r="J1033" s="31" t="str">
        <x:v>ii. Follow-up | DCF – what CF are you using (UFCF or LFCF)? What are the two ways to find the terminal value? What’s the discount rate used in DCF? | Trading comps – what are some common multiples used? Why would two companies with same ...</x:v>
      </x:c>
    </x:row>
    <x:row r="1034" ht="68" customHeight="1">
      <x:c r="A1034" s="30" t="str">
        <x:v>QB1631</x:v>
      </x:c>
      <x:c r="B1034" s="30" t="str">
        <x:v>Jefferies</x:v>
      </x:c>
      <x:c r="C1034" s="30" t="str">
        <x:v>IBD / GCM</x:v>
      </x:c>
      <x:c r="D1034" s="31" t="str">
        <x:v>If depreciation is up by 10, how would it affect the 3 FS?</x:v>
      </x:c>
      <x:c r="E1034" s="31" t="str">
        <x:v>If depreciation is up by 10, how would it affect the 3 FS</x:v>
      </x:c>
      <x:c r="F1034" s="31" t="str">
        <x:v>Accounting &amp; Financial Statements</x:v>
      </x:c>
      <x:c r="G1034" s="30" t="str">
        <x:v>CL0513</x:v>
      </x:c>
      <x:c r="H1034" s="32" t="n">
        <x:f>COUNTIF($G$5:$G$1725,G1034)</x:f>
        <x:v>1</x:v>
      </x:c>
      <x:c r="I1034" s="30" t="str">
        <x:v>C16</x:v>
      </x:c>
      <x:c r="J1034" s="31" t="str">
        <x:v>l For trading comps, did you do the adjustments? (She said probably Jefferies has different standards) | l EV pitch – what’s the value chain? How are the valuation multiples? | How are the 3 FS linked together?</x:v>
      </x:c>
    </x:row>
    <x:row r="1035" ht="92" customHeight="1">
      <x:c r="A1035" s="30" t="str">
        <x:v>QB1632</x:v>
      </x:c>
      <x:c r="B1035" s="30" t="str">
        <x:v>Jefferies</x:v>
      </x:c>
      <x:c r="C1035" s="30" t="str">
        <x:v>IBD / GCM</x:v>
      </x:c>
      <x:c r="D1035" s="31" t="str">
        <x:v>l Why would a company issue debt over equity? Why would a company issue equity over debt?</x:v>
      </x:c>
      <x:c r="E1035" s="31" t="str">
        <x:v>How should a company choose between debt and equity financing?</x:v>
      </x:c>
      <x:c r="F1035" s="31" t="str">
        <x:v>Fit &amp; Motivation</x:v>
      </x:c>
      <x:c r="G1035" s="30" t="str">
        <x:v>CL0005</x:v>
      </x:c>
      <x:c r="H1035" s="32" t="n">
        <x:f>COUNTIF($G$5:$G$1725,G1035)</x:f>
        <x:v>21</x:v>
      </x:c>
      <x:c r="I1035" s="30" t="str">
        <x:v>A17</x:v>
      </x:c>
      <x:c r="J1035" s="31" t="str">
        <x:v>DCF – what CF are you using (UFCF or LFCF)? What are the two ways to find the terminal value? What’s the discount rate used in DCF? | Trading comps – what are some common multiples used? Why would two companies with same growth profile h...</x:v>
      </x:c>
    </x:row>
    <x:row r="1036" ht="68" customHeight="1">
      <x:c r="A1036" s="30" t="str">
        <x:v>QB1633</x:v>
      </x:c>
      <x:c r="B1036" s="30" t="str">
        <x:v>Jefferies</x:v>
      </x:c>
      <x:c r="C1036" s="30" t="str">
        <x:v>IBD / GCM</x:v>
      </x:c>
      <x:c r="D1036" s="31" t="str">
        <x:v>Do you know about LBO? In what situations do you use it and in what situations do you not use it?</x:v>
      </x:c>
      <x:c r="E1036" s="31" t="str">
        <x:v>Do you know about LBO? In what situations do you use it and in what situations do you not use it</x:v>
      </x:c>
      <x:c r="F1036" s="31" t="str">
        <x:v>Private Equity &amp; LBO</x:v>
      </x:c>
      <x:c r="G1036" s="30" t="str">
        <x:v>CL0273</x:v>
      </x:c>
      <x:c r="H1036" s="32" t="n">
        <x:f>COUNTIF($G$5:$G$1725,G1036)</x:f>
        <x:v>1</x:v>
      </x:c>
      <x:c r="I1036" s="30" t="str">
        <x:v>C17</x:v>
      </x:c>
      <x:c r="J1036" s="31" t="str">
        <x:v>l EV pitch – what’s the value chain? How are the valuation multiples? | How are the 3 FS linked together? | If depreciation is up by 10, how would it affect the 3 FS?</x:v>
      </x:c>
    </x:row>
    <x:row r="1037" ht="92" customHeight="1">
      <x:c r="A1037" s="30" t="str">
        <x:v>QB1634</x:v>
      </x:c>
      <x:c r="B1037" s="30" t="str">
        <x:v>Jefferies</x:v>
      </x:c>
      <x:c r="C1037" s="30" t="str">
        <x:v>IBD / GCM</x:v>
      </x:c>
      <x:c r="D1037" s="31" t="str">
        <x:v>You worked at BNP and ING Bank, what do you think about the hours of banking? How do you find them different from Jefferies?</x:v>
      </x:c>
      <x:c r="E1037" s="31" t="str">
        <x:v>You worked at BNP and ING Bank, what do you think about the hours of banking? How do you find them different from Jefferies</x:v>
      </x:c>
      <x:c r="F1037" s="31" t="str">
        <x:v>Other Question</x:v>
      </x:c>
      <x:c r="G1037" s="30" t="str">
        <x:v>CL1210</x:v>
      </x:c>
      <x:c r="H1037" s="32" t="n">
        <x:f>COUNTIF($G$5:$G$1725,G1037)</x:f>
        <x:v>1</x:v>
      </x:c>
      <x:c r="I1037" s="30" t="str">
        <x:v>A18</x:v>
      </x:c>
      <x:c r="J1037" s="31" t="str">
        <x:v>Trading comps – what are some common multiples used? Why would two companies with same growth profile have different multiples? | Precedent transactions – what are the pros and cons? | l Why would a company issue debt over equity? Why wo...</x:v>
      </x:c>
    </x:row>
    <x:row r="1038" ht="68" customHeight="1">
      <x:c r="A1038" s="30" t="str">
        <x:v>QB1635</x:v>
      </x:c>
      <x:c r="B1038" s="30" t="str">
        <x:v>Jefferies</x:v>
      </x:c>
      <x:c r="C1038" s="30" t="str">
        <x:v>IBD / GCM</x:v>
      </x:c>
      <x:c r="D1038" s="31" t="str">
        <x:v>Compared to other valuation methodologies, how would their values differ?</x:v>
      </x:c>
      <x:c r="E1038" s="31" t="str">
        <x:v>What are the main valuation methodologies?</x:v>
      </x:c>
      <x:c r="F1038" s="31" t="str">
        <x:v>Valuation</x:v>
      </x:c>
      <x:c r="G1038" s="30" t="str">
        <x:v>CL0010</x:v>
      </x:c>
      <x:c r="H1038" s="32" t="n">
        <x:f>COUNTIF($G$5:$G$1725,G1038)</x:f>
        <x:v>13</x:v>
      </x:c>
      <x:c r="I1038" s="30" t="str">
        <x:v>C18</x:v>
      </x:c>
      <x:c r="J1038" s="31" t="str">
        <x:v>How are the 3 FS linked together? | If depreciation is up by 10, how would it affect the 3 FS? | Do you know about LBO? In what situations do you use it and in what situations do you not use it?</x:v>
      </x:c>
    </x:row>
    <x:row r="1039" ht="92" customHeight="1">
      <x:c r="A1039" s="30" t="str">
        <x:v>QB1636</x:v>
      </x:c>
      <x:c r="B1039" s="30" t="str">
        <x:v>Jefferies</x:v>
      </x:c>
      <x:c r="C1039" s="30" t="str">
        <x:v>IBD / GCM</x:v>
      </x:c>
      <x:c r="D1039" s="31" t="str">
        <x:v>How do you find the difference between management consulting and investment banking?</x:v>
      </x:c>
      <x:c r="E1039" s="31" t="str">
        <x:v>How do you find the difference between management consulting and investment banking</x:v>
      </x:c>
      <x:c r="F1039" s="31" t="str">
        <x:v>Other Question</x:v>
      </x:c>
      <x:c r="G1039" s="30" t="str">
        <x:v>CL0411</x:v>
      </x:c>
      <x:c r="H1039" s="32" t="n">
        <x:f>COUNTIF($G$5:$G$1725,G1039)</x:f>
        <x:v>1</x:v>
      </x:c>
      <x:c r="I1039" s="30" t="str">
        <x:v>A19</x:v>
      </x:c>
      <x:c r="J1039" s="31" t="str">
        <x:v>Precedent transactions – what are the pros and cons? | l Why would a company issue debt over equity? Why would a company issue equity over debt? | You worked at BNP and ING Bank, what do you think about the hours of banking? How do you f...</x:v>
      </x:c>
    </x:row>
    <x:row r="1040" ht="68" customHeight="1">
      <x:c r="A1040" s="30" t="str">
        <x:v>QB1637</x:v>
      </x:c>
      <x:c r="B1040" s="30" t="str">
        <x:v>Jefferies</x:v>
      </x:c>
      <x:c r="C1040" s="30" t="str">
        <x:v>IBD / GCM</x:v>
      </x:c>
      <x:c r="D1040" s="31" t="str">
        <x:v>HK market – bear market, what do you think about the HK market in the future?</x:v>
      </x:c>
      <x:c r="E1040" s="31" t="str">
        <x:v>HK market – bear market, what do you think about the HK market in the future</x:v>
      </x:c>
      <x:c r="F1040" s="31" t="str">
        <x:v>Markets &amp; Macro</x:v>
      </x:c>
      <x:c r="G1040" s="30" t="str">
        <x:v>CL0366</x:v>
      </x:c>
      <x:c r="H1040" s="32" t="n">
        <x:f>COUNTIF($G$5:$G$1725,G1040)</x:f>
        <x:v>1</x:v>
      </x:c>
      <x:c r="I1040" s="30" t="str">
        <x:v>C19</x:v>
      </x:c>
      <x:c r="J1040" s="31" t="str">
        <x:v>If depreciation is up by 10, how would it affect the 3 FS? | Do you know about LBO? In what situations do you use it and in what situations do you not use it? | Compared to other valuation methodologies, how would their values differ?</x:v>
      </x:c>
    </x:row>
    <x:row r="1041" ht="68" customHeight="1">
      <x:c r="A1041" s="30" t="str">
        <x:v>QB1639</x:v>
      </x:c>
      <x:c r="B1041" s="30" t="str">
        <x:v>Jefferies</x:v>
      </x:c>
      <x:c r="C1041" s="30" t="str">
        <x:v>IBD / GCM</x:v>
      </x:c>
      <x:c r="D1041" s="31" t="str">
        <x:v>Did you follow the news yesterday – US election? Do you know how the market movement went after that?</x:v>
      </x:c>
      <x:c r="E1041" s="31" t="str">
        <x:v>Did you follow the news yesterday – US election? Do you know how the market movement went after that</x:v>
      </x:c>
      <x:c r="F1041" s="31" t="str">
        <x:v>Other Question</x:v>
      </x:c>
      <x:c r="G1041" s="30" t="str">
        <x:v>CL0242</x:v>
      </x:c>
      <x:c r="H1041" s="32" t="n">
        <x:f>COUNTIF($G$5:$G$1725,G1041)</x:f>
        <x:v>1</x:v>
      </x:c>
      <x:c r="I1041" s="30" t="str">
        <x:v>C20</x:v>
      </x:c>
      <x:c r="J1041" s="31" t="str">
        <x:v>Do you know about LBO? In what situations do you use it and in what situations do you not use it? | Compared to other valuation methodologies, how would their values differ? | HK market – bear market, what do you think about the HK marke...</x:v>
      </x:c>
    </x:row>
    <x:row r="1042" ht="68" customHeight="1">
      <x:c r="A1042" s="30" t="str">
        <x:v>QB1641</x:v>
      </x:c>
      <x:c r="B1042" s="30" t="str">
        <x:v>Jefferies</x:v>
      </x:c>
      <x:c r="C1042" s="30" t="str">
        <x:v>IBD / GCM</x:v>
      </x:c>
      <x:c r="D1042" s="31" t="str">
        <x:v>Given the situation, how do you think it will affect the China and HK market?</x:v>
      </x:c>
      <x:c r="E1042" s="31" t="str">
        <x:v>Given the situation, how do you think it will affect the China and HK market</x:v>
      </x:c>
      <x:c r="F1042" s="31" t="str">
        <x:v>Markets &amp; Macro</x:v>
      </x:c>
      <x:c r="G1042" s="30" t="str">
        <x:v>CL0357</x:v>
      </x:c>
      <x:c r="H1042" s="32" t="n">
        <x:f>COUNTIF($G$5:$G$1725,G1042)</x:f>
        <x:v>1</x:v>
      </x:c>
      <x:c r="I1042" s="30" t="str">
        <x:v>C21</x:v>
      </x:c>
      <x:c r="J1042" s="31" t="str">
        <x:v>Compared to other valuation methodologies, how would their values differ? | HK market – bear market, what do you think about the HK market in the future? | Did you follow the news yesterday – US election? Do you know how the market movem...</x:v>
      </x:c>
    </x:row>
    <x:row r="1043" ht="92" customHeight="1">
      <x:c r="A1043" s="30" t="str">
        <x:v>QB1642</x:v>
      </x:c>
      <x:c r="B1043" s="30" t="str">
        <x:v>Jefferies</x:v>
      </x:c>
      <x:c r="C1043" s="30" t="str">
        <x:v>IBD / GCM</x:v>
      </x:c>
      <x:c r="D1043" s="31" t="str">
        <x:v>Do you speak Mandarin? Use Mandarin to answer – if you are given a superpower, what do you want it to be?</x:v>
      </x:c>
      <x:c r="E1043" s="31" t="str">
        <x:v>Do you speak Mandarin? Use Mandarin to answer – if you are given a superpower, what do you want it to be</x:v>
      </x:c>
      <x:c r="F1043" s="31" t="str">
        <x:v>Fit &amp; Motivation</x:v>
      </x:c>
      <x:c r="G1043" s="30" t="str">
        <x:v>CL0290</x:v>
      </x:c>
      <x:c r="H1043" s="32" t="n">
        <x:f>COUNTIF($G$5:$G$1725,G1043)</x:f>
        <x:v>1</x:v>
      </x:c>
      <x:c r="I1043" s="30" t="str">
        <x:v>C22</x:v>
      </x:c>
      <x:c r="J1043" s="31" t="str">
        <x:v>HK market – bear market, what do you think about the HK market in the future? | Did you follow the news yesterday – US election? Do you know how the market movement went after that? | Given the situation, how do you think it will affect ...</x:v>
      </x:c>
    </x:row>
    <x:row r="1044" ht="92" customHeight="1">
      <x:c r="A1044" s="30" t="str">
        <x:v>QB1643</x:v>
      </x:c>
      <x:c r="B1044" s="30" t="str">
        <x:v>Jefferies</x:v>
      </x:c>
      <x:c r="C1044" s="30" t="str">
        <x:v>IBD / GCM</x:v>
      </x:c>
      <x:c r="D1044" s="31" t="str">
        <x:v>If you are given 1 million dollars, and you are not allowed to use it to invest or make it grow, what would you use it for?</x:v>
      </x:c>
      <x:c r="E1044" s="31" t="str">
        <x:v>If you are given 1 million dollars, and you are not allowed to use it to invest or make it grow, what would you use it for</x:v>
      </x:c>
      <x:c r="F1044" s="31" t="str">
        <x:v>Other Question</x:v>
      </x:c>
      <x:c r="G1044" s="30" t="str">
        <x:v>CL0526</x:v>
      </x:c>
      <x:c r="H1044" s="32" t="n">
        <x:f>COUNTIF($G$5:$G$1725,G1044)</x:f>
        <x:v>1</x:v>
      </x:c>
      <x:c r="I1044" s="30" t="str">
        <x:v>C23</x:v>
      </x:c>
      <x:c r="J1044" s="31" t="str">
        <x:v>Did you follow the news yesterday – US election? Do you know how the market movement went after that? | Given the situation, how do you think it will affect the China and HK market? | Do you speak Mandarin? Use Mandarin to answer – if yo...</x:v>
      </x:c>
    </x:row>
    <x:row r="1045" ht="92" customHeight="1">
      <x:c r="A1045" s="30" t="str">
        <x:v>QB1644</x:v>
      </x:c>
      <x:c r="B1045" s="30" t="str">
        <x:v>Jefferies</x:v>
      </x:c>
      <x:c r="C1045" s="30" t="str">
        <x:v>IBD / GCM</x:v>
      </x:c>
      <x:c r="D1045" s="31" t="str">
        <x:v>Do you know about the hours of investment banking?</x:v>
      </x:c>
      <x:c r="E1045" s="31" t="str">
        <x:v>Do you know about the hours of investment banking</x:v>
      </x:c>
      <x:c r="F1045" s="31" t="str">
        <x:v>Other Question</x:v>
      </x:c>
      <x:c r="G1045" s="30" t="str">
        <x:v>CL0274</x:v>
      </x:c>
      <x:c r="H1045" s="32" t="n">
        <x:f>COUNTIF($G$5:$G$1725,G1045)</x:f>
        <x:v>1</x:v>
      </x:c>
      <x:c r="I1045" s="30" t="str">
        <x:v>C24</x:v>
      </x:c>
      <x:c r="J1045" s="31" t="str">
        <x:v>Given the situation, how do you think it will affect the China and HK market? | Do you speak Mandarin? Use Mandarin to answer – if you are given a superpower, what do you want it to be? | If you are given 1 million dollars, and you are n...</x:v>
      </x:c>
    </x:row>
    <x:row r="1046" ht="48" customHeight="1">
      <x:c r="A1046" s="30" t="str">
        <x:v>QB1652</x:v>
      </x:c>
      <x:c r="B1046" s="30" t="str">
        <x:v>Jefferies</x:v>
      </x:c>
      <x:c r="C1046" s="30" t="str">
        <x:v>IBD / GCM</x:v>
      </x:c>
      <x:c r="D1046" s="31" t="str">
        <x:v>l Self-introduction</x:v>
      </x:c>
      <x:c r="E1046" s="31" t="str">
        <x:v>Tell me about yourself / walk me through your resume</x:v>
      </x:c>
      <x:c r="F1046" s="31" t="str">
        <x:v>Resume &amp; Experience</x:v>
      </x:c>
      <x:c r="G1046" s="30" t="str">
        <x:v>CL0001</x:v>
      </x:c>
      <x:c r="H1046" s="32" t="n">
        <x:f>COUNTIF($G$5:$G$1725,G1046)</x:f>
        <x:v>170</x:v>
      </x:c>
      <x:c r="I1046" s="30" t="str">
        <x:v>A31</x:v>
      </x:c>
      <x:c r="J1046" s="31" t="str">
        <x:v>IBD Superday | Beata | 1st Interviewer: Philip Li, Head of HK Investment Banking, Consumer Retail</x:v>
      </x:c>
    </x:row>
    <x:row r="1047" ht="48" customHeight="1">
      <x:c r="A1047" s="30" t="str">
        <x:v>QB1653</x:v>
      </x:c>
      <x:c r="B1047" s="30" t="str">
        <x:v>Jefferies</x:v>
      </x:c>
      <x:c r="C1047" s="30" t="str">
        <x:v>IBD / GCM</x:v>
      </x:c>
      <x:c r="D1047" s="31" t="str">
        <x:v>l Does BNP have return?</x:v>
      </x:c>
      <x:c r="E1047" s="31" t="str">
        <x:v>L Does BNP have return</x:v>
      </x:c>
      <x:c r="F1047" s="31" t="str">
        <x:v>Other Question</x:v>
      </x:c>
      <x:c r="G1047" s="30" t="str">
        <x:v>CL0036</x:v>
      </x:c>
      <x:c r="H1047" s="32" t="n">
        <x:f>COUNTIF($G$5:$G$1725,G1047)</x:f>
        <x:v>2</x:v>
      </x:c>
      <x:c r="I1047" s="30" t="str">
        <x:v>C31</x:v>
      </x:c>
      <x:c r="J1047" s="31" t="str">
        <x:v>Do you know about the hours of investment banking? | Q&amp;A | 2nd Interviewer: Lance Wang, SVP (ED) TMT</x:v>
      </x:c>
    </x:row>
    <x:row r="1048" ht="32" customHeight="1">
      <x:c r="A1048" s="30" t="str">
        <x:v>QB1655</x:v>
      </x:c>
      <x:c r="B1048" s="30" t="str">
        <x:v>Jefferies</x:v>
      </x:c>
      <x:c r="C1048" s="30" t="str">
        <x:v>IBD / GCM</x:v>
      </x:c>
      <x:c r="D1048" s="31" t="str">
        <x:v>l self introduction – doesn’t have my cv on hand</x:v>
      </x:c>
      <x:c r="E1048" s="31" t="str">
        <x:v>Tell me about yourself / walk me through your resume</x:v>
      </x:c>
      <x:c r="F1048" s="31" t="str">
        <x:v>Resume &amp; Experience</x:v>
      </x:c>
      <x:c r="G1048" s="30" t="str">
        <x:v>CL0001</x:v>
      </x:c>
      <x:c r="H1048" s="32" t="n">
        <x:f>COUNTIF($G$5:$G$1725,G1048)</x:f>
        <x:v>170</x:v>
      </x:c>
      <x:c r="I1048" s="30" t="str">
        <x:v>G31</x:v>
      </x:c>
      <x:c r="J1048" s="31" t="str">
        <x:v>Interviewer 4: Brian Chu, SVP Healthcare</x:v>
      </x:c>
    </x:row>
    <x:row r="1049" ht="48" customHeight="1">
      <x:c r="A1049" s="30" t="str">
        <x:v>QB1656</x:v>
      </x:c>
      <x:c r="B1049" s="30" t="str">
        <x:v>Jefferies</x:v>
      </x:c>
      <x:c r="C1049" s="30" t="str">
        <x:v>IBD / GCM</x:v>
      </x:c>
      <x:c r="D1049" s="31" t="str">
        <x:v>Can ask me directly if you are interested in the details</x:v>
      </x:c>
      <x:c r="E1049" s="31" t="str">
        <x:v>Can ask me directly if you are interested in the details</x:v>
      </x:c>
      <x:c r="F1049" s="31" t="str">
        <x:v>Other Question</x:v>
      </x:c>
      <x:c r="G1049" s="30" t="str">
        <x:v>CL0183</x:v>
      </x:c>
      <x:c r="H1049" s="32" t="n">
        <x:f>COUNTIF($G$5:$G$1725,G1049)</x:f>
        <x:v>1</x:v>
      </x:c>
      <x:c r="I1049" s="30" t="str">
        <x:v>E32</x:v>
      </x:c>
      <x:c r="J1049" s="31" t="str">
        <x:v>Interviewer 3: Aric Hui, SVP (ED), Staffer | The whole session was just chitchatting in Cantonese 我真的服了哈哈哈哈</x:v>
      </x:c>
    </x:row>
    <x:row r="1050" ht="48" customHeight="1">
      <x:c r="A1050" s="30" t="str">
        <x:v>QB1657</x:v>
      </x:c>
      <x:c r="B1050" s="30" t="str">
        <x:v>Jefferies</x:v>
      </x:c>
      <x:c r="C1050" s="30" t="str">
        <x:v>IBD / GCM</x:v>
      </x:c>
      <x:c r="D1050" s="31" t="str">
        <x:v>l Does BNP have return?</x:v>
      </x:c>
      <x:c r="E1050" s="31" t="str">
        <x:v>L Does BNP have return</x:v>
      </x:c>
      <x:c r="F1050" s="31" t="str">
        <x:v>Other Question</x:v>
      </x:c>
      <x:c r="G1050" s="30" t="str">
        <x:v>CL0036</x:v>
      </x:c>
      <x:c r="H1050" s="32" t="n">
        <x:f>COUNTIF($G$5:$G$1725,G1050)</x:f>
        <x:v>2</x:v>
      </x:c>
      <x:c r="I1050" s="30" t="str">
        <x:v>A33</x:v>
      </x:c>
      <x:c r="J1050" s="31" t="str">
        <x:v>Beata | 1st Interviewer: Philip Li, Head of HK Investment Banking, Consumer Retail | l Self-introduction</x:v>
      </x:c>
    </x:row>
    <x:row r="1051" ht="32" customHeight="1">
      <x:c r="A1051" s="30" t="str">
        <x:v>QB1658</x:v>
      </x:c>
      <x:c r="B1051" s="30" t="str">
        <x:v>Jefferies</x:v>
      </x:c>
      <x:c r="C1051" s="30" t="str">
        <x:v>IBD / GCM</x:v>
      </x:c>
      <x:c r="D1051" s="31" t="str">
        <x:v>l Progress with other banks? Is Jefferies your top preference?</x:v>
      </x:c>
      <x:c r="E1051" s="31" t="str">
        <x:v>L Progress with other banks? Is Jefferies your top preference</x:v>
      </x:c>
      <x:c r="F1051" s="31" t="str">
        <x:v>Accounting &amp; Financial Statements</x:v>
      </x:c>
      <x:c r="G1051" s="30" t="str">
        <x:v>CL0581</x:v>
      </x:c>
      <x:c r="H1051" s="32" t="n">
        <x:f>COUNTIF($G$5:$G$1725,G1051)</x:f>
        <x:v>1</x:v>
      </x:c>
      <x:c r="I1051" s="30" t="str">
        <x:v>C33</x:v>
      </x:c>
      <x:c r="J1051" s="31" t="str">
        <x:v>Q&amp;A | 2nd Interviewer: Lance Wang, SVP (ED) TMT | l Does BNP have return?</x:v>
      </x:c>
    </x:row>
    <x:row r="1052" ht="48" customHeight="1">
      <x:c r="A1052" s="30" t="str">
        <x:v>QB1660</x:v>
      </x:c>
      <x:c r="B1052" s="30" t="str">
        <x:v>Jefferies</x:v>
      </x:c>
      <x:c r="C1052" s="30" t="str">
        <x:v>IBD / GCM</x:v>
      </x:c>
      <x:c r="D1052" s="31" t="str">
        <x:v>l Why Jefferies? Vs BNP?</x:v>
      </x:c>
      <x:c r="E1052" s="31" t="str">
        <x:v>L Why Jefferies? Vs BNP</x:v>
      </x:c>
      <x:c r="F1052" s="31" t="str">
        <x:v>Fit &amp; Motivation</x:v>
      </x:c>
      <x:c r="G1052" s="30" t="str">
        <x:v>CL0587</x:v>
      </x:c>
      <x:c r="H1052" s="32" t="n">
        <x:f>COUNTIF($G$5:$G$1725,G1052)</x:f>
        <x:v>1</x:v>
      </x:c>
      <x:c r="I1052" s="30" t="str">
        <x:v>A35</x:v>
      </x:c>
      <x:c r="J1052" s="31" t="str">
        <x:v>1st Interviewer: Philip Li, Head of HK Investment Banking, Consumer Retail | l Self-introduction | l Does BNP have return?</x:v>
      </x:c>
    </x:row>
    <x:row r="1053" ht="48" customHeight="1">
      <x:c r="A1053" s="30" t="str">
        <x:v>QB1662</x:v>
      </x:c>
      <x:c r="B1053" s="30" t="str">
        <x:v>Jefferies</x:v>
      </x:c>
      <x:c r="C1053" s="30" t="str">
        <x:v>IBD / GCM</x:v>
      </x:c>
      <x:c r="D1053" s="31" t="str">
        <x:v>n do you know the market cap of Jefferies?</x:v>
      </x:c>
      <x:c r="E1053" s="31" t="str">
        <x:v>N do you know the market cap of Jefferies</x:v>
      </x:c>
      <x:c r="F1053" s="31" t="str">
        <x:v>Other Question</x:v>
      </x:c>
      <x:c r="G1053" s="30" t="str">
        <x:v>CL0613</x:v>
      </x:c>
      <x:c r="H1053" s="32" t="n">
        <x:f>COUNTIF($G$5:$G$1725,G1053)</x:f>
        <x:v>1</x:v>
      </x:c>
      <x:c r="I1053" s="30" t="str">
        <x:v>G35</x:v>
      </x:c>
      <x:c r="J1053" s="31" t="str">
        <x:v>Interviewer 4: Brian Chu, SVP Healthcare | l self introduction – doesn’t have my cv on hand | l tell me some factual things about Jefferies</x:v>
      </x:c>
    </x:row>
    <x:row r="1054" ht="48" customHeight="1">
      <x:c r="A1054" s="30" t="str">
        <x:v>QB1665</x:v>
      </x:c>
      <x:c r="B1054" s="30" t="str">
        <x:v>Jefferies</x:v>
      </x:c>
      <x:c r="C1054" s="30" t="str">
        <x:v>IBD / GCM</x:v>
      </x:c>
      <x:c r="D1054" s="31" t="str">
        <x:v>l The China’s economy was not going well, what are some reasons behind? Are there any mitigants?</x:v>
      </x:c>
      <x:c r="E1054" s="31" t="str">
        <x:v>L The China’s economy was not going well, what are some reasons behind? Are there any mitigants</x:v>
      </x:c>
      <x:c r="F1054" s="31" t="str">
        <x:v>Other Question</x:v>
      </x:c>
      <x:c r="G1054" s="30" t="str">
        <x:v>CL0583</x:v>
      </x:c>
      <x:c r="H1054" s="32" t="n">
        <x:f>COUNTIF($G$5:$G$1725,G1054)</x:f>
        <x:v>1</x:v>
      </x:c>
      <x:c r="I1054" s="30" t="str">
        <x:v>G37</x:v>
      </x:c>
      <x:c r="J1054" s="31" t="str">
        <x:v>l self introduction – doesn’t have my cv on hand | l tell me some factual things about Jefferies | n do you know the market cap of Jefferies?</x:v>
      </x:c>
    </x:row>
    <x:row r="1055" ht="48" customHeight="1">
      <x:c r="A1055" s="30" t="str">
        <x:v>QB1667</x:v>
      </x:c>
      <x:c r="B1055" s="30" t="str">
        <x:v>Jefferies</x:v>
      </x:c>
      <x:c r="C1055" s="30" t="str">
        <x:v>IBD / GCM</x:v>
      </x:c>
      <x:c r="D1055" s="31" t="str">
        <x:v>l He’s from TMT team so he’s interested in the OTA project as well</x:v>
      </x:c>
      <x:c r="E1055" s="31" t="str">
        <x:v>L He’s from TMT team so he’s interested in the OTA project as well</x:v>
      </x:c>
      <x:c r="F1055" s="31" t="str">
        <x:v>Behavioral &amp; Situational</x:v>
      </x:c>
      <x:c r="G1055" s="30" t="str">
        <x:v>CL0577</x:v>
      </x:c>
      <x:c r="H1055" s="32" t="n">
        <x:f>COUNTIF($G$5:$G$1725,G1055)</x:f>
        <x:v>1</x:v>
      </x:c>
      <x:c r="I1055" s="30" t="str">
        <x:v>C39</x:v>
      </x:c>
      <x:c r="J1055" s="31" t="str">
        <x:v>l Progress with other banks? Is Jefferies your top preference? | l Mandarin for the rest | l Share a work you’ve done in BNP</x:v>
      </x:c>
    </x:row>
    <x:row r="1056" ht="48" customHeight="1">
      <x:c r="A1056" s="30" t="str">
        <x:v>QB1669</x:v>
      </x:c>
      <x:c r="B1056" s="30" t="str">
        <x:v>Jefferies</x:v>
      </x:c>
      <x:c r="C1056" s="30" t="str">
        <x:v>IBD / GCM</x:v>
      </x:c>
      <x:c r="D1056" s="31" t="str">
        <x:v>l Any deal experience?</x:v>
      </x:c>
      <x:c r="E1056" s="31" t="str">
        <x:v>L Any deal experience</x:v>
      </x:c>
      <x:c r="F1056" s="31" t="str">
        <x:v>Resume &amp; Experience</x:v>
      </x:c>
      <x:c r="G1056" s="30" t="str">
        <x:v>CL0570</x:v>
      </x:c>
      <x:c r="H1056" s="32" t="n">
        <x:f>COUNTIF($G$5:$G$1725,G1056)</x:f>
        <x:v>1</x:v>
      </x:c>
      <x:c r="I1056" s="30" t="str">
        <x:v>C41</x:v>
      </x:c>
      <x:c r="J1056" s="31" t="str">
        <x:v>l Mandarin for the rest | l Share a work you’ve done in BNP | l He’s from TMT team so he’s interested in the OTA project as well</x:v>
      </x:c>
    </x:row>
    <x:row r="1057" ht="92" customHeight="1">
      <x:c r="A1057" s="30" t="str">
        <x:v>QB1670</x:v>
      </x:c>
      <x:c r="B1057" s="30" t="str">
        <x:v>Jefferies</x:v>
      </x:c>
      <x:c r="C1057" s="30" t="str">
        <x:v>IBD / GCM</x:v>
      </x:c>
      <x:c r="D1057"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E1057"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F1057" s="31" t="str">
        <x:v>Accounting &amp; Financial Statements</x:v>
      </x:c>
      <x:c r="G1057" s="30" t="str">
        <x:v>CL0580</x:v>
      </x:c>
      <x:c r="H1057" s="32" t="n">
        <x:f>COUNTIF($G$5:$G$1725,G1057)</x:f>
        <x:v>1</x:v>
      </x:c>
      <x:c r="I1057" s="30" t="str">
        <x:v>G41</x:v>
      </x:c>
      <x:c r="J1057" s="31" t="str">
        <x:v>n do you know the market cap of Jefferies? | l The China’s economy was not going well, what are some reasons behind? Are there any mitigants? | n Can also mention about geopolitical risks</x:v>
      </x:c>
    </x:row>
    <x:row r="1058" ht="48" customHeight="1">
      <x:c r="A1058" s="30" t="str">
        <x:v>QB1671</x:v>
      </x:c>
      <x:c r="B1058" s="30" t="str">
        <x:v>Jefferies</x:v>
      </x:c>
      <x:c r="C1058" s="30" t="str">
        <x:v>IBD / GCM</x:v>
      </x:c>
      <x:c r="D1058" s="31" t="str">
        <x:v>l CFO of a f&amp;b company, need to use 100 cash to buy 製造設備, how will it affect 3 statements</x:v>
      </x:c>
      <x:c r="E1058" s="31" t="str">
        <x:v>How does a transaction flow through the three financial statements?</x:v>
      </x:c>
      <x:c r="F1058" s="31" t="str">
        <x:v>Accounting &amp; Financial Statements</x:v>
      </x:c>
      <x:c r="G1058" s="30" t="str">
        <x:v>CL0004</x:v>
      </x:c>
      <x:c r="H1058" s="32" t="n">
        <x:f>COUNTIF($G$5:$G$1725,G1058)</x:f>
        <x:v>21</x:v>
      </x:c>
      <x:c r="I1058" s="30" t="str">
        <x:v>C43</x:v>
      </x:c>
      <x:c r="J1058" s="31" t="str">
        <x:v>l Share a work you’ve done in BNP | l He’s from TMT team so he’s interested in the OTA project as well | l Any deal experience?</x:v>
      </x:c>
    </x:row>
    <x:row r="1059" ht="118" customHeight="1">
      <x:c r="A1059" s="30" t="str">
        <x:v>QB1672</x:v>
      </x:c>
      <x:c r="B1059" s="30" t="str">
        <x:v>Jefferies</x:v>
      </x:c>
      <x:c r="C1059" s="30" t="str">
        <x:v>IBD / GCM</x:v>
      </x:c>
      <x:c r="D1059" s="31" t="str">
        <x:v>n You contacted the MD, and he didn’t respond, what would you do?</x:v>
      </x:c>
      <x:c r="E1059" s="31" t="str">
        <x:v>N You contacted the MD, and he didn’t respond, what would you do</x:v>
      </x:c>
      <x:c r="F1059" s="31" t="str">
        <x:v>Other Question</x:v>
      </x:c>
      <x:c r="G1059" s="30" t="str">
        <x:v>CL0614</x:v>
      </x:c>
      <x:c r="H1059" s="32" t="n">
        <x:f>COUNTIF($G$5:$G$1725,G1059)</x:f>
        <x:v>1</x:v>
      </x:c>
      <x:c r="I1059" s="30" t="str">
        <x:v>G43</x:v>
      </x:c>
      <x:c r="J1059" s="31" t="str">
        <x:v>l The China’s economy was not going well, what are some reasons behind? Are there any mitigants? | n Can also mention about geopolitical risks | l Imagine you are a Year 1 analyst, you have been working with the associate on a pitchbook,...</x:v>
      </x:c>
    </x:row>
    <x:row r="1060" ht="32" customHeight="1">
      <x:c r="A1060" s="30" t="str">
        <x:v>QB1686</x:v>
      </x:c>
      <x:c r="B1060" s="30" t="str">
        <x:v>BNP Paribas</x:v>
      </x:c>
      <x:c r="C1060" s="30" t="str">
        <x:v>IBD / GCM</x:v>
      </x:c>
      <x:c r="D1060" s="31" t="str">
        <x:v>Industry Group (2 interviewers, TMT and Energy)</x:v>
      </x:c>
      <x:c r="E1060" s="31" t="str">
        <x:v>Industry Group (2 interviewers, TMT and Energy)</x:v>
      </x:c>
      <x:c r="F1060" s="31" t="str">
        <x:v>Company, Industry &amp; Deals</x:v>
      </x:c>
      <x:c r="G1060" s="30" t="str">
        <x:v>CL0541</x:v>
      </x:c>
      <x:c r="H1060" s="32" t="n">
        <x:f>COUNTIF($G$5:$G$1725,G1060)</x:f>
        <x:v>1</x:v>
      </x:c>
      <x:c r="I1060" s="30" t="str">
        <x:v>G4</x:v>
      </x:c>
      <x:c r="J1060" s="31" t="str">
        <x:v>Fourth Interviewer</x:v>
      </x:c>
    </x:row>
    <x:row r="1061" ht="32" customHeight="1">
      <x:c r="A1061" s="30" t="str">
        <x:v>QB1690</x:v>
      </x:c>
      <x:c r="B1061" s="30" t="str">
        <x:v>BNP Paribas</x:v>
      </x:c>
      <x:c r="C1061" s="30" t="str">
        <x:v>IBD / GCM</x:v>
      </x:c>
      <x:c r="D1061" s="31" t="str">
        <x:v>What do you know about DCM (not sure if she asked)</x:v>
      </x:c>
      <x:c r="E1061" s="31" t="str">
        <x:v>What do you know about DCM (not sure if she asked)</x:v>
      </x:c>
      <x:c r="F1061" s="31" t="str">
        <x:v>Capital Markets &amp; Financing</x:v>
      </x:c>
      <x:c r="G1061" s="30" t="str">
        <x:v>CL0921</x:v>
      </x:c>
      <x:c r="H1061" s="32" t="n">
        <x:f>COUNTIF($G$5:$G$1725,G1061)</x:f>
        <x:v>1</x:v>
      </x:c>
      <x:c r="I1061" s="30" t="str">
        <x:v>C6</x:v>
      </x:c>
      <x:c r="J1061" s="31" t="str">
        <x:v>Second Interviewer | DCM</x:v>
      </x:c>
    </x:row>
    <x:row r="1062" ht="32" customHeight="1">
      <x:c r="A1062" s="30" t="str">
        <x:v>QB1691</x:v>
      </x:c>
      <x:c r="B1062" s="30" t="str">
        <x:v>BNP Paribas</x:v>
      </x:c>
      <x:c r="C1062" s="30" t="str">
        <x:v>IBD / GCM</x:v>
      </x:c>
      <x:c r="D1062" s="31" t="str">
        <x:v>Do you know any PE firms</x:v>
      </x:c>
      <x:c r="E1062" s="31" t="str">
        <x:v>Do you know any PE firms</x:v>
      </x:c>
      <x:c r="F1062" s="31" t="str">
        <x:v>Other Question</x:v>
      </x:c>
      <x:c r="G1062" s="30" t="str">
        <x:v>CL0275</x:v>
      </x:c>
      <x:c r="H1062" s="32" t="n">
        <x:f>COUNTIF($G$5:$G$1725,G1062)</x:f>
        <x:v>1</x:v>
      </x:c>
      <x:c r="I1062" s="30" t="str">
        <x:v>E6</x:v>
      </x:c>
      <x:c r="J1062" s="31" t="str">
        <x:v>Third Interviewer | Leveraged Finance</x:v>
      </x:c>
    </x:row>
    <x:row r="1063" ht="48" customHeight="1">
      <x:c r="A1063" s="30" t="str">
        <x:v>QB1692</x:v>
      </x:c>
      <x:c r="B1063" s="30" t="str">
        <x:v>BNP Paribas</x:v>
      </x:c>
      <x:c r="C1063" s="30" t="str">
        <x:v>IBD / GCM</x:v>
      </x:c>
      <x:c r="D1063" s="31" t="str">
        <x:v>Suppose you want to do valuation for a pet food company, what are some common valuation methodologies</x:v>
      </x:c>
      <x:c r="E1063" s="31" t="str">
        <x:v>What are the main valuation methodologies?</x:v>
      </x:c>
      <x:c r="F1063" s="31" t="str">
        <x:v>Valuation</x:v>
      </x:c>
      <x:c r="G1063" s="30" t="str">
        <x:v>CL0010</x:v>
      </x:c>
      <x:c r="H1063" s="32" t="n">
        <x:f>COUNTIF($G$5:$G$1725,G1063)</x:f>
        <x:v>13</x:v>
      </x:c>
      <x:c r="I1063" s="30" t="str">
        <x:v>G6</x:v>
      </x:c>
      <x:c r="J1063" s="31" t="str">
        <x:v>Fourth Interviewer | Industry Group (2 interviewers, TMT and Energy)</x:v>
      </x:c>
    </x:row>
    <x:row r="1064" ht="32" customHeight="1">
      <x:c r="A1064" s="30" t="str">
        <x:v>QB1693</x:v>
      </x:c>
      <x:c r="B1064" s="30" t="str">
        <x:v>BNP Paribas</x:v>
      </x:c>
      <x:c r="C1064" s="30" t="str">
        <x:v>IBD / GCM</x:v>
      </x:c>
      <x:c r="D1064" s="31" t="str">
        <x:v>What does a teaser include</x:v>
      </x:c>
      <x:c r="E1064" s="31" t="str">
        <x:v>What does a teaser include</x:v>
      </x:c>
      <x:c r="F1064" s="31" t="str">
        <x:v>Other Question</x:v>
      </x:c>
      <x:c r="G1064" s="30" t="str">
        <x:v>CL0939</x:v>
      </x:c>
      <x:c r="H1064" s="32" t="n">
        <x:f>COUNTIF($G$5:$G$1725,G1064)</x:f>
        <x:v>1</x:v>
      </x:c>
      <x:c r="I1064" s="30" t="str">
        <x:v>A7</x:v>
      </x:c>
      <x:c r="J1064" s="31" t="str">
        <x:v>Beata | M&amp;A | Buy-side and sell-side M&amp;A Process</x:v>
      </x:c>
    </x:row>
    <x:row r="1065" ht="32" customHeight="1">
      <x:c r="A1065" s="30" t="str">
        <x:v>QB1695</x:v>
      </x:c>
      <x:c r="B1065" s="30" t="str">
        <x:v>BNP Paribas</x:v>
      </x:c>
      <x:c r="C1065" s="30" t="str">
        <x:v>IBD / GCM</x:v>
      </x:c>
      <x:c r="D1065" s="31" t="str">
        <x:v>What do you know about LBO</x:v>
      </x:c>
      <x:c r="E1065" s="31" t="str">
        <x:v>What do you know about LBO</x:v>
      </x:c>
      <x:c r="F1065" s="31" t="str">
        <x:v>Private Equity &amp; LBO</x:v>
      </x:c>
      <x:c r="G1065" s="30" t="str">
        <x:v>CL0922</x:v>
      </x:c>
      <x:c r="H1065" s="32" t="n">
        <x:f>COUNTIF($G$5:$G$1725,G1065)</x:f>
        <x:v>1</x:v>
      </x:c>
      <x:c r="I1065" s="30" t="str">
        <x:v>E7</x:v>
      </x:c>
      <x:c r="J1065" s="31" t="str">
        <x:v>Third Interviewer | Leveraged Finance | Do you know any PE firms</x:v>
      </x:c>
    </x:row>
    <x:row r="1066" ht="68" customHeight="1">
      <x:c r="A1066" s="30" t="str">
        <x:v>QB1696</x:v>
      </x:c>
      <x:c r="B1066" s="30" t="str">
        <x:v>BNP Paribas</x:v>
      </x:c>
      <x:c r="C1066" s="30" t="str">
        <x:v>IBD / GCM</x:v>
      </x:c>
      <x:c r="D1066" s="31" t="str">
        <x:v>Deep dive into each - DCF, comps, precedent transactions</x:v>
      </x:c>
      <x:c r="E1066" s="31" t="str">
        <x:v>Deep dive into each - DCF, comps, precedent transactions</x:v>
      </x:c>
      <x:c r="F1066" s="31" t="str">
        <x:v>Valuation</x:v>
      </x:c>
      <x:c r="G1066" s="30" t="str">
        <x:v>CL0229</x:v>
      </x:c>
      <x:c r="H1066" s="32" t="n">
        <x:f>COUNTIF($G$5:$G$1725,G1066)</x:f>
        <x:v>1</x:v>
      </x:c>
      <x:c r="I1066" s="30" t="str">
        <x:v>G7</x:v>
      </x:c>
      <x:c r="J1066" s="31" t="str">
        <x:v>Fourth Interviewer | Industry Group (2 interviewers, TMT and Energy) | Suppose you want to do valuation for a pet food company, what are some common valuation methodologies</x:v>
      </x:c>
    </x:row>
    <x:row r="1067" ht="32" customHeight="1">
      <x:c r="A1067" s="30" t="str">
        <x:v>QB1698</x:v>
      </x:c>
      <x:c r="B1067" s="30" t="str">
        <x:v>BNP Paribas</x:v>
      </x:c>
      <x:c r="C1067" s="30" t="str">
        <x:v>IBD / GCM</x:v>
      </x:c>
      <x:c r="D1067" s="31" t="str">
        <x:v>What does a CIM include</x:v>
      </x:c>
      <x:c r="E1067" s="31" t="str">
        <x:v>What does a CIM include</x:v>
      </x:c>
      <x:c r="F1067" s="31" t="str">
        <x:v>Other Question</x:v>
      </x:c>
      <x:c r="G1067" s="30" t="str">
        <x:v>CL0937</x:v>
      </x:c>
      <x:c r="H1067" s="32" t="n">
        <x:f>COUNTIF($G$5:$G$1725,G1067)</x:f>
        <x:v>1</x:v>
      </x:c>
      <x:c r="I1067" s="30" t="str">
        <x:v>A8</x:v>
      </x:c>
      <x:c r="J1067" s="31" t="str">
        <x:v>M&amp;A | Buy-side and sell-side M&amp;A Process | What does a teaser include</x:v>
      </x:c>
    </x:row>
    <x:row r="1068" ht="68" customHeight="1">
      <x:c r="A1068" s="30" t="str">
        <x:v>QB1700</x:v>
      </x:c>
      <x:c r="B1068" s="30" t="str">
        <x:v>BNP Paribas</x:v>
      </x:c>
      <x:c r="C1068" s="30" t="str">
        <x:v>IBD / GCM</x:v>
      </x:c>
      <x:c r="D1068" s="31" t="str">
        <x:v>If you're my intern and we want to decide whether we should lend money to KKR for LBO, what will you include in a 2-page memo for me to read suppose I don't know anything about the company</x:v>
      </x:c>
      <x:c r="E1068" s="31" t="str">
        <x:v>If you're my intern and we want to decide whether we should lend money to KKR for LBO, what will you include in a 2-page memo for me to read suppose I don't know anything about the company</x:v>
      </x:c>
      <x:c r="F1068" s="31" t="str">
        <x:v>Private Equity &amp; LBO</x:v>
      </x:c>
      <x:c r="G1068" s="30" t="str">
        <x:v>CL0532</x:v>
      </x:c>
      <x:c r="H1068" s="32" t="n">
        <x:f>COUNTIF($G$5:$G$1725,G1068)</x:f>
        <x:v>1</x:v>
      </x:c>
      <x:c r="I1068" s="30" t="str">
        <x:v>E8</x:v>
      </x:c>
      <x:c r="J1068" s="31" t="str">
        <x:v>Leveraged Finance | Do you know any PE firms | What do you know about LBO</x:v>
      </x:c>
    </x:row>
    <x:row r="1069" ht="32" customHeight="1">
      <x:c r="A1069" s="30" t="str">
        <x:v>QB1703</x:v>
      </x:c>
      <x:c r="B1069" s="30" t="str">
        <x:v>BNP Paribas</x:v>
      </x:c>
      <x:c r="C1069" s="30" t="str">
        <x:v>IBD / GCM</x:v>
      </x:c>
      <x:c r="D1069" s="31" t="str">
        <x:v>What does a Letter of Intent include</x:v>
      </x:c>
      <x:c r="E1069" s="31" t="str">
        <x:v>What does a Letter of Intent include</x:v>
      </x:c>
      <x:c r="F1069" s="31" t="str">
        <x:v>Other Question</x:v>
      </x:c>
      <x:c r="G1069" s="30" t="str">
        <x:v>CL0938</x:v>
      </x:c>
      <x:c r="H1069" s="32" t="n">
        <x:f>COUNTIF($G$5:$G$1725,G1069)</x:f>
        <x:v>1</x:v>
      </x:c>
      <x:c r="I1069" s="30" t="str">
        <x:v>A9</x:v>
      </x:c>
      <x:c r="J1069" s="31" t="str">
        <x:v>Buy-side and sell-side M&amp;A Process | What does a teaser include | What does a CIM include</x:v>
      </x:c>
    </x:row>
    <x:row r="1070" ht="68" customHeight="1">
      <x:c r="A1070" s="30" t="str">
        <x:v>QB1704</x:v>
      </x:c>
      <x:c r="B1070" s="30" t="str">
        <x:v>BNP Paribas</x:v>
      </x:c>
      <x:c r="C1070" s="30" t="str">
        <x:v>IBD / GCM</x:v>
      </x:c>
      <x:c r="D1070" s="31" t="str">
        <x:v>e.g. if the client has one property in HK, one in London, and just bought one in a Tier 3 city in Mainland, what will you do</x:v>
      </x:c>
      <x:c r="E1070" s="31" t="str">
        <x:v>E.g. if the client has one property in HK, one in London, and just bought one in a Tier 3 city in Mainland, what will you do</x:v>
      </x:c>
      <x:c r="F1070" s="31" t="str">
        <x:v>Other Question</x:v>
      </x:c>
      <x:c r="G1070" s="30" t="str">
        <x:v>CL0306</x:v>
      </x:c>
      <x:c r="H1070" s="32" t="n">
        <x:f>COUNTIF($G$5:$G$1725,G1070)</x:f>
        <x:v>1</x:v>
      </x:c>
      <x:c r="I1070" s="30" t="str">
        <x:v>C9</x:v>
      </x:c>
      <x:c r="J1070" s="31" t="str">
        <x:v>What do you know about DCM (not sure if she asked) | If you're lending money to an individual, what do you need to do during due diligence | Since you mentioned about doing dd on their assets, what kind of assets</x:v>
      </x:c>
    </x:row>
    <x:row r="1071" ht="68" customHeight="1">
      <x:c r="A1071" s="30" t="str">
        <x:v>QB1705</x:v>
      </x:c>
      <x:c r="B1071" s="30" t="str">
        <x:v>BNP Paribas</x:v>
      </x:c>
      <x:c r="C1071" s="30" t="str">
        <x:v>IBD / GCM</x:v>
      </x:c>
      <x:c r="D1071" s="31" t="str">
        <x:v>Suppose the target company (that KKR wants to invest in) has 100 cashflow per year, how much can we lend to KKR for LBO</x:v>
      </x:c>
      <x:c r="E1071" s="31" t="str">
        <x:v>Suppose the target company (that KKR wants to invest in) has 100 cashflow per year, how much can we lend to KKR for LBO</x:v>
      </x:c>
      <x:c r="F1071" s="31" t="str">
        <x:v>Private Equity &amp; LBO</x:v>
      </x:c>
      <x:c r="G1071" s="30" t="str">
        <x:v>CL0693</x:v>
      </x:c>
      <x:c r="H1071" s="32" t="n">
        <x:f>COUNTIF($G$5:$G$1725,G1071)</x:f>
        <x:v>1</x:v>
      </x:c>
      <x:c r="I1071" s="30" t="str">
        <x:v>E9</x:v>
      </x:c>
      <x:c r="J1071" s="31" t="str">
        <x:v>Do you know any PE firms | What do you know about LBO | If you're my intern and we want to decide whether we should lend money to KKR for LBO, what will you include in a 2-page memo for me to read suppose I don't know anything about the ...</x:v>
      </x:c>
    </x:row>
    <x:row r="1072" ht="68" customHeight="1">
      <x:c r="A1072" s="30" t="str">
        <x:v>QB1706</x:v>
      </x:c>
      <x:c r="B1072" s="30" t="str">
        <x:v>BNP Paribas</x:v>
      </x:c>
      <x:c r="C1072" s="30" t="str">
        <x:v>IBD / GCM</x:v>
      </x:c>
      <x:c r="D1072" s="31" t="str">
        <x:v>where do u find the inputs</x:v>
      </x:c>
      <x:c r="E1072" s="31" t="str">
        <x:v>Where do u find the inputs</x:v>
      </x:c>
      <x:c r="F1072" s="31" t="str">
        <x:v>Other Question</x:v>
      </x:c>
      <x:c r="G1072" s="30" t="str">
        <x:v>CL1086</x:v>
      </x:c>
      <x:c r="H1072" s="32" t="n">
        <x:f>COUNTIF($G$5:$G$1725,G1072)</x:f>
        <x:v>1</x:v>
      </x:c>
      <x:c r="I1072" s="30" t="str">
        <x:v>G9</x:v>
      </x:c>
      <x:c r="J1072" s="31" t="str">
        <x:v>Suppose you want to do valuation for a pet food company, what are some common valuation methodologies | Deep dive into each - DCF, comps, precedent transactions | e.g. what are some inputs for comps</x:v>
      </x:c>
    </x:row>
    <x:row r="1073" ht="48" customHeight="1">
      <x:c r="A1073" s="30" t="str">
        <x:v>QB1707</x:v>
      </x:c>
      <x:c r="B1073" s="30" t="str">
        <x:v>BNP Paribas</x:v>
      </x:c>
      <x:c r="C1073" s="30" t="str">
        <x:v>IBD / GCM</x:v>
      </x:c>
      <x:c r="D1073" s="31" t="str">
        <x:v>an excel file and other equity research reports are given, as well as Weilong's annual reports</x:v>
      </x:c>
      <x:c r="E1073" s="31" t="str">
        <x:v>An excel file and other equity research reports are given, as well as Weilong's annual reports</x:v>
      </x:c>
      <x:c r="F1073" s="31" t="str">
        <x:v>Other Technical</x:v>
      </x:c>
      <x:c r="G1073" s="30" t="str">
        <x:v>CL0110</x:v>
      </x:c>
      <x:c r="H1073" s="32" t="n">
        <x:f>COUNTIF($G$5:$G$1725,G1073)</x:f>
        <x:v>1</x:v>
      </x:c>
      <x:c r="I1073" s="30" t="str">
        <x:v>I9</x:v>
      </x:c>
      <x:c r="J1073" s="31" t="str">
        <x:v>prioritisation of tasks in workplace | Case Study | 2-page pitch deck for Weilong</x:v>
      </x:c>
    </x:row>
    <x:row r="1074" ht="92" customHeight="1">
      <x:c r="A1074" s="30" t="str">
        <x:v>QB1709</x:v>
      </x:c>
      <x:c r="B1074" s="30" t="str">
        <x:v>BNP Paribas</x:v>
      </x:c>
      <x:c r="C1074" s="30" t="str">
        <x:v>IBD / GCM</x:v>
      </x:c>
      <x:c r="D1074" s="31" t="str">
        <x:v>Use Mandarin to talk about the market for 2 minutes</x:v>
      </x:c>
      <x:c r="E1074" s="31" t="str">
        <x:v>Use Mandarin to talk about the market for 2 minutes</x:v>
      </x:c>
      <x:c r="F1074" s="31" t="str">
        <x:v>Fit &amp; Motivation</x:v>
      </x:c>
      <x:c r="G1074" s="30" t="str">
        <x:v>CL0810</x:v>
      </x:c>
      <x:c r="H1074" s="32" t="n">
        <x:f>COUNTIF($G$5:$G$1725,G1074)</x:f>
        <x:v>1</x:v>
      </x:c>
      <x:c r="I1074" s="30" t="str">
        <x:v>C10</x:v>
      </x:c>
      <x:c r="J1074" s="31" t="str">
        <x:v>If you're lending money to an individual, what do you need to do during due diligence | Since you mentioned about doing dd on their assets, what kind of assets | e.g. if the client has one property in HK, one in London, and just bought o...</x:v>
      </x:c>
    </x:row>
    <x:row r="1075" ht="48" customHeight="1">
      <x:c r="A1075" s="30" t="str">
        <x:v>QB1712</x:v>
      </x:c>
      <x:c r="B1075" s="30" t="str">
        <x:v>BNP Paribas</x:v>
      </x:c>
      <x:c r="C1075" s="30" t="str">
        <x:v>IBD / GCM</x:v>
      </x:c>
      <x:c r="D1075" s="31" t="str">
        <x:v>Need to do PPT on the company overview, stock price performance, key financials, SWOT analysis</x:v>
      </x:c>
      <x:c r="E1075" s="31" t="str">
        <x:v>Need to do PPT on the company overview, stock price performance, key financials, SWOT analysis</x:v>
      </x:c>
      <x:c r="F1075" s="31" t="str">
        <x:v>Company, Industry &amp; Deals</x:v>
      </x:c>
      <x:c r="G1075" s="30" t="str">
        <x:v>CL0618</x:v>
      </x:c>
      <x:c r="H1075" s="32" t="n">
        <x:f>COUNTIF($G$5:$G$1725,G1075)</x:f>
        <x:v>1</x:v>
      </x:c>
      <x:c r="I1075" s="30" t="str">
        <x:v>I10</x:v>
      </x:c>
      <x:c r="J1075" s="31" t="str">
        <x:v>Case Study | 2-page pitch deck for Weilong | an excel file and other equity research reports are given, as well as Weilong's annual reports</x:v>
      </x:c>
    </x:row>
    <x:row r="1076" ht="48" customHeight="1">
      <x:c r="A1076" s="30" t="str">
        <x:v>QB1713</x:v>
      </x:c>
      <x:c r="B1076" s="30" t="str">
        <x:v>BNP Paribas</x:v>
      </x:c>
      <x:c r="C1076" s="30" t="str">
        <x:v>IBD / GCM</x:v>
      </x:c>
      <x:c r="D1076" s="31" t="str">
        <x:v>Walk me through DCF</x:v>
      </x:c>
      <x:c r="E1076" s="31" t="str">
        <x:v>Walk me through DCF</x:v>
      </x:c>
      <x:c r="F1076" s="31" t="str">
        <x:v>Valuation</x:v>
      </x:c>
      <x:c r="G1076" s="30" t="str">
        <x:v>CL0013</x:v>
      </x:c>
      <x:c r="H1076" s="32" t="n">
        <x:f>COUNTIF($G$5:$G$1725,G1076)</x:f>
        <x:v>10</x:v>
      </x:c>
      <x:c r="I1076" s="30" t="str">
        <x:v>A11</x:v>
      </x:c>
      <x:c r="J1076" s="31" t="str">
        <x:v>What does a CIM include | What does a Letter of Intent include | Total Comprehensive Income vs Net Income</x:v>
      </x:c>
    </x:row>
    <x:row r="1077" ht="118" customHeight="1">
      <x:c r="A1077" s="30" t="str">
        <x:v>QB1715</x:v>
      </x:c>
      <x:c r="B1077" s="30" t="str">
        <x:v>BNP Paribas</x:v>
      </x:c>
      <x:c r="C1077" s="30" t="str">
        <x:v>IBD / GCM</x:v>
      </x:c>
      <x:c r="D1077" s="31" t="str">
        <x:v>DCF</x:v>
      </x:c>
      <x:c r="E1077" s="31" t="str">
        <x:v>DCF</x:v>
      </x:c>
      <x:c r="F1077" s="31" t="str">
        <x:v>Valuation</x:v>
      </x:c>
      <x:c r="G1077" s="30" t="str">
        <x:v>CL0021</x:v>
      </x:c>
      <x:c r="H1077" s="32" t="n">
        <x:f>COUNTIF($G$5:$G$1725,G1077)</x:f>
        <x:v>3</x:v>
      </x:c>
      <x:c r="I1077" s="30" t="str">
        <x:v>E11</x:v>
      </x:c>
      <x:c r="J1077" s="31" t="str">
        <x:v>If you're my intern and we want to decide whether we should lend money to KKR for LBO, what will you include in a 2-page memo for me to read suppose I don't know anything about the company | Suppose the target company (that KKR wants to ...</x:v>
      </x:c>
    </x:row>
    <x:row r="1078" ht="48" customHeight="1">
      <x:c r="A1078" s="30" t="str">
        <x:v>QB1716</x:v>
      </x:c>
      <x:c r="B1078" s="30" t="str">
        <x:v>BNP Paribas</x:v>
      </x:c>
      <x:c r="C1078" s="30" t="str">
        <x:v>IBD / GCM</x:v>
      </x:c>
      <x:c r="D1078" s="31" t="str">
        <x:v>and some other follwup questions regarding the valuation methodologies, to make sure you know every single part of it</x:v>
      </x:c>
      <x:c r="E1078" s="31" t="str">
        <x:v>What are the main valuation methodologies?</x:v>
      </x:c>
      <x:c r="F1078" s="31" t="str">
        <x:v>Valuation</x:v>
      </x:c>
      <x:c r="G1078" s="30" t="str">
        <x:v>CL0010</x:v>
      </x:c>
      <x:c r="H1078" s="32" t="n">
        <x:f>COUNTIF($G$5:$G$1725,G1078)</x:f>
        <x:v>13</x:v>
      </x:c>
      <x:c r="I1078" s="30" t="str">
        <x:v>G11</x:v>
      </x:c>
      <x:c r="J1078" s="31" t="str">
        <x:v>e.g. what are some inputs for comps | where do u find the inputs | if you cannot use bloomberg, how will you find the data</x:v>
      </x:c>
    </x:row>
    <x:row r="1079" ht="48" customHeight="1">
      <x:c r="A1079" s="30" t="str">
        <x:v>QB1717</x:v>
      </x:c>
      <x:c r="B1079" s="30" t="str">
        <x:v>BNP Paribas</x:v>
      </x:c>
      <x:c r="C1079" s="30" t="str">
        <x:v>IBD / GCM</x:v>
      </x:c>
      <x:c r="D1079" s="31" t="str">
        <x:v>Deep dive DCF</x:v>
      </x:c>
      <x:c r="E1079" s="31" t="str">
        <x:v>Deep dive DCF</x:v>
      </x:c>
      <x:c r="F1079" s="31" t="str">
        <x:v>Valuation</x:v>
      </x:c>
      <x:c r="G1079" s="30" t="str">
        <x:v>CL0228</x:v>
      </x:c>
      <x:c r="H1079" s="32" t="n">
        <x:f>COUNTIF($G$5:$G$1725,G1079)</x:f>
        <x:v>1</x:v>
      </x:c>
      <x:c r="I1079" s="30" t="str">
        <x:v>A12</x:v>
      </x:c>
      <x:c r="J1079" s="31" t="str">
        <x:v>What does a Letter of Intent include | Total Comprehensive Income vs Net Income | Walk me through DCF</x:v>
      </x:c>
    </x:row>
    <x:row r="1080" ht="68" customHeight="1">
      <x:c r="A1080" s="30" t="str">
        <x:v>QB1719</x:v>
      </x:c>
      <x:c r="B1080" s="30" t="str">
        <x:v>BNP Paribas</x:v>
      </x:c>
      <x:c r="C1080" s="30" t="str">
        <x:v>IBD / GCM</x:v>
      </x:c>
      <x:c r="D1080" s="31" t="str">
        <x:v>Enterprise Value (also drill about it)</x:v>
      </x:c>
      <x:c r="E1080" s="31" t="str">
        <x:v>Enterprise Value (also drill about it)</x:v>
      </x:c>
      <x:c r="F1080" s="31" t="str">
        <x:v>Valuation</x:v>
      </x:c>
      <x:c r="G1080" s="30" t="str">
        <x:v>CL0308</x:v>
      </x:c>
      <x:c r="H1080" s="32" t="n">
        <x:f>COUNTIF($G$5:$G$1725,G1080)</x:f>
        <x:v>1</x:v>
      </x:c>
      <x:c r="I1080" s="30" t="str">
        <x:v>G12</x:v>
      </x:c>
      <x:c r="J1080" s="31" t="str">
        <x:v>where do u find the inputs | if you cannot use bloomberg, how will you find the data | and some other follwup questions regarding the valuation methodologies, to make sure you know every single part of it</x:v>
      </x:c>
    </x:row>
    <x:row r="1081" ht="32" customHeight="1">
      <x:c r="A1081" s="30" t="str">
        <x:v>QB1720</x:v>
      </x:c>
      <x:c r="B1081" s="30" t="str">
        <x:v>BNP Paribas</x:v>
      </x:c>
      <x:c r="C1081" s="30" t="str">
        <x:v>IBD / GCM</x:v>
      </x:c>
      <x:c r="D1081" s="31" t="str">
        <x:v>Comps?? (forgot if she asked or not)</x:v>
      </x:c>
      <x:c r="E1081" s="31" t="str">
        <x:v>Comps?? (forgot if she asked or not)</x:v>
      </x:c>
      <x:c r="F1081" s="31" t="str">
        <x:v>Valuation</x:v>
      </x:c>
      <x:c r="G1081" s="30" t="str">
        <x:v>CL0204</x:v>
      </x:c>
      <x:c r="H1081" s="32" t="n">
        <x:f>COUNTIF($G$5:$G$1725,G1081)</x:f>
        <x:v>1</x:v>
      </x:c>
      <x:c r="I1081" s="30" t="str">
        <x:v>A13</x:v>
      </x:c>
      <x:c r="J1081" s="31" t="str">
        <x:v>Total Comprehensive Income vs Net Income | Walk me through DCF | Deep dive DCF</x:v>
      </x:c>
    </x:row>
    <x:row r="1082" ht="68" customHeight="1">
      <x:c r="A1082" s="30" t="str">
        <x:v>QB1723</x:v>
      </x:c>
      <x:c r="B1082" s="30" t="str">
        <x:v>BNP Paribas</x:v>
      </x:c>
      <x:c r="C1082" s="30" t="str">
        <x:v>IBD / GCM</x:v>
      </x:c>
      <x:c r="D1082" s="31" t="str">
        <x:v>since you mentioned about getting some public info about the deal through reading news, suppose in the news they said the company acquired 70% stake, how would you find the enterprise value</x:v>
      </x:c>
      <x:c r="E1082" s="31" t="str">
        <x:v>Since you mentioned about getting some public info about the deal through reading news, suppose in the news they said the company acquired 70% stake, how would you find the enterprise value</x:v>
      </x:c>
      <x:c r="F1082" s="31" t="str">
        <x:v>Valuation</x:v>
      </x:c>
      <x:c r="G1082" s="30" t="str">
        <x:v>CL0680</x:v>
      </x:c>
      <x:c r="H1082" s="32" t="n">
        <x:f>COUNTIF($G$5:$G$1725,G1082)</x:f>
        <x:v>1</x:v>
      </x:c>
      <x:c r="I1082" s="30" t="str">
        <x:v>G14</x:v>
      </x:c>
      <x:c r="J1082" s="31" t="str">
        <x:v>and some other follwup questions regarding the valuation methodologies, to make sure you know every single part of it | Enterprise Value (also drill about it) | For precedent transactions, a lot of data is not disclosed, how would you do</x:v>
      </x:c>
    </x:row>
    <x:row r="1083" ht="92" customHeight="1">
      <x:c r="A1083" s="30" t="str">
        <x:v>QB1725</x:v>
      </x:c>
      <x:c r="B1083" s="30" t="str">
        <x:v>BNP Paribas</x:v>
      </x:c>
      <x:c r="C1083" s="30" t="str">
        <x:v>IBD / GCM</x:v>
      </x:c>
      <x:c r="D1083" s="31" t="str">
        <x:v>is the value that you calculated from "70%" equity value or enterprise value</x:v>
      </x:c>
      <x:c r="E1083" s="31" t="str">
        <x:v>Bridge equity value to enterprise value</x:v>
      </x:c>
      <x:c r="F1083" s="31" t="str">
        <x:v>Accounting &amp; Financial Statements</x:v>
      </x:c>
      <x:c r="G1083" s="30" t="str">
        <x:v>CL0015</x:v>
      </x:c>
      <x:c r="H1083" s="32" t="n">
        <x:f>COUNTIF($G$5:$G$1725,G1083)</x:f>
        <x:v>8</x:v>
      </x:c>
      <x:c r="I1083" s="30" t="str">
        <x:v>G15</x:v>
      </x:c>
      <x:c r="J1083" s="31" t="str">
        <x:v>Enterprise Value (also drill about it) | For precedent transactions, a lot of data is not disclosed, how would you do | since you mentioned about getting some public info about the deal through reading news, suppose in the news they said...</x:v>
      </x:c>
    </x:row>
    <x:row r="1084" ht="48" customHeight="1">
      <x:c r="A1084" s="30" t="str">
        <x:v>QB1732</x:v>
      </x:c>
      <x:c r="B1084" s="30" t="str">
        <x:v>BNP Paribas</x:v>
      </x:c>
      <x:c r="C1084" s="30" t="str">
        <x:v>IBD / GCM</x:v>
      </x:c>
      <x:c r="D1084" s="31" t="str">
        <x:v>My insights into the TMT industry and why I chose TMT (I originally worked primarily in pharmaceuticals).</x:v>
      </x:c>
      <x:c r="E1084" s="31" t="str">
        <x:v>My insights into the TMT industry and why I chose TMT (I originally worked primarily in pharmaceuticals)</x:v>
      </x:c>
      <x:c r="F1084" s="31" t="str">
        <x:v>Fit &amp; Motivation</x:v>
      </x:c>
      <x:c r="G1084" s="30" t="str">
        <x:v>CL0039</x:v>
      </x:c>
      <x:c r="H1084" s="32" t="n">
        <x:f>COUNTIF($G$5:$G$1725,G1084)</x:f>
        <x:v>2</x:v>
      </x:c>
      <x:c r="I1084" s="30" t="str">
        <x:v>A18</x:v>
      </x:c>
      <x:c r="J1084" s="31" t="str">
        <x:v>Jim | first interviewer - Doris, a kind graduate from HKU with experience in Tencent | The main focus was on asking questions about the resume.</x:v>
      </x:c>
    </x:row>
    <x:row r="1085" ht="68" customHeight="1">
      <x:c r="A1085" s="30" t="str">
        <x:v>QB1735</x:v>
      </x:c>
      <x:c r="B1085" s="30" t="str">
        <x:v>BNP Paribas</x:v>
      </x:c>
      <x:c r="C1085" s="30" t="str">
        <x:v>IBD / GCM</x:v>
      </x:c>
      <x:c r="D1085" s="31" t="str">
        <x:v>The conversion between EV, equity value, and company market capitalization</x:v>
      </x:c>
      <x:c r="E1085" s="31" t="str">
        <x:v>The conversion between EV, equity value, and company market capitalization</x:v>
      </x:c>
      <x:c r="F1085" s="31" t="str">
        <x:v>Valuation</x:v>
      </x:c>
      <x:c r="G1085" s="30" t="str">
        <x:v>CL0780</x:v>
      </x:c>
      <x:c r="H1085" s="32" t="n">
        <x:f>COUNTIF($G$5:$G$1725,G1085)</x:f>
        <x:v>1</x:v>
      </x:c>
      <x:c r="I1085" s="30" t="str">
        <x:v>A19</x:v>
      </x:c>
      <x:c r="J1085" s="31" t="str">
        <x:v>first interviewer - Doris, a kind graduate from HKU with experience in Tencent | The main focus was on asking questions about the resume. | My insights into the TMT industry and why I chose TMT (I originally worked primarily in pharmaceu...</x:v>
      </x:c>
    </x:row>
    <x:row r="1086" ht="48" customHeight="1">
      <x:c r="A1086" s="30" t="str">
        <x:v>QB1736</x:v>
      </x:c>
      <x:c r="B1086" s="30" t="str">
        <x:v>BNP Paribas</x:v>
      </x:c>
      <x:c r="C1086" s="30" t="str">
        <x:v>IBD / GCM</x:v>
      </x:c>
      <x:c r="D1086" s="31" t="str">
        <x:v>How exactly do you apply the comparable company valuation method (this could be in the technology industry, or it could be an industry you've worked in before)?</x:v>
      </x:c>
      <x:c r="E1086" s="31" t="str">
        <x:v>How exactly do you apply the comparable company valuation method (this could be in the technology industry, or it could be an industry you've worked in before)</x:v>
      </x:c>
      <x:c r="F1086" s="31" t="str">
        <x:v>Accounting &amp; Financial Statements</x:v>
      </x:c>
      <x:c r="G1086" s="30" t="str">
        <x:v>CL0437</x:v>
      </x:c>
      <x:c r="H1086" s="32" t="n">
        <x:f>COUNTIF($G$5:$G$1725,G1086)</x:f>
        <x:v>1</x:v>
      </x:c>
      <x:c r="I1086" s="30" t="str">
        <x:v>C19</x:v>
      </x:c>
      <x:c r="J1086" s="31" t="str">
        <x:v>second interviewer | The main focus was on asking questions about the resume. | Hong Kong Stock Exchange Listing Process</x:v>
      </x:c>
    </x:row>
    <x:row r="1087" ht="92" customHeight="1">
      <x:c r="A1087" s="30" t="str">
        <x:v>QB1739</x:v>
      </x:c>
      <x:c r="B1087" s="30" t="str">
        <x:v>BNP Paribas</x:v>
      </x:c>
      <x:c r="C1087" s="30" t="str">
        <x:v>IBD / GCM</x:v>
      </x:c>
      <x:c r="D1087" s="31" t="str">
        <x:v>A rather rough comparison between various valuation methods</x:v>
      </x:c>
      <x:c r="E1087" s="31" t="str">
        <x:v>What are the main valuation methodologies?</x:v>
      </x:c>
      <x:c r="F1087" s="31" t="str">
        <x:v>Valuation</x:v>
      </x:c>
      <x:c r="G1087" s="30" t="str">
        <x:v>CL0010</x:v>
      </x:c>
      <x:c r="H1087" s="32" t="n">
        <x:f>COUNTIF($G$5:$G$1725,G1087)</x:f>
        <x:v>13</x:v>
      </x:c>
      <x:c r="I1087" s="30" t="str">
        <x:v>C20</x:v>
      </x:c>
      <x:c r="J1087" s="31" t="str">
        <x:v>The main focus was on asking questions about the resume. | Hong Kong Stock Exchange Listing Process | How exactly do you apply the comparable company valuation method (this could be in the technology industry, or it could be an industry ...</x:v>
      </x:c>
    </x:row>
    <x:row r="1088" ht="92" customHeight="1">
      <x:c r="A1088" s="30" t="str">
        <x:v>QB1740</x:v>
      </x:c>
      <x:c r="B1088" s="30" t="str">
        <x:v>BNP Paribas</x:v>
      </x:c>
      <x:c r="C1088" s="30" t="str">
        <x:v>IBD / GCM</x:v>
      </x:c>
      <x:c r="D1088" s="31" t="str">
        <x:v>They'll ask some questions about industries I've worked in before; mine was the stablecoin industry, but not in great depth.</x:v>
      </x:c>
      <x:c r="E1088" s="31" t="str">
        <x:v>They'll ask some questions about industries I've worked in before; mine was the stablecoin industry, but not in great depth</x:v>
      </x:c>
      <x:c r="F1088" s="31" t="str">
        <x:v>Company, Industry &amp; Deals</x:v>
      </x:c>
      <x:c r="G1088" s="30" t="str">
        <x:v>CL0791</x:v>
      </x:c>
      <x:c r="H1088" s="32" t="n">
        <x:f>COUNTIF($G$5:$G$1725,G1088)</x:f>
        <x:v>1</x:v>
      </x:c>
      <x:c r="I1088" s="30" t="str">
        <x:v>A21</x:v>
      </x:c>
      <x:c r="J1088" s="31" t="str">
        <x:v>My insights into the TMT industry and why I chose TMT (I originally worked primarily in pharmaceuticals). | The conversion between EV, equity value, and company market capitalization | Formulas for some basic indicators, such as ROE and ...</x:v>
      </x:c>
    </x:row>
    <x:row r="1089" ht="92" customHeight="1">
      <x:c r="A1089" s="30" t="str">
        <x:v>QB1741</x:v>
      </x:c>
      <x:c r="B1089" s="30" t="str">
        <x:v>BNP Paribas</x:v>
      </x:c>
      <x:c r="C1089" s="30" t="str">
        <x:v>IBD / GCM</x:v>
      </x:c>
      <x:c r="D1089" s="31" t="str">
        <x:v>They are interested in my experience in the pharmaceutical industry, curious about my methodologies, and importantly, the logic must be sound.</x:v>
      </x:c>
      <x:c r="E1089" s="31" t="str">
        <x:v>They are interested in my experience in the pharmaceutical industry, curious about my methodologies, and importantly, the logic must be sound</x:v>
      </x:c>
      <x:c r="F1089" s="31" t="str">
        <x:v>Resume &amp; Experience</x:v>
      </x:c>
      <x:c r="G1089" s="30" t="str">
        <x:v>CL0790</x:v>
      </x:c>
      <x:c r="H1089" s="32" t="n">
        <x:f>COUNTIF($G$5:$G$1725,G1089)</x:f>
        <x:v>1</x:v>
      </x:c>
      <x:c r="I1089" s="30" t="str">
        <x:v>C21</x:v>
      </x:c>
      <x:c r="J1089" s="31" t="str">
        <x:v>Hong Kong Stock Exchange Listing Process | How exactly do you apply the comparable company valuation method (this could be in the technology industry, or it could be an industry you've worked in before)? | A rather rough comparison betwe...</x:v>
      </x:c>
    </x:row>
    <x:row r="1090" ht="68" customHeight="1">
      <x:c r="A1090" s="30" t="str">
        <x:v>QB1742</x:v>
      </x:c>
      <x:c r="B1090" s="30" t="str">
        <x:v>BNP Paribas</x:v>
      </x:c>
      <x:c r="C1090" s="30" t="str">
        <x:v>IBD / GCM</x:v>
      </x:c>
      <x:c r="D1090" s="31" t="str">
        <x:v>Then spent about half an hour asking questions about a project. It required going from the company's logic to how the specific valuation model's figures were derived.</x:v>
      </x:c>
      <x:c r="E1090" s="31" t="str">
        <x:v>Then spent about half an hour asking questions about a project. It required going from the company's logic to how the specific valuation model's figures were derived</x:v>
      </x:c>
      <x:c r="F1090" s="31" t="str">
        <x:v>Valuation</x:v>
      </x:c>
      <x:c r="G1090" s="30" t="str">
        <x:v>CL0787</x:v>
      </x:c>
      <x:c r="H1090" s="32" t="n">
        <x:f>COUNTIF($G$5:$G$1725,G1090)</x:f>
        <x:v>1</x:v>
      </x:c>
      <x:c r="I1090" s="30" t="str">
        <x:v>E21</x:v>
      </x:c>
      <x:c r="J1090" s="31" t="str">
        <x:v>The main focus was on asking questions about the resume. | An interviewer who was extremely intimidating and put immense pressure on the candidates. | First, spend four minutes questioning my motives.</x:v>
      </x:c>
    </x:row>
    <x:row r="1091" ht="92" customHeight="1">
      <x:c r="A1091" s="30" t="str">
        <x:v>QB1743</x:v>
      </x:c>
      <x:c r="B1091" s="30" t="str">
        <x:v>BNP Paribas</x:v>
      </x:c>
      <x:c r="C1091" s="30" t="str">
        <x:v>IBD / GCM</x:v>
      </x:c>
      <x:c r="D1091" s="31" t="str">
        <x:v>A detailed breakdown of WACC, down to how beta is determined.</x:v>
      </x:c>
      <x:c r="E1091" s="31" t="str">
        <x:v>A detailed breakdown of WACC, down to how beta is determined</x:v>
      </x:c>
      <x:c r="F1091" s="31" t="str">
        <x:v>Accounting &amp; Financial Statements</x:v>
      </x:c>
      <x:c r="G1091" s="30" t="str">
        <x:v>CL0089</x:v>
      </x:c>
      <x:c r="H1091" s="32" t="n">
        <x:f>COUNTIF($G$5:$G$1725,G1091)</x:f>
        <x:v>1</x:v>
      </x:c>
      <x:c r="I1091" s="30" t="str">
        <x:v>A22</x:v>
      </x:c>
      <x:c r="J1091" s="31" t="str">
        <x:v>The conversion between EV, equity value, and company market capitalization | Formulas for some basic indicators, such as ROE and price-to-earnings ratio. | They'll ask some questions about industries I've worked in before; mine was the s...</x:v>
      </x:c>
    </x:row>
    <x:row r="1092" ht="92" customHeight="1">
      <x:c r="A1092" s="30" t="str">
        <x:v>QB1744</x:v>
      </x:c>
      <x:c r="B1092" s="30" t="str">
        <x:v>BNP Paribas</x:v>
      </x:c>
      <x:c r="C1092" s="30" t="str">
        <x:v>IBD / GCM</x:v>
      </x:c>
      <x:c r="D1092" s="31" t="str">
        <x:v>Motivational questioning, because I haven't done an IBD internship.</x:v>
      </x:c>
      <x:c r="E1092" s="31" t="str">
        <x:v>Motivational questioning, because I haven't done an IBD internship</x:v>
      </x:c>
      <x:c r="F1092" s="31" t="str">
        <x:v>Fit &amp; Motivation</x:v>
      </x:c>
      <x:c r="G1092" s="30" t="str">
        <x:v>CL0038</x:v>
      </x:c>
      <x:c r="H1092" s="32" t="n">
        <x:f>COUNTIF($G$5:$G$1725,G1092)</x:f>
        <x:v>2</x:v>
      </x:c>
      <x:c r="I1092" s="30" t="str">
        <x:v>C22</x:v>
      </x:c>
      <x:c r="J1092" s="31" t="str">
        <x:v>How exactly do you apply the comparable company valuation method (this could be in the technology industry, or it could be an industry you've worked in before)? | A rather rough comparison between various valuation methods | They are int...</x:v>
      </x:c>
    </x:row>
    <x:row r="1093" ht="92" customHeight="1">
      <x:c r="A1093" s="30" t="str">
        <x:v>QB1745</x:v>
      </x:c>
      <x:c r="B1093" s="30" t="str">
        <x:v>BNP Paribas</x:v>
      </x:c>
      <x:c r="C1093" s="30" t="str">
        <x:v>IBD / GCM</x:v>
      </x:c>
      <x:c r="D1093" s="31" t="str">
        <x:v>So please take the time to recall the numerical details of the valuation model, as well as the detailed data of the company's business. For example, how many monkeys does a CRO company reproduce in a year, and what is the price of a monkey?</x:v>
      </x:c>
      <x:c r="E1093" s="31" t="str">
        <x:v>So please take the time to recall the numerical details of the valuation model, as well as the detailed data of the company's business. For example, how many monkeys does a CRO company reproduce in a year, and what is the price of a monkey</x:v>
      </x:c>
      <x:c r="F1093" s="31" t="str">
        <x:v>Accounting &amp; Financial Statements</x:v>
      </x:c>
      <x:c r="G1093" s="30" t="str">
        <x:v>CL0685</x:v>
      </x:c>
      <x:c r="H1093" s="32" t="n">
        <x:f>COUNTIF($G$5:$G$1725,G1093)</x:f>
        <x:v>1</x:v>
      </x:c>
      <x:c r="I1093" s="30" t="str">
        <x:v>E22</x:v>
      </x:c>
      <x:c r="J1093" s="31" t="str">
        <x:v>An interviewer who was extremely intimidating and put immense pressure on the candidates. | First, spend four minutes questioning my motives. | Then spent about half an hour asking questions about a project. It required going from the co...</x:v>
      </x:c>
    </x:row>
    <x:row r="1094" ht="92" customHeight="1">
      <x:c r="A1094" s="30" t="str">
        <x:v>QB1746</x:v>
      </x:c>
      <x:c r="B1094" s="30" t="str">
        <x:v>BNP Paribas</x:v>
      </x:c>
      <x:c r="C1094" s="30" t="str">
        <x:v>IBD / GCM</x:v>
      </x:c>
      <x:c r="D1094" s="31" t="str">
        <x:v>Motivational questioning, because I haven't done an IBD internship.</x:v>
      </x:c>
      <x:c r="E1094" s="31" t="str">
        <x:v>Motivational questioning, because I haven't done an IBD internship</x:v>
      </x:c>
      <x:c r="F1094" s="31" t="str">
        <x:v>Fit &amp; Motivation</x:v>
      </x:c>
      <x:c r="G1094" s="30" t="str">
        <x:v>CL0038</x:v>
      </x:c>
      <x:c r="H1094" s="32" t="n">
        <x:f>COUNTIF($G$5:$G$1725,G1094)</x:f>
        <x:v>2</x:v>
      </x:c>
      <x:c r="I1094" s="30" t="str">
        <x:v>A23</x:v>
      </x:c>
      <x:c r="J1094" s="31" t="str">
        <x:v>Formulas for some basic indicators, such as ROE and price-to-earnings ratio. | They'll ask some questions about industries I've worked in before; mine was the stablecoin industry, but not in great depth. | A detailed breakdown of WACC, d...</x:v>
      </x:c>
    </x:row>
    <x:row r="1095" ht="92" customHeight="1">
      <x:c r="A1095" s="30" t="str">
        <x:v>QB1747</x:v>
      </x:c>
      <x:c r="B1095" s="30" t="str">
        <x:v>BNP Paribas</x:v>
      </x:c>
      <x:c r="C1095" s="30" t="str">
        <x:v>IBD / GCM</x:v>
      </x:c>
      <x:c r="D1095" s="31" t="str">
        <x:v>DCF</x:v>
      </x:c>
      <x:c r="E1095" s="31" t="str">
        <x:v>DCF</x:v>
      </x:c>
      <x:c r="F1095" s="31" t="str">
        <x:v>Valuation</x:v>
      </x:c>
      <x:c r="G1095" s="30" t="str">
        <x:v>CL0021</x:v>
      </x:c>
      <x:c r="H1095" s="32" t="n">
        <x:f>COUNTIF($G$5:$G$1725,G1095)</x:f>
        <x:v>3</x:v>
      </x:c>
      <x:c r="I1095" s="30" t="str">
        <x:v>C23</x:v>
      </x:c>
      <x:c r="J1095" s="31" t="str">
        <x:v>A rather rough comparison between various valuation methods | They are interested in my experience in the pharmaceutical industry, curious about my methodologies, and importantly, the logic must be sound. | Motivational questioning, beca...</x:v>
      </x:c>
    </x:row>
    <x:row r="1096" ht="118" customHeight="1">
      <x:c r="A1096" s="30" t="str">
        <x:v>QB1748</x:v>
      </x:c>
      <x:c r="B1096" s="30" t="str">
        <x:v>BNP Paribas</x:v>
      </x:c>
      <x:c r="C1096" s="30" t="str">
        <x:v>IBD / GCM</x:v>
      </x:c>
      <x:c r="D1096" s="31" t="str">
        <x:v>Also, please remember the company's specific valuation figure; he will check its accuracy on his phone on the spot. Furthermore, you must have a clear understanding of your role, such as in which specific detail the investment value analysis report will be used.</x:v>
      </x:c>
      <x:c r="E1096" s="31" t="str">
        <x:v>Also, please remember the company's specific valuation figure; he will check its accuracy on his phone on the spot. Furthermore, you must have a clear understanding of your role, such as in which specific detail the investment value analysis report will be used</x:v>
      </x:c>
      <x:c r="F1096" s="31" t="str">
        <x:v>Valuation</x:v>
      </x:c>
      <x:c r="G1096" s="30" t="str">
        <x:v>CL0108</x:v>
      </x:c>
      <x:c r="H1096" s="32" t="n">
        <x:f>COUNTIF($G$5:$G$1725,G1096)</x:f>
        <x:v>1</x:v>
      </x:c>
      <x:c r="I1096" s="30" t="str">
        <x:v>E23</x:v>
      </x:c>
      <x:c r="J1096" s="31" t="str">
        <x:v>First, spend four minutes questioning my motives. | Then spent about half an hour asking questions about a project. It required going from the company's logic to how the specific valuation model's figures were derived. | So please take t...</x:v>
      </x:c>
    </x:row>
    <x:row r="1097" ht="118" customHeight="1">
      <x:c r="A1097" s="30" t="str">
        <x:v>QB1751</x:v>
      </x:c>
      <x:c r="B1097" s="30" t="str">
        <x:v>BNP Paribas</x:v>
      </x:c>
      <x:c r="C1097" s="30" t="str">
        <x:v>IBD / GCM</x:v>
      </x:c>
      <x:c r="D1097" s="31" t="str">
        <x:v>Valuation definitely needs to start with DCF and comparable company valuation methods. Please remember every detail of the figures, such as WACC, g, and risk-free rate, etc.</x:v>
      </x:c>
      <x:c r="E1097" s="31" t="str">
        <x:v>What are the main valuation methodologies?</x:v>
      </x:c>
      <x:c r="F1097" s="31" t="str">
        <x:v>Valuation</x:v>
      </x:c>
      <x:c r="G1097" s="30" t="str">
        <x:v>CL0010</x:v>
      </x:c>
      <x:c r="H1097" s="32" t="n">
        <x:f>COUNTIF($G$5:$G$1725,G1097)</x:f>
        <x:v>13</x:v>
      </x:c>
      <x:c r="I1097" s="30" t="str">
        <x:v>E24</x:v>
      </x:c>
      <x:c r="J1097" s="31" t="str">
        <x:v>Then spent about half an hour asking questions about a project. It required going from the company's logic to how the specific valuation model's figures were derived. | So please take the time to recall the numerical details of the valua...</x:v>
      </x:c>
    </x:row>
    <x:row r="1098" ht="48" customHeight="1">
      <x:c r="A1098" s="30" t="str">
        <x:v>QB1752</x:v>
      </x:c>
      <x:c r="B1098" s="30" t="str">
        <x:v>BNP Paribas</x:v>
      </x:c>
      <x:c r="C1098" s="30" t="str">
        <x:v>IBD / GCM</x:v>
      </x:c>
      <x:c r="D1098" s="31" t="str">
        <x:v>What is the process of a typical Sell-side M&amp;A deal</x:v>
      </x:c>
      <x:c r="E1098" s="31" t="str">
        <x:v>What is the process of a typical Sell-side M&amp;A deal</x:v>
      </x:c>
      <x:c r="F1098" s="31" t="str">
        <x:v>Accounting &amp; Financial Statements</x:v>
      </x:c>
      <x:c r="G1098" s="30" t="str">
        <x:v>CL0991</x:v>
      </x:c>
      <x:c r="H1098" s="32" t="n">
        <x:f>COUNTIF($G$5:$G$1725,G1098)</x:f>
        <x:v>1</x:v>
      </x:c>
      <x:c r="I1098" s="30" t="str">
        <x:v>C25</x:v>
      </x:c>
      <x:c r="J1098" s="31" t="str">
        <x:v>Motivational questioning, because I haven't done an IBD internship. | DCF | The specific contents of an Offering Memorandum</x:v>
      </x:c>
    </x:row>
    <x:row r="1099" ht="48" customHeight="1">
      <x:c r="A1099" s="30" t="str">
        <x:v>QB1755</x:v>
      </x:c>
      <x:c r="B1099" s="30" t="str">
        <x:v>BNP Paribas</x:v>
      </x:c>
      <x:c r="C1099" s="30" t="str">
        <x:v>IBD / GCM</x:v>
      </x:c>
      <x:c r="D1099" s="31" t="str">
        <x:v>My insights into the TMT industry and why I chose TMT (I originally worked primarily in pharmaceuticals).</x:v>
      </x:c>
      <x:c r="E1099" s="31" t="str">
        <x:v>My insights into the TMT industry and why I chose TMT (I originally worked primarily in pharmaceuticals)</x:v>
      </x:c>
      <x:c r="F1099" s="31" t="str">
        <x:v>Fit &amp; Motivation</x:v>
      </x:c>
      <x:c r="G1099" s="30" t="str">
        <x:v>CL0039</x:v>
      </x:c>
      <x:c r="H1099" s="32" t="n">
        <x:f>COUNTIF($G$5:$G$1725,G1099)</x:f>
        <x:v>2</x:v>
      </x:c>
      <x:c r="I1099" s="30" t="str">
        <x:v>C26</x:v>
      </x:c>
      <x:c r="J1099" s="31" t="str">
        <x:v>DCF | The specific contents of an Offering Memorandum | What is the process of a typical Sell-side M&amp;A deal</x:v>
      </x:c>
    </x:row>
    <x:row r="1100" ht="32" customHeight="1">
      <x:c r="A1100" s="30" t="str">
        <x:v>QB1766</x:v>
      </x:c>
      <x:c r="B1100" s="30" t="str">
        <x:v>BNP Paribas</x:v>
      </x:c>
      <x:c r="C1100" s="30" t="str">
        <x:v>IBD / GCM</x:v>
      </x:c>
      <x:c r="D1100" s="31" t="str">
        <x:v>Walk through of CV</x:v>
      </x:c>
      <x:c r="E1100" s="31" t="str">
        <x:v>Walk through of CV</x:v>
      </x:c>
      <x:c r="F1100" s="31" t="str">
        <x:v>Resume &amp; Experience</x:v>
      </x:c>
      <x:c r="G1100" s="30" t="str">
        <x:v>CL0849</x:v>
      </x:c>
      <x:c r="H1100" s="32" t="n">
        <x:f>COUNTIF($G$5:$G$1725,G1100)</x:f>
        <x:v>1</x:v>
      </x:c>
      <x:c r="I1100" s="30" t="str">
        <x:v>A35</x:v>
      </x:c>
      <x:c r="J1100" s="31" t="str">
        <x:v>Charles | Round 1 (VP + Asso) | VP - Nichole (English)</x:v>
      </x:c>
    </x:row>
    <x:row r="1101" ht="68" customHeight="1">
      <x:c r="A1101" s="30" t="str">
        <x:v>QB1767</x:v>
      </x:c>
      <x:c r="B1101" s="30" t="str">
        <x:v>BNP Paribas</x:v>
      </x:c>
      <x:c r="C1101" s="30" t="str">
        <x:v>IBD / GCM</x:v>
      </x:c>
      <x:c r="D1101" s="31" t="str">
        <x:v>What did you do in the M&amp;A precedent transaction research? The purpose?</x:v>
      </x:c>
      <x:c r="E1101" s="31" t="str">
        <x:v>What did you do in the M&amp;A precedent transaction research? The purpose</x:v>
      </x:c>
      <x:c r="F1101" s="31" t="str">
        <x:v>Resume &amp; Experience</x:v>
      </x:c>
      <x:c r="G1101" s="30" t="str">
        <x:v>CL0904</x:v>
      </x:c>
      <x:c r="H1101" s="32" t="n">
        <x:f>COUNTIF($G$5:$G$1725,G1101)</x:f>
        <x:v>1</x:v>
      </x:c>
      <x:c r="I1101" s="30" t="str">
        <x:v>C35</x:v>
      </x:c>
      <x:c r="J1101" s="31" t="str">
        <x:v>My insights into the TMT industry and why I chose TMT (I originally worked primarily in pharmaceuticals). | The language is translated from Mandarin to English. | Asso (English + Mandarin)</x:v>
      </x:c>
    </x:row>
    <x:row r="1102" ht="68" customHeight="1">
      <x:c r="A1102" s="30" t="str">
        <x:v>QB1768</x:v>
      </x:c>
      <x:c r="B1102" s="30" t="str">
        <x:v>BNP Paribas</x:v>
      </x:c>
      <x:c r="C1102" s="30" t="str">
        <x:v>IBD / GCM</x:v>
      </x:c>
      <x:c r="D1102" s="31" t="str">
        <x:v>Walk through experiences, show understanding of M&amp;A</x:v>
      </x:c>
      <x:c r="E1102" s="31" t="str">
        <x:v>Walk through experiences, show understanding of M&amp;A</x:v>
      </x:c>
      <x:c r="F1102" s="31" t="str">
        <x:v>Resume &amp; Experience</x:v>
      </x:c>
      <x:c r="G1102" s="30" t="str">
        <x:v>CL0847</x:v>
      </x:c>
      <x:c r="H1102" s="32" t="n">
        <x:f>COUNTIF($G$5:$G$1725,G1102)</x:f>
        <x:v>1</x:v>
      </x:c>
      <x:c r="I1102" s="30" t="str">
        <x:v>E35</x:v>
      </x:c>
      <x:c r="J1102" s="31" t="str">
        <x:v>In short, make sure you have a flagship project that you can talk about for 30 minutes straight, and that you know all the details. | Round 2 (D) | D - Calvin (English)</x:v>
      </x:c>
    </x:row>
    <x:row r="1103" ht="32" customHeight="1">
      <x:c r="A1103" s="30" t="str">
        <x:v>QB1769</x:v>
      </x:c>
      <x:c r="B1103" s="30" t="str">
        <x:v>BNP Paribas</x:v>
      </x:c>
      <x:c r="C1103" s="30" t="str">
        <x:v>IBD / GCM</x:v>
      </x:c>
      <x:c r="D1103" s="31" t="str">
        <x:v>Detailed questions on lastest internship (start with "tell us what did you do...")</x:v>
      </x:c>
      <x:c r="E1103" s="31" t="str">
        <x:v>Detailed questions on lastest internship (start with "tell us what did you do...")</x:v>
      </x:c>
      <x:c r="F1103" s="31" t="str">
        <x:v>Resume &amp; Experience</x:v>
      </x:c>
      <x:c r="G1103" s="30" t="str">
        <x:v>CL0233</x:v>
      </x:c>
      <x:c r="H1103" s="32" t="n">
        <x:f>COUNTIF($G$5:$G$1725,G1103)</x:f>
        <x:v>1</x:v>
      </x:c>
      <x:c r="I1103" s="30" t="str">
        <x:v>A36</x:v>
      </x:c>
      <x:c r="J1103" s="31" t="str">
        <x:v>Round 1 (VP + Asso) | VP - Nichole (English) | Walk through of CV</x:v>
      </x:c>
    </x:row>
    <x:row r="1104" ht="48" customHeight="1">
      <x:c r="A1104" s="30" t="str">
        <x:v>QB1770</x:v>
      </x:c>
      <x:c r="B1104" s="30" t="str">
        <x:v>BNP Paribas</x:v>
      </x:c>
      <x:c r="C1104" s="30" t="str">
        <x:v>IBD / GCM</x:v>
      </x:c>
      <x:c r="D1104" s="31" t="str">
        <x:v>Different ways of privatisation?</x:v>
      </x:c>
      <x:c r="E1104" s="31" t="str">
        <x:v>Different ways of privatisation</x:v>
      </x:c>
      <x:c r="F1104" s="31" t="str">
        <x:v>Other Question</x:v>
      </x:c>
      <x:c r="G1104" s="30" t="str">
        <x:v>CL0256</x:v>
      </x:c>
      <x:c r="H1104" s="32" t="n">
        <x:f>COUNTIF($G$5:$G$1725,G1104)</x:f>
        <x:v>1</x:v>
      </x:c>
      <x:c r="I1104" s="30" t="str">
        <x:v>C36</x:v>
      </x:c>
      <x:c r="J1104" s="31" t="str">
        <x:v>The language is translated from Mandarin to English. | Asso (English + Mandarin) | What did you do in the M&amp;A precedent transaction research? The purpose?</x:v>
      </x:c>
    </x:row>
    <x:row r="1105" ht="32" customHeight="1">
      <x:c r="A1105" s="30" t="str">
        <x:v>QB1771</x:v>
      </x:c>
      <x:c r="B1105" s="30" t="str">
        <x:v>BNP Paribas</x:v>
      </x:c>
      <x:c r="C1105" s="30" t="str">
        <x:v>IBD / GCM</x:v>
      </x:c>
      <x:c r="D1105" s="31" t="str">
        <x:v>Multiples used in comps</x:v>
      </x:c>
      <x:c r="E1105" s="31" t="str">
        <x:v>Multiples used in comps</x:v>
      </x:c>
      <x:c r="F1105" s="31" t="str">
        <x:v>Valuation</x:v>
      </x:c>
      <x:c r="G1105" s="30" t="str">
        <x:v>CL0612</x:v>
      </x:c>
      <x:c r="H1105" s="32" t="n">
        <x:f>COUNTIF($G$5:$G$1725,G1105)</x:f>
        <x:v>1</x:v>
      </x:c>
      <x:c r="I1105" s="30" t="str">
        <x:v>E36</x:v>
      </x:c>
      <x:c r="J1105" s="31" t="str">
        <x:v>Round 2 (D) | D - Calvin (English) | Walk through experiences, show understanding of M&amp;A</x:v>
      </x:c>
    </x:row>
    <x:row r="1106" ht="48" customHeight="1">
      <x:c r="A1106" s="30" t="str">
        <x:v>QB1772</x:v>
      </x:c>
      <x:c r="B1106" s="30" t="str">
        <x:v>BNP Paribas</x:v>
      </x:c>
      <x:c r="C1106" s="30" t="str">
        <x:v>IBD / GCM</x:v>
      </x:c>
      <x:c r="D1106" s="31" t="str">
        <x:v>Talk about the healthcare deal mentioned</x:v>
      </x:c>
      <x:c r="E1106" s="31" t="str">
        <x:v>Talk about the healthcare deal mentioned</x:v>
      </x:c>
      <x:c r="F1106" s="31" t="str">
        <x:v>Company, Industry &amp; Deals</x:v>
      </x:c>
      <x:c r="G1106" s="30" t="str">
        <x:v>CL0697</x:v>
      </x:c>
      <x:c r="H1106" s="32" t="n">
        <x:f>COUNTIF($G$5:$G$1725,G1106)</x:f>
        <x:v>1</x:v>
      </x:c>
      <x:c r="I1106" s="30" t="str">
        <x:v>A37</x:v>
      </x:c>
      <x:c r="J1106" s="31" t="str">
        <x:v>VP - Nichole (English) | Walk through of CV | Detailed questions on lastest internship (start with "tell us what did you do...")</x:v>
      </x:c>
    </x:row>
    <x:row r="1107" ht="48" customHeight="1">
      <x:c r="A1107" s="30" t="str">
        <x:v>QB1773</x:v>
      </x:c>
      <x:c r="B1107" s="30" t="str">
        <x:v>BNP Paribas</x:v>
      </x:c>
      <x:c r="C1107" s="30" t="str">
        <x:v>IBD / GCM</x:v>
      </x:c>
      <x:c r="D1107" s="31" t="str">
        <x:v>most of your experience is IPO-related — why M&amp;A?</x:v>
      </x:c>
      <x:c r="E1107" s="31" t="str">
        <x:v>Most of your experience is IPO-related — why M&amp;A</x:v>
      </x:c>
      <x:c r="F1107" s="31" t="str">
        <x:v>Fit &amp; Motivation</x:v>
      </x:c>
      <x:c r="G1107" s="30" t="str">
        <x:v>CL0609</x:v>
      </x:c>
      <x:c r="H1107" s="32" t="n">
        <x:f>COUNTIF($G$5:$G$1725,G1107)</x:f>
        <x:v>1</x:v>
      </x:c>
      <x:c r="I1107" s="30" t="str">
        <x:v>C37</x:v>
      </x:c>
      <x:c r="J1107" s="31" t="str">
        <x:v>Asso (English + Mandarin) | What did you do in the M&amp;A precedent transaction research? The purpose? | Different ways of privatisation?</x:v>
      </x:c>
    </x:row>
    <x:row r="1108" ht="48" customHeight="1">
      <x:c r="A1108" s="30" t="str">
        <x:v>QB1774</x:v>
      </x:c>
      <x:c r="B1108" s="30" t="str">
        <x:v>BNP Paribas</x:v>
      </x:c>
      <x:c r="C1108" s="30" t="str">
        <x:v>IBD / GCM</x:v>
      </x:c>
      <x:c r="D1108" s="31" t="str">
        <x:v>Difference between EV/ebitda, EV/revenue</x:v>
      </x:c>
      <x:c r="E1108" s="31" t="str">
        <x:v>Difference between EV/ebitda, EV/revenue</x:v>
      </x:c>
      <x:c r="F1108" s="31" t="str">
        <x:v>Company, Industry &amp; Deals</x:v>
      </x:c>
      <x:c r="G1108" s="30" t="str">
        <x:v>CL0253</x:v>
      </x:c>
      <x:c r="H1108" s="32" t="n">
        <x:f>COUNTIF($G$5:$G$1725,G1108)</x:f>
        <x:v>1</x:v>
      </x:c>
      <x:c r="I1108" s="30" t="str">
        <x:v>E37</x:v>
      </x:c>
      <x:c r="J1108" s="31" t="str">
        <x:v>D - Calvin (English) | Walk through experiences, show understanding of M&amp;A | Multiples used in comps</x:v>
      </x:c>
    </x:row>
    <x:row r="1109" ht="48" customHeight="1">
      <x:c r="A1109" s="30" t="str">
        <x:v>QB1775</x:v>
      </x:c>
      <x:c r="B1109" s="30" t="str">
        <x:v>BNP Paribas</x:v>
      </x:c>
      <x:c r="C1109" s="30" t="str">
        <x:v>IBD / GCM</x:v>
      </x:c>
      <x:c r="D1109" s="31" t="str">
        <x:v>Industry insights - healthcare verticals (basic)</x:v>
      </x:c>
      <x:c r="E1109" s="31" t="str">
        <x:v>Industry insights - healthcare verticals (basic)</x:v>
      </x:c>
      <x:c r="F1109" s="31" t="str">
        <x:v>Company, Industry &amp; Deals</x:v>
      </x:c>
      <x:c r="G1109" s="30" t="str">
        <x:v>CL0542</x:v>
      </x:c>
      <x:c r="H1109" s="32" t="n">
        <x:f>COUNTIF($G$5:$G$1725,G1109)</x:f>
        <x:v>1</x:v>
      </x:c>
      <x:c r="I1109" s="30" t="str">
        <x:v>A38</x:v>
      </x:c>
      <x:c r="J1109" s="31" t="str">
        <x:v>Walk through of CV | Detailed questions on lastest internship (start with "tell us what did you do...") | Talk about the healthcare deal mentioned</x:v>
      </x:c>
    </x:row>
    <x:row r="1110" ht="48" customHeight="1">
      <x:c r="A1110" s="30" t="str">
        <x:v>QB1777</x:v>
      </x:c>
      <x:c r="B1110" s="30" t="str">
        <x:v>BNP Paribas</x:v>
      </x:c>
      <x:c r="C1110" s="30" t="str">
        <x:v>IBD / GCM</x:v>
      </x:c>
      <x:c r="D1110" s="31" t="str">
        <x:v>When to use EV, when P/E</x:v>
      </x:c>
      <x:c r="E1110" s="31" t="str">
        <x:v>When to use EV, when P/E</x:v>
      </x:c>
      <x:c r="F1110" s="31" t="str">
        <x:v>Other Question</x:v>
      </x:c>
      <x:c r="G1110" s="30" t="str">
        <x:v>CL1080</x:v>
      </x:c>
      <x:c r="H1110" s="32" t="n">
        <x:f>COUNTIF($G$5:$G$1725,G1110)</x:f>
        <x:v>1</x:v>
      </x:c>
      <x:c r="I1110" s="30" t="str">
        <x:v>E38</x:v>
      </x:c>
      <x:c r="J1110" s="31" t="str">
        <x:v>Walk through experiences, show understanding of M&amp;A | Multiples used in comps | Difference between EV/ebitda, EV/revenue</x:v>
      </x:c>
    </x:row>
    <x:row r="1111" ht="68" customHeight="1">
      <x:c r="A1111" s="30" t="str">
        <x:v>QB1778</x:v>
      </x:c>
      <x:c r="B1111" s="30" t="str">
        <x:v>BNP Paribas</x:v>
      </x:c>
      <x:c r="C1111" s="30" t="str">
        <x:v>IBD / GCM</x:v>
      </x:c>
      <x:c r="D1111" s="31" t="str">
        <x:v>About my investment memo — what were the key investment highlights?</x:v>
      </x:c>
      <x:c r="E1111" s="31" t="str">
        <x:v>About my investment memo — what were the key investment highlights</x:v>
      </x:c>
      <x:c r="F1111" s="31" t="str">
        <x:v>Other Question</x:v>
      </x:c>
      <x:c r="G1111" s="30" t="str">
        <x:v>CL0097</x:v>
      </x:c>
      <x:c r="H1111" s="32" t="n">
        <x:f>COUNTIF($G$5:$G$1725,G1111)</x:f>
        <x:v>1</x:v>
      </x:c>
      <x:c r="I1111" s="30" t="str">
        <x:v>A39</x:v>
      </x:c>
      <x:c r="J1111" s="31" t="str">
        <x:v>Detailed questions on lastest internship (start with "tell us what did you do...") | Talk about the healthcare deal mentioned | Industry insights - healthcare verticals (basic)</x:v>
      </x:c>
    </x:row>
    <x:row r="1112" ht="48" customHeight="1">
      <x:c r="A1112" s="30" t="str">
        <x:v>QB1780</x:v>
      </x:c>
      <x:c r="B1112" s="30" t="str">
        <x:v>BNP Paribas</x:v>
      </x:c>
      <x:c r="C1112" s="30" t="str">
        <x:v>IBD / GCM</x:v>
      </x:c>
      <x:c r="D1112" s="31" t="str">
        <x:v>Trailing or forward?</x:v>
      </x:c>
      <x:c r="E1112" s="31" t="str">
        <x:v>Trailing or forward</x:v>
      </x:c>
      <x:c r="F1112" s="31" t="str">
        <x:v>Other Question</x:v>
      </x:c>
      <x:c r="G1112" s="30" t="str">
        <x:v>CL0801</x:v>
      </x:c>
      <x:c r="H1112" s="32" t="n">
        <x:f>COUNTIF($G$5:$G$1725,G1112)</x:f>
        <x:v>1</x:v>
      </x:c>
      <x:c r="I1112" s="30" t="str">
        <x:v>E39</x:v>
      </x:c>
      <x:c r="J1112" s="31" t="str">
        <x:v>Multiples used in comps | Difference between EV/ebitda, EV/revenue | When to use EV, when P/E</x:v>
      </x:c>
    </x:row>
    <x:row r="1113" ht="68" customHeight="1">
      <x:c r="A1113" s="30" t="str">
        <x:v>QB1781</x:v>
      </x:c>
      <x:c r="B1113" s="30" t="str">
        <x:v>BNP Paribas</x:v>
      </x:c>
      <x:c r="C1113" s="30" t="str">
        <x:v>IBD / GCM</x:v>
      </x:c>
      <x:c r="D1113" s="31" t="str">
        <x:v>Walk through the company’s P&amp;L structure</x:v>
      </x:c>
      <x:c r="E1113" s="31" t="str">
        <x:v>Walk through the company’s P&amp;L structure</x:v>
      </x:c>
      <x:c r="F1113" s="31" t="str">
        <x:v>Company, Industry &amp; Deals</x:v>
      </x:c>
      <x:c r="G1113" s="30" t="str">
        <x:v>CL0853</x:v>
      </x:c>
      <x:c r="H1113" s="32" t="n">
        <x:f>COUNTIF($G$5:$G$1725,G1113)</x:f>
        <x:v>1</x:v>
      </x:c>
      <x:c r="I1113" s="30" t="str">
        <x:v>A40</x:v>
      </x:c>
      <x:c r="J1113" s="31" t="str">
        <x:v>Talk about the healthcare deal mentioned | Industry insights - healthcare verticals (basic) | About my investment memo — what were the key investment highlights?</x:v>
      </x:c>
    </x:row>
    <x:row r="1114" ht="48" customHeight="1">
      <x:c r="A1114" s="30" t="str">
        <x:v>QB1782</x:v>
      </x:c>
      <x:c r="B1114" s="30" t="str">
        <x:v>BNP Paribas</x:v>
      </x:c>
      <x:c r="C1114" s="30" t="str">
        <x:v>IBD / GCM</x:v>
      </x:c>
      <x:c r="D1114" s="31" t="str">
        <x:v>How about buy-side, difference?</x:v>
      </x:c>
      <x:c r="E1114" s="31" t="str">
        <x:v>How about buy-side, difference</x:v>
      </x:c>
      <x:c r="F1114" s="31" t="str">
        <x:v>M&amp;A</x:v>
      </x:c>
      <x:c r="G1114" s="30" t="str">
        <x:v>CL0369</x:v>
      </x:c>
      <x:c r="H1114" s="32" t="n">
        <x:f>COUNTIF($G$5:$G$1725,G1114)</x:f>
        <x:v>1</x:v>
      </x:c>
      <x:c r="I1114" s="30" t="str">
        <x:v>C40</x:v>
      </x:c>
      <x:c r="J1114" s="31" t="str">
        <x:v>most of your experience is IPO-related — why M&amp;A? | Sell-side M&amp;A process | Basic understanding of the documents (NDA, CIM)</x:v>
      </x:c>
    </x:row>
    <x:row r="1115" ht="32" customHeight="1">
      <x:c r="A1115" s="30" t="str">
        <x:v>QB1783</x:v>
      </x:c>
      <x:c r="B1115" s="30" t="str">
        <x:v>BNP Paribas</x:v>
      </x:c>
      <x:c r="C1115" s="30" t="str">
        <x:v>IBD / GCM</x:v>
      </x:c>
      <x:c r="D1115" s="31" t="str">
        <x:v>DCF - Time period of estimated</x:v>
      </x:c>
      <x:c r="E1115" s="31" t="str">
        <x:v>DCF - Time period of estimated</x:v>
      </x:c>
      <x:c r="F1115" s="31" t="str">
        <x:v>Valuation</x:v>
      </x:c>
      <x:c r="G1115" s="30" t="str">
        <x:v>CL0221</x:v>
      </x:c>
      <x:c r="H1115" s="32" t="n">
        <x:f>COUNTIF($G$5:$G$1725,G1115)</x:f>
        <x:v>1</x:v>
      </x:c>
      <x:c r="I1115" s="30" t="str">
        <x:v>E40</x:v>
      </x:c>
      <x:c r="J1115" s="31" t="str">
        <x:v>Difference between EV/ebitda, EV/revenue | When to use EV, when P/E | Trailing or forward?</x:v>
      </x:c>
    </x:row>
    <x:row r="1116" ht="68" customHeight="1">
      <x:c r="A1116" s="30" t="str">
        <x:v>QB1784</x:v>
      </x:c>
      <x:c r="B1116" s="30" t="str">
        <x:v>BNP Paribas</x:v>
      </x:c>
      <x:c r="C1116" s="30" t="str">
        <x:v>IBD / GCM</x:v>
      </x:c>
      <x:c r="D1116" s="31" t="str">
        <x:v>How did you build up the revenue forecast/model?</x:v>
      </x:c>
      <x:c r="E1116" s="31" t="str">
        <x:v>How did you build up the revenue forecast/model</x:v>
      </x:c>
      <x:c r="F1116" s="31" t="str">
        <x:v>Company, Industry &amp; Deals</x:v>
      </x:c>
      <x:c r="G1116" s="30" t="str">
        <x:v>CL0378</x:v>
      </x:c>
      <x:c r="H1116" s="32" t="n">
        <x:f>COUNTIF($G$5:$G$1725,G1116)</x:f>
        <x:v>1</x:v>
      </x:c>
      <x:c r="I1116" s="30" t="str">
        <x:v>A41</x:v>
      </x:c>
      <x:c r="J1116" s="31" t="str">
        <x:v>Industry insights - healthcare verticals (basic) | About my investment memo — what were the key investment highlights? | Walk through the company’s P&amp;L structure</x:v>
      </x:c>
    </x:row>
    <x:row r="1117" ht="32" customHeight="1">
      <x:c r="A1117" s="30" t="str">
        <x:v>QB1785</x:v>
      </x:c>
      <x:c r="B1117" s="30" t="str">
        <x:v>BNP Paribas</x:v>
      </x:c>
      <x:c r="C1117" s="30" t="str">
        <x:v>IBD / GCM</x:v>
      </x:c>
      <x:c r="D1117" s="31" t="str">
        <x:v>DCF - PV proportion of the growth period and the TV</x:v>
      </x:c>
      <x:c r="E1117" s="31" t="str">
        <x:v>DCF - PV proportion of the growth period and the TV</x:v>
      </x:c>
      <x:c r="F1117" s="31" t="str">
        <x:v>Valuation</x:v>
      </x:c>
      <x:c r="G1117" s="30" t="str">
        <x:v>CL0220</x:v>
      </x:c>
      <x:c r="H1117" s="32" t="n">
        <x:f>COUNTIF($G$5:$G$1725,G1117)</x:f>
        <x:v>1</x:v>
      </x:c>
      <x:c r="I1117" s="30" t="str">
        <x:v>E41</x:v>
      </x:c>
      <x:c r="J1117" s="31" t="str">
        <x:v>When to use EV, when P/E | Trailing or forward? | DCF - Time period of estimated</x:v>
      </x:c>
    </x:row>
    <x:row r="1118" ht="68" customHeight="1">
      <x:c r="A1118" s="30" t="str">
        <x:v>QB1786</x:v>
      </x:c>
      <x:c r="B1118" s="30" t="str">
        <x:v>BNP Paribas</x:v>
      </x:c>
      <x:c r="C1118" s="30" t="str">
        <x:v>IBD / GCM</x:v>
      </x:c>
      <x:c r="D1118" s="31" t="str">
        <x:v>DCF details (I mentioned about SOTP used in biotech)</x:v>
      </x:c>
      <x:c r="E1118" s="31" t="str">
        <x:v>DCF details (I mentioned about SOTP used in biotech)</x:v>
      </x:c>
      <x:c r="F1118" s="31" t="str">
        <x:v>Valuation</x:v>
      </x:c>
      <x:c r="G1118" s="30" t="str">
        <x:v>CL0225</x:v>
      </x:c>
      <x:c r="H1118" s="32" t="n">
        <x:f>COUNTIF($G$5:$G$1725,G1118)</x:f>
        <x:v>1</x:v>
      </x:c>
      <x:c r="I1118" s="30" t="str">
        <x:v>A42</x:v>
      </x:c>
      <x:c r="J1118" s="31" t="str">
        <x:v>About my investment memo — what were the key investment highlights? | Walk through the company’s P&amp;L structure | How did you build up the revenue forecast/model?</x:v>
      </x:c>
    </x:row>
    <x:row r="1119" ht="48" customHeight="1">
      <x:c r="A1119" s="30" t="str">
        <x:v>QB1788</x:v>
      </x:c>
      <x:c r="B1119" s="30" t="str">
        <x:v>BNP Paribas</x:v>
      </x:c>
      <x:c r="C1119" s="30" t="str">
        <x:v>IBD / GCM</x:v>
      </x:c>
      <x:c r="D1119" s="31" t="str">
        <x:v>Do you know IFRS 16?</x:v>
      </x:c>
      <x:c r="E1119" s="31" t="str">
        <x:v>Do you know IFRS 16</x:v>
      </x:c>
      <x:c r="F1119" s="31" t="str">
        <x:v>Other Question</x:v>
      </x:c>
      <x:c r="G1119" s="30" t="str">
        <x:v>CL0278</x:v>
      </x:c>
      <x:c r="H1119" s="32" t="n">
        <x:f>COUNTIF($G$5:$G$1725,G1119)</x:f>
        <x:v>1</x:v>
      </x:c>
      <x:c r="I1119" s="30" t="str">
        <x:v>E42</x:v>
      </x:c>
      <x:c r="J1119" s="31" t="str">
        <x:v>Trailing or forward? | DCF - Time period of estimated | DCF - PV proportion of the growth period and the TV</x:v>
      </x:c>
    </x:row>
    <x:row r="1120" ht="48" customHeight="1">
      <x:c r="A1120" s="30" t="str">
        <x:v>QB1789</x:v>
      </x:c>
      <x:c r="B1120" s="30" t="str">
        <x:v>BNP Paribas</x:v>
      </x:c>
      <x:c r="C1120" s="30" t="str">
        <x:v>IBD / GCM</x:v>
      </x:c>
      <x:c r="D1120" s="31" t="str">
        <x:v>How do you get beta (levered/unlevered)</x:v>
      </x:c>
      <x:c r="E1120" s="31" t="str">
        <x:v>How do you get beta (levered/unlevered)</x:v>
      </x:c>
      <x:c r="F1120" s="31" t="str">
        <x:v>Valuation</x:v>
      </x:c>
      <x:c r="G1120" s="30" t="str">
        <x:v>CL0414</x:v>
      </x:c>
      <x:c r="H1120" s="32" t="n">
        <x:f>COUNTIF($G$5:$G$1725,G1120)</x:f>
        <x:v>1</x:v>
      </x:c>
      <x:c r="I1120" s="30" t="str">
        <x:v>A43</x:v>
      </x:c>
      <x:c r="J1120" s="31" t="str">
        <x:v>Walk through the company’s P&amp;L structure | How did you build up the revenue forecast/model? | DCF details (I mentioned about SOTP used in biotech)</x:v>
      </x:c>
    </x:row>
    <x:row r="1121" ht="48" customHeight="1">
      <x:c r="A1121" s="30" t="str">
        <x:v>QB1790</x:v>
      </x:c>
      <x:c r="B1121" s="30" t="str">
        <x:v>BNP Paribas</x:v>
      </x:c>
      <x:c r="C1121" s="30" t="str">
        <x:v>IBD / GCM</x:v>
      </x:c>
      <x:c r="D1121" s="31" t="str">
        <x:v>Talk about previous internships, what have you learnt</x:v>
      </x:c>
      <x:c r="E1121" s="31" t="str">
        <x:v>Talk about previous internships, what have you learnt</x:v>
      </x:c>
      <x:c r="F1121" s="31" t="str">
        <x:v>Resume &amp; Experience</x:v>
      </x:c>
      <x:c r="G1121" s="30" t="str">
        <x:v>CL0696</x:v>
      </x:c>
      <x:c r="H1121" s="32" t="n">
        <x:f>COUNTIF($G$5:$G$1725,G1121)</x:f>
        <x:v>1</x:v>
      </x:c>
      <x:c r="I1121" s="30" t="str">
        <x:v>C43</x:v>
      </x:c>
      <x:c r="J1121" s="31" t="str">
        <x:v>Basic understanding of the documents (NDA, CIM) | How about buy-side, difference? | (Change to Mandarin)</x:v>
      </x:c>
    </x:row>
    <x:row r="1122" ht="48" customHeight="1">
      <x:c r="A1122" s="30" t="str">
        <x:v>QB1791</x:v>
      </x:c>
      <x:c r="B1122" s="30" t="str">
        <x:v>BNP Paribas</x:v>
      </x:c>
      <x:c r="C1122" s="30" t="str">
        <x:v>IBD / GCM</x:v>
      </x:c>
      <x:c r="D1122" s="31" t="str">
        <x:v>Industry you familiar with (I talked about EV, as they have worked on deals in EV)</x:v>
      </x:c>
      <x:c r="E1122" s="31" t="str">
        <x:v>Industry you familiar with (I talked about EV, as they have worked on deals in EV)</x:v>
      </x:c>
      <x:c r="F1122" s="31" t="str">
        <x:v>Company, Industry &amp; Deals</x:v>
      </x:c>
      <x:c r="G1122" s="30" t="str">
        <x:v>CL0544</x:v>
      </x:c>
      <x:c r="H1122" s="32" t="n">
        <x:f>COUNTIF($G$5:$G$1725,G1122)</x:f>
        <x:v>1</x:v>
      </x:c>
      <x:c r="I1122" s="30" t="str">
        <x:v>E43</x:v>
      </x:c>
      <x:c r="J1122" s="31" t="str">
        <x:v>DCF - Time period of estimated | DCF - PV proportion of the growth period and the TV | Do you know IFRS 16?</x:v>
      </x:c>
    </x:row>
    <x:row r="1123" ht="48" customHeight="1">
      <x:c r="A1123" s="30" t="str">
        <x:v>QB1793</x:v>
      </x:c>
      <x:c r="B1123" s="30" t="str">
        <x:v>BNP Paribas</x:v>
      </x:c>
      <x:c r="C1123" s="30" t="str">
        <x:v>IBD / GCM</x:v>
      </x:c>
      <x:c r="D1123" s="31" t="str">
        <x:v>Relationship between my internships (same company different offices)</x:v>
      </x:c>
      <x:c r="E1123" s="31" t="str">
        <x:v>Relationship between my internships (same company different offices)</x:v>
      </x:c>
      <x:c r="F1123" s="31" t="str">
        <x:v>Resume &amp; Experience</x:v>
      </x:c>
      <x:c r="G1123" s="30" t="str">
        <x:v>CL0660</x:v>
      </x:c>
      <x:c r="H1123" s="32" t="n">
        <x:f>COUNTIF($G$5:$G$1725,G1123)</x:f>
        <x:v>1</x:v>
      </x:c>
      <x:c r="I1123" s="30" t="str">
        <x:v>C44</x:v>
      </x:c>
      <x:c r="J1123" s="31" t="str">
        <x:v>How about buy-side, difference? | (Change to Mandarin) | Talk about previous internships, what have you learnt</x:v>
      </x:c>
    </x:row>
    <x:row r="1124" ht="48" customHeight="1">
      <x:c r="A1124" s="30" t="str">
        <x:v>QB1795</x:v>
      </x:c>
      <x:c r="B1124" s="30" t="str">
        <x:v>BNP Paribas</x:v>
      </x:c>
      <x:c r="C1124" s="30" t="str">
        <x:v>IBD / GCM</x:v>
      </x:c>
      <x:c r="D1124" s="31" t="str">
        <x:v>How the 3 statements are linked</x:v>
      </x:c>
      <x:c r="E1124" s="31" t="str">
        <x:v>How does a transaction flow through the three financial statements?</x:v>
      </x:c>
      <x:c r="F1124" s="31" t="str">
        <x:v>Accounting &amp; Financial Statements</x:v>
      </x:c>
      <x:c r="G1124" s="30" t="str">
        <x:v>CL0004</x:v>
      </x:c>
      <x:c r="H1124" s="32" t="n">
        <x:f>COUNTIF($G$5:$G$1725,G1124)</x:f>
        <x:v>21</x:v>
      </x:c>
      <x:c r="I1124" s="30" t="str">
        <x:v>A45</x:v>
      </x:c>
      <x:c r="J1124" s="31" t="str">
        <x:v>DCF details (I mentioned about SOTP used in biotech) | How do you get beta (levered/unlevered) | Asked about SOTP (talked about the logistics but not detail)</x:v>
      </x:c>
    </x:row>
    <x:row r="1125" ht="48" customHeight="1">
      <x:c r="A1125" s="30" t="str">
        <x:v>QB1797</x:v>
      </x:c>
      <x:c r="B1125" s="30" t="str">
        <x:v>BNP Paribas</x:v>
      </x:c>
      <x:c r="C1125" s="30" t="str">
        <x:v>IBD / GCM</x:v>
      </x:c>
      <x:c r="D1125" s="31" t="str">
        <x:v>Tell me more about your research task on the healthcare supplement industry</x:v>
      </x:c>
      <x:c r="E1125" s="31" t="str">
        <x:v>Tell me more about your research task on the healthcare supplement industry</x:v>
      </x:c>
      <x:c r="F1125" s="31" t="str">
        <x:v>Company, Industry &amp; Deals</x:v>
      </x:c>
      <x:c r="G1125" s="30" t="str">
        <x:v>CL0770</x:v>
      </x:c>
      <x:c r="H1125" s="32" t="n">
        <x:f>COUNTIF($G$5:$G$1725,G1125)</x:f>
        <x:v>1</x:v>
      </x:c>
      <x:c r="I1125" s="30" t="str">
        <x:v>E45</x:v>
      </x:c>
      <x:c r="J1125" s="31" t="str">
        <x:v>Do you know IFRS 16? | Industry you familiar with (I talked about EV, as they have worked on deals in EV) | Discussed about their deals</x:v>
      </x:c>
    </x:row>
    <x:row r="1126" ht="48" customHeight="1">
      <x:c r="A1126" s="30" t="str">
        <x:v>QB1798</x:v>
      </x:c>
      <x:c r="B1126" s="30" t="str">
        <x:v>BNP Paribas</x:v>
      </x:c>
      <x:c r="C1126" s="30" t="str">
        <x:v>IBD / GCM</x:v>
      </x:c>
      <x:c r="D1126" s="31" t="str">
        <x:v>What key metrics would you focus on in healthcare</x:v>
      </x:c>
      <x:c r="E1126" s="31" t="str">
        <x:v>What key metrics would you focus on in healthcare</x:v>
      </x:c>
      <x:c r="F1126" s="31" t="str">
        <x:v>Other Question</x:v>
      </x:c>
      <x:c r="G1126" s="30" t="str">
        <x:v>CL1006</x:v>
      </x:c>
      <x:c r="H1126" s="32" t="n">
        <x:f>COUNTIF($G$5:$G$1725,G1126)</x:f>
        <x:v>1</x:v>
      </x:c>
      <x:c r="I1126" s="30" t="str">
        <x:v>A46</x:v>
      </x:c>
      <x:c r="J1126" s="31" t="str">
        <x:v>How do you get beta (levered/unlevered) | Asked about SOTP (talked about the logistics but not detail) | How the 3 statements are linked</x:v>
      </x:c>
    </x:row>
    <x:row r="1127" ht="68" customHeight="1">
      <x:c r="A1127" s="30" t="str">
        <x:v>QB1800</x:v>
      </x:c>
      <x:c r="B1127" s="30" t="str">
        <x:v>BNP Paribas</x:v>
      </x:c>
      <x:c r="C1127" s="30" t="str">
        <x:v>IBD / GCM</x:v>
      </x:c>
      <x:c r="D1127" s="31" t="str">
        <x:v>What you expect to learn here</x:v>
      </x:c>
      <x:c r="E1127" s="31" t="str">
        <x:v>What you expect to learn here</x:v>
      </x:c>
      <x:c r="F1127" s="31" t="str">
        <x:v>Other Question</x:v>
      </x:c>
      <x:c r="G1127" s="30" t="str">
        <x:v>CL1041</x:v>
      </x:c>
      <x:c r="H1127" s="32" t="n">
        <x:f>COUNTIF($G$5:$G$1725,G1127)</x:f>
        <x:v>1</x:v>
      </x:c>
      <x:c r="I1127" s="30" t="str">
        <x:v>E46</x:v>
      </x:c>
      <x:c r="J1127" s="31" t="str">
        <x:v>Industry you familiar with (I talked about EV, as they have worked on deals in EV) | Discussed about their deals | Tell me more about your research task on the healthcare supplement industry</x:v>
      </x:c>
    </x:row>
    <x:row r="1128" ht="48" customHeight="1">
      <x:c r="A1128" s="30" t="str">
        <x:v>QB1802</x:v>
      </x:c>
      <x:c r="B1128" s="30" t="str">
        <x:v>BNP Paribas</x:v>
      </x:c>
      <x:c r="C1128" s="30" t="str">
        <x:v>IBD / GCM</x:v>
      </x:c>
      <x:c r="D1128" s="31" t="str">
        <x:v>What was the average EV/EBITDA multiple of your selected comps?</x:v>
      </x:c>
      <x:c r="E1128" s="31" t="str">
        <x:v>How do you select comparable companies?</x:v>
      </x:c>
      <x:c r="F1128" s="31" t="str">
        <x:v>Valuation</x:v>
      </x:c>
      <x:c r="G1128" s="30" t="str">
        <x:v>CL0012</x:v>
      </x:c>
      <x:c r="H1128" s="32" t="n">
        <x:f>COUNTIF($G$5:$G$1725,G1128)</x:f>
        <x:v>12</x:v>
      </x:c>
      <x:c r="I1128" s="30" t="str">
        <x:v>A48</x:v>
      </x:c>
      <x:c r="J1128" s="31" t="str">
        <x:v>How the 3 statements are linked | What key metrics would you focus on in healthcare | Comparable comps</x:v>
      </x:c>
    </x:row>
    <x:row r="1129" ht="32" customHeight="1">
      <x:c r="A1129" s="30" t="str">
        <x:v>QB1812</x:v>
      </x:c>
      <x:c r="B1129" s="30" t="str">
        <x:v>HSBC</x:v>
      </x:c>
      <x:c r="C1129" s="30" t="str">
        <x:v>IBD / GCM</x:v>
      </x:c>
      <x:c r="D1129" s="31" t="str">
        <x:v>How to pronounce your name</x:v>
      </x:c>
      <x:c r="E1129" s="31" t="str">
        <x:v>How to pronounce your name</x:v>
      </x:c>
      <x:c r="F1129" s="31" t="str">
        <x:v>Other Question</x:v>
      </x:c>
      <x:c r="G1129" s="30" t="str">
        <x:v>CL0022</x:v>
      </x:c>
      <x:c r="H1129" s="32" t="n">
        <x:f>COUNTIF($G$5:$G$1725,G1129)</x:f>
        <x:v>3</x:v>
      </x:c>
      <x:c r="I1129" s="30" t="str">
        <x:v>A6</x:v>
      </x:c>
      <x:c r="J1129" s="31" t="str">
        <x:v>First Interviewer | Beata | Cliff Ye (Head of Consumer &amp; Retail)</x:v>
      </x:c>
    </x:row>
    <x:row r="1130" ht="32" customHeight="1">
      <x:c r="A1130" s="30" t="str">
        <x:v>QB1813</x:v>
      </x:c>
      <x:c r="B1130" s="30" t="str">
        <x:v>HSBC</x:v>
      </x:c>
      <x:c r="C1130" s="30" t="str">
        <x:v>IBD / GCM</x:v>
      </x:c>
      <x:c r="D1130" s="31" t="str">
        <x:v>How to pronounce your name</x:v>
      </x:c>
      <x:c r="E1130" s="31" t="str">
        <x:v>How to pronounce your name</x:v>
      </x:c>
      <x:c r="F1130" s="31" t="str">
        <x:v>Other Question</x:v>
      </x:c>
      <x:c r="G1130" s="30" t="str">
        <x:v>CL0022</x:v>
      </x:c>
      <x:c r="H1130" s="32" t="n">
        <x:f>COUNTIF($G$5:$G$1725,G1130)</x:f>
        <x:v>3</x:v>
      </x:c>
      <x:c r="I1130" s="30" t="str">
        <x:v>C6</x:v>
      </x:c>
      <x:c r="J1130" s="31" t="str">
        <x:v>Second Interviewer | Delphine Lee (DCM)</x:v>
      </x:c>
    </x:row>
    <x:row r="1131" ht="32" customHeight="1">
      <x:c r="A1131" s="30" t="str">
        <x:v>QB1814</x:v>
      </x:c>
      <x:c r="B1131" s="30" t="str">
        <x:v>HSBC</x:v>
      </x:c>
      <x:c r="C1131" s="30" t="str">
        <x:v>IBD / GCM</x:v>
      </x:c>
      <x:c r="D1131" s="31" t="str">
        <x:v>How to pronounce your name</x:v>
      </x:c>
      <x:c r="E1131" s="31" t="str">
        <x:v>How to pronounce your name</x:v>
      </x:c>
      <x:c r="F1131" s="31" t="str">
        <x:v>Other Question</x:v>
      </x:c>
      <x:c r="G1131" s="30" t="str">
        <x:v>CL0022</x:v>
      </x:c>
      <x:c r="H1131" s="32" t="n">
        <x:f>COUNTIF($G$5:$G$1725,G1131)</x:f>
        <x:v>3</x:v>
      </x:c>
      <x:c r="I1131" s="30" t="str">
        <x:v>E6</x:v>
      </x:c>
      <x:c r="J1131" s="31" t="str">
        <x:v>Third Interviewer | Gu Haibo (Head of ECM)</x:v>
      </x:c>
    </x:row>
    <x:row r="1132" ht="32" customHeight="1">
      <x:c r="A1132" s="30" t="str">
        <x:v>QB1817</x:v>
      </x:c>
      <x:c r="B1132" s="30" t="str">
        <x:v>HSBC</x:v>
      </x:c>
      <x:c r="C1132" s="30" t="str">
        <x:v>IBD / GCM</x:v>
      </x:c>
      <x:c r="D1132" s="31" t="str">
        <x:v>Is your name an English name</x:v>
      </x:c>
      <x:c r="E1132" s="31" t="str">
        <x:v>Is your name an English name</x:v>
      </x:c>
      <x:c r="F1132" s="31" t="str">
        <x:v>Accounting &amp; Financial Statements</x:v>
      </x:c>
      <x:c r="G1132" s="30" t="str">
        <x:v>CL0564</x:v>
      </x:c>
      <x:c r="H1132" s="32" t="n">
        <x:f>COUNTIF($G$5:$G$1725,G1132)</x:f>
        <x:v>1</x:v>
      </x:c>
      <x:c r="I1132" s="30" t="str">
        <x:v>E7</x:v>
      </x:c>
      <x:c r="J1132" s="31" t="str">
        <x:v>Third Interviewer | Gu Haibo (Head of ECM) | How to pronounce your name</x:v>
      </x:c>
    </x:row>
    <x:row r="1133" ht="32" customHeight="1">
      <x:c r="A1133" s="30" t="str">
        <x:v>QB1818</x:v>
      </x:c>
      <x:c r="B1133" s="30" t="str">
        <x:v>HSBC</x:v>
      </x:c>
      <x:c r="C1133" s="30" t="str">
        <x:v>IBD / GCM</x:v>
      </x:c>
      <x:c r="D1133" s="31" t="str">
        <x:v>What are your hobbies, show me your Instagram filters</x:v>
      </x:c>
      <x:c r="E1133" s="31" t="str">
        <x:v>What are your interests outside work and school?</x:v>
      </x:c>
      <x:c r="F1133" s="31" t="str">
        <x:v>Other Question</x:v>
      </x:c>
      <x:c r="G1133" s="30" t="str">
        <x:v>CL0014</x:v>
      </x:c>
      <x:c r="H1133" s="32" t="n">
        <x:f>COUNTIF($G$5:$G$1725,G1133)</x:f>
        <x:v>10</x:v>
      </x:c>
      <x:c r="I1133" s="30" t="str">
        <x:v>A8</x:v>
      </x:c>
      <x:c r="J1133" s="31" t="str">
        <x:v>Cliff Ye (Head of Consumer &amp; Retail) | How to pronounce your name | Chit Chat</x:v>
      </x:c>
    </x:row>
    <x:row r="1134" ht="32" customHeight="1">
      <x:c r="A1134" s="30" t="str">
        <x:v>QB1819</x:v>
      </x:c>
      <x:c r="B1134" s="30" t="str">
        <x:v>HSBC</x:v>
      </x:c>
      <x:c r="C1134" s="30" t="str">
        <x:v>IBD / GCM</x:v>
      </x:c>
      <x:c r="D1134" s="31" t="str">
        <x:v>Why IBD</x:v>
      </x:c>
      <x:c r="E1134" s="31" t="str">
        <x:v>Why investment banking?</x:v>
      </x:c>
      <x:c r="F1134" s="31" t="str">
        <x:v>Fit &amp; Motivation</x:v>
      </x:c>
      <x:c r="G1134" s="30" t="str">
        <x:v>CL0003</x:v>
      </x:c>
      <x:c r="H1134" s="32" t="n">
        <x:f>COUNTIF($G$5:$G$1725,G1134)</x:f>
        <x:v>34</x:v>
      </x:c>
      <x:c r="I1134" s="30" t="str">
        <x:v>C8</x:v>
      </x:c>
      <x:c r="J1134" s="31" t="str">
        <x:v>Delphine Lee (DCM) | How to pronounce your name | Chit Chat</x:v>
      </x:c>
    </x:row>
    <x:row r="1135" ht="48" customHeight="1">
      <x:c r="A1135" s="30" t="str">
        <x:v>QB1823</x:v>
      </x:c>
      <x:c r="B1135" s="30" t="str">
        <x:v>HSBC</x:v>
      </x:c>
      <x:c r="C1135" s="30" t="str">
        <x:v>IBD / GCM</x:v>
      </x:c>
      <x:c r="D1135" s="31" t="str">
        <x:v>Brain teaser: 100 balls, 50 black and 50 white, how would you put them into two baskets (in any way u want) to maximize the probability to get a black ball</x:v>
      </x:c>
      <x:c r="E1135" s="31" t="str">
        <x:v>Brain teaser: 100 balls, 50 black and 50 white, how would you put them into two baskets (in any way u want) to maximize the probability to get a black ball</x:v>
      </x:c>
      <x:c r="F1135" s="31" t="str">
        <x:v>Consulting &amp; Case</x:v>
      </x:c>
      <x:c r="G1135" s="30" t="str">
        <x:v>CL0169</x:v>
      </x:c>
      <x:c r="H1135" s="32" t="n">
        <x:f>COUNTIF($G$5:$G$1725,G1135)</x:f>
        <x:v>1</x:v>
      </x:c>
      <x:c r="I1135" s="30" t="str">
        <x:v>E9</x:v>
      </x:c>
      <x:c r="J1135" s="31" t="str">
        <x:v>How to pronounce your name | Is your name an English name | Chit Chat (like what's ur favorite subject)</x:v>
      </x:c>
    </x:row>
    <x:row r="1136" ht="32" customHeight="1">
      <x:c r="A1136" s="30" t="str">
        <x:v>QB1825</x:v>
      </x:c>
      <x:c r="B1136" s="30" t="str">
        <x:v>HSBC</x:v>
      </x:c>
      <x:c r="C1136" s="30" t="str">
        <x:v>IBD / GCM</x:v>
      </x:c>
      <x:c r="D1136" s="31" t="str">
        <x:v>What's WACC</x:v>
      </x:c>
      <x:c r="E1136" s="31" t="str">
        <x:v>What's WACC</x:v>
      </x:c>
      <x:c r="F1136" s="31" t="str">
        <x:v>Valuation</x:v>
      </x:c>
      <x:c r="G1136" s="30" t="str">
        <x:v>CL1061</x:v>
      </x:c>
      <x:c r="H1136" s="32" t="n">
        <x:f>COUNTIF($G$5:$G$1725,G1136)</x:f>
        <x:v>1</x:v>
      </x:c>
      <x:c r="I1136" s="30" t="str">
        <x:v>C10</x:v>
      </x:c>
      <x:c r="J1136" s="31" t="str">
        <x:v>Chit Chat | Why IBD | Squareroot of 4000</x:v>
      </x:c>
    </x:row>
    <x:row r="1137" ht="68" customHeight="1">
      <x:c r="A1137" s="30" t="str">
        <x:v>QB1826</x:v>
      </x:c>
      <x:c r="B1137" s="30" t="str">
        <x:v>HSBC</x:v>
      </x:c>
      <x:c r="C1137" s="30" t="str">
        <x:v>IBD / GCM</x:v>
      </x:c>
      <x:c r="D1137" s="31" t="str">
        <x:v>Brain teaser: 3 boxes with fruits inside, 1 labelled as banana, 1 strawberries, 1 mixed, three are all incorrectly labelled, u can only draw once, how do you do so you can identify which box contains what</x:v>
      </x:c>
      <x:c r="E1137" s="31" t="str">
        <x:v>Brain teaser: 3 boxes with fruits inside, 1 labelled as banana, 1 strawberries, 1 mixed, three are all incorrectly labelled, u can only draw once, how do you do so you can identify which box contains what</x:v>
      </x:c>
      <x:c r="F1137" s="31" t="str">
        <x:v>Consulting &amp; Case</x:v>
      </x:c>
      <x:c r="G1137" s="30" t="str">
        <x:v>CL0171</x:v>
      </x:c>
      <x:c r="H1137" s="32" t="n">
        <x:f>COUNTIF($G$5:$G$1725,G1137)</x:f>
        <x:v>1</x:v>
      </x:c>
      <x:c r="I1137" s="30" t="str">
        <x:v>E10</x:v>
      </x:c>
      <x:c r="J1137" s="31" t="str">
        <x:v>Is your name an English name | Chit Chat (like what's ur favorite subject) | Brain teaser: 100 balls, 50 black and 50 white, how would you put them into two baskets (in any way u want) to maximize the probability to get a black ball</x:v>
      </x:c>
    </x:row>
    <x:row r="1138" ht="118" customHeight="1">
      <x:c r="A1138" s="30" t="str">
        <x:v>QB1829</x:v>
      </x:c>
      <x:c r="B1138" s="30" t="str">
        <x:v>HSBC</x:v>
      </x:c>
      <x:c r="C1138" s="30" t="str">
        <x:v>IBD / GCM</x:v>
      </x:c>
      <x:c r="D1138" s="31" t="str">
        <x:v>how do you find equity value from enterprise value</x:v>
      </x:c>
      <x:c r="E1138" s="31" t="str">
        <x:v>Bridge equity value to enterprise value</x:v>
      </x:c>
      <x:c r="F1138" s="31" t="str">
        <x:v>Valuation</x:v>
      </x:c>
      <x:c r="G1138" s="30" t="str">
        <x:v>CL0015</x:v>
      </x:c>
      <x:c r="H1138" s="32" t="n">
        <x:f>COUNTIF($G$5:$G$1725,G1138)</x:f>
        <x:v>8</x:v>
      </x:c>
      <x:c r="I1138" s="30" t="str">
        <x:v>E11</x:v>
      </x:c>
      <x:c r="J1138" s="31" t="str">
        <x:v>Chit Chat (like what's ur favorite subject) | Brain teaser: 100 balls, 50 black and 50 white, how would you put them into two baskets (in any way u want) to maximize the probability to get a black ball | Brain teaser: 3 boxes with fruits...</x:v>
      </x:c>
    </x:row>
    <x:row r="1139" ht="32" customHeight="1">
      <x:c r="A1139" s="30" t="str">
        <x:v>QB1830</x:v>
      </x:c>
      <x:c r="B1139" s="30" t="str">
        <x:v>HSBC</x:v>
      </x:c>
      <x:c r="C1139" s="30" t="str">
        <x:v>IBD / GCM</x:v>
      </x:c>
      <x:c r="D1139" s="31" t="str">
        <x:v>Why is debt cheaper</x:v>
      </x:c>
      <x:c r="E1139" s="31" t="str">
        <x:v>Why is debt cheaper</x:v>
      </x:c>
      <x:c r="F1139" s="31" t="str">
        <x:v>Fit &amp; Motivation</x:v>
      </x:c>
      <x:c r="G1139" s="30" t="str">
        <x:v>CL1143</x:v>
      </x:c>
      <x:c r="H1139" s="32" t="n">
        <x:f>COUNTIF($G$5:$G$1725,G1139)</x:f>
        <x:v>1</x:v>
      </x:c>
      <x:c r="I1139" s="30" t="str">
        <x:v>A12</x:v>
      </x:c>
      <x:c r="J1139" s="31" t="str">
        <x:v>Chit Chat | Impact of Israel-Hamas War on M&amp;A deals | Debt vs Equity</x:v>
      </x:c>
    </x:row>
    <x:row r="1140" ht="118" customHeight="1">
      <x:c r="A1140" s="30" t="str">
        <x:v>QB1832</x:v>
      </x:c>
      <x:c r="B1140" s="30" t="str">
        <x:v>HSBC</x:v>
      </x:c>
      <x:c r="C1140" s="30" t="str">
        <x:v>IBD / GCM</x:v>
      </x:c>
      <x:c r="D1140" s="31" t="str">
        <x:v>why do u need to include preferred stock in enterprise value</x:v>
      </x:c>
      <x:c r="E1140" s="31" t="str">
        <x:v>Why do u need to include preferred stock in enterprise value</x:v>
      </x:c>
      <x:c r="F1140" s="31" t="str">
        <x:v>Fit &amp; Motivation</x:v>
      </x:c>
      <x:c r="G1140" s="30" t="str">
        <x:v>CL1126</x:v>
      </x:c>
      <x:c r="H1140" s="32" t="n">
        <x:f>COUNTIF($G$5:$G$1725,G1140)</x:f>
        <x:v>1</x:v>
      </x:c>
      <x:c r="I1140" s="30" t="str">
        <x:v>E12</x:v>
      </x:c>
      <x:c r="J1140" s="31" t="str">
        <x:v>Brain teaser: 100 balls, 50 black and 50 white, how would you put them into two baskets (in any way u want) to maximize the probability to get a black ball | Brain teaser: 3 boxes with fruits inside, 1 labelled as banana, 1 strawberries,...</x:v>
      </x:c>
    </x:row>
    <x:row r="1141" ht="32" customHeight="1">
      <x:c r="A1141" s="30" t="str">
        <x:v>QB1833</x:v>
      </x:c>
      <x:c r="B1141" s="30" t="str">
        <x:v>HSBC</x:v>
      </x:c>
      <x:c r="C1141" s="30" t="str">
        <x:v>IBD / GCM</x:v>
      </x:c>
      <x:c r="D1141" s="31" t="str">
        <x:v>Given the high interest rates right now, is debt still cheap</x:v>
      </x:c>
      <x:c r="E1141" s="31" t="str">
        <x:v>Given the high interest rates right now, is debt still cheap</x:v>
      </x:c>
      <x:c r="F1141" s="31" t="str">
        <x:v>Accounting &amp; Financial Statements</x:v>
      </x:c>
      <x:c r="G1141" s="30" t="str">
        <x:v>CL0356</x:v>
      </x:c>
      <x:c r="H1141" s="32" t="n">
        <x:f>COUNTIF($G$5:$G$1725,G1141)</x:f>
        <x:v>1</x:v>
      </x:c>
      <x:c r="I1141" s="30" t="str">
        <x:v>A13</x:v>
      </x:c>
      <x:c r="J1141" s="31" t="str">
        <x:v>Impact of Israel-Hamas War on M&amp;A deals | Debt vs Equity | Why is debt cheaper</x:v>
      </x:c>
    </x:row>
    <x:row r="1142" ht="48" customHeight="1">
      <x:c r="A1142" s="30" t="str">
        <x:v>QB1834</x:v>
      </x:c>
      <x:c r="B1142" s="30" t="str">
        <x:v>HSBC</x:v>
      </x:c>
      <x:c r="C1142" s="30" t="str">
        <x:v>IBD / GCM</x:v>
      </x:c>
      <x:c r="D1142" s="31" t="str">
        <x:v>CAPEX 10, 3 statements</x:v>
      </x:c>
      <x:c r="E1142" s="31" t="str">
        <x:v>How does a transaction flow through the three financial statements?</x:v>
      </x:c>
      <x:c r="F1142" s="31" t="str">
        <x:v>Accounting &amp; Financial Statements</x:v>
      </x:c>
      <x:c r="G1142" s="30" t="str">
        <x:v>CL0004</x:v>
      </x:c>
      <x:c r="H1142" s="32" t="n">
        <x:f>COUNTIF($G$5:$G$1725,G1142)</x:f>
        <x:v>21</x:v>
      </x:c>
      <x:c r="I1142" s="30" t="str">
        <x:v>C13</x:v>
      </x:c>
      <x:c r="J1142" s="31" t="str">
        <x:v>What's WACC | You didn't know leveraged finance right | (i said no i didnt) then what discount rate do you use in leveraged finance</x:v>
      </x:c>
    </x:row>
    <x:row r="1143" ht="92" customHeight="1">
      <x:c r="A1143" s="30" t="str">
        <x:v>QB1835</x:v>
      </x:c>
      <x:c r="B1143" s="30" t="str">
        <x:v>HSBC</x:v>
      </x:c>
      <x:c r="C1143" s="30" t="str">
        <x:v>IBD / GCM</x:v>
      </x:c>
      <x:c r="D1143" s="31" t="str">
        <x:v>3 statements question?? not sure if he asked</x:v>
      </x:c>
      <x:c r="E1143" s="31" t="str">
        <x:v>How does a transaction flow through the three financial statements?</x:v>
      </x:c>
      <x:c r="F1143" s="31" t="str">
        <x:v>Accounting &amp; Financial Statements</x:v>
      </x:c>
      <x:c r="G1143" s="30" t="str">
        <x:v>CL0004</x:v>
      </x:c>
      <x:c r="H1143" s="32" t="n">
        <x:f>COUNTIF($G$5:$G$1725,G1143)</x:f>
        <x:v>21</x:v>
      </x:c>
      <x:c r="I1143" s="30" t="str">
        <x:v>E13</x:v>
      </x:c>
      <x:c r="J1143" s="31" t="str">
        <x:v>Brain teaser: 3 boxes with fruits inside, 1 labelled as banana, 1 strawberries, 1 mixed, three are all incorrectly labelled, u can only draw once, how do you do so you can identify which box contains what | how do you find equity value f...</x:v>
      </x:c>
    </x:row>
    <x:row r="1144" ht="48" customHeight="1">
      <x:c r="A1144" s="30" t="str">
        <x:v>QB1836</x:v>
      </x:c>
      <x:c r="B1144" s="30" t="str">
        <x:v>HSBC</x:v>
      </x:c>
      <x:c r="C1144" s="30" t="str">
        <x:v>IBD / GCM</x:v>
      </x:c>
      <x:c r="D1144" s="31" t="str">
        <x:v>3 statement question (seems like, but I don't remember)</x:v>
      </x:c>
      <x:c r="E1144" s="31" t="str">
        <x:v>3 statement question (seems like, but I don't remember)</x:v>
      </x:c>
      <x:c r="F1144" s="31" t="str">
        <x:v>Accounting &amp; Financial Statements</x:v>
      </x:c>
      <x:c r="G1144" s="30" t="str">
        <x:v>CL0075</x:v>
      </x:c>
      <x:c r="H1144" s="32" t="n">
        <x:f>COUNTIF($G$5:$G$1725,G1144)</x:f>
        <x:v>1</x:v>
      </x:c>
      <x:c r="I1144" s="30" t="str">
        <x:v>A14</x:v>
      </x:c>
      <x:c r="J1144" s="31" t="str">
        <x:v>Debt vs Equity | Why is debt cheaper | Given the high interest rates right now, is debt still cheap</x:v>
      </x:c>
    </x:row>
    <x:row r="1145" ht="48" customHeight="1">
      <x:c r="A1145" s="30" t="str">
        <x:v>QB1837</x:v>
      </x:c>
      <x:c r="B1145" s="30" t="str">
        <x:v>HSBC</x:v>
      </x:c>
      <x:c r="C1145" s="30" t="str">
        <x:v>IBD / GCM</x:v>
      </x:c>
      <x:c r="D1145" s="31" t="str">
        <x:v>at the end of year, 3 statements</x:v>
      </x:c>
      <x:c r="E1145" s="31" t="str">
        <x:v>How does a transaction flow through the three financial statements?</x:v>
      </x:c>
      <x:c r="F1145" s="31" t="str">
        <x:v>Accounting &amp; Financial Statements</x:v>
      </x:c>
      <x:c r="G1145" s="30" t="str">
        <x:v>CL0004</x:v>
      </x:c>
      <x:c r="H1145" s="32" t="n">
        <x:f>COUNTIF($G$5:$G$1725,G1145)</x:f>
        <x:v>21</x:v>
      </x:c>
      <x:c r="I1145" s="30" t="str">
        <x:v>C14</x:v>
      </x:c>
      <x:c r="J1145" s="31" t="str">
        <x:v>You didn't know leveraged finance right | (i said no i didnt) then what discount rate do you use in leveraged finance | CAPEX 10, 3 statements</x:v>
      </x:c>
    </x:row>
    <x:row r="1146" ht="48" customHeight="1">
      <x:c r="A1146" s="30" t="str">
        <x:v>QB1840</x:v>
      </x:c>
      <x:c r="B1146" s="30" t="str">
        <x:v>HSBC</x:v>
      </x:c>
      <x:c r="C1146" s="30" t="str">
        <x:v>IBD / GCM</x:v>
      </x:c>
      <x:c r="D1146" s="31" t="str">
        <x:v>Do you know the interest rate right now</x:v>
      </x:c>
      <x:c r="E1146" s="31" t="str">
        <x:v>Do you know the interest rate right now</x:v>
      </x:c>
      <x:c r="F1146" s="31" t="str">
        <x:v>Markets &amp; Macro</x:v>
      </x:c>
      <x:c r="G1146" s="30" t="str">
        <x:v>CL0280</x:v>
      </x:c>
      <x:c r="H1146" s="32" t="n">
        <x:f>COUNTIF($G$5:$G$1725,G1146)</x:f>
        <x:v>1</x:v>
      </x:c>
      <x:c r="I1146" s="30" t="str">
        <x:v>C15</x:v>
      </x:c>
      <x:c r="J1146" s="31" t="str">
        <x:v>(i said no i didnt) then what discount rate do you use in leveraged finance | CAPEX 10, 3 statements | at the end of year, 3 statements</x:v>
      </x:c>
    </x:row>
    <x:row r="1147" ht="48" customHeight="1">
      <x:c r="A1147" s="30" t="str">
        <x:v>QB1843</x:v>
      </x:c>
      <x:c r="B1147" s="30" t="str">
        <x:v>HSBC</x:v>
      </x:c>
      <x:c r="C1147" s="30" t="str">
        <x:v>IBD / GCM</x:v>
      </x:c>
      <x:c r="D1147" s="31" t="str">
        <x:v>How does interest rate impact the stock market</x:v>
      </x:c>
      <x:c r="E1147" s="31" t="str">
        <x:v>How does interest rate impact the stock market</x:v>
      </x:c>
      <x:c r="F1147" s="31" t="str">
        <x:v>Markets &amp; Macro</x:v>
      </x:c>
      <x:c r="G1147" s="30" t="str">
        <x:v>CL0433</x:v>
      </x:c>
      <x:c r="H1147" s="32" t="n">
        <x:f>COUNTIF($G$5:$G$1725,G1147)</x:f>
        <x:v>1</x:v>
      </x:c>
      <x:c r="I1147" s="30" t="str">
        <x:v>C16</x:v>
      </x:c>
      <x:c r="J1147" s="31" t="str">
        <x:v>CAPEX 10, 3 statements | at the end of year, 3 statements | Do you know the interest rate right now</x:v>
      </x:c>
    </x:row>
    <x:row r="1148" ht="68" customHeight="1">
      <x:c r="A1148" s="30" t="str">
        <x:v>QB1844</x:v>
      </x:c>
      <x:c r="B1148" s="30" t="str">
        <x:v>HSBC</x:v>
      </x:c>
      <x:c r="C1148" s="30" t="str">
        <x:v>IBD / GCM</x:v>
      </x:c>
      <x:c r="D1148" s="31" t="str">
        <x:v>what companies did you use for comparables analysis</x:v>
      </x:c>
      <x:c r="E1148" s="31" t="str">
        <x:v>What companies did you use for comparables analysis</x:v>
      </x:c>
      <x:c r="F1148" s="31" t="str">
        <x:v>Valuation</x:v>
      </x:c>
      <x:c r="G1148" s="30" t="str">
        <x:v>CL0889</x:v>
      </x:c>
      <x:c r="H1148" s="32" t="n">
        <x:f>COUNTIF($G$5:$G$1725,G1148)</x:f>
        <x:v>1</x:v>
      </x:c>
      <x:c r="I1148" s="30" t="str">
        <x:v>E16</x:v>
      </x:c>
      <x:c r="J1148" s="31" t="str">
        <x:v>3 statements question?? not sure if he asked | a bit more tech qs but i dont remember | ok this is the end of the scripted questions im gonna ask u some cv questions</x:v>
      </x:c>
    </x:row>
    <x:row r="1149" ht="68" customHeight="1">
      <x:c r="A1149" s="30" t="str">
        <x:v>QB1847</x:v>
      </x:c>
      <x:c r="B1149" s="30" t="str">
        <x:v>HSBC</x:v>
      </x:c>
      <x:c r="C1149" s="30" t="str">
        <x:v>IBD / GCM</x:v>
      </x:c>
      <x:c r="D1149" s="31" t="str">
        <x:v>what was the industry multiple</x:v>
      </x:c>
      <x:c r="E1149" s="31" t="str">
        <x:v>What was the industry multiple</x:v>
      </x:c>
      <x:c r="F1149" s="31" t="str">
        <x:v>Valuation</x:v>
      </x:c>
      <x:c r="G1149" s="30" t="str">
        <x:v>CL1035</x:v>
      </x:c>
      <x:c r="H1149" s="32" t="n">
        <x:f>COUNTIF($G$5:$G$1725,G1149)</x:f>
        <x:v>1</x:v>
      </x:c>
      <x:c r="I1149" s="30" t="str">
        <x:v>E17</x:v>
      </x:c>
      <x:c r="J1149" s="31" t="str">
        <x:v>a bit more tech qs but i dont remember | ok this is the end of the scripted questions im gonna ask u some cv questions | what companies did you use for comparables analysis</x:v>
      </x:c>
    </x:row>
    <x:row r="1150" ht="68" customHeight="1">
      <x:c r="A1150" s="30" t="str">
        <x:v>QB1850</x:v>
      </x:c>
      <x:c r="B1150" s="30" t="str">
        <x:v>HSBC</x:v>
      </x:c>
      <x:c r="C1150" s="30" t="str">
        <x:v>IBD / GCM</x:v>
      </x:c>
      <x:c r="D1150" s="31" t="str">
        <x:v>do you think it's directly comparable (cuz i used big companies)</x:v>
      </x:c>
      <x:c r="E1150" s="31" t="str">
        <x:v>Do you think it's directly comparable (cuz i used big companies)</x:v>
      </x:c>
      <x:c r="F1150" s="31" t="str">
        <x:v>Valuation</x:v>
      </x:c>
      <x:c r="G1150" s="30" t="str">
        <x:v>CL0294</x:v>
      </x:c>
      <x:c r="H1150" s="32" t="n">
        <x:f>COUNTIF($G$5:$G$1725,G1150)</x:f>
        <x:v>1</x:v>
      </x:c>
      <x:c r="I1150" s="30" t="str">
        <x:v>E18</x:v>
      </x:c>
      <x:c r="J1150" s="31" t="str">
        <x:v>ok this is the end of the scripted questions im gonna ask u some cv questions | what companies did you use for comparables analysis | what was the industry multiple</x:v>
      </x:c>
    </x:row>
    <x:row r="1151" ht="68" customHeight="1">
      <x:c r="A1151" s="30" t="str">
        <x:v>QB1851</x:v>
      </x:c>
      <x:c r="B1151" s="30" t="str">
        <x:v>HSBC</x:v>
      </x:c>
      <x:c r="C1151" s="30" t="str">
        <x:v>IBD / GCM</x:v>
      </x:c>
      <x:c r="D1151" s="31" t="str">
        <x:v>(i said i was the only intern so no team) then tell me a time when you work INDEPENDENTLY</x:v>
      </x:c>
      <x:c r="E1151" s="31" t="str">
        <x:v>(i said i was the only intern so no team) then tell me a time when you work INDEPENDENTLY</x:v>
      </x:c>
      <x:c r="F1151" s="31" t="str">
        <x:v>Behavioral &amp; Situational</x:v>
      </x:c>
      <x:c r="G1151" s="30" t="str">
        <x:v>CL0059</x:v>
      </x:c>
      <x:c r="H1151" s="32" t="n">
        <x:f>COUNTIF($G$5:$G$1725,G1151)</x:f>
        <x:v>1</x:v>
      </x:c>
      <x:c r="I1151" s="30" t="str">
        <x:v>A19</x:v>
      </x:c>
      <x:c r="J1151" s="31" t="str">
        <x:v>last time when you worked in a diverse team | (cut and said) why are you always mentioning about the things a year ago | (i said a case comp this summer) why dont you tell me your recent internships</x:v>
      </x:c>
    </x:row>
    <x:row r="1152" ht="48" customHeight="1">
      <x:c r="A1152" s="30" t="str">
        <x:v>QB1852</x:v>
      </x:c>
      <x:c r="B1152" s="30" t="str">
        <x:v>HSBC</x:v>
      </x:c>
      <x:c r="C1152" s="30" t="str">
        <x:v>IBD / GCM</x:v>
      </x:c>
      <x:c r="D1152" s="31" t="str">
        <x:v>beta for tech companies</x:v>
      </x:c>
      <x:c r="E1152" s="31" t="str">
        <x:v>Beta for tech companies</x:v>
      </x:c>
      <x:c r="F1152" s="31" t="str">
        <x:v>Valuation</x:v>
      </x:c>
      <x:c r="G1152" s="30" t="str">
        <x:v>CL0162</x:v>
      </x:c>
      <x:c r="H1152" s="32" t="n">
        <x:f>COUNTIF($G$5:$G$1725,G1152)</x:f>
        <x:v>1</x:v>
      </x:c>
      <x:c r="I1152" s="30" t="str">
        <x:v>C19</x:v>
      </x:c>
      <x:c r="J1152" s="31" t="str">
        <x:v>How does interest rate impact the stock market | The yield curve right now | Debt vs equity (not sure if she asked)</x:v>
      </x:c>
    </x:row>
    <x:row r="1153" ht="48" customHeight="1">
      <x:c r="A1153" s="30" t="str">
        <x:v>QB1853</x:v>
      </x:c>
      <x:c r="B1153" s="30" t="str">
        <x:v>HSBC</x:v>
      </x:c>
      <x:c r="C1153" s="30" t="str">
        <x:v>IBD / GCM</x:v>
      </x:c>
      <x:c r="D1153" s="31" t="str">
        <x:v>why did you only do a 5-year projection model but not a 10-year one</x:v>
      </x:c>
      <x:c r="E1153" s="31" t="str">
        <x:v>Why did you only do a 5-year projection model but not a 10-year one</x:v>
      </x:c>
      <x:c r="F1153" s="31" t="str">
        <x:v>Fit &amp; Motivation</x:v>
      </x:c>
      <x:c r="G1153" s="30" t="str">
        <x:v>CL1121</x:v>
      </x:c>
      <x:c r="H1153" s="32" t="n">
        <x:f>COUNTIF($G$5:$G$1725,G1153)</x:f>
        <x:v>1</x:v>
      </x:c>
      <x:c r="I1153" s="30" t="str">
        <x:v>E19</x:v>
      </x:c>
      <x:c r="J1153" s="31" t="str">
        <x:v>what companies did you use for comparables analysis | what was the industry multiple | do you think it's directly comparable (cuz i used big companies)</x:v>
      </x:c>
    </x:row>
    <x:row r="1154" ht="48" customHeight="1">
      <x:c r="A1154" s="30" t="str">
        <x:v>QB1855</x:v>
      </x:c>
      <x:c r="B1154" s="30" t="str">
        <x:v>HSBC</x:v>
      </x:c>
      <x:c r="C1154" s="30" t="str">
        <x:v>IBD / GCM</x:v>
      </x:c>
      <x:c r="D1154" s="31" t="str">
        <x:v>Do you think it's cheaper for Tech companies like Alibaba and Tencent to raise funds or bluechip companies</x:v>
      </x:c>
      <x:c r="E1154" s="31" t="str">
        <x:v>Do you think it's cheaper for Tech companies like Alibaba and Tencent to raise funds or bluechip companies</x:v>
      </x:c>
      <x:c r="F1154" s="31" t="str">
        <x:v>Capital Markets &amp; Financing</x:v>
      </x:c>
      <x:c r="G1154" s="30" t="str">
        <x:v>CL0293</x:v>
      </x:c>
      <x:c r="H1154" s="32" t="n">
        <x:f>COUNTIF($G$5:$G$1725,G1154)</x:f>
        <x:v>1</x:v>
      </x:c>
      <x:c r="I1154" s="30" t="str">
        <x:v>C20</x:v>
      </x:c>
      <x:c r="J1154" s="31" t="str">
        <x:v>The yield curve right now | Debt vs equity (not sure if she asked) | beta for tech companies</x:v>
      </x:c>
    </x:row>
    <x:row r="1155" ht="68" customHeight="1">
      <x:c r="A1155" s="30" t="str">
        <x:v>QB1856</x:v>
      </x:c>
      <x:c r="B1155" s="30" t="str">
        <x:v>HSBC</x:v>
      </x:c>
      <x:c r="C1155" s="30" t="str">
        <x:v>IBD / GCM</x:v>
      </x:c>
      <x:c r="D1155" s="31" t="str">
        <x:v>how did you find the terminal value</x:v>
      </x:c>
      <x:c r="E1155" s="31" t="str">
        <x:v>How did you find the terminal value</x:v>
      </x:c>
      <x:c r="F1155" s="31" t="str">
        <x:v>Valuation</x:v>
      </x:c>
      <x:c r="G1155" s="30" t="str">
        <x:v>CL0389</x:v>
      </x:c>
      <x:c r="H1155" s="32" t="n">
        <x:f>COUNTIF($G$5:$G$1725,G1155)</x:f>
        <x:v>1</x:v>
      </x:c>
      <x:c r="I1155" s="30" t="str">
        <x:v>E20</x:v>
      </x:c>
      <x:c r="J1155" s="31" t="str">
        <x:v>what was the industry multiple | do you think it's directly comparable (cuz i used big companies) | why did you only do a 5-year projection model but not a 10-year one</x:v>
      </x:c>
    </x:row>
    <x:row r="1156" ht="68" customHeight="1">
      <x:c r="A1156" s="30" t="str">
        <x:v>QB1858</x:v>
      </x:c>
      <x:c r="B1156" s="30" t="str">
        <x:v>HSBC</x:v>
      </x:c>
      <x:c r="C1156" s="30" t="str">
        <x:v>IBD / GCM</x:v>
      </x:c>
      <x:c r="D1156" s="31" t="str">
        <x:v>What's your biggest weakness</x:v>
      </x:c>
      <x:c r="E1156" s="31" t="str">
        <x:v>What is your biggest strength / weakness?</x:v>
      </x:c>
      <x:c r="F1156" s="31" t="str">
        <x:v>Behavioral &amp; Situational</x:v>
      </x:c>
      <x:c r="G1156" s="30" t="str">
        <x:v>CL0027</x:v>
      </x:c>
      <x:c r="H1156" s="32" t="n">
        <x:f>COUNTIF($G$5:$G$1725,G1156)</x:f>
        <x:v>3</x:v>
      </x:c>
      <x:c r="I1156" s="30" t="str">
        <x:v>C21</x:v>
      </x:c>
      <x:c r="J1156" s="31" t="str">
        <x:v>Debt vs equity (not sure if she asked) | beta for tech companies | Do you think it's cheaper for Tech companies like Alibaba and Tencent to raise funds or bluechip companies</x:v>
      </x:c>
    </x:row>
    <x:row r="1157" ht="68" customHeight="1">
      <x:c r="A1157" s="30" t="str">
        <x:v>QB1860</x:v>
      </x:c>
      <x:c r="B1157" s="30" t="str">
        <x:v>HSBC</x:v>
      </x:c>
      <x:c r="C1157" s="30" t="str">
        <x:v>IBD / GCM</x:v>
      </x:c>
      <x:c r="D1157" s="31" t="str">
        <x:v>what companies did you use for the comparable analysis at XXXX</x:v>
      </x:c>
      <x:c r="E1157" s="31" t="str">
        <x:v>What companies did you use for the comparable analysis at XXXX</x:v>
      </x:c>
      <x:c r="F1157" s="31" t="str">
        <x:v>Valuation</x:v>
      </x:c>
      <x:c r="G1157" s="30" t="str">
        <x:v>CL0890</x:v>
      </x:c>
      <x:c r="H1157" s="32" t="n">
        <x:f>COUNTIF($G$5:$G$1725,G1157)</x:f>
        <x:v>1</x:v>
      </x:c>
      <x:c r="I1157" s="30" t="str">
        <x:v>A22</x:v>
      </x:c>
      <x:c r="J1157" s="31" t="str">
        <x:v>(i said i was the only intern so no team) then tell me a time when you work INDEPENDENTLY | (i said buyout trends in india declined) why declined | (i said tighter credit policies) we have some credit analysts over there ill check with them</x:v>
      </x:c>
    </x:row>
    <x:row r="1158" ht="68" customHeight="1">
      <x:c r="A1158" s="30" t="str">
        <x:v>QB1861</x:v>
      </x:c>
      <x:c r="B1158" s="30" t="str">
        <x:v>HSBC</x:v>
      </x:c>
      <x:c r="C1158" s="30" t="str">
        <x:v>IBD / GCM</x:v>
      </x:c>
      <x:c r="D1158" s="31" t="str">
        <x:v>Do you think you have a thin skin or thick skin</x:v>
      </x:c>
      <x:c r="E1158" s="31" t="str">
        <x:v>Do you think you have a thin skin or thick skin</x:v>
      </x:c>
      <x:c r="F1158" s="31" t="str">
        <x:v>Other Question</x:v>
      </x:c>
      <x:c r="G1158" s="30" t="str">
        <x:v>CL0300</x:v>
      </x:c>
      <x:c r="H1158" s="32" t="n">
        <x:f>COUNTIF($G$5:$G$1725,G1158)</x:f>
        <x:v>1</x:v>
      </x:c>
      <x:c r="I1158" s="30" t="str">
        <x:v>C22</x:v>
      </x:c>
      <x:c r="J1158" s="31" t="str">
        <x:v>beta for tech companies | Do you think it's cheaper for Tech companies like Alibaba and Tencent to raise funds or bluechip companies | What's your biggest weakness</x:v>
      </x:c>
    </x:row>
    <x:row r="1159" ht="68" customHeight="1">
      <x:c r="A1159" s="30" t="str">
        <x:v>QB1862</x:v>
      </x:c>
      <x:c r="B1159" s="30" t="str">
        <x:v>HSBC</x:v>
      </x:c>
      <x:c r="C1159" s="30" t="str">
        <x:v>IBD / GCM</x:v>
      </x:c>
      <x:c r="D1159" s="31" t="str">
        <x:v>do you think the growth rate for the target company is higher or the one for WPP is higher</x:v>
      </x:c>
      <x:c r="E1159" s="31" t="str">
        <x:v>Do you think the growth rate for the target company is higher or the one for WPP is higher</x:v>
      </x:c>
      <x:c r="F1159" s="31" t="str">
        <x:v>Accounting &amp; Financial Statements</x:v>
      </x:c>
      <x:c r="G1159" s="30" t="str">
        <x:v>CL0298</x:v>
      </x:c>
      <x:c r="H1159" s="32" t="n">
        <x:f>COUNTIF($G$5:$G$1725,G1159)</x:f>
        <x:v>1</x:v>
      </x:c>
      <x:c r="I1159" s="30" t="str">
        <x:v>E22</x:v>
      </x:c>
      <x:c r="J1159" s="31" t="str">
        <x:v>why did you only do a 5-year projection model but not a 10-year one | how did you find the terminal value | (i said perpetuity growth method) what growth rate did you use/how did you find the growth rate (Dont remember)</x:v>
      </x:c>
    </x:row>
    <x:row r="1160" ht="68" customHeight="1">
      <x:c r="A1160" s="30" t="str">
        <x:v>QB1864</x:v>
      </x:c>
      <x:c r="B1160" s="30" t="str">
        <x:v>HSBC</x:v>
      </x:c>
      <x:c r="C1160" s="30" t="str">
        <x:v>IBD / GCM</x:v>
      </x:c>
      <x:c r="D1160" s="31" t="str">
        <x:v>Tell me a time when you XXX</x:v>
      </x:c>
      <x:c r="E1160" s="31" t="str">
        <x:v>Tell me a time when you XXX</x:v>
      </x:c>
      <x:c r="F1160" s="31" t="str">
        <x:v>Other Question</x:v>
      </x:c>
      <x:c r="G1160" s="30" t="str">
        <x:v>CL0709</x:v>
      </x:c>
      <x:c r="H1160" s="32" t="n">
        <x:f>COUNTIF($G$5:$G$1725,G1160)</x:f>
        <x:v>1</x:v>
      </x:c>
      <x:c r="I1160" s="30" t="str">
        <x:v>C23</x:v>
      </x:c>
      <x:c r="J1160" s="31" t="str">
        <x:v>Do you think it's cheaper for Tech companies like Alibaba and Tencent to raise funds or bluechip companies | What's your biggest weakness | Do you think you have a thin skin or thick skin</x:v>
      </x:c>
    </x:row>
    <x:row r="1161" ht="68" customHeight="1">
      <x:c r="A1161" s="30" t="str">
        <x:v>QB1866</x:v>
      </x:c>
      <x:c r="B1161" s="30" t="str">
        <x:v>HSBC</x:v>
      </x:c>
      <x:c r="C1161" s="30" t="str">
        <x:v>IBD / GCM</x:v>
      </x:c>
      <x:c r="D1161" s="31" t="str">
        <x:v>Why IBD</x:v>
      </x:c>
      <x:c r="E1161" s="31" t="str">
        <x:v>Why investment banking?</x:v>
      </x:c>
      <x:c r="F1161" s="31" t="str">
        <x:v>Fit &amp; Motivation</x:v>
      </x:c>
      <x:c r="G1161" s="30" t="str">
        <x:v>CL0003</x:v>
      </x:c>
      <x:c r="H1161" s="32" t="n">
        <x:f>COUNTIF($G$5:$G$1725,G1161)</x:f>
        <x:v>34</x:v>
      </x:c>
      <x:c r="I1161" s="30" t="str">
        <x:v>A24</x:v>
      </x:c>
      <x:c r="J1161" s="31" t="str">
        <x:v>(i said tighter credit policies) we have some credit analysts over there ill check with them | what companies did you use for the comparable analysis at XXXX | something about CV but i dont remember</x:v>
      </x:c>
    </x:row>
    <x:row r="1162" ht="48" customHeight="1">
      <x:c r="A1162" s="30" t="str">
        <x:v>QB1867</x:v>
      </x:c>
      <x:c r="B1162" s="30" t="str">
        <x:v>HSBC</x:v>
      </x:c>
      <x:c r="C1162" s="30" t="str">
        <x:v>IBD / GCM</x:v>
      </x:c>
      <x:c r="D1162" s="31" t="str">
        <x:v>workplace scenario Q?? dont remember if she did</x:v>
      </x:c>
      <x:c r="E1162" s="31" t="str">
        <x:v>Workplace scenario Q?? dont remember if she did</x:v>
      </x:c>
      <x:c r="F1162" s="31" t="str">
        <x:v>Other Question</x:v>
      </x:c>
      <x:c r="G1162" s="30" t="str">
        <x:v>CL1190</x:v>
      </x:c>
      <x:c r="H1162" s="32" t="n">
        <x:f>COUNTIF($G$5:$G$1725,G1162)</x:f>
        <x:v>1</x:v>
      </x:c>
      <x:c r="I1162" s="30" t="str">
        <x:v>C24</x:v>
      </x:c>
      <x:c r="J1162" s="31" t="str">
        <x:v>What's your biggest weakness | Do you think you have a thin skin or thick skin | Tell me a time when you XXX</x:v>
      </x:c>
    </x:row>
    <x:row r="1163" ht="48" customHeight="1">
      <x:c r="A1163" s="30" t="str">
        <x:v>QB1869</x:v>
      </x:c>
      <x:c r="B1163" s="30" t="str">
        <x:v>HSBC</x:v>
      </x:c>
      <x:c r="C1163" s="30" t="str">
        <x:v>IBD / GCM</x:v>
      </x:c>
      <x:c r="D1163" s="31" t="str">
        <x:v>asked about something related to AMPB??? dont remember if she did</x:v>
      </x:c>
      <x:c r="E1163" s="31" t="str">
        <x:v>Asked about something related to AMPB??? dont remember if she did</x:v>
      </x:c>
      <x:c r="F1163" s="31" t="str">
        <x:v>Other Question</x:v>
      </x:c>
      <x:c r="G1163" s="30" t="str">
        <x:v>CL0145</x:v>
      </x:c>
      <x:c r="H1163" s="32" t="n">
        <x:f>COUNTIF($G$5:$G$1725,G1163)</x:f>
        <x:v>1</x:v>
      </x:c>
      <x:c r="I1163" s="30" t="str">
        <x:v>C25</x:v>
      </x:c>
      <x:c r="J1163" s="31" t="str">
        <x:v>Do you think you have a thin skin or thick skin | Tell me a time when you XXX | workplace scenario Q?? dont remember if she did</x:v>
      </x:c>
    </x:row>
    <x:row r="1164" ht="92" customHeight="1">
      <x:c r="A1164" s="30" t="str">
        <x:v>QB1870</x:v>
      </x:c>
      <x:c r="B1164" s="30" t="str">
        <x:v>HSBC</x:v>
      </x:c>
      <x:c r="C1164" s="30" t="str">
        <x:v>IBD / GCM</x:v>
      </x:c>
      <x:c r="D1164"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E1164"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F1164" s="31" t="str">
        <x:v>Accounting &amp; Financial Statements</x:v>
      </x:c>
      <x:c r="G1164" s="30" t="str">
        <x:v>CL0053</x:v>
      </x:c>
      <x:c r="H1164" s="32" t="n">
        <x:f>COUNTIF($G$5:$G$1725,G1164)</x:f>
        <x:v>1</x:v>
      </x:c>
      <x:c r="I1164" s="30" t="str">
        <x:v>A26</x:v>
      </x:c>
      <x:c r="J1164" s="31" t="str">
        <x:v>something about CV but i dont remember | Why IBD | Q&amp;A</x:v>
      </x:c>
    </x:row>
    <x:row r="1165" ht="32" customHeight="1">
      <x:c r="A1165" s="30" t="str">
        <x:v>QB1877</x:v>
      </x:c>
      <x:c r="B1165" s="30" t="str">
        <x:v>HSBC</x:v>
      </x:c>
      <x:c r="C1165" s="30" t="str">
        <x:v>IBD / GCM</x:v>
      </x:c>
      <x:c r="D1165" s="31" t="str">
        <x:v>what did ibd do and why ibd;</x:v>
      </x:c>
      <x:c r="E1165" s="31" t="str">
        <x:v>Why investment banking?</x:v>
      </x:c>
      <x:c r="F1165" s="31" t="str">
        <x:v>Fit &amp; Motivation</x:v>
      </x:c>
      <x:c r="G1165" s="30" t="str">
        <x:v>CL0003</x:v>
      </x:c>
      <x:c r="H1165" s="32" t="n">
        <x:f>COUNTIF($G$5:$G$1725,G1165)</x:f>
        <x:v>34</x:v>
      </x:c>
      <x:c r="I1165" s="30" t="str">
        <x:v>A34</x:v>
      </x:c>
      <x:c r="J1165" s="31" t="str">
        <x:v>2025 SA | Kari - Round 1 10/22 (Shirley Lai, VP) | intro；</x:v>
      </x:c>
    </x:row>
    <x:row r="1166" ht="68" customHeight="1">
      <x:c r="A1166" s="30" t="str">
        <x:v>QB1880</x:v>
      </x:c>
      <x:c r="B1166" s="30" t="str">
        <x:v>HSBC</x:v>
      </x:c>
      <x:c r="C1166" s="30" t="str">
        <x:v>IBD / GCM</x:v>
      </x:c>
      <x:c r="D1166" s="31" t="str">
        <x:v>do you think it's possible that people can give excellent result on all the given tasks? why?</x:v>
      </x:c>
      <x:c r="E1166" s="31" t="str">
        <x:v>Do you think it's possible that people can give excellent result on all the given tasks? why</x:v>
      </x:c>
      <x:c r="F1166" s="31" t="str">
        <x:v>Other Technical</x:v>
      </x:c>
      <x:c r="G1166" s="30" t="str">
        <x:v>CL0296</x:v>
      </x:c>
      <x:c r="H1166" s="32" t="n">
        <x:f>COUNTIF($G$5:$G$1725,G1166)</x:f>
        <x:v>1</x:v>
      </x:c>
      <x:c r="I1166" s="30" t="str">
        <x:v>A37</x:v>
      </x:c>
      <x:c r="J1166" s="31" t="str">
        <x:v>what did ibd do and why ibd; | a story of extracurricular activity that shows skills that you think will fit for ibd; | a story of how you get inputs (advice) from other people;</x:v>
      </x:c>
    </x:row>
    <x:row r="1167" ht="68" customHeight="1">
      <x:c r="A1167" s="30" t="str">
        <x:v>QB1882</x:v>
      </x:c>
      <x:c r="B1167" s="30" t="str">
        <x:v>HSBC</x:v>
      </x:c>
      <x:c r="C1167" s="30" t="str">
        <x:v>IBD / GCM</x:v>
      </x:c>
      <x:c r="D1167" s="31" t="str">
        <x:v>how to?</x:v>
      </x:c>
      <x:c r="E1167" s="31" t="str">
        <x:v>How to</x:v>
      </x:c>
      <x:c r="F1167" s="31" t="str">
        <x:v>Other Question</x:v>
      </x:c>
      <x:c r="G1167" s="30" t="str">
        <x:v>CL0460</x:v>
      </x:c>
      <x:c r="H1167" s="32" t="n">
        <x:f>COUNTIF($G$5:$G$1725,G1167)</x:f>
        <x:v>1</x:v>
      </x:c>
      <x:c r="I1167" s="30" t="str">
        <x:v>A39</x:v>
      </x:c>
      <x:c r="J1167" s="31" t="str">
        <x:v>a story of how you get inputs (advice) from other people; | do you think it's possible that people can give excellent result on all the given tasks? why? | (i said yes possible)</x:v>
      </x:c>
    </x:row>
    <x:row r="1168" ht="48" customHeight="1">
      <x:c r="A1168" s="30" t="str">
        <x:v>QB1887</x:v>
      </x:c>
      <x:c r="B1168" s="30" t="str">
        <x:v>Lazard</x:v>
      </x:c>
      <x:c r="C1168" s="30" t="str">
        <x:v>IBD / GCM</x:v>
      </x:c>
      <x:c r="D1168" s="31" t="str">
        <x:v>Self intro</x:v>
      </x:c>
      <x:c r="E1168" s="31" t="str">
        <x:v>Tell me about yourself / walk me through your resume</x:v>
      </x:c>
      <x:c r="F1168" s="31" t="str">
        <x:v>Resume &amp; Experience</x:v>
      </x:c>
      <x:c r="G1168" s="30" t="str">
        <x:v>CL0001</x:v>
      </x:c>
      <x:c r="H1168" s="32" t="n">
        <x:f>COUNTIF($G$5:$G$1725,G1168)</x:f>
        <x:v>170</x:v>
      </x:c>
      <x:c r="I1168" s="30" t="str">
        <x:v>A3</x:v>
      </x:c>
      <x:c r="J1168" s="31" t="str">
        <x:v>2025 offcycle Emily Final round interview (other rounds are basic accounting + deal based questions) | 1st interview</x:v>
      </x:c>
    </x:row>
    <x:row r="1169" ht="48" customHeight="1">
      <x:c r="A1169" s="30" t="str">
        <x:v>QB1888</x:v>
      </x:c>
      <x:c r="B1169" s="30" t="str">
        <x:v>Lazard</x:v>
      </x:c>
      <x:c r="C1169" s="30" t="str">
        <x:v>IBD / GCM</x:v>
      </x:c>
      <x:c r="D1169" s="31" t="str">
        <x:v>Self introduction</x:v>
      </x:c>
      <x:c r="E1169" s="31" t="str">
        <x:v>Tell me about yourself / walk me through your resume</x:v>
      </x:c>
      <x:c r="F1169" s="31" t="str">
        <x:v>Resume &amp; Experience</x:v>
      </x:c>
      <x:c r="G1169" s="30" t="str">
        <x:v>CL0001</x:v>
      </x:c>
      <x:c r="H1169" s="32" t="n">
        <x:f>COUNTIF($G$5:$G$1725,G1169)</x:f>
        <x:v>170</x:v>
      </x:c>
      <x:c r="I1169" s="30" t="str">
        <x:v>C3</x:v>
      </x:c>
      <x:c r="J1169" s="31" t="str">
        <x:v>2025 H2 Off-cycle Kate Final Round (1st round was 2 analysts with basic 400q questions) | 1st Interview - Mengxin Liu (VP) in Chinese</x:v>
      </x:c>
    </x:row>
    <x:row r="1170" ht="48" customHeight="1">
      <x:c r="A1170" s="30" t="str">
        <x:v>QB1889</x:v>
      </x:c>
      <x:c r="B1170" s="30" t="str">
        <x:v>Lazard</x:v>
      </x:c>
      <x:c r="C1170" s="30" t="str">
        <x:v>IBD / GCM</x:v>
      </x:c>
      <x:c r="D1170" s="31" t="str">
        <x:v>Major responsibilities in deal, company and industry overview</x:v>
      </x:c>
      <x:c r="E1170" s="31" t="str">
        <x:v>Major responsibilities in deal, company and industry overview</x:v>
      </x:c>
      <x:c r="F1170" s="31" t="str">
        <x:v>Resume &amp; Experience</x:v>
      </x:c>
      <x:c r="G1170" s="30" t="str">
        <x:v>CL0037</x:v>
      </x:c>
      <x:c r="H1170" s="32" t="n">
        <x:f>COUNTIF($G$5:$G$1725,G1170)</x:f>
        <x:v>2</x:v>
      </x:c>
      <x:c r="I1170" s="30" t="str">
        <x:v>A4</x:v>
      </x:c>
      <x:c r="J1170" s="31" t="str">
        <x:v>2025 offcycle Emily Final round interview (other rounds are basic accounting + deal based questions) | 1st interview | Self intro</x:v>
      </x:c>
    </x:row>
    <x:row r="1171" ht="48" customHeight="1">
      <x:c r="A1171" s="30" t="str">
        <x:v>QB1890</x:v>
      </x:c>
      <x:c r="B1171" s="30" t="str">
        <x:v>Lazard</x:v>
      </x:c>
      <x:c r="C1171" s="30" t="str">
        <x:v>IBD / GCM</x:v>
      </x:c>
      <x:c r="D1171" s="31" t="str">
        <x:v>Walk through one of the projects you have engaged in</x:v>
      </x:c>
      <x:c r="E1171" s="31" t="str">
        <x:v>Walk through one of the projects you have engaged in</x:v>
      </x:c>
      <x:c r="F1171" s="31" t="str">
        <x:v>Other Question</x:v>
      </x:c>
      <x:c r="G1171" s="30" t="str">
        <x:v>CL0850</x:v>
      </x:c>
      <x:c r="H1171" s="32" t="n">
        <x:f>COUNTIF($G$5:$G$1725,G1171)</x:f>
        <x:v>1</x:v>
      </x:c>
      <x:c r="I1171" s="30" t="str">
        <x:v>C4</x:v>
      </x:c>
      <x:c r="J1171" s="31" t="str">
        <x:v>2025 H2 Off-cycle Kate Final Round (1st round was 2 analysts with basic 400q questions) | 1st Interview - Mengxin Liu (VP) in Chinese | Self introduction</x:v>
      </x:c>
    </x:row>
    <x:row r="1172" ht="32" customHeight="1">
      <x:c r="A1172" s="30" t="str">
        <x:v>QB1891</x:v>
      </x:c>
      <x:c r="B1172" s="30" t="str">
        <x:v>Lazard</x:v>
      </x:c>
      <x:c r="C1172" s="30" t="str">
        <x:v>IBD / GCM</x:v>
      </x:c>
      <x:c r="D1172" s="31" t="str">
        <x:v>Process of M&amp;A?</x:v>
      </x:c>
      <x:c r="E1172" s="31" t="str">
        <x:v>Process of M&amp;A</x:v>
      </x:c>
      <x:c r="F1172" s="31" t="str">
        <x:v>Other Question</x:v>
      </x:c>
      <x:c r="G1172" s="30" t="str">
        <x:v>CL0653</x:v>
      </x:c>
      <x:c r="H1172" s="32" t="n">
        <x:f>COUNTIF($G$5:$G$1725,G1172)</x:f>
        <x:v>1</x:v>
      </x:c>
      <x:c r="I1172" s="30" t="str">
        <x:v>A5</x:v>
      </x:c>
      <x:c r="J1172" s="31" t="str">
        <x:v>1st interview | Self intro | Major responsibilities in deal, company and industry overview</x:v>
      </x:c>
    </x:row>
    <x:row r="1173" ht="48" customHeight="1">
      <x:c r="A1173" s="30" t="str">
        <x:v>QB1893</x:v>
      </x:c>
      <x:c r="B1173" s="30" t="str">
        <x:v>Lazard</x:v>
      </x:c>
      <x:c r="C1173" s="30" t="str">
        <x:v>IBD / GCM</x:v>
      </x:c>
      <x:c r="D1173" s="31" t="str">
        <x:v>What are the main factors of choosing the final buyer in M&amp;A as a sellside advisor?</x:v>
      </x:c>
      <x:c r="E1173" s="31" t="str">
        <x:v>What are the main factors of choosing the final buyer in M&amp;A as a sellside advisor</x:v>
      </x:c>
      <x:c r="F1173" s="31" t="str">
        <x:v>M&amp;A</x:v>
      </x:c>
      <x:c r="G1173" s="30" t="str">
        <x:v>CL0883</x:v>
      </x:c>
      <x:c r="H1173" s="32" t="n">
        <x:f>COUNTIF($G$5:$G$1725,G1173)</x:f>
        <x:v>1</x:v>
      </x:c>
      <x:c r="I1173" s="30" t="str">
        <x:v>A6</x:v>
      </x:c>
      <x:c r="J1173" s="31" t="str">
        <x:v>Self intro | Major responsibilities in deal, company and industry overview | Process of M&amp;A?</x:v>
      </x:c>
    </x:row>
    <x:row r="1174" ht="48" customHeight="1">
      <x:c r="A1174" s="30" t="str">
        <x:v>QB1894</x:v>
      </x:c>
      <x:c r="B1174" s="30" t="str">
        <x:v>Lazard</x:v>
      </x:c>
      <x:c r="C1174" s="30" t="str">
        <x:v>IBD / GCM</x:v>
      </x:c>
      <x:c r="D1174" s="31" t="str">
        <x:v>How do you do the buyer research for project 1</x:v>
      </x:c>
      <x:c r="E1174" s="31" t="str">
        <x:v>How do you do the buyer research for project 1</x:v>
      </x:c>
      <x:c r="F1174" s="31" t="str">
        <x:v>M&amp;A</x:v>
      </x:c>
      <x:c r="G1174" s="30" t="str">
        <x:v>CL0407</x:v>
      </x:c>
      <x:c r="H1174" s="32" t="n">
        <x:f>COUNTIF($G$5:$G$1725,G1174)</x:f>
        <x:v>1</x:v>
      </x:c>
      <x:c r="I1174" s="30" t="str">
        <x:v>C6</x:v>
      </x:c>
      <x:c r="J1174" s="31" t="str">
        <x:v>Self introduction | Walk through one of the projects you have engaged in | CV experiences deep-dive</x:v>
      </x:c>
    </x:row>
    <x:row r="1175" ht="68" customHeight="1">
      <x:c r="A1175" s="30" t="str">
        <x:v>QB1895</x:v>
      </x:c>
      <x:c r="B1175" s="30" t="str">
        <x:v>Lazard</x:v>
      </x:c>
      <x:c r="C1175" s="30" t="str">
        <x:v>IBD / GCM</x:v>
      </x:c>
      <x:c r="D1175" s="31" t="str">
        <x:v>Walk me through DCF and WACC for formula</x:v>
      </x:c>
      <x:c r="E1175" s="31" t="str">
        <x:v>Walk me through DCF and WACC for formula</x:v>
      </x:c>
      <x:c r="F1175" s="31" t="str">
        <x:v>Valuation</x:v>
      </x:c>
      <x:c r="G1175" s="30" t="str">
        <x:v>CL0831</x:v>
      </x:c>
      <x:c r="H1175" s="32" t="n">
        <x:f>COUNTIF($G$5:$G$1725,G1175)</x:f>
        <x:v>1</x:v>
      </x:c>
      <x:c r="I1175" s="30" t="str">
        <x:v>A7</x:v>
      </x:c>
      <x:c r="J1175" s="31" t="str">
        <x:v>Major responsibilities in deal, company and industry overview | Process of M&amp;A? | What are the main factors of choosing the final buyer in M&amp;A as a sellside advisor?</x:v>
      </x:c>
    </x:row>
    <x:row r="1176" ht="48" customHeight="1">
      <x:c r="A1176" s="30" t="str">
        <x:v>QB1896</x:v>
      </x:c>
      <x:c r="B1176" s="30" t="str">
        <x:v>Lazard</x:v>
      </x:c>
      <x:c r="C1176" s="30" t="str">
        <x:v>IBD / GCM</x:v>
      </x:c>
      <x:c r="D1176" s="31" t="str">
        <x:v>What is the market dynamic of this sector</x:v>
      </x:c>
      <x:c r="E1176" s="31" t="str">
        <x:v>What is the market dynamic of this sector</x:v>
      </x:c>
      <x:c r="F1176" s="31" t="str">
        <x:v>Accounting &amp; Financial Statements</x:v>
      </x:c>
      <x:c r="G1176" s="30" t="str">
        <x:v>CL0984</x:v>
      </x:c>
      <x:c r="H1176" s="32" t="n">
        <x:f>COUNTIF($G$5:$G$1725,G1176)</x:f>
        <x:v>1</x:v>
      </x:c>
      <x:c r="I1176" s="30" t="str">
        <x:v>C7</x:v>
      </x:c>
      <x:c r="J1176" s="31" t="str">
        <x:v>Walk through one of the projects you have engaged in | CV experiences deep-dive | How do you do the buyer research for project 1</x:v>
      </x:c>
    </x:row>
    <x:row r="1177" ht="48" customHeight="1">
      <x:c r="A1177" s="30" t="str">
        <x:v>QB1897</x:v>
      </x:c>
      <x:c r="B1177" s="30" t="str">
        <x:v>Lazard</x:v>
      </x:c>
      <x:c r="C1177" s="30" t="str">
        <x:v>IBD / GCM</x:v>
      </x:c>
      <x:c r="D1177" s="31" t="str">
        <x:v>Buying intangible asset counted as CAPEX?</x:v>
      </x:c>
      <x:c r="E1177" s="31" t="str">
        <x:v>Buying intangible asset counted as CAPEX</x:v>
      </x:c>
      <x:c r="F1177" s="31" t="str">
        <x:v>Other Question</x:v>
      </x:c>
      <x:c r="G1177" s="30" t="str">
        <x:v>CL0179</x:v>
      </x:c>
      <x:c r="H1177" s="32" t="n">
        <x:f>COUNTIF($G$5:$G$1725,G1177)</x:f>
        <x:v>1</x:v>
      </x:c>
      <x:c r="I1177" s="30" t="str">
        <x:v>A8</x:v>
      </x:c>
      <x:c r="J1177" s="31" t="str">
        <x:v>Process of M&amp;A? | What are the main factors of choosing the final buyer in M&amp;A as a sellside advisor? | Walk me through DCF and WACC for formula</x:v>
      </x:c>
    </x:row>
    <x:row r="1178" ht="68" customHeight="1">
      <x:c r="A1178" s="30" t="str">
        <x:v>QB1899</x:v>
      </x:c>
      <x:c r="B1178" s="30" t="str">
        <x:v>Lazard</x:v>
      </x:c>
      <x:c r="C1178" s="30" t="str">
        <x:v>IBD / GCM</x:v>
      </x:c>
      <x:c r="D1178" s="31" t="str">
        <x:v>For private company, what equity value should we use when calculating its enterprise value / % of equity when calculating WACC?</x:v>
      </x:c>
      <x:c r="E1178" s="31" t="str">
        <x:v>Bridge equity value to enterprise value</x:v>
      </x:c>
      <x:c r="F1178" s="31" t="str">
        <x:v>Valuation</x:v>
      </x:c>
      <x:c r="G1178" s="30" t="str">
        <x:v>CL0015</x:v>
      </x:c>
      <x:c r="H1178" s="32" t="n">
        <x:f>COUNTIF($G$5:$G$1725,G1178)</x:f>
        <x:v>8</x:v>
      </x:c>
      <x:c r="I1178" s="30" t="str">
        <x:v>A9</x:v>
      </x:c>
      <x:c r="J1178" s="31" t="str">
        <x:v>What are the main factors of choosing the final buyer in M&amp;A as a sellside advisor? | Walk me through DCF and WACC for formula | Buying intangible asset counted as CAPEX?</x:v>
      </x:c>
    </x:row>
    <x:row r="1179" ht="48" customHeight="1">
      <x:c r="A1179" s="30" t="str">
        <x:v>QB1900</x:v>
      </x:c>
      <x:c r="B1179" s="30" t="str">
        <x:v>Lazard</x:v>
      </x:c>
      <x:c r="C1179" s="30" t="str">
        <x:v>IBD / GCM</x:v>
      </x:c>
      <x:c r="D1179" s="31" t="str">
        <x:v>What is the 3 ways of privitization and what’s the difference</x:v>
      </x:c>
      <x:c r="E1179" s="31" t="str">
        <x:v>What is the 3 ways of privitization and what’s the difference</x:v>
      </x:c>
      <x:c r="F1179" s="31" t="str">
        <x:v>Accounting &amp; Financial Statements</x:v>
      </x:c>
      <x:c r="G1179" s="30" t="str">
        <x:v>CL0973</x:v>
      </x:c>
      <x:c r="H1179" s="32" t="n">
        <x:f>COUNTIF($G$5:$G$1725,G1179)</x:f>
        <x:v>1</x:v>
      </x:c>
      <x:c r="I1179" s="30" t="str">
        <x:v>C9</x:v>
      </x:c>
      <x:c r="J1179" s="31" t="str">
        <x:v>How do you do the buyer research for project 1 | What is the market dynamic of this sector | Context/background of project 2</x:v>
      </x:c>
    </x:row>
    <x:row r="1180" ht="68" customHeight="1">
      <x:c r="A1180" s="30" t="str">
        <x:v>QB1901</x:v>
      </x:c>
      <x:c r="B1180" s="30" t="str">
        <x:v>Lazard</x:v>
      </x:c>
      <x:c r="C1180" s="30" t="str">
        <x:v>IBD / GCM</x:v>
      </x:c>
      <x:c r="D1180" s="31" t="str">
        <x:v>Why we can use book value since book value differs a lot from market value?</x:v>
      </x:c>
      <x:c r="E1180" s="31" t="str">
        <x:v>Why we can use book value since book value differs a lot from market value</x:v>
      </x:c>
      <x:c r="F1180" s="31" t="str">
        <x:v>Fit &amp; Motivation</x:v>
      </x:c>
      <x:c r="G1180" s="30" t="str">
        <x:v>CL1174</x:v>
      </x:c>
      <x:c r="H1180" s="32" t="n">
        <x:f>COUNTIF($G$5:$G$1725,G1180)</x:f>
        <x:v>1</x:v>
      </x:c>
      <x:c r="I1180" s="30" t="str">
        <x:v>A10</x:v>
      </x:c>
      <x:c r="J1180" s="31" t="str">
        <x:v>Walk me through DCF and WACC for formula | Buying intangible asset counted as CAPEX? | For private company, what equity value should we use when calculating its enterprise value / % of equity when calculating WACC?</x:v>
      </x:c>
    </x:row>
    <x:row r="1181" ht="48" customHeight="1">
      <x:c r="A1181" s="30" t="str">
        <x:v>QB1902</x:v>
      </x:c>
      <x:c r="B1181" s="30" t="str">
        <x:v>Lazard</x:v>
      </x:c>
      <x:c r="C1181" s="30" t="str">
        <x:v>IBD / GCM</x:v>
      </x:c>
      <x:c r="D1181" s="31" t="str">
        <x:v>Walk me through DCF</x:v>
      </x:c>
      <x:c r="E1181" s="31" t="str">
        <x:v>Walk me through DCF</x:v>
      </x:c>
      <x:c r="F1181" s="31" t="str">
        <x:v>Valuation</x:v>
      </x:c>
      <x:c r="G1181" s="30" t="str">
        <x:v>CL0013</x:v>
      </x:c>
      <x:c r="H1181" s="32" t="n">
        <x:f>COUNTIF($G$5:$G$1725,G1181)</x:f>
        <x:v>10</x:v>
      </x:c>
      <x:c r="I1181" s="30" t="str">
        <x:v>C10</x:v>
      </x:c>
      <x:c r="J1181" s="31" t="str">
        <x:v>What is the market dynamic of this sector | Context/background of project 2 | What is the 3 ways of privitization and what’s the difference</x:v>
      </x:c>
    </x:row>
    <x:row r="1182" ht="48" customHeight="1">
      <x:c r="A1182" s="30" t="str">
        <x:v>QB1903</x:v>
      </x:c>
      <x:c r="B1182" s="30" t="str">
        <x:v>Lazard</x:v>
      </x:c>
      <x:c r="C1182" s="30" t="str">
        <x:v>IBD / GCM</x:v>
      </x:c>
      <x:c r="D1182" s="31" t="str">
        <x:v>Revenue to EBIT? WACC?</x:v>
      </x:c>
      <x:c r="E1182" s="31" t="str">
        <x:v>Revenue to EBIT? WACC</x:v>
      </x:c>
      <x:c r="F1182" s="31" t="str">
        <x:v>Valuation</x:v>
      </x:c>
      <x:c r="G1182" s="30" t="str">
        <x:v>CL0664</x:v>
      </x:c>
      <x:c r="H1182" s="32" t="n">
        <x:f>COUNTIF($G$5:$G$1725,G1182)</x:f>
        <x:v>1</x:v>
      </x:c>
      <x:c r="I1182" s="30" t="str">
        <x:v>C11</x:v>
      </x:c>
      <x:c r="J1182" s="31" t="str">
        <x:v>Context/background of project 2 | What is the 3 ways of privitization and what’s the difference | Walk me through DCF</x:v>
      </x:c>
    </x:row>
    <x:row r="1183" ht="48" customHeight="1">
      <x:c r="A1183" s="30" t="str">
        <x:v>QB1905</x:v>
      </x:c>
      <x:c r="B1183" s="30" t="str">
        <x:v>Lazard</x:v>
      </x:c>
      <x:c r="C1183" s="30" t="str">
        <x:v>IBD / GCM</x:v>
      </x:c>
      <x:c r="D1183" s="31" t="str">
        <x:v>How to get capital structure (%equity %debt)</x:v>
      </x:c>
      <x:c r="E1183" s="31" t="str">
        <x:v>How should a company choose between debt and equity financing?</x:v>
      </x:c>
      <x:c r="F1183" s="31" t="str">
        <x:v>Other Question</x:v>
      </x:c>
      <x:c r="G1183" s="30" t="str">
        <x:v>CL0005</x:v>
      </x:c>
      <x:c r="H1183" s="32" t="n">
        <x:f>COUNTIF($G$5:$G$1725,G1183)</x:f>
        <x:v>21</x:v>
      </x:c>
      <x:c r="I1183" s="30" t="str">
        <x:v>C12</x:v>
      </x:c>
      <x:c r="J1183" s="31" t="str">
        <x:v>What is the 3 ways of privitization and what’s the difference | Walk me through DCF | Revenue to EBIT? WACC?</x:v>
      </x:c>
    </x:row>
    <x:row r="1184" ht="68" customHeight="1">
      <x:c r="A1184" s="30" t="str">
        <x:v>QB1906</x:v>
      </x:c>
      <x:c r="B1184" s="30" t="str">
        <x:v>Lazard</x:v>
      </x:c>
      <x:c r="C1184" s="30" t="str">
        <x:v>IBD / GCM</x:v>
      </x:c>
      <x:c r="D1184" s="31" t="str">
        <x:v>Self intro</x:v>
      </x:c>
      <x:c r="E1184" s="31" t="str">
        <x:v>Tell me about yourself / walk me through your resume</x:v>
      </x:c>
      <x:c r="F1184" s="31" t="str">
        <x:v>Resume &amp; Experience</x:v>
      </x:c>
      <x:c r="G1184" s="30" t="str">
        <x:v>CL0001</x:v>
      </x:c>
      <x:c r="H1184" s="32" t="n">
        <x:f>COUNTIF($G$5:$G$1725,G1184)</x:f>
        <x:v>170</x:v>
      </x:c>
      <x:c r="I1184" s="30" t="str">
        <x:v>A13</x:v>
      </x:c>
      <x:c r="J1184" s="31" t="str">
        <x:v>For private company, what equity value should we use when calculating its enterprise value / % of equity when calculating WACC? | Why we can use book value since book value differs a lot from market value? | 2nd interview</x:v>
      </x:c>
    </x:row>
    <x:row r="1185" ht="48" customHeight="1">
      <x:c r="A1185" s="30" t="str">
        <x:v>QB1907</x:v>
      </x:c>
      <x:c r="B1185" s="30" t="str">
        <x:v>Lazard</x:v>
      </x:c>
      <x:c r="C1185" s="30" t="str">
        <x:v>IBD / GCM</x:v>
      </x:c>
      <x:c r="D1185" s="31" t="str">
        <x:v>How to get capital structure of private company</x:v>
      </x:c>
      <x:c r="E1185" s="31" t="str">
        <x:v>How to get capital structure of private company</x:v>
      </x:c>
      <x:c r="F1185" s="31" t="str">
        <x:v>Company, Industry &amp; Deals</x:v>
      </x:c>
      <x:c r="G1185" s="30" t="str">
        <x:v>CL0471</x:v>
      </x:c>
      <x:c r="H1185" s="32" t="n">
        <x:f>COUNTIF($G$5:$G$1725,G1185)</x:f>
        <x:v>1</x:v>
      </x:c>
      <x:c r="I1185" s="30" t="str">
        <x:v>C13</x:v>
      </x:c>
      <x:c r="J1185" s="31" t="str">
        <x:v>Walk me through DCF | Revenue to EBIT? WACC? | How to get capital structure (%equity %debt)</x:v>
      </x:c>
    </x:row>
    <x:row r="1186" ht="48" customHeight="1">
      <x:c r="A1186" s="30" t="str">
        <x:v>QB1908</x:v>
      </x:c>
      <x:c r="B1186" s="30" t="str">
        <x:v>Lazard</x:v>
      </x:c>
      <x:c r="C1186" s="30" t="str">
        <x:v>IBD / GCM</x:v>
      </x:c>
      <x:c r="D1186" s="31" t="str">
        <x:v>Major responsibilities in deal, company and industry overview</x:v>
      </x:c>
      <x:c r="E1186" s="31" t="str">
        <x:v>Major responsibilities in deal, company and industry overview</x:v>
      </x:c>
      <x:c r="F1186" s="31" t="str">
        <x:v>Resume &amp; Experience</x:v>
      </x:c>
      <x:c r="G1186" s="30" t="str">
        <x:v>CL0037</x:v>
      </x:c>
      <x:c r="H1186" s="32" t="n">
        <x:f>COUNTIF($G$5:$G$1725,G1186)</x:f>
        <x:v>2</x:v>
      </x:c>
      <x:c r="I1186" s="30" t="str">
        <x:v>A14</x:v>
      </x:c>
      <x:c r="J1186" s="31" t="str">
        <x:v>Why we can use book value since book value differs a lot from market value? | 2nd interview | Self intro</x:v>
      </x:c>
    </x:row>
    <x:row r="1187" ht="48" customHeight="1">
      <x:c r="A1187" s="30" t="str">
        <x:v>QB1909</x:v>
      </x:c>
      <x:c r="B1187" s="30" t="str">
        <x:v>Lazard</x:v>
      </x:c>
      <x:c r="C1187" s="30" t="str">
        <x:v>IBD / GCM</x:v>
      </x:c>
      <x:c r="D1187" s="31" t="str">
        <x:v>What if the private company is a tech company, which its equity value may far exceed its book value (I said manually adjust by looking at comps)</x:v>
      </x:c>
      <x:c r="E1187" s="31" t="str">
        <x:v>What if the private company is a tech company, which its equity value may far exceed its book value (I said manually adjust by looking at comps)</x:v>
      </x:c>
      <x:c r="F1187" s="31" t="str">
        <x:v>Accounting &amp; Financial Statements</x:v>
      </x:c>
      <x:c r="G1187" s="30" t="str">
        <x:v>CL0955</x:v>
      </x:c>
      <x:c r="H1187" s="32" t="n">
        <x:f>COUNTIF($G$5:$G$1725,G1187)</x:f>
        <x:v>1</x:v>
      </x:c>
      <x:c r="I1187" s="30" t="str">
        <x:v>C14</x:v>
      </x:c>
      <x:c r="J1187" s="31" t="str">
        <x:v>Revenue to EBIT? WACC? | How to get capital structure (%equity %debt) | How to get capital structure of private company</x:v>
      </x:c>
    </x:row>
    <x:row r="1188" ht="32" customHeight="1">
      <x:c r="A1188" s="30" t="str">
        <x:v>QB1910</x:v>
      </x:c>
      <x:c r="B1188" s="30" t="str">
        <x:v>Lazard</x:v>
      </x:c>
      <x:c r="C1188" s="30" t="str">
        <x:v>IBD / GCM</x:v>
      </x:c>
      <x:c r="D1188" s="31" t="str">
        <x:v>Why CPS vs debt or common equity?</x:v>
      </x:c>
      <x:c r="E1188" s="31" t="str">
        <x:v>How should a company choose between debt and equity financing?</x:v>
      </x:c>
      <x:c r="F1188" s="31" t="str">
        <x:v>Fit &amp; Motivation</x:v>
      </x:c>
      <x:c r="G1188" s="30" t="str">
        <x:v>CL0005</x:v>
      </x:c>
      <x:c r="H1188" s="32" t="n">
        <x:f>COUNTIF($G$5:$G$1725,G1188)</x:f>
        <x:v>21</x:v>
      </x:c>
      <x:c r="I1188" s="30" t="str">
        <x:v>A15</x:v>
      </x:c>
      <x:c r="J1188" s="31" t="str">
        <x:v>2nd interview | Self intro | Major responsibilities in deal, company and industry overview</x:v>
      </x:c>
    </x:row>
    <x:row r="1189" ht="68" customHeight="1">
      <x:c r="A1189" s="30" t="str">
        <x:v>QB1911</x:v>
      </x:c>
      <x:c r="B1189" s="30" t="str">
        <x:v>Lazard</x:v>
      </x:c>
      <x:c r="C1189" s="30" t="str">
        <x:v>IBD / GCM</x:v>
      </x:c>
      <x:c r="D1189" s="31" t="str">
        <x:v>What is the process of a buy-side M&amp;A, what would advisor do in each stage</x:v>
      </x:c>
      <x:c r="E1189" s="31" t="str">
        <x:v>What is the process of a buy-side M&amp;A, what would advisor do in each stage</x:v>
      </x:c>
      <x:c r="F1189" s="31" t="str">
        <x:v>Accounting &amp; Financial Statements</x:v>
      </x:c>
      <x:c r="G1189" s="30" t="str">
        <x:v>CL0990</x:v>
      </x:c>
      <x:c r="H1189" s="32" t="n">
        <x:f>COUNTIF($G$5:$G$1725,G1189)</x:f>
        <x:v>1</x:v>
      </x:c>
      <x:c r="I1189" s="30" t="str">
        <x:v>C15</x:v>
      </x:c>
      <x:c r="J1189" s="31" t="str">
        <x:v>How to get capital structure (%equity %debt) | How to get capital structure of private company | What if the private company is a tech company, which its equity value may far exceed its book value (I said manually adjust by looking at co...</x:v>
      </x:c>
    </x:row>
    <x:row r="1190" ht="48" customHeight="1">
      <x:c r="A1190" s="30" t="str">
        <x:v>QB1912</x:v>
      </x:c>
      <x:c r="B1190" s="30" t="str">
        <x:v>Lazard</x:v>
      </x:c>
      <x:c r="C1190" s="30" t="str">
        <x:v>IBD / GCM</x:v>
      </x:c>
      <x:c r="D1190" s="31" t="str">
        <x:v>What are typical components in CIM and Management presentation?</x:v>
      </x:c>
      <x:c r="E1190" s="31" t="str">
        <x:v>What are typical components in CIM and Management presentation</x:v>
      </x:c>
      <x:c r="F1190" s="31" t="str">
        <x:v>Other Question</x:v>
      </x:c>
      <x:c r="G1190" s="30" t="str">
        <x:v>CL0885</x:v>
      </x:c>
      <x:c r="H1190" s="32" t="n">
        <x:f>COUNTIF($G$5:$G$1725,G1190)</x:f>
        <x:v>1</x:v>
      </x:c>
      <x:c r="I1190" s="30" t="str">
        <x:v>A16</x:v>
      </x:c>
      <x:c r="J1190" s="31" t="str">
        <x:v>Self intro | Major responsibilities in deal, company and industry overview | Why CPS vs debt or common equity?</x:v>
      </x:c>
    </x:row>
    <x:row r="1191" ht="92" customHeight="1">
      <x:c r="A1191" s="30" t="str">
        <x:v>QB1913</x:v>
      </x:c>
      <x:c r="B1191" s="30" t="str">
        <x:v>Lazard</x:v>
      </x:c>
      <x:c r="C1191" s="30" t="str">
        <x:v>IBD / GCM</x:v>
      </x:c>
      <x:c r="D1191"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E1191"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F1191" s="31" t="str">
        <x:v>Accounting &amp; Financial Statements</x:v>
      </x:c>
      <x:c r="G1191" s="30" t="str">
        <x:v>CL0535</x:v>
      </x:c>
      <x:c r="H1191" s="32" t="n">
        <x:f>COUNTIF($G$5:$G$1725,G1191)</x:f>
        <x:v>1</x:v>
      </x:c>
      <x:c r="I1191" s="30" t="str">
        <x:v>C16</x:v>
      </x:c>
      <x:c r="J1191" s="31" t="str">
        <x:v>How to get capital structure of private company | What if the private company is a tech company, which its equity value may far exceed its book value (I said manually adjust by looking at comps) | What is the process of a buy-side M&amp;A, w...</x:v>
      </x:c>
    </x:row>
    <x:row r="1192" ht="68" customHeight="1">
      <x:c r="A1192" s="30" t="str">
        <x:v>QB1914</x:v>
      </x:c>
      <x:c r="B1192" s="30" t="str">
        <x:v>Lazard</x:v>
      </x:c>
      <x:c r="C1192" s="30" t="str">
        <x:v>IBD / GCM</x:v>
      </x:c>
      <x:c r="D1192" s="31" t="str">
        <x:v>What did you work on for the operational overview</x:v>
      </x:c>
      <x:c r="E1192" s="31" t="str">
        <x:v>What did you work on for the operational overview</x:v>
      </x:c>
      <x:c r="F1192" s="31" t="str">
        <x:v>Company, Industry &amp; Deals</x:v>
      </x:c>
      <x:c r="G1192" s="30" t="str">
        <x:v>CL0910</x:v>
      </x:c>
      <x:c r="H1192" s="32" t="n">
        <x:f>COUNTIF($G$5:$G$1725,G1192)</x:f>
        <x:v>1</x:v>
      </x:c>
      <x:c r="I1192" s="30" t="str">
        <x:v>A17</x:v>
      </x:c>
      <x:c r="J1192" s="31" t="str">
        <x:v>Major responsibilities in deal, company and industry overview | Why CPS vs debt or common equity? | What are typical components in CIM and Management presentation?</x:v>
      </x:c>
    </x:row>
    <x:row r="1193" ht="48" customHeight="1">
      <x:c r="A1193" s="30" t="str">
        <x:v>QB1915</x:v>
      </x:c>
      <x:c r="B1193" s="30" t="str">
        <x:v>Lazard</x:v>
      </x:c>
      <x:c r="C1193" s="30" t="str">
        <x:v>IBD / GCM</x:v>
      </x:c>
      <x:c r="D1193" s="31" t="str">
        <x:v>How did you project the revenue?</x:v>
      </x:c>
      <x:c r="E1193" s="31" t="str">
        <x:v>How did you project the revenue</x:v>
      </x:c>
      <x:c r="F1193" s="31" t="str">
        <x:v>Company, Industry &amp; Deals</x:v>
      </x:c>
      <x:c r="G1193" s="30" t="str">
        <x:v>CL0391</x:v>
      </x:c>
      <x:c r="H1193" s="32" t="n">
        <x:f>COUNTIF($G$5:$G$1725,G1193)</x:f>
        <x:v>1</x:v>
      </x:c>
      <x:c r="I1193" s="30" t="str">
        <x:v>A18</x:v>
      </x:c>
      <x:c r="J1193" s="31" t="str">
        <x:v>Why CPS vs debt or common equity? | What are typical components in CIM and Management presentation? | What did you work on for the operational overview</x:v>
      </x:c>
    </x:row>
    <x:row r="1194" ht="48" customHeight="1">
      <x:c r="A1194" s="30" t="str">
        <x:v>QB1917</x:v>
      </x:c>
      <x:c r="B1194" s="30" t="str">
        <x:v>Lazard</x:v>
      </x:c>
      <x:c r="C1194" s="30" t="str">
        <x:v>IBD / GCM</x:v>
      </x:c>
      <x:c r="D1194" s="31" t="str">
        <x:v>How does the company's cash flow look like?</x:v>
      </x:c>
      <x:c r="E1194" s="31" t="str">
        <x:v>How does the company's cash flow look like</x:v>
      </x:c>
      <x:c r="F1194" s="31" t="str">
        <x:v>Accounting &amp; Financial Statements</x:v>
      </x:c>
      <x:c r="G1194" s="30" t="str">
        <x:v>CL0435</x:v>
      </x:c>
      <x:c r="H1194" s="32" t="n">
        <x:f>COUNTIF($G$5:$G$1725,G1194)</x:f>
        <x:v>1</x:v>
      </x:c>
      <x:c r="I1194" s="30" t="str">
        <x:v>A19</x:v>
      </x:c>
      <x:c r="J1194" s="31" t="str">
        <x:v>What are typical components in CIM and Management presentation? | What did you work on for the operational overview | How did you project the revenue?</x:v>
      </x:c>
    </x:row>
    <x:row r="1195" ht="118" customHeight="1">
      <x:c r="A1195" s="30" t="str">
        <x:v>QB1918</x:v>
      </x:c>
      <x:c r="B1195" s="30" t="str">
        <x:v>Lazard</x:v>
      </x:c>
      <x:c r="C1195" s="30" t="str">
        <x:v>IBD / GCM</x:v>
      </x:c>
      <x:c r="D1195" s="31" t="str">
        <x:v>Self introduction</x:v>
      </x:c>
      <x:c r="E1195" s="31" t="str">
        <x:v>Tell me about yourself / walk me through your resume</x:v>
      </x:c>
      <x:c r="F1195" s="31" t="str">
        <x:v>Resume &amp; Experience</x:v>
      </x:c>
      <x:c r="G1195" s="30" t="str">
        <x:v>CL0001</x:v>
      </x:c>
      <x:c r="H1195" s="32" t="n">
        <x:f>COUNTIF($G$5:$G$1725,G1195)</x:f>
        <x:v>170</x:v>
      </x:c>
      <x:c r="I1195" s="30" t="str">
        <x:v>C19</x:v>
      </x:c>
      <x:c r="J1195" s="31" t="str">
        <x:v>What is the process of a buy-side M&amp;A, what would advisor do in each stage | If your client is a PE 100% exit, and you get 3 bids, how would you decide who to sign the SPA with? Anything to look at besides price? (I asked for her suggest...</x:v>
      </x:c>
    </x:row>
    <x:row r="1196" ht="48" customHeight="1">
      <x:c r="A1196" s="30" t="str">
        <x:v>QB1919</x:v>
      </x:c>
      <x:c r="B1196" s="30" t="str">
        <x:v>Lazard</x:v>
      </x:c>
      <x:c r="C1196" s="30" t="str">
        <x:v>IBD / GCM</x:v>
      </x:c>
      <x:c r="D1196" s="31" t="str">
        <x:v>Walk me through the stock pitch in Daiwa. Company and valuation, business model</x:v>
      </x:c>
      <x:c r="E1196" s="31" t="str">
        <x:v>Pitch me a stock</x:v>
      </x:c>
      <x:c r="F1196" s="31" t="str">
        <x:v>Valuation</x:v>
      </x:c>
      <x:c r="G1196" s="30" t="str">
        <x:v>CL0006</x:v>
      </x:c>
      <x:c r="H1196" s="32" t="n">
        <x:f>COUNTIF($G$5:$G$1725,G1196)</x:f>
        <x:v>19</x:v>
      </x:c>
      <x:c r="I1196" s="30" t="str">
        <x:v>A20</x:v>
      </x:c>
      <x:c r="J1196" s="31" t="str">
        <x:v>What did you work on for the operational overview | How did you project the revenue? | How does the company's cash flow look like?</x:v>
      </x:c>
    </x:row>
    <x:row r="1197" ht="118" customHeight="1">
      <x:c r="A1197" s="30" t="str">
        <x:v>QB1920</x:v>
      </x:c>
      <x:c r="B1197" s="30" t="str">
        <x:v>Lazard</x:v>
      </x:c>
      <x:c r="C1197" s="30" t="str">
        <x:v>IBD / GCM</x:v>
      </x:c>
      <x:c r="D1197" s="31" t="str">
        <x:v>CV project - ask in detail abt a CIM on market / investment rationale / sale process walk through</x:v>
      </x:c>
      <x:c r="E1197" s="31" t="str">
        <x:v>CV project - ask in detail abt a CIM on market / investment rationale / sale process walk through</x:v>
      </x:c>
      <x:c r="F1197" s="31" t="str">
        <x:v>Resume &amp; Experience</x:v>
      </x:c>
      <x:c r="G1197" s="30" t="str">
        <x:v>CL0213</x:v>
      </x:c>
      <x:c r="H1197" s="32" t="n">
        <x:f>COUNTIF($G$5:$G$1725,G1197)</x:f>
        <x:v>1</x:v>
      </x:c>
      <x:c r="I1197" s="30" t="str">
        <x:v>C20</x:v>
      </x:c>
      <x:c r="J1197" s="31" t="str">
        <x:v>If your client is a PE 100% exit, and you get 3 bids, how would you decide who to sign the SPA with? Anything to look at besides price? (I asked for her suggested answer in the ask back, she mention Compliance - if the target is a US com...</x:v>
      </x:c>
    </x:row>
    <x:row r="1198" ht="48" customHeight="1">
      <x:c r="A1198" s="30" t="str">
        <x:v>QB1921</x:v>
      </x:c>
      <x:c r="B1198" s="30" t="str">
        <x:v>Lazard</x:v>
      </x:c>
      <x:c r="C1198" s="30" t="str">
        <x:v>IBD / GCM</x:v>
      </x:c>
      <x:c r="D1198" s="31" t="str">
        <x:v>What multiples you used for comps? EV/MW makes sense?</x:v>
      </x:c>
      <x:c r="E1198" s="31" t="str">
        <x:v>What multiples you used for comps? EV/MW makes sense</x:v>
      </x:c>
      <x:c r="F1198" s="31" t="str">
        <x:v>Valuation</x:v>
      </x:c>
      <x:c r="G1198" s="30" t="str">
        <x:v>CL1019</x:v>
      </x:c>
      <x:c r="H1198" s="32" t="n">
        <x:f>COUNTIF($G$5:$G$1725,G1198)</x:f>
        <x:v>1</x:v>
      </x:c>
      <x:c r="I1198" s="30" t="str">
        <x:v>A21</x:v>
      </x:c>
      <x:c r="J1198" s="31" t="str">
        <x:v>How did you project the revenue? | How does the company's cash flow look like? | Walk me through the stock pitch in Daiwa. Company and valuation, business model</x:v>
      </x:c>
    </x:row>
    <x:row r="1199" ht="68" customHeight="1">
      <x:c r="A1199" s="30" t="str">
        <x:v>QB1922</x:v>
      </x:c>
      <x:c r="B1199" s="30" t="str">
        <x:v>Lazard</x:v>
      </x:c>
      <x:c r="C1199" s="30" t="str">
        <x:v>IBD / GCM</x:v>
      </x:c>
      <x:c r="D1199" s="31" t="str">
        <x:v>What part of CIM I did? How long have you stayed in this company and how long does the CIM takes</x:v>
      </x:c>
      <x:c r="E1199" s="31" t="str">
        <x:v>What part of CIM I did? How long have you stayed in this company and how long does the CIM takes</x:v>
      </x:c>
      <x:c r="F1199" s="31" t="str">
        <x:v>Company, Industry &amp; Deals</x:v>
      </x:c>
      <x:c r="G1199" s="30" t="str">
        <x:v>CL1025</x:v>
      </x:c>
      <x:c r="H1199" s="32" t="n">
        <x:f>COUNTIF($G$5:$G$1725,G1199)</x:f>
        <x:v>1</x:v>
      </x:c>
      <x:c r="I1199" s="30" t="str">
        <x:v>C21</x:v>
      </x:c>
      <x:c r="J1199" s="31" t="str">
        <x:v>2nd Interview - Junnan Zhang (Director) in English | Self introduction | CV project - ask in detail abt a CIM on market / investment rationale / sale process walk through</x:v>
      </x:c>
    </x:row>
    <x:row r="1200" ht="68" customHeight="1">
      <x:c r="A1200" s="30" t="str">
        <x:v>QB1923</x:v>
      </x:c>
      <x:c r="B1200" s="30" t="str">
        <x:v>Lazard</x:v>
      </x:c>
      <x:c r="C1200" s="30" t="str">
        <x:v>IBD / GCM</x:v>
      </x:c>
      <x:c r="D1200" s="31" t="str">
        <x:v>DCF revenue stream breakdown?</x:v>
      </x:c>
      <x:c r="E1200" s="31" t="str">
        <x:v>DCF revenue stream breakdown</x:v>
      </x:c>
      <x:c r="F1200" s="31" t="str">
        <x:v>Valuation</x:v>
      </x:c>
      <x:c r="G1200" s="30" t="str">
        <x:v>CL0227</x:v>
      </x:c>
      <x:c r="H1200" s="32" t="n">
        <x:f>COUNTIF($G$5:$G$1725,G1200)</x:f>
        <x:v>1</x:v>
      </x:c>
      <x:c r="I1200" s="30" t="str">
        <x:v>A22</x:v>
      </x:c>
      <x:c r="J1200" s="31" t="str">
        <x:v>How does the company's cash flow look like? | Walk me through the stock pitch in Daiwa. Company and valuation, business model | What multiples you used for comps? EV/MW makes sense?</x:v>
      </x:c>
    </x:row>
    <x:row r="1201" ht="68" customHeight="1">
      <x:c r="A1201" s="30" t="str">
        <x:v>QB1924</x:v>
      </x:c>
      <x:c r="B1201" s="30" t="str">
        <x:v>Lazard</x:v>
      </x:c>
      <x:c r="C1201" s="30" t="str">
        <x:v>IBD / GCM</x:v>
      </x:c>
      <x:c r="D1201" s="31" t="str">
        <x:v>What is the part of IBD work that I love the most and hate the most</x:v>
      </x:c>
      <x:c r="E1201" s="31" t="str">
        <x:v>What is the part of IBD work that I love the most and hate the most</x:v>
      </x:c>
      <x:c r="F1201" s="31" t="str">
        <x:v>Accounting &amp; Financial Statements</x:v>
      </x:c>
      <x:c r="G1201" s="30" t="str">
        <x:v>CL0989</x:v>
      </x:c>
      <x:c r="H1201" s="32" t="n">
        <x:f>COUNTIF($G$5:$G$1725,G1201)</x:f>
        <x:v>1</x:v>
      </x:c>
      <x:c r="I1201" s="30" t="str">
        <x:v>C22</x:v>
      </x:c>
      <x:c r="J1201" s="31" t="str">
        <x:v>Self introduction | CV project - ask in detail abt a CIM on market / investment rationale / sale process walk through | What part of CIM I did? How long have you stayed in this company and how long does the CIM takes</x:v>
      </x:c>
    </x:row>
    <x:row r="1202" ht="68" customHeight="1">
      <x:c r="A1202" s="30" t="str">
        <x:v>QB1925</x:v>
      </x:c>
      <x:c r="B1202" s="30" t="str">
        <x:v>Lazard</x:v>
      </x:c>
      <x:c r="C1202" s="30" t="str">
        <x:v>IBD / GCM</x:v>
      </x:c>
      <x:c r="D1202" s="31" t="str">
        <x:v>About biz model: so only installation? Do they manufacture these products themselves? Do they build factory?</x:v>
      </x:c>
      <x:c r="E1202" s="31" t="str">
        <x:v>About biz model: so only installation? Do they manufacture these products themselves? Do they build factory</x:v>
      </x:c>
      <x:c r="F1202" s="31" t="str">
        <x:v>Other Technical</x:v>
      </x:c>
      <x:c r="G1202" s="30" t="str">
        <x:v>CL0095</x:v>
      </x:c>
      <x:c r="H1202" s="32" t="n">
        <x:f>COUNTIF($G$5:$G$1725,G1202)</x:f>
        <x:v>1</x:v>
      </x:c>
      <x:c r="I1202" s="30" t="str">
        <x:v>A23</x:v>
      </x:c>
      <x:c r="J1202" s="31" t="str">
        <x:v>Walk me through the stock pitch in Daiwa. Company and valuation, business model | What multiples you used for comps? EV/MW makes sense? | DCF revenue stream breakdown?</x:v>
      </x:c>
    </x:row>
    <x:row r="1203" ht="68" customHeight="1">
      <x:c r="A1203" s="30" t="str">
        <x:v>QB1927</x:v>
      </x:c>
      <x:c r="B1203" s="30" t="str">
        <x:v>Lazard</x:v>
      </x:c>
      <x:c r="C1203" s="30" t="str">
        <x:v>IBD / GCM</x:v>
      </x:c>
      <x:c r="D1203" s="31" t="str">
        <x:v>Which business segment has the highest CAPEX? Does not make sense for the EPC segment to have CAPEX, what kind of CAPEX?</x:v>
      </x:c>
      <x:c r="E1203" s="31" t="str">
        <x:v>Which business segment has the highest CAPEX? Does not make sense for the EPC segment to have CAPEX, what kind of CAPEX</x:v>
      </x:c>
      <x:c r="F1203" s="31" t="str">
        <x:v>Other Question</x:v>
      </x:c>
      <x:c r="G1203" s="30" t="str">
        <x:v>CL1091</x:v>
      </x:c>
      <x:c r="H1203" s="32" t="n">
        <x:f>COUNTIF($G$5:$G$1725,G1203)</x:f>
        <x:v>1</x:v>
      </x:c>
      <x:c r="I1203" s="30" t="str">
        <x:v>A24</x:v>
      </x:c>
      <x:c r="J1203" s="31" t="str">
        <x:v>What multiples you used for comps? EV/MW makes sense? | DCF revenue stream breakdown? | About biz model: so only installation? Do they manufacture these products themselves? Do they build factory?</x:v>
      </x:c>
    </x:row>
    <x:row r="1204" ht="68" customHeight="1">
      <x:c r="A1204" s="30" t="str">
        <x:v>QB1928</x:v>
      </x:c>
      <x:c r="B1204" s="30" t="str">
        <x:v>Lazard</x:v>
      </x:c>
      <x:c r="C1204" s="30" t="str">
        <x:v>IBD / GCM</x:v>
      </x:c>
      <x:c r="D1204" s="31" t="str">
        <x:v>What was the team structure of my previous firm like, do I engage with overseas team as well?</x:v>
      </x:c>
      <x:c r="E1204" s="31" t="str">
        <x:v>What was the team structure of my previous firm like, do I engage with overseas team as well</x:v>
      </x:c>
      <x:c r="F1204" s="31" t="str">
        <x:v>Behavioral &amp; Situational</x:v>
      </x:c>
      <x:c r="G1204" s="30" t="str">
        <x:v>CL1036</x:v>
      </x:c>
      <x:c r="H1204" s="32" t="n">
        <x:f>COUNTIF($G$5:$G$1725,G1204)</x:f>
        <x:v>1</x:v>
      </x:c>
      <x:c r="I1204" s="30" t="str">
        <x:v>C24</x:v>
      </x:c>
      <x:c r="J1204" s="31" t="str">
        <x:v>What part of CIM I did? How long have you stayed in this company and how long does the CIM takes | What is the part of IBD work that I love the most and hate the most | % of working on live deals and % of working on regular works</x:v>
      </x:c>
    </x:row>
    <x:row r="1205" ht="68" customHeight="1">
      <x:c r="A1205" s="30" t="str">
        <x:v>QB1929</x:v>
      </x:c>
      <x:c r="B1205" s="30" t="str">
        <x:v>Lazard</x:v>
      </x:c>
      <x:c r="C1205" s="30" t="str">
        <x:v>IBD / GCM</x:v>
      </x:c>
      <x:c r="D1205" s="31" t="str">
        <x:v>Why use the EV/Rev not EBITDA</x:v>
      </x:c>
      <x:c r="E1205" s="31" t="str">
        <x:v>Why use the EV/Rev not EBITDA</x:v>
      </x:c>
      <x:c r="F1205" s="31" t="str">
        <x:v>Fit &amp; Motivation</x:v>
      </x:c>
      <x:c r="G1205" s="30" t="str">
        <x:v>CL1171</x:v>
      </x:c>
      <x:c r="H1205" s="32" t="n">
        <x:f>COUNTIF($G$5:$G$1725,G1205)</x:f>
        <x:v>1</x:v>
      </x:c>
      <x:c r="I1205" s="30" t="str">
        <x:v>C25</x:v>
      </x:c>
      <x:c r="J1205" s="31" t="str">
        <x:v>What is the part of IBD work that I love the most and hate the most | % of working on live deals and % of working on regular works | What was the team structure of my previous firm like, do I engage with overseas team as well?</x:v>
      </x:c>
    </x:row>
    <x:row r="1206" ht="68" customHeight="1">
      <x:c r="A1206" s="30" t="str">
        <x:v>QB1932</x:v>
      </x:c>
      <x:c r="B1206" s="30" t="str">
        <x:v>Lazard</x:v>
      </x:c>
      <x:c r="C1206" s="30" t="str">
        <x:v>IBD / GCM</x:v>
      </x:c>
      <x:c r="D1206" s="31" t="str">
        <x:v>(Aside from the self introduction part, it was conducted in full Mandarin)</x:v>
      </x:c>
      <x:c r="E1206" s="31" t="str">
        <x:v>Tell me about yourself / walk me through your resume</x:v>
      </x:c>
      <x:c r="F1206" s="31" t="str">
        <x:v>Fit &amp; Motivation</x:v>
      </x:c>
      <x:c r="G1206" s="30" t="str">
        <x:v>CL0001</x:v>
      </x:c>
      <x:c r="H1206" s="32" t="n">
        <x:f>COUNTIF($G$5:$G$1725,G1206)</x:f>
        <x:v>170</x:v>
      </x:c>
      <x:c r="I1206" s="30" t="str">
        <x:v>A30</x:v>
      </x:c>
      <x:c r="J1206" s="31" t="str">
        <x:v>Which business segment has the highest CAPEX? Does not make sense for the EPC segment to have CAPEX, what kind of CAPEX? | 2025 Summer - Beata | 1st Interview - Michael</x:v>
      </x:c>
    </x:row>
    <x:row r="1207" ht="48" customHeight="1">
      <x:c r="A1207" s="30" t="str">
        <x:v>QB1933</x:v>
      </x:c>
      <x:c r="B1207" s="30" t="str">
        <x:v>Lazard</x:v>
      </x:c>
      <x:c r="C1207" s="30" t="str">
        <x:v>IBD / GCM</x:v>
      </x:c>
      <x:c r="D1207" s="31" t="str">
        <x:v>What did you do in BNP?</x:v>
      </x:c>
      <x:c r="E1207" s="31" t="str">
        <x:v>What did you do in BNP</x:v>
      </x:c>
      <x:c r="F1207" s="31" t="str">
        <x:v>Resume &amp; Experience</x:v>
      </x:c>
      <x:c r="G1207" s="30" t="str">
        <x:v>CL0026</x:v>
      </x:c>
      <x:c r="H1207" s="32" t="n">
        <x:f>COUNTIF($G$5:$G$1725,G1207)</x:f>
        <x:v>3</x:v>
      </x:c>
      <x:c r="I1207" s="30" t="str">
        <x:v>A31</x:v>
      </x:c>
      <x:c r="J1207" s="31" t="str">
        <x:v>2025 Summer - Beata | 1st Interview - Michael | (Aside from the self introduction part, it was conducted in full Mandarin)</x:v>
      </x:c>
    </x:row>
    <x:row r="1208" ht="48" customHeight="1">
      <x:c r="A1208" s="30" t="str">
        <x:v>QB1935</x:v>
      </x:c>
      <x:c r="B1208" s="30" t="str">
        <x:v>Lazard</x:v>
      </x:c>
      <x:c r="C1208" s="30" t="str">
        <x:v>IBD / GCM</x:v>
      </x:c>
      <x:c r="D1208" s="31" t="str">
        <x:v>那你覺得加盟店最大的挑戰是什麼？</x:v>
      </x:c>
      <x:c r="E1208" s="31" t="str">
        <x:v>那你覺得加盟店最大的挑戰是什麼</x:v>
      </x:c>
      <x:c r="F1208" s="31" t="str">
        <x:v>Other Question</x:v>
      </x:c>
      <x:c r="G1208" s="30" t="str">
        <x:v>CL1257</x:v>
      </x:c>
      <x:c r="H1208" s="32" t="n">
        <x:f>COUNTIF($G$5:$G$1725,G1208)</x:f>
        <x:v>1</x:v>
      </x:c>
      <x:c r="I1208" s="30" t="str">
        <x:v>A33</x:v>
      </x:c>
      <x:c r="J1208" s="31" t="str">
        <x:v>(Aside from the self introduction part, it was conducted in full Mandarin) | What did you do in BNP? | (Talked about a pitch on a Chinese chain restaurant)</x:v>
      </x:c>
    </x:row>
    <x:row r="1209" ht="48" customHeight="1">
      <x:c r="A1209" s="30" t="str">
        <x:v>QB1936</x:v>
      </x:c>
      <x:c r="B1209" s="30" t="str">
        <x:v>Lazard</x:v>
      </x:c>
      <x:c r="C1209" s="30" t="str">
        <x:v>IBD / GCM</x:v>
      </x:c>
      <x:c r="D1209" s="31" t="str">
        <x:v>3 valuation methodologies的優勢和劣勢</x:v>
      </x:c>
      <x:c r="E1209" s="31" t="str">
        <x:v>What are the main valuation methodologies?</x:v>
      </x:c>
      <x:c r="F1209" s="31" t="str">
        <x:v>Valuation</x:v>
      </x:c>
      <x:c r="G1209" s="30" t="str">
        <x:v>CL0010</x:v>
      </x:c>
      <x:c r="H1209" s="32" t="n">
        <x:f>COUNTIF($G$5:$G$1725,G1209)</x:f>
        <x:v>13</x:v>
      </x:c>
      <x:c r="I1209" s="30" t="str">
        <x:v>A34</x:v>
      </x:c>
      <x:c r="J1209" s="31" t="str">
        <x:v>What did you do in BNP? | (Talked about a pitch on a Chinese chain restaurant) | 那你覺得加盟店最大的挑戰是什麼？</x:v>
      </x:c>
    </x:row>
    <x:row r="1210" ht="48" customHeight="1">
      <x:c r="A1210" s="30" t="str">
        <x:v>QB1937</x:v>
      </x:c>
      <x:c r="B1210" s="30" t="str">
        <x:v>Lazard</x:v>
      </x:c>
      <x:c r="C1210" s="30" t="str">
        <x:v>IBD / GCM</x:v>
      </x:c>
      <x:c r="D1210" s="31" t="str">
        <x:v>Transaction comps - 按照A股的披露標準，什麼valuation multiples比較難拿到</x:v>
      </x:c>
      <x:c r="E1210" s="31" t="str">
        <x:v>Transaction comps - 按照A股的披露標準，什麼valuation multiples比較難拿到</x:v>
      </x:c>
      <x:c r="F1210" s="31" t="str">
        <x:v>Valuation</x:v>
      </x:c>
      <x:c r="G1210" s="30" t="str">
        <x:v>CL0803</x:v>
      </x:c>
      <x:c r="H1210" s="32" t="n">
        <x:f>COUNTIF($G$5:$G$1725,G1210)</x:f>
        <x:v>1</x:v>
      </x:c>
      <x:c r="I1210" s="30" t="str">
        <x:v>A35</x:v>
      </x:c>
      <x:c r="J1210" s="31" t="str">
        <x:v>(Talked about a pitch on a Chinese chain restaurant) | 那你覺得加盟店最大的挑戰是什麼？ | 3 valuation methodologies的優勢和劣勢</x:v>
      </x:c>
    </x:row>
    <x:row r="1211" ht="48" customHeight="1">
      <x:c r="A1211" s="30" t="str">
        <x:v>QB1938</x:v>
      </x:c>
      <x:c r="B1211" s="30" t="str">
        <x:v>Lazard</x:v>
      </x:c>
      <x:c r="C1211" s="30" t="str">
        <x:v>IBD / GCM</x:v>
      </x:c>
      <x:c r="D1211" s="31" t="str">
        <x:v>DCF - when to use Gordon Growth Method and when to use Exit Multiple method for TV calculation</x:v>
      </x:c>
      <x:c r="E1211" s="31" t="str">
        <x:v>DCF - when to use Gordon Growth Method and when to use Exit Multiple method for TV calculation</x:v>
      </x:c>
      <x:c r="F1211" s="31" t="str">
        <x:v>Valuation</x:v>
      </x:c>
      <x:c r="G1211" s="30" t="str">
        <x:v>CL0222</x:v>
      </x:c>
      <x:c r="H1211" s="32" t="n">
        <x:f>COUNTIF($G$5:$G$1725,G1211)</x:f>
        <x:v>1</x:v>
      </x:c>
      <x:c r="I1211" s="30" t="str">
        <x:v>A36</x:v>
      </x:c>
      <x:c r="J1211" s="31" t="str">
        <x:v>那你覺得加盟店最大的挑戰是什麼？ | 3 valuation methodologies的優勢和劣勢 | Transaction comps - 按照A股的披露標準，什麼valuation multiples比較難拿到</x:v>
      </x:c>
    </x:row>
    <x:row r="1212" ht="68" customHeight="1">
      <x:c r="A1212" s="30" t="str">
        <x:v>QB1940</x:v>
      </x:c>
      <x:c r="B1212" s="30" t="str">
        <x:v>Lazard</x:v>
      </x:c>
      <x:c r="C1212" s="30" t="str">
        <x:v>IBD / GCM</x:v>
      </x:c>
      <x:c r="D1212" s="31" t="str">
        <x:v>Enterprise Value的公式是什麼、除了standard formula裡面的items還有一些其他什麼items</x:v>
      </x:c>
      <x:c r="E1212" s="31" t="str">
        <x:v>Enterprise Value的公式是什麼、除了standard formula裡面的items還有一些其他什麼items</x:v>
      </x:c>
      <x:c r="F1212" s="31" t="str">
        <x:v>Valuation</x:v>
      </x:c>
      <x:c r="G1212" s="30" t="str">
        <x:v>CL0311</x:v>
      </x:c>
      <x:c r="H1212" s="32" t="n">
        <x:f>COUNTIF($G$5:$G$1725,G1212)</x:f>
        <x:v>1</x:v>
      </x:c>
      <x:c r="I1212" s="30" t="str">
        <x:v>A38</x:v>
      </x:c>
      <x:c r="J1212" s="31" t="str">
        <x:v>Transaction comps - 按照A股的披露標準，什麼valuation multiples比較難拿到 | DCF - when to use Gordon Growth Method and when to use Exit Multiple method for TV calculation | 業務穩定的公司Capex和D&amp;A相差多少</x:v>
      </x:c>
    </x:row>
    <x:row r="1213" ht="32" customHeight="1">
      <x:c r="A1213" s="30" t="str">
        <x:v>QB1945</x:v>
      </x:c>
      <x:c r="B1213" s="30" t="str">
        <x:v>Lazard</x:v>
      </x:c>
      <x:c r="C1213" s="30" t="str">
        <x:v>IBD / GCM</x:v>
      </x:c>
      <x:c r="D1213" s="31" t="str">
        <x:v>trading comps - 汽車零部件公司 怎麼做怎麼著peers 什麼multiples</x:v>
      </x:c>
      <x:c r="E1213" s="31" t="str">
        <x:v>Trading comps - 汽車零部件公司 怎麼做怎麼著peers 什麼multiples</x:v>
      </x:c>
      <x:c r="F1213" s="31" t="str">
        <x:v>Valuation</x:v>
      </x:c>
      <x:c r="G1213" s="30" t="str">
        <x:v>CL0797</x:v>
      </x:c>
      <x:c r="H1213" s="32" t="n">
        <x:f>COUNTIF($G$5:$G$1725,G1213)</x:f>
        <x:v>1</x:v>
      </x:c>
      <x:c r="I1213" s="30" t="str">
        <x:v>A44</x:v>
      </x:c>
      <x:c r="J1213" s="31" t="str">
        <x:v>(Conducted in full Mandarin) | 在BNP做了什麼 | Company profile要包括什麼</x:v>
      </x:c>
    </x:row>
    <x:row r="1214" ht="32" customHeight="1">
      <x:c r="A1214" s="30" t="str">
        <x:v>QB1946</x:v>
      </x:c>
      <x:c r="B1214" s="30" t="str">
        <x:v>Lazard</x:v>
      </x:c>
      <x:c r="C1214" s="30" t="str">
        <x:v>IBD / GCM</x:v>
      </x:c>
      <x:c r="D1214" s="31" t="str">
        <x:v>How to find cost of equity</x:v>
      </x:c>
      <x:c r="E1214" s="31" t="str">
        <x:v>How to find cost of equity</x:v>
      </x:c>
      <x:c r="F1214" s="31" t="str">
        <x:v>Valuation</x:v>
      </x:c>
      <x:c r="G1214" s="30" t="str">
        <x:v>CL0468</x:v>
      </x:c>
      <x:c r="H1214" s="32" t="n">
        <x:f>COUNTIF($G$5:$G$1725,G1214)</x:f>
        <x:v>1</x:v>
      </x:c>
      <x:c r="I1214" s="30" t="str">
        <x:v>A45</x:v>
      </x:c>
      <x:c r="J1214" s="31" t="str">
        <x:v>在BNP做了什麼 | Company profile要包括什麼 | trading comps - 汽車零部件公司 怎麼做怎麼著peers 什麼multiples</x:v>
      </x:c>
    </x:row>
    <x:row r="1215" ht="48" customHeight="1">
      <x:c r="A1215" s="30" t="str">
        <x:v>QB1947</x:v>
      </x:c>
      <x:c r="B1215" s="30" t="str">
        <x:v>Lazard</x:v>
      </x:c>
      <x:c r="C1215" s="30" t="str">
        <x:v>IBD / GCM</x:v>
      </x:c>
      <x:c r="D1215" s="31" t="str">
        <x:v>有一個公司今年會花100capex 這個公司對financial statement什麼影響</x:v>
      </x:c>
      <x:c r="E1215" s="31" t="str">
        <x:v>有一個公司今年會花100capex 這個公司對financial statement什麼影響</x:v>
      </x:c>
      <x:c r="F1215" s="31" t="str">
        <x:v>Accounting &amp; Financial Statements</x:v>
      </x:c>
      <x:c r="G1215" s="30" t="str">
        <x:v>CL1248</x:v>
      </x:c>
      <x:c r="H1215" s="32" t="n">
        <x:f>COUNTIF($G$5:$G$1725,G1215)</x:f>
        <x:v>1</x:v>
      </x:c>
      <x:c r="I1215" s="30" t="str">
        <x:v>A46</x:v>
      </x:c>
      <x:c r="J1215" s="31" t="str">
        <x:v>Company profile要包括什麼 | trading comps - 汽車零部件公司 怎麼做怎麼著peers 什麼multiples | How to find cost of equity</x:v>
      </x:c>
    </x:row>
    <x:row r="1216" ht="48" customHeight="1">
      <x:c r="A1216" s="30" t="str">
        <x:v>QB1950</x:v>
      </x:c>
      <x:c r="B1216" s="30" t="str">
        <x:v>Lazard</x:v>
      </x:c>
      <x:c r="C1216" s="30" t="str">
        <x:v>IBD / GCM</x:v>
      </x:c>
      <x:c r="D1216" s="31" t="str">
        <x:v>What did you do in BNP</x:v>
      </x:c>
      <x:c r="E1216" s="31" t="str">
        <x:v>What did you do in BNP</x:v>
      </x:c>
      <x:c r="F1216" s="31" t="str">
        <x:v>Resume &amp; Experience</x:v>
      </x:c>
      <x:c r="G1216" s="30" t="str">
        <x:v>CL0026</x:v>
      </x:c>
      <x:c r="H1216" s="32" t="n">
        <x:f>COUNTIF($G$5:$G$1725,G1216)</x:f>
        <x:v>3</x:v>
      </x:c>
      <x:c r="I1216" s="30" t="str">
        <x:v>A50</x:v>
      </x:c>
      <x:c r="J1216" s="31" t="str">
        <x:v>有一個公司今年會花100capex 這個公司對financial statement什麼影響 | 10 depreciation會對3FS有什麼影響 | 3rd Interview - Mengxin</x:v>
      </x:c>
    </x:row>
    <x:row r="1217" ht="68" customHeight="1">
      <x:c r="A1217" s="30" t="str">
        <x:v>QB1953</x:v>
      </x:c>
      <x:c r="B1217" s="30" t="str">
        <x:v>Lazard</x:v>
      </x:c>
      <x:c r="C1217" s="30" t="str">
        <x:v>IBD / GCM</x:v>
      </x:c>
      <x:c r="D1217" s="31" t="str">
        <x:v>WACC calculation</x:v>
      </x:c>
      <x:c r="E1217" s="31" t="str">
        <x:v>How do you calculate WACC?</x:v>
      </x:c>
      <x:c r="F1217" s="31" t="str">
        <x:v>Valuation</x:v>
      </x:c>
      <x:c r="G1217" s="30" t="str">
        <x:v>CL0011</x:v>
      </x:c>
      <x:c r="H1217" s="32" t="n">
        <x:f>COUNTIF($G$5:$G$1725,G1217)</x:f>
        <x:v>12</x:v>
      </x:c>
      <x:c r="I1217" s="30" t="str">
        <x:v>A53</x:v>
      </x:c>
      <x:c r="J1217" s="31" t="str">
        <x:v>What did you do in BNP | For the restaurant chain pitch, I mentioned about the chain penetration rate in China vs US, so she asked if you think the penetration rate in China will reach the level in the US in the future | To get FCF from ...</x:v>
      </x:c>
    </x:row>
    <x:row r="1218" ht="68" customHeight="1">
      <x:c r="A1218" s="30" t="str">
        <x:v>QB1954</x:v>
      </x:c>
      <x:c r="B1218" s="30" t="str">
        <x:v>Lazard</x:v>
      </x:c>
      <x:c r="C1218" s="30" t="str">
        <x:v>IBD / GCM</x:v>
      </x:c>
      <x:c r="D1218" s="31" t="str">
        <x:v>Your client is a pe, it wants to sell a pets portfolio company, help it sell, 3 submitted offers showing interest, how to choose the buyer</x:v>
      </x:c>
      <x:c r="E1218" s="31" t="str">
        <x:v>Your client is a pe, it wants to sell a pets portfolio company, help it sell, 3 submitted offers showing interest, how to choose the buyer</x:v>
      </x:c>
      <x:c r="F1218" s="31" t="str">
        <x:v>Accounting &amp; Financial Statements</x:v>
      </x:c>
      <x:c r="G1218" s="30" t="str">
        <x:v>CL1213</x:v>
      </x:c>
      <x:c r="H1218" s="32" t="n">
        <x:f>COUNTIF($G$5:$G$1725,G1218)</x:f>
        <x:v>1</x:v>
      </x:c>
      <x:c r="I1218" s="30" t="str">
        <x:v>A54</x:v>
      </x:c>
      <x:c r="J1218" s="31" t="str">
        <x:v>For the restaurant chain pitch, I mentioned about the chain penetration rate in China vs US, so she asked if you think the penetration rate in China will reach the level in the US in the future | To get FCF from revenue | WACC calculation</x:v>
      </x:c>
    </x:row>
    <x:row r="1219" ht="68" customHeight="1">
      <x:c r="A1219" s="30" t="str">
        <x:v>QB1955</x:v>
      </x:c>
      <x:c r="B1219" s="30" t="str">
        <x:v>Lazard</x:v>
      </x:c>
      <x:c r="C1219" s="30" t="str">
        <x:v>IBD / GCM</x:v>
      </x:c>
      <x:c r="D1219" s="31" t="str">
        <x:v>For private companies - how to find the equity value</x:v>
      </x:c>
      <x:c r="E1219" s="31" t="str">
        <x:v>For private companies - how to find the equity value</x:v>
      </x:c>
      <x:c r="F1219" s="31" t="str">
        <x:v>Valuation</x:v>
      </x:c>
      <x:c r="G1219" s="30" t="str">
        <x:v>CL0331</x:v>
      </x:c>
      <x:c r="H1219" s="32" t="n">
        <x:f>COUNTIF($G$5:$G$1725,G1219)</x:f>
        <x:v>1</x:v>
      </x:c>
      <x:c r="I1219" s="30" t="str">
        <x:v>A55</x:v>
      </x:c>
      <x:c r="J1219" s="31" t="str">
        <x:v>To get FCF from revenue | WACC calculation | Your client is a pe, it wants to sell a pets portfolio company, help it sell, 3 submitted offers showing interest, how to choose the buyer</x:v>
      </x:c>
    </x:row>
    <x:row r="1220" ht="68" customHeight="1">
      <x:c r="A1220" s="30" t="str">
        <x:v>QB1956</x:v>
      </x:c>
      <x:c r="B1220" s="30" t="str">
        <x:v>Lazard</x:v>
      </x:c>
      <x:c r="C1220" s="30" t="str">
        <x:v>IBD / GCM</x:v>
      </x:c>
      <x:c r="D1220" s="31" t="str">
        <x:v>Does buying intangible assets count as CAPEX? (think it's a must-ask question for this interviewer lol, my friends also got the same question)</x:v>
      </x:c>
      <x:c r="E1220" s="31" t="str">
        <x:v>Does buying intangible assets count as CAPEX? (think it's a must-ask question for this interviewer lol, my friends also got the same question)</x:v>
      </x:c>
      <x:c r="F1220" s="31" t="str">
        <x:v>Other Question</x:v>
      </x:c>
      <x:c r="G1220" s="30" t="str">
        <x:v>CL0302</x:v>
      </x:c>
      <x:c r="H1220" s="32" t="n">
        <x:f>COUNTIF($G$5:$G$1725,G1220)</x:f>
        <x:v>1</x:v>
      </x:c>
      <x:c r="I1220" s="30" t="str">
        <x:v>A56</x:v>
      </x:c>
      <x:c r="J1220" s="31" t="str">
        <x:v>WACC calculation | Your client is a pe, it wants to sell a pets portfolio company, help it sell, 3 submitted offers showing interest, how to choose the buyer | For private companies - how to find the equity value</x:v>
      </x:c>
    </x:row>
    <x:row r="1221" ht="68" customHeight="1">
      <x:c r="A1221" s="30" t="str">
        <x:v>QB1959</x:v>
      </x:c>
      <x:c r="B1221" s="30" t="str">
        <x:v>Lazard</x:v>
      </x:c>
      <x:c r="C1221" s="30" t="str">
        <x:v>IBD / GCM</x:v>
      </x:c>
      <x:c r="D1221" s="31" t="str">
        <x:v>For a PE, do you think "strategic fit" still matters?</x:v>
      </x:c>
      <x:c r="E1221" s="31" t="str">
        <x:v>For a PE, do you think "strategic fit" still matters</x:v>
      </x:c>
      <x:c r="F1221" s="31" t="str">
        <x:v>Fit &amp; Motivation</x:v>
      </x:c>
      <x:c r="G1221" s="30" t="str">
        <x:v>CL0327</x:v>
      </x:c>
      <x:c r="H1221" s="32" t="n">
        <x:f>COUNTIF($G$5:$G$1725,G1221)</x:f>
        <x:v>1</x:v>
      </x:c>
      <x:c r="I1221" s="30" t="str">
        <x:v>A59</x:v>
      </x:c>
      <x:c r="J1221" s="31" t="str">
        <x:v>Does buying intangible assets count as CAPEX? (think it's a must-ask question for this interviewer lol, my friends also got the same question) | Factors to consider when buying a company | Follow up: which one do you think is the most im...</x:v>
      </x:c>
    </x:row>
    <x:row r="1222" ht="32" customHeight="1">
      <x:c r="A1222" s="30" t="str">
        <x:v>QB1968</x:v>
      </x:c>
      <x:c r="B1222" s="30" t="str">
        <x:v>Lazard</x:v>
      </x:c>
      <x:c r="C1222" s="30" t="str">
        <x:v>IBD / GCM</x:v>
      </x:c>
      <x:c r="D1222" s="31" t="str">
        <x:v>Transaction comps - key priorities?</x:v>
      </x:c>
      <x:c r="E1222" s="31" t="str">
        <x:v>Transaction comps - key priorities</x:v>
      </x:c>
      <x:c r="F1222" s="31" t="str">
        <x:v>Behavioral &amp; Situational</x:v>
      </x:c>
      <x:c r="G1222" s="30" t="str">
        <x:v>CL0802</x:v>
      </x:c>
      <x:c r="H1222" s="32" t="n">
        <x:f>COUNTIF($G$5:$G$1725,G1222)</x:f>
        <x:v>1</x:v>
      </x:c>
      <x:c r="I1222" s="30" t="str">
        <x:v>A69</x:v>
      </x:c>
      <x:c r="J1222" s="31" t="str">
        <x:v>一個好的analyst需要具備一些什麼特質 | 有什麼關於你有趣的事情想分享一下嗎 | 如果你要找一個right m&amp;a target，你會問一些什麼問題</x:v>
      </x:c>
    </x:row>
    <x:row r="1223" ht="48" customHeight="1">
      <x:c r="A1223" s="30" t="str">
        <x:v>QB1969</x:v>
      </x:c>
      <x:c r="B1223" s="30" t="str">
        <x:v>Lazard</x:v>
      </x:c>
      <x:c r="C1223" s="30" t="str">
        <x:v>IBD / GCM</x:v>
      </x:c>
      <x:c r="D1223" s="31" t="str">
        <x:v>Any sanity check after comps?</x:v>
      </x:c>
      <x:c r="E1223" s="31" t="str">
        <x:v>Any sanity check after comps</x:v>
      </x:c>
      <x:c r="F1223" s="31" t="str">
        <x:v>Valuation</x:v>
      </x:c>
      <x:c r="G1223" s="30" t="str">
        <x:v>CL0122</x:v>
      </x:c>
      <x:c r="H1223" s="32" t="n">
        <x:f>COUNTIF($G$5:$G$1725,G1223)</x:f>
        <x:v>1</x:v>
      </x:c>
      <x:c r="I1223" s="30" t="str">
        <x:v>A70</x:v>
      </x:c>
      <x:c r="J1223" s="31" t="str">
        <x:v>有什麼關於你有趣的事情想分享一下嗎 | 如果你要找一個right m&amp;a target，你會問一些什麼問題 | Transaction comps - key priorities?</x:v>
      </x:c>
    </x:row>
    <x:row r="1224" ht="48" customHeight="1">
      <x:c r="A1224" s="30" t="str">
        <x:v>QB1970</x:v>
      </x:c>
      <x:c r="B1224" s="30" t="str">
        <x:v>Lazard</x:v>
      </x:c>
      <x:c r="C1224" s="30" t="str">
        <x:v>IBD / GCM</x:v>
      </x:c>
      <x:c r="D1224" s="31" t="str">
        <x:v>一般如果要做company profile 比如說事工業製造行業企業 profile要包括什麼</x:v>
      </x:c>
      <x:c r="E1224" s="31" t="str">
        <x:v>一般如果要做company profile 比如說事工業製造行業企業 profile要包括什麼</x:v>
      </x:c>
      <x:c r="F1224" s="31" t="str">
        <x:v>Company, Industry &amp; Deals</x:v>
      </x:c>
      <x:c r="G1224" s="30" t="str">
        <x:v>CL1216</x:v>
      </x:c>
      <x:c r="H1224" s="32" t="n">
        <x:f>COUNTIF($G$5:$G$1725,G1224)</x:f>
        <x:v>1</x:v>
      </x:c>
      <x:c r="I1224" s="30" t="str">
        <x:v>A71</x:v>
      </x:c>
      <x:c r="J1224" s="31" t="str">
        <x:v>如果你要找一個right m&amp;a target，你會問一些什麼問題 | Transaction comps - key priorities? | Any sanity check after comps?</x:v>
      </x:c>
    </x:row>
    <x:row r="1225" ht="48" customHeight="1">
      <x:c r="A1225" s="30" t="str">
        <x:v>QB1971</x:v>
      </x:c>
      <x:c r="B1225" s="30" t="str">
        <x:v>Lazard</x:v>
      </x:c>
      <x:c r="C1225" s="30" t="str">
        <x:v>IBD / GCM</x:v>
      </x:c>
      <x:c r="D1225" s="31" t="str">
        <x:v>trading cops - manufacturing company, find peers, what data source to find p/s</x:v>
      </x:c>
      <x:c r="E1225" s="31" t="str">
        <x:v>Trading cops - manufacturing company, find peers, what data source to find p/s</x:v>
      </x:c>
      <x:c r="F1225" s="31" t="str">
        <x:v>Sales &amp; Trading</x:v>
      </x:c>
      <x:c r="G1225" s="30" t="str">
        <x:v>CL0800</x:v>
      </x:c>
      <x:c r="H1225" s="32" t="n">
        <x:f>COUNTIF($G$5:$G$1725,G1225)</x:f>
        <x:v>1</x:v>
      </x:c>
      <x:c r="I1225" s="30" t="str">
        <x:v>A72</x:v>
      </x:c>
      <x:c r="J1225" s="31" t="str">
        <x:v>Transaction comps - key priorities? | Any sanity check after comps? | 一般如果要做company profile 比如說事工業製造行業企業 profile要包括什麼</x:v>
      </x:c>
    </x:row>
    <x:row r="1226" ht="48" customHeight="1">
      <x:c r="A1226" s="30" t="str">
        <x:v>QB1981</x:v>
      </x:c>
      <x:c r="B1226" s="30" t="str">
        <x:v>Lazard</x:v>
      </x:c>
      <x:c r="C1226" s="30" t="str">
        <x:v>IBD / GCM</x:v>
      </x:c>
      <x:c r="D1226" s="31" t="str">
        <x:v>What's your role in BNP Parbias/ what did you do (like your role, no need to be in detail)</x:v>
      </x:c>
      <x:c r="E1226" s="31" t="str">
        <x:v>What's your role in BNP Parbias/ what did you do (like your role, no need to be in detail)</x:v>
      </x:c>
      <x:c r="F1226" s="31" t="str">
        <x:v>Resume &amp; Experience</x:v>
      </x:c>
      <x:c r="G1226" s="30" t="str">
        <x:v>CL1067</x:v>
      </x:c>
      <x:c r="H1226" s="32" t="n">
        <x:f>COUNTIF($G$5:$G$1725,G1226)</x:f>
        <x:v>1</x:v>
      </x:c>
      <x:c r="I1226" s="30" t="str">
        <x:v>A84</x:v>
      </x:c>
      <x:c r="J1226" s="31" t="str">
        <x:v>為什麼想做M&amp;A（相比其他products） | 6th Interview - CEO of Greater China | (Condcuted in full Mandarin)</x:v>
      </x:c>
    </x:row>
    <x:row r="1227" ht="48" customHeight="1">
      <x:c r="A1227" s="30" t="str">
        <x:v>QB1982</x:v>
      </x:c>
      <x:c r="B1227" s="30" t="str">
        <x:v>Lazard</x:v>
      </x:c>
      <x:c r="C1227" s="30" t="str">
        <x:v>IBD / GCM</x:v>
      </x:c>
      <x:c r="D1227" s="31" t="str">
        <x:v>Why M&amp;A</x:v>
      </x:c>
      <x:c r="E1227" s="31" t="str">
        <x:v>Why M&amp;A</x:v>
      </x:c>
      <x:c r="F1227" s="31" t="str">
        <x:v>Fit &amp; Motivation</x:v>
      </x:c>
      <x:c r="G1227" s="30" t="str">
        <x:v>CL0051</x:v>
      </x:c>
      <x:c r="H1227" s="32" t="n">
        <x:f>COUNTIF($G$5:$G$1725,G1227)</x:f>
        <x:v>2</x:v>
      </x:c>
      <x:c r="I1227" s="30" t="str">
        <x:v>A85</x:v>
      </x:c>
      <x:c r="J1227" s="31" t="str">
        <x:v>6th Interview - CEO of Greater China | (Condcuted in full Mandarin) | What's your role in BNP Parbias/ what did you do (like your role, no need to be in detail)</x:v>
      </x:c>
    </x:row>
    <x:row r="1228" ht="32" customHeight="1">
      <x:c r="A1228" s="30" t="str">
        <x:v>QB1986</x:v>
      </x:c>
      <x:c r="B1228" s="30" t="str">
        <x:v>Greenhill</x:v>
      </x:c>
      <x:c r="C1228" s="30" t="str">
        <x:v>IBD / GCM</x:v>
      </x:c>
      <x:c r="D1228" s="31" t="str">
        <x:v>Pitch me a stock</x:v>
      </x:c>
      <x:c r="E1228" s="31" t="str">
        <x:v>Pitch me a stock</x:v>
      </x:c>
      <x:c r="F1228" s="31" t="str">
        <x:v>Investment Pitch</x:v>
      </x:c>
      <x:c r="G1228" s="30" t="str">
        <x:v>CL0006</x:v>
      </x:c>
      <x:c r="H1228" s="32" t="n">
        <x:f>COUNTIF($G$5:$G$1725,G1228)</x:f>
        <x:v>19</x:v>
      </x:c>
      <x:c r="I1228" s="30" t="str">
        <x:v>A4</x:v>
      </x:c>
      <x:c r="J1228" s="31" t="str">
        <x:v>2024 SA | First Round | Emily</x:v>
      </x:c>
    </x:row>
    <x:row r="1229" ht="32" customHeight="1">
      <x:c r="A1229" s="30" t="str">
        <x:v>QB1987</x:v>
      </x:c>
      <x:c r="B1229" s="30" t="str">
        <x:v>Greenhill</x:v>
      </x:c>
      <x:c r="C1229" s="30" t="str">
        <x:v>IBD / GCM</x:v>
      </x:c>
      <x:c r="D1229" s="31" t="str">
        <x:v>Walk me through a dcf</x:v>
      </x:c>
      <x:c r="E1229" s="31" t="str">
        <x:v>Walk me through a dcf</x:v>
      </x:c>
      <x:c r="F1229" s="31" t="str">
        <x:v>Valuation</x:v>
      </x:c>
      <x:c r="G1229" s="30" t="str">
        <x:v>CL0013</x:v>
      </x:c>
      <x:c r="H1229" s="32" t="n">
        <x:f>COUNTIF($G$5:$G$1725,G1229)</x:f>
        <x:v>10</x:v>
      </x:c>
      <x:c r="I1229" s="30" t="str">
        <x:v>A5</x:v>
      </x:c>
      <x:c r="J1229" s="31" t="str">
        <x:v>First Round | Emily | Pitch me a stock</x:v>
      </x:c>
    </x:row>
    <x:row r="1230" ht="32" customHeight="1">
      <x:c r="A1230" s="30" t="str">
        <x:v>QB1988</x:v>
      </x:c>
      <x:c r="B1230" s="30" t="str">
        <x:v>Greenhill</x:v>
      </x:c>
      <x:c r="C1230" s="30" t="str">
        <x:v>IBD / GCM</x:v>
      </x:c>
      <x:c r="D1230" s="31" t="str">
        <x:v>How to calculate WACC</x:v>
      </x:c>
      <x:c r="E1230" s="31" t="str">
        <x:v>How do you calculate WACC?</x:v>
      </x:c>
      <x:c r="F1230" s="31" t="str">
        <x:v>Valuation</x:v>
      </x:c>
      <x:c r="G1230" s="30" t="str">
        <x:v>CL0011</x:v>
      </x:c>
      <x:c r="H1230" s="32" t="n">
        <x:f>COUNTIF($G$5:$G$1725,G1230)</x:f>
        <x:v>12</x:v>
      </x:c>
      <x:c r="I1230" s="30" t="str">
        <x:v>A6</x:v>
      </x:c>
      <x:c r="J1230" s="31" t="str">
        <x:v>Emily | Pitch me a stock | Walk me through a dcf</x:v>
      </x:c>
    </x:row>
    <x:row r="1231" ht="32" customHeight="1">
      <x:c r="A1231" s="30" t="str">
        <x:v>QB1989</x:v>
      </x:c>
      <x:c r="B1231" s="30" t="str">
        <x:v>Greenhill</x:v>
      </x:c>
      <x:c r="C1231" s="30" t="str">
        <x:v>IBD / GCM</x:v>
      </x:c>
      <x:c r="D1231" s="31" t="str">
        <x:v>How to calculate cost of equity</x:v>
      </x:c>
      <x:c r="E1231" s="31" t="str">
        <x:v>How to calculate cost of equity</x:v>
      </x:c>
      <x:c r="F1231" s="31" t="str">
        <x:v>Valuation</x:v>
      </x:c>
      <x:c r="G1231" s="30" t="str">
        <x:v>CL0462</x:v>
      </x:c>
      <x:c r="H1231" s="32" t="n">
        <x:f>COUNTIF($G$5:$G$1725,G1231)</x:f>
        <x:v>1</x:v>
      </x:c>
      <x:c r="I1231" s="30" t="str">
        <x:v>A7</x:v>
      </x:c>
      <x:c r="J1231" s="31" t="str">
        <x:v>Pitch me a stock | Walk me through a dcf | How to calculate WACC</x:v>
      </x:c>
    </x:row>
    <x:row r="1232" ht="32" customHeight="1">
      <x:c r="A1232" s="30" t="str">
        <x:v>QB1991</x:v>
      </x:c>
      <x:c r="B1232" s="30" t="str">
        <x:v>Greenhill</x:v>
      </x:c>
      <x:c r="C1232" s="30" t="str">
        <x:v>IBD / GCM</x:v>
      </x:c>
      <x:c r="D1232" s="31" t="str">
        <x:v>Why is cost of debt always lower than cost of equity</x:v>
      </x:c>
      <x:c r="E1232" s="31" t="str">
        <x:v>How should a company choose between debt and equity financing?</x:v>
      </x:c>
      <x:c r="F1232" s="31" t="str">
        <x:v>Fit &amp; Motivation</x:v>
      </x:c>
      <x:c r="G1232" s="30" t="str">
        <x:v>CL0005</x:v>
      </x:c>
      <x:c r="H1232" s="32" t="n">
        <x:f>COUNTIF($G$5:$G$1725,G1232)</x:f>
        <x:v>21</x:v>
      </x:c>
      <x:c r="I1232" s="30" t="str">
        <x:v>A9</x:v>
      </x:c>
      <x:c r="J1232" s="31" t="str">
        <x:v>How to calculate WACC | How to calculate cost of equity | Pros and cons of using debt</x:v>
      </x:c>
    </x:row>
    <x:row r="1233" ht="48" customHeight="1">
      <x:c r="A1233" s="30" t="str">
        <x:v>QB1992</x:v>
      </x:c>
      <x:c r="B1233" s="30" t="str">
        <x:v>Greenhill</x:v>
      </x:c>
      <x:c r="C1233" s="30" t="str">
        <x:v>IBD / GCM</x:v>
      </x:c>
      <x:c r="D1233" s="31" t="str">
        <x:v>If you have a smaller company, do you expect it to have a lower or higher cost of equity or lower or higher cost of debt</x:v>
      </x:c>
      <x:c r="E1233" s="31" t="str">
        <x:v>How should a company choose between debt and equity financing?</x:v>
      </x:c>
      <x:c r="F1233" s="31" t="str">
        <x:v>Valuation</x:v>
      </x:c>
      <x:c r="G1233" s="30" t="str">
        <x:v>CL0005</x:v>
      </x:c>
      <x:c r="H1233" s="32" t="n">
        <x:f>COUNTIF($G$5:$G$1725,G1233)</x:f>
        <x:v>21</x:v>
      </x:c>
      <x:c r="I1233" s="30" t="str">
        <x:v>A10</x:v>
      </x:c>
      <x:c r="J1233" s="31" t="str">
        <x:v>How to calculate cost of equity | Pros and cons of using debt | Why is cost of debt always lower than cost of equity</x:v>
      </x:c>
    </x:row>
    <x:row r="1234" ht="68" customHeight="1">
      <x:c r="A1234" s="30" t="str">
        <x:v>QB1993</x:v>
      </x:c>
      <x:c r="B1234" s="30" t="str">
        <x:v>Greenhill</x:v>
      </x:c>
      <x:c r="C1234" s="30" t="str">
        <x:v>IBD / GCM</x:v>
      </x:c>
      <x:c r="D1234" s="31" t="str">
        <x:v>How to do you calculate enterprise value from equity value</x:v>
      </x:c>
      <x:c r="E1234" s="31" t="str">
        <x:v>Bridge equity value to enterprise value</x:v>
      </x:c>
      <x:c r="F1234" s="31" t="str">
        <x:v>Valuation</x:v>
      </x:c>
      <x:c r="G1234" s="30" t="str">
        <x:v>CL0015</x:v>
      </x:c>
      <x:c r="H1234" s="32" t="n">
        <x:f>COUNTIF($G$5:$G$1725,G1234)</x:f>
        <x:v>8</x:v>
      </x:c>
      <x:c r="I1234" s="30" t="str">
        <x:v>A11</x:v>
      </x:c>
      <x:c r="J1234" s="31" t="str">
        <x:v>Pros and cons of using debt | Why is cost of debt always lower than cost of equity | If you have a smaller company, do you expect it to have a lower or higher cost of equity or lower or higher cost of debt</x:v>
      </x:c>
    </x:row>
    <x:row r="1235" ht="32" customHeight="1">
      <x:c r="A1235" s="30" t="str">
        <x:v>QB2001</x:v>
      </x:c>
      <x:c r="B1235" s="30" t="str">
        <x:v>Nomura</x:v>
      </x:c>
      <x:c r="C1235" s="30" t="str">
        <x:v>IBD / GCM</x:v>
      </x:c>
      <x:c r="D1235" s="31" t="str">
        <x:v>self intro</x:v>
      </x:c>
      <x:c r="E1235" s="31" t="str">
        <x:v>Tell me about yourself / walk me through your resume</x:v>
      </x:c>
      <x:c r="F1235" s="31" t="str">
        <x:v>Resume &amp; Experience</x:v>
      </x:c>
      <x:c r="G1235" s="30" t="str">
        <x:v>CL0001</x:v>
      </x:c>
      <x:c r="H1235" s="32" t="n">
        <x:f>COUNTIF($G$5:$G$1725,G1235)</x:f>
        <x:v>170</x:v>
      </x:c>
      <x:c r="I1235" s="30" t="str">
        <x:v>A5</x:v>
      </x:c>
      <x:c r="J1235" s="31" t="str">
        <x:v>First Round | Jasmine | nomura pi - first yr asso</x:v>
      </x:c>
    </x:row>
    <x:row r="1236" ht="32" customHeight="1">
      <x:c r="A1236" s="30" t="str">
        <x:v>QB2003</x:v>
      </x:c>
      <x:c r="B1236" s="30" t="str">
        <x:v>Nomura</x:v>
      </x:c>
      <x:c r="C1236" s="30" t="str">
        <x:v>IBD / GCM</x:v>
      </x:c>
      <x:c r="D1236" s="31" t="str">
        <x:v>why interested in nomura and ibd</x:v>
      </x:c>
      <x:c r="E1236" s="31" t="str">
        <x:v>Why interested in nomura and ibd</x:v>
      </x:c>
      <x:c r="F1236" s="31" t="str">
        <x:v>Fit &amp; Motivation</x:v>
      </x:c>
      <x:c r="G1236" s="30" t="str">
        <x:v>CL1142</x:v>
      </x:c>
      <x:c r="H1236" s="32" t="n">
        <x:f>COUNTIF($G$5:$G$1725,G1236)</x:f>
        <x:v>1</x:v>
      </x:c>
      <x:c r="I1236" s="30" t="str">
        <x:v>A6</x:v>
      </x:c>
      <x:c r="J1236" s="31" t="str">
        <x:v>Jasmine | nomura pi - first yr asso | self intro</x:v>
      </x:c>
    </x:row>
    <x:row r="1237" ht="32" customHeight="1">
      <x:c r="A1237" s="30" t="str">
        <x:v>QB2004</x:v>
      </x:c>
      <x:c r="B1237" s="30" t="str">
        <x:v>Nomura</x:v>
      </x:c>
      <x:c r="C1237" s="30" t="str">
        <x:v>IBD / GCM</x:v>
      </x:c>
      <x:c r="D1237" s="31" t="str">
        <x:v>self intro</x:v>
      </x:c>
      <x:c r="E1237" s="31" t="str">
        <x:v>Tell me about yourself / walk me through your resume</x:v>
      </x:c>
      <x:c r="F1237" s="31" t="str">
        <x:v>Resume &amp; Experience</x:v>
      </x:c>
      <x:c r="G1237" s="30" t="str">
        <x:v>CL0001</x:v>
      </x:c>
      <x:c r="H1237" s="32" t="n">
        <x:f>COUNTIF($G$5:$G$1725,G1237)</x:f>
        <x:v>170</x:v>
      </x:c>
      <x:c r="I1237" s="30" t="str">
        <x:v>C6</x:v>
      </x:c>
      <x:c r="J1237" s="31" t="str">
        <x:v>17 Jasmine | nomura spd | leon li</x:v>
      </x:c>
    </x:row>
    <x:row r="1238" ht="32" customHeight="1">
      <x:c r="A1238" s="30" t="str">
        <x:v>QB2005</x:v>
      </x:c>
      <x:c r="B1238" s="30" t="str">
        <x:v>Nomura</x:v>
      </x:c>
      <x:c r="C1238" s="30" t="str">
        <x:v>IBD / GCM</x:v>
      </x:c>
      <x:c r="D1238" s="31" t="str">
        <x:v>why not pe</x:v>
      </x:c>
      <x:c r="E1238" s="31" t="str">
        <x:v>Why this role instead of another career path?</x:v>
      </x:c>
      <x:c r="F1238" s="31" t="str">
        <x:v>Fit &amp; Motivation</x:v>
      </x:c>
      <x:c r="G1238" s="30" t="str">
        <x:v>CL0020</x:v>
      </x:c>
      <x:c r="H1238" s="32" t="n">
        <x:f>COUNTIF($G$5:$G$1725,G1238)</x:f>
        <x:v>4</x:v>
      </x:c>
      <x:c r="I1238" s="30" t="str">
        <x:v>A7</x:v>
      </x:c>
      <x:c r="J1238" s="31" t="str">
        <x:v>nomura pi - first yr asso | self intro | why interested in nomura and ibd</x:v>
      </x:c>
    </x:row>
    <x:row r="1239" ht="32" customHeight="1">
      <x:c r="A1239" s="30" t="str">
        <x:v>QB2006</x:v>
      </x:c>
      <x:c r="B1239" s="30" t="str">
        <x:v>Nomura</x:v>
      </x:c>
      <x:c r="C1239" s="30" t="str">
        <x:v>IBD / GCM</x:v>
      </x:c>
      <x:c r="D1239" s="31" t="str">
        <x:v>tell me about your experience in the US</x:v>
      </x:c>
      <x:c r="E1239" s="31" t="str">
        <x:v>Tell me about your experience in the US</x:v>
      </x:c>
      <x:c r="F1239" s="31" t="str">
        <x:v>Resume &amp; Experience</x:v>
      </x:c>
      <x:c r="G1239" s="30" t="str">
        <x:v>CL0752</x:v>
      </x:c>
      <x:c r="H1239" s="32" t="n">
        <x:f>COUNTIF($G$5:$G$1725,G1239)</x:f>
        <x:v>1</x:v>
      </x:c>
      <x:c r="I1239" s="30" t="str">
        <x:v>C7</x:v>
      </x:c>
      <x:c r="J1239" s="31" t="str">
        <x:v>nomura spd | leon li | self intro</x:v>
      </x:c>
    </x:row>
    <x:row r="1240" ht="32" customHeight="1">
      <x:c r="A1240" s="30" t="str">
        <x:v>QB2007</x:v>
      </x:c>
      <x:c r="B1240" s="30" t="str">
        <x:v>Nomura</x:v>
      </x:c>
      <x:c r="C1240" s="30" t="str">
        <x:v>IBD / GCM</x:v>
      </x:c>
      <x:c r="D1240" s="31" t="str">
        <x:v>why not law</x:v>
      </x:c>
      <x:c r="E1240" s="31" t="str">
        <x:v>Why not law</x:v>
      </x:c>
      <x:c r="F1240" s="31" t="str">
        <x:v>Fit &amp; Motivation</x:v>
      </x:c>
      <x:c r="G1240" s="30" t="str">
        <x:v>CL0052</x:v>
      </x:c>
      <x:c r="H1240" s="32" t="n">
        <x:f>COUNTIF($G$5:$G$1725,G1240)</x:f>
        <x:v>2</x:v>
      </x:c>
      <x:c r="I1240" s="30" t="str">
        <x:v>A8</x:v>
      </x:c>
      <x:c r="J1240" s="31" t="str">
        <x:v>self intro | why interested in nomura and ibd | why not pe</x:v>
      </x:c>
    </x:row>
    <x:row r="1241" ht="32" customHeight="1">
      <x:c r="A1241" s="30" t="str">
        <x:v>QB2008</x:v>
      </x:c>
      <x:c r="B1241" s="30" t="str">
        <x:v>Nomura</x:v>
      </x:c>
      <x:c r="C1241" s="30" t="str">
        <x:v>IBD / GCM</x:v>
      </x:c>
      <x:c r="D1241" s="31" t="str">
        <x:v>why investment banking since you have a law degree</x:v>
      </x:c>
      <x:c r="E1241" s="31" t="str">
        <x:v>Why investment banking?</x:v>
      </x:c>
      <x:c r="F1241" s="31" t="str">
        <x:v>Fit &amp; Motivation</x:v>
      </x:c>
      <x:c r="G1241" s="30" t="str">
        <x:v>CL0003</x:v>
      </x:c>
      <x:c r="H1241" s="32" t="n">
        <x:f>COUNTIF($G$5:$G$1725,G1241)</x:f>
        <x:v>34</x:v>
      </x:c>
      <x:c r="I1241" s="30" t="str">
        <x:v>C8</x:v>
      </x:c>
      <x:c r="J1241" s="31" t="str">
        <x:v>leon li | self intro | tell me about your experience in the US</x:v>
      </x:c>
    </x:row>
    <x:row r="1242" ht="32" customHeight="1">
      <x:c r="A1242" s="30" t="str">
        <x:v>QB2009</x:v>
      </x:c>
      <x:c r="B1242" s="30" t="str">
        <x:v>Nomura</x:v>
      </x:c>
      <x:c r="C1242" s="30" t="str">
        <x:v>IBD / GCM</x:v>
      </x:c>
      <x:c r="D1242" s="31" t="str">
        <x:v>walk through a dcf</x:v>
      </x:c>
      <x:c r="E1242" s="31" t="str">
        <x:v>Walk me through a DCF</x:v>
      </x:c>
      <x:c r="F1242" s="31" t="str">
        <x:v>Valuation</x:v>
      </x:c>
      <x:c r="G1242" s="30" t="str">
        <x:v>CL0013</x:v>
      </x:c>
      <x:c r="H1242" s="32" t="n">
        <x:f>COUNTIF($G$5:$G$1725,G1242)</x:f>
        <x:v>10</x:v>
      </x:c>
      <x:c r="I1242" s="30" t="str">
        <x:v>A9</x:v>
      </x:c>
      <x:c r="J1242" s="31" t="str">
        <x:v>why interested in nomura and ibd | why not pe | why not law</x:v>
      </x:c>
    </x:row>
    <x:row r="1243" ht="48" customHeight="1">
      <x:c r="A1243" s="30" t="str">
        <x:v>QB2010</x:v>
      </x:c>
      <x:c r="B1243" s="30" t="str">
        <x:v>Nomura</x:v>
      </x:c>
      <x:c r="C1243" s="30" t="str">
        <x:v>IBD / GCM</x:v>
      </x:c>
      <x:c r="D1243" s="31" t="str">
        <x:v>tell me about your first job - tech startup</x:v>
      </x:c>
      <x:c r="E1243" s="31" t="str">
        <x:v>Tell me about your first job - tech startup</x:v>
      </x:c>
      <x:c r="F1243" s="31" t="str">
        <x:v>Other Question</x:v>
      </x:c>
      <x:c r="G1243" s="30" t="str">
        <x:v>CL0753</x:v>
      </x:c>
      <x:c r="H1243" s="32" t="n">
        <x:f>COUNTIF($G$5:$G$1725,G1243)</x:f>
        <x:v>1</x:v>
      </x:c>
      <x:c r="I1243" s="30" t="str">
        <x:v>C9</x:v>
      </x:c>
      <x:c r="J1243" s="31" t="str">
        <x:v>self intro | tell me about your experience in the US | why investment banking since you have a law degree</x:v>
      </x:c>
    </x:row>
    <x:row r="1244" ht="32" customHeight="1">
      <x:c r="A1244" s="30" t="str">
        <x:v>QB2011</x:v>
      </x:c>
      <x:c r="B1244" s="30" t="str">
        <x:v>Nomura</x:v>
      </x:c>
      <x:c r="C1244" s="30" t="str">
        <x:v>IBD / GCM</x:v>
      </x:c>
      <x:c r="D1244" s="31" t="str">
        <x:v>how to get FCF</x:v>
      </x:c>
      <x:c r="E1244" s="31" t="str">
        <x:v>How to get FCF</x:v>
      </x:c>
      <x:c r="F1244" s="31" t="str">
        <x:v>Other Question</x:v>
      </x:c>
      <x:c r="G1244" s="30" t="str">
        <x:v>CL0475</x:v>
      </x:c>
      <x:c r="H1244" s="32" t="n">
        <x:f>COUNTIF($G$5:$G$1725,G1244)</x:f>
        <x:v>1</x:v>
      </x:c>
      <x:c r="I1244" s="30" t="str">
        <x:v>A10</x:v>
      </x:c>
      <x:c r="J1244" s="31" t="str">
        <x:v>why not pe | why not law | walk through a dcf</x:v>
      </x:c>
    </x:row>
    <x:row r="1245" ht="32" customHeight="1">
      <x:c r="A1245" s="30" t="str">
        <x:v>QB2013</x:v>
      </x:c>
      <x:c r="B1245" s="30" t="str">
        <x:v>Nomura</x:v>
      </x:c>
      <x:c r="C1245" s="30" t="str">
        <x:v>IBD / GCM</x:v>
      </x:c>
      <x:c r="D1245" s="31" t="str">
        <x:v>what are the other two valuation methods</x:v>
      </x:c>
      <x:c r="E1245" s="31" t="str">
        <x:v>What are the main valuation methodologies?</x:v>
      </x:c>
      <x:c r="F1245" s="31" t="str">
        <x:v>Valuation</x:v>
      </x:c>
      <x:c r="G1245" s="30" t="str">
        <x:v>CL0010</x:v>
      </x:c>
      <x:c r="H1245" s="32" t="n">
        <x:f>COUNTIF($G$5:$G$1725,G1245)</x:f>
        <x:v>13</x:v>
      </x:c>
      <x:c r="I1245" s="30" t="str">
        <x:v>A11</x:v>
      </x:c>
      <x:c r="J1245" s="31" t="str">
        <x:v>why not law | walk through a dcf | how to get FCF</x:v>
      </x:c>
    </x:row>
    <x:row r="1246" ht="48" customHeight="1">
      <x:c r="A1246" s="30" t="str">
        <x:v>QB2014</x:v>
      </x:c>
      <x:c r="B1246" s="30" t="str">
        <x:v>Nomura</x:v>
      </x:c>
      <x:c r="C1246" s="30" t="str">
        <x:v>IBD / GCM</x:v>
      </x:c>
      <x:c r="D1246" s="31" t="str">
        <x:v>is it common for people with your degree to pursue ibd</x:v>
      </x:c>
      <x:c r="E1246" s="31" t="str">
        <x:v>Is it common for people with your degree to pursue ibd</x:v>
      </x:c>
      <x:c r="F1246" s="31" t="str">
        <x:v>Accounting &amp; Financial Statements</x:v>
      </x:c>
      <x:c r="G1246" s="30" t="str">
        <x:v>CL0554</x:v>
      </x:c>
      <x:c r="H1246" s="32" t="n">
        <x:f>COUNTIF($G$5:$G$1725,G1246)</x:f>
        <x:v>1</x:v>
      </x:c>
      <x:c r="I1246" s="30" t="str">
        <x:v>C11</x:v>
      </x:c>
      <x:c r="J1246" s="31" t="str">
        <x:v>why investment banking since you have a law degree | tell me about your first job - tech startup | have you thought about being an entrepreneur</x:v>
      </x:c>
    </x:row>
    <x:row r="1247" ht="48" customHeight="1">
      <x:c r="A1247" s="30" t="str">
        <x:v>QB2016</x:v>
      </x:c>
      <x:c r="B1247" s="30" t="str">
        <x:v>Nomura</x:v>
      </x:c>
      <x:c r="C1247" s="30" t="str">
        <x:v>IBD / GCM</x:v>
      </x:c>
      <x:c r="D1247" s="31" t="str">
        <x:v>how did you secure the internships (i said cold email)</x:v>
      </x:c>
      <x:c r="E1247" s="31" t="str">
        <x:v>How did you secure the internships (i said cold email)</x:v>
      </x:c>
      <x:c r="F1247" s="31" t="str">
        <x:v>Resume &amp; Experience</x:v>
      </x:c>
      <x:c r="G1247" s="30" t="str">
        <x:v>CL0393</x:v>
      </x:c>
      <x:c r="H1247" s="32" t="n">
        <x:f>COUNTIF($G$5:$G$1725,G1247)</x:f>
        <x:v>1</x:v>
      </x:c>
      <x:c r="I1247" s="30" t="str">
        <x:v>C12</x:v>
      </x:c>
      <x:c r="J1247" s="31" t="str">
        <x:v>tell me about your first job - tech startup | have you thought about being an entrepreneur | is it common for people with your degree to pursue ibd</x:v>
      </x:c>
    </x:row>
    <x:row r="1248" ht="48" customHeight="1">
      <x:c r="A1248" s="30" t="str">
        <x:v>QB2017</x:v>
      </x:c>
      <x:c r="B1248" s="30" t="str">
        <x:v>Nomura</x:v>
      </x:c>
      <x:c r="C1248" s="30" t="str">
        <x:v>IBD / GCM</x:v>
      </x:c>
      <x:c r="D1248" s="31" t="str">
        <x:v>any hobbies</x:v>
      </x:c>
      <x:c r="E1248" s="31" t="str">
        <x:v>What are your interests outside work and school?</x:v>
      </x:c>
      <x:c r="F1248" s="31" t="str">
        <x:v>Other Question</x:v>
      </x:c>
      <x:c r="G1248" s="30" t="str">
        <x:v>CL0014</x:v>
      </x:c>
      <x:c r="H1248" s="32" t="n">
        <x:f>COUNTIF($G$5:$G$1725,G1248)</x:f>
        <x:v>10</x:v>
      </x:c>
      <x:c r="I1248" s="30" t="str">
        <x:v>A13</x:v>
      </x:c>
      <x:c r="J1248" s="31" t="str">
        <x:v>how to get FCF | what are the other two valuation methods | for EV industry, how to find trading comps</x:v>
      </x:c>
    </x:row>
    <x:row r="1249" ht="48" customHeight="1">
      <x:c r="A1249" s="30" t="str">
        <x:v>QB2018</x:v>
      </x:c>
      <x:c r="B1249" s="30" t="str">
        <x:v>Nomura</x:v>
      </x:c>
      <x:c r="C1249" s="30" t="str">
        <x:v>IBD / GCM</x:v>
      </x:c>
      <x:c r="D1249" s="31" t="str">
        <x:v>how many did u cold email and how many replied</x:v>
      </x:c>
      <x:c r="E1249" s="31" t="str">
        <x:v>How many did u cold email and how many replied</x:v>
      </x:c>
      <x:c r="F1249" s="31" t="str">
        <x:v>Other Question</x:v>
      </x:c>
      <x:c r="G1249" s="30" t="str">
        <x:v>CL0453</x:v>
      </x:c>
      <x:c r="H1249" s="32" t="n">
        <x:f>COUNTIF($G$5:$G$1725,G1249)</x:f>
        <x:v>1</x:v>
      </x:c>
      <x:c r="I1249" s="30" t="str">
        <x:v>C13</x:v>
      </x:c>
      <x:c r="J1249" s="31" t="str">
        <x:v>have you thought about being an entrepreneur | is it common for people with your degree to pursue ibd | how did you secure the internships (i said cold email)</x:v>
      </x:c>
    </x:row>
    <x:row r="1250" ht="48" customHeight="1">
      <x:c r="A1250" s="30" t="str">
        <x:v>QB2022</x:v>
      </x:c>
      <x:c r="B1250" s="30" t="str">
        <x:v>Nomura</x:v>
      </x:c>
      <x:c r="C1250" s="30" t="str">
        <x:v>IBD / GCM</x:v>
      </x:c>
      <x:c r="D1250" s="31" t="str">
        <x:v>how do you see yourself short-term and long-term in ibd and pe</x:v>
      </x:c>
      <x:c r="E1250" s="31" t="str">
        <x:v>How do you see yourself short-term and long-term in ibd and pe</x:v>
      </x:c>
      <x:c r="F1250" s="31" t="str">
        <x:v>Other Question</x:v>
      </x:c>
      <x:c r="G1250" s="30" t="str">
        <x:v>CL0425</x:v>
      </x:c>
      <x:c r="H1250" s="32" t="n">
        <x:f>COUNTIF($G$5:$G$1725,G1250)</x:f>
        <x:v>1</x:v>
      </x:c>
      <x:c r="I1250" s="30" t="str">
        <x:v>C15</x:v>
      </x:c>
      <x:c r="J1250" s="31" t="str">
        <x:v>how did you secure the internships (i said cold email) | how many did u cold email and how many replied | experience in ibd and pe</x:v>
      </x:c>
    </x:row>
    <x:row r="1251" ht="48" customHeight="1">
      <x:c r="A1251" s="30" t="str">
        <x:v>QB2023</x:v>
      </x:c>
      <x:c r="B1251" s="30" t="str">
        <x:v>Nomura</x:v>
      </x:c>
      <x:c r="C1251" s="30" t="str">
        <x:v>IBD / GCM</x:v>
      </x:c>
      <x:c r="D1251" s="31" t="str">
        <x:v>tell me about your aibc experience, is it an ongoing conference</x:v>
      </x:c>
      <x:c r="E1251" s="31" t="str">
        <x:v>Tell me about your aibc experience, is it an ongoing conference</x:v>
      </x:c>
      <x:c r="F1251" s="31" t="str">
        <x:v>Resume &amp; Experience</x:v>
      </x:c>
      <x:c r="G1251" s="30" t="str">
        <x:v>CL0750</x:v>
      </x:c>
      <x:c r="H1251" s="32" t="n">
        <x:f>COUNTIF($G$5:$G$1725,G1251)</x:f>
        <x:v>1</x:v>
      </x:c>
      <x:c r="I1251" s="30" t="str">
        <x:v>C16</x:v>
      </x:c>
      <x:c r="J1251" s="31" t="str">
        <x:v>how many did u cold email and how many replied | experience in ibd and pe | how do you see yourself short-term and long-term in ibd and pe</x:v>
      </x:c>
    </x:row>
    <x:row r="1252" ht="48" customHeight="1">
      <x:c r="A1252" s="30" t="str">
        <x:v>QB2025</x:v>
      </x:c>
      <x:c r="B1252" s="30" t="str">
        <x:v>Nomura</x:v>
      </x:c>
      <x:c r="C1252" s="30" t="str">
        <x:v>IBD / GCM</x:v>
      </x:c>
      <x:c r="D1252" s="31" t="str">
        <x:v>how do you view the china economy</x:v>
      </x:c>
      <x:c r="E1252" s="31" t="str">
        <x:v>How do you view the china economy</x:v>
      </x:c>
      <x:c r="F1252" s="31" t="str">
        <x:v>Other Question</x:v>
      </x:c>
      <x:c r="G1252" s="30" t="str">
        <x:v>CL0430</x:v>
      </x:c>
      <x:c r="H1252" s="32" t="n">
        <x:f>COUNTIF($G$5:$G$1725,G1252)</x:f>
        <x:v>1</x:v>
      </x:c>
      <x:c r="I1252" s="30" t="str">
        <x:v>C17</x:v>
      </x:c>
      <x:c r="J1252" s="31" t="str">
        <x:v>experience in ibd and pe | how do you see yourself short-term and long-term in ibd and pe | tell me about your aibc experience, is it an ongoing conference</x:v>
      </x:c>
    </x:row>
    <x:row r="1253" ht="32" customHeight="1">
      <x:c r="A1253" s="30" t="str">
        <x:v>QB2026</x:v>
      </x:c>
      <x:c r="B1253" s="30" t="str">
        <x:v>Nomura</x:v>
      </x:c>
      <x:c r="C1253" s="30" t="str">
        <x:v>IBD / GCM</x:v>
      </x:c>
      <x:c r="D1253" s="31" t="str">
        <x:v>Self introduction</x:v>
      </x:c>
      <x:c r="E1253" s="31" t="str">
        <x:v>Tell me about yourself / walk me through your resume</x:v>
      </x:c>
      <x:c r="F1253" s="31" t="str">
        <x:v>Resume &amp; Experience</x:v>
      </x:c>
      <x:c r="G1253" s="30" t="str">
        <x:v>CL0001</x:v>
      </x:c>
      <x:c r="H1253" s="32" t="n">
        <x:f>COUNTIF($G$5:$G$1725,G1253)</x:f>
        <x:v>170</x:v>
      </x:c>
      <x:c r="I1253" s="30" t="str">
        <x:v>A18</x:v>
      </x:c>
      <x:c r="J1253" s="31" t="str">
        <x:v>a time when you face failure | any questions | Yvette</x:v>
      </x:c>
    </x:row>
    <x:row r="1254" ht="68" customHeight="1">
      <x:c r="A1254" s="30" t="str">
        <x:v>QB2027</x:v>
      </x:c>
      <x:c r="B1254" s="30" t="str">
        <x:v>Nomura</x:v>
      </x:c>
      <x:c r="C1254" s="30" t="str">
        <x:v>IBD / GCM</x:v>
      </x:c>
      <x:c r="D1254" s="31" t="str">
        <x:v>how familiar are you with mainland china (since u stayed in the us for a yr and grew up in hk)</x:v>
      </x:c>
      <x:c r="E1254" s="31" t="str">
        <x:v>How familiar are you with mainland china (since u stayed in the us for a yr and grew up in hk)</x:v>
      </x:c>
      <x:c r="F1254" s="31" t="str">
        <x:v>Other Question</x:v>
      </x:c>
      <x:c r="G1254" s="30" t="str">
        <x:v>CL0438</x:v>
      </x:c>
      <x:c r="H1254" s="32" t="n">
        <x:f>COUNTIF($G$5:$G$1725,G1254)</x:f>
        <x:v>1</x:v>
      </x:c>
      <x:c r="I1254" s="30" t="str">
        <x:v>C18</x:v>
      </x:c>
      <x:c r="J1254" s="31" t="str">
        <x:v>how do you see yourself short-term and long-term in ibd and pe | tell me about your aibc experience, is it an ongoing conference | how do you view the china economy</x:v>
      </x:c>
    </x:row>
    <x:row r="1255" ht="68" customHeight="1">
      <x:c r="A1255" s="30" t="str">
        <x:v>QB2029</x:v>
      </x:c>
      <x:c r="B1255" s="30" t="str">
        <x:v>Nomura</x:v>
      </x:c>
      <x:c r="C1255" s="30" t="str">
        <x:v>IBD / GCM</x:v>
      </x:c>
      <x:c r="D1255" s="31" t="str">
        <x:v>would you want to work in the mainland</x:v>
      </x:c>
      <x:c r="E1255" s="31" t="str">
        <x:v>Would you want to work in the mainland</x:v>
      </x:c>
      <x:c r="F1255" s="31" t="str">
        <x:v>Other Question</x:v>
      </x:c>
      <x:c r="G1255" s="30" t="str">
        <x:v>CL1198</x:v>
      </x:c>
      <x:c r="H1255" s="32" t="n">
        <x:f>COUNTIF($G$5:$G$1725,G1255)</x:f>
        <x:v>1</x:v>
      </x:c>
      <x:c r="I1255" s="30" t="str">
        <x:v>C19</x:v>
      </x:c>
      <x:c r="J1255" s="31" t="str">
        <x:v>tell me about your aibc experience, is it an ongoing conference | how do you view the china economy | how familiar are you with mainland china (since u stayed in the us for a yr and grew up in hk)</x:v>
      </x:c>
    </x:row>
    <x:row r="1256" ht="32" customHeight="1">
      <x:c r="A1256" s="30" t="str">
        <x:v>QB2030</x:v>
      </x:c>
      <x:c r="B1256" s="30" t="str">
        <x:v>Nomura</x:v>
      </x:c>
      <x:c r="C1256" s="30" t="str">
        <x:v>IBD / GCM</x:v>
      </x:c>
      <x:c r="D1256" s="31" t="str">
        <x:v>Why IB</x:v>
      </x:c>
      <x:c r="E1256" s="31" t="str">
        <x:v>Why IB</x:v>
      </x:c>
      <x:c r="F1256" s="31" t="str">
        <x:v>Fit &amp; Motivation</x:v>
      </x:c>
      <x:c r="G1256" s="30" t="str">
        <x:v>CL1140</x:v>
      </x:c>
      <x:c r="H1256" s="32" t="n">
        <x:f>COUNTIF($G$5:$G$1725,G1256)</x:f>
        <x:v>1</x:v>
      </x:c>
      <x:c r="I1256" s="30" t="str">
        <x:v>A20</x:v>
      </x:c>
      <x:c r="J1256" s="31" t="str">
        <x:v>Yvette | Self introduction | Difference between IB and Global Markets</x:v>
      </x:c>
    </x:row>
    <x:row r="1257" ht="68" customHeight="1">
      <x:c r="A1257" s="30" t="str">
        <x:v>QB2031</x:v>
      </x:c>
      <x:c r="B1257" s="30" t="str">
        <x:v>Nomura</x:v>
      </x:c>
      <x:c r="C1257" s="30" t="str">
        <x:v>IBD / GCM</x:v>
      </x:c>
      <x:c r="D1257" s="31" t="str">
        <x:v>what do you know about nomura</x:v>
      </x:c>
      <x:c r="E1257" s="31" t="str">
        <x:v>What do you know about nomura</x:v>
      </x:c>
      <x:c r="F1257" s="31" t="str">
        <x:v>Other Question</x:v>
      </x:c>
      <x:c r="G1257" s="30" t="str">
        <x:v>CL0923</x:v>
      </x:c>
      <x:c r="H1257" s="32" t="n">
        <x:f>COUNTIF($G$5:$G$1725,G1257)</x:f>
        <x:v>1</x:v>
      </x:c>
      <x:c r="I1257" s="30" t="str">
        <x:v>C20</x:v>
      </x:c>
      <x:c r="J1257" s="31" t="str">
        <x:v>how do you view the china economy | how familiar are you with mainland china (since u stayed in the us for a yr and grew up in hk) | would you want to work in the mainland</x:v>
      </x:c>
    </x:row>
    <x:row r="1258" ht="32" customHeight="1">
      <x:c r="A1258" s="30" t="str">
        <x:v>QB2039</x:v>
      </x:c>
      <x:c r="B1258" s="30" t="str">
        <x:v>Nomura</x:v>
      </x:c>
      <x:c r="C1258" s="30" t="str">
        <x:v>IBD / GCM</x:v>
      </x:c>
      <x:c r="D1258" s="31" t="str">
        <x:v>self intro</x:v>
      </x:c>
      <x:c r="E1258" s="31" t="str">
        <x:v>Tell me about yourself / walk me through your resume</x:v>
      </x:c>
      <x:c r="F1258" s="31" t="str">
        <x:v>Resume &amp; Experience</x:v>
      </x:c>
      <x:c r="G1258" s="30" t="str">
        <x:v>CL0001</x:v>
      </x:c>
      <x:c r="H1258" s="32" t="n">
        <x:f>COUNTIF($G$5:$G$1725,G1258)</x:f>
        <x:v>170</x:v>
      </x:c>
      <x:c r="I1258" s="30" t="str">
        <x:v>C25</x:v>
      </x:c>
      <x:c r="J1258" s="31" t="str">
        <x:v>what do you know about nomura | any questions | pramath verma</x:v>
      </x:c>
    </x:row>
    <x:row r="1259" ht="32" customHeight="1">
      <x:c r="A1259" s="30" t="str">
        <x:v>QB2041</x:v>
      </x:c>
      <x:c r="B1259" s="30" t="str">
        <x:v>Nomura</x:v>
      </x:c>
      <x:c r="C1259" s="30" t="str">
        <x:v>IBD / GCM</x:v>
      </x:c>
      <x:c r="D1259" s="31" t="str">
        <x:v>born and raised in hk?</x:v>
      </x:c>
      <x:c r="E1259" s="31" t="str">
        <x:v>Born and raised in hk</x:v>
      </x:c>
      <x:c r="F1259" s="31" t="str">
        <x:v>Other Question</x:v>
      </x:c>
      <x:c r="G1259" s="30" t="str">
        <x:v>CL0165</x:v>
      </x:c>
      <x:c r="H1259" s="32" t="n">
        <x:f>COUNTIF($G$5:$G$1725,G1259)</x:f>
        <x:v>1</x:v>
      </x:c>
      <x:c r="I1259" s="30" t="str">
        <x:v>C26</x:v>
      </x:c>
      <x:c r="J1259" s="31" t="str">
        <x:v>any questions | pramath verma | self intro</x:v>
      </x:c>
    </x:row>
    <x:row r="1260" ht="32" customHeight="1">
      <x:c r="A1260" s="30" t="str">
        <x:v>QB2042</x:v>
      </x:c>
      <x:c r="B1260" s="30" t="str">
        <x:v>Nomura</x:v>
      </x:c>
      <x:c r="C1260" s="30" t="str">
        <x:v>IBD / GCM</x:v>
      </x:c>
      <x:c r="D1260" s="31" t="str">
        <x:v>Global Markets做了什么，觉得有趣吗？</x:v>
      </x:c>
      <x:c r="E1260" s="31" t="str">
        <x:v>Global Markets做了什么，觉得有趣吗</x:v>
      </x:c>
      <x:c r="F1260" s="31" t="str">
        <x:v>Other Question</x:v>
      </x:c>
      <x:c r="G1260" s="30" t="str">
        <x:v>CL0358</x:v>
      </x:c>
      <x:c r="H1260" s="32" t="n">
        <x:f>COUNTIF($G$5:$G$1725,G1260)</x:f>
        <x:v>1</x:v>
      </x:c>
      <x:c r="I1260" s="30" t="str">
        <x:v>A27</x:v>
      </x:c>
      <x:c r="J1260" s="31" t="str">
        <x:v>如果可以投资行业内的一家公司，会选择哪家为什么 | PE和IB的区别是什么，为什么选择IB | 选择一个公司take private，需要考量什么</x:v>
      </x:c>
    </x:row>
    <x:row r="1261" ht="32" customHeight="1">
      <x:c r="A1261" s="30" t="str">
        <x:v>QB2043</x:v>
      </x:c>
      <x:c r="B1261" s="30" t="str">
        <x:v>Nomura</x:v>
      </x:c>
      <x:c r="C1261" s="30" t="str">
        <x:v>IBD / GCM</x:v>
      </x:c>
      <x:c r="D1261" s="31" t="str">
        <x:v>why not law</x:v>
      </x:c>
      <x:c r="E1261" s="31" t="str">
        <x:v>Why not law</x:v>
      </x:c>
      <x:c r="F1261" s="31" t="str">
        <x:v>Fit &amp; Motivation</x:v>
      </x:c>
      <x:c r="G1261" s="30" t="str">
        <x:v>CL0052</x:v>
      </x:c>
      <x:c r="H1261" s="32" t="n">
        <x:f>COUNTIF($G$5:$G$1725,G1261)</x:f>
        <x:v>2</x:v>
      </x:c>
      <x:c r="I1261" s="30" t="str">
        <x:v>C27</x:v>
      </x:c>
      <x:c r="J1261" s="31" t="str">
        <x:v>pramath verma | self intro | born and raised in hk?</x:v>
      </x:c>
    </x:row>
    <x:row r="1262" ht="32" customHeight="1">
      <x:c r="A1262" s="30" t="str">
        <x:v>QB2044</x:v>
      </x:c>
      <x:c r="B1262" s="30" t="str">
        <x:v>Nomura</x:v>
      </x:c>
      <x:c r="C1262" s="30" t="str">
        <x:v>IBD / GCM</x:v>
      </x:c>
      <x:c r="D1262" s="31" t="str">
        <x:v>为什么高中读A Level大学选择HKU</x:v>
      </x:c>
      <x:c r="E1262" s="31" t="str">
        <x:v>为什么高中读A Level大学选择HKU</x:v>
      </x:c>
      <x:c r="F1262" s="31" t="str">
        <x:v>Other Question</x:v>
      </x:c>
      <x:c r="G1262" s="30" t="str">
        <x:v>CL1225</x:v>
      </x:c>
      <x:c r="H1262" s="32" t="n">
        <x:f>COUNTIF($G$5:$G$1725,G1262)</x:f>
        <x:v>1</x:v>
      </x:c>
      <x:c r="I1262" s="30" t="str">
        <x:v>A28</x:v>
      </x:c>
      <x:c r="J1262" s="31" t="str">
        <x:v>PE和IB的区别是什么，为什么选择IB | 选择一个公司take private，需要考量什么 | Global Markets做了什么，觉得有趣吗？</x:v>
      </x:c>
    </x:row>
    <x:row r="1263" ht="32" customHeight="1">
      <x:c r="A1263" s="30" t="str">
        <x:v>QB2045</x:v>
      </x:c>
      <x:c r="B1263" s="30" t="str">
        <x:v>Nomura</x:v>
      </x:c>
      <x:c r="C1263" s="30" t="str">
        <x:v>IBD / GCM</x:v>
      </x:c>
      <x:c r="D1263" s="31" t="str">
        <x:v>walk me through a project</x:v>
      </x:c>
      <x:c r="E1263" s="31" t="str">
        <x:v>Walk me through a project</x:v>
      </x:c>
      <x:c r="F1263" s="31" t="str">
        <x:v>Other Question</x:v>
      </x:c>
      <x:c r="G1263" s="30" t="str">
        <x:v>CL0828</x:v>
      </x:c>
      <x:c r="H1263" s="32" t="n">
        <x:f>COUNTIF($G$5:$G$1725,G1263)</x:f>
        <x:v>1</x:v>
      </x:c>
      <x:c r="I1263" s="30" t="str">
        <x:v>C28</x:v>
      </x:c>
      <x:c r="J1263" s="31" t="str">
        <x:v>self intro | born and raised in hk? | why not law</x:v>
      </x:c>
    </x:row>
    <x:row r="1264" ht="32" customHeight="1">
      <x:c r="A1264" s="30" t="str">
        <x:v>QB2046</x:v>
      </x:c>
      <x:c r="B1264" s="30" t="str">
        <x:v>Nomura</x:v>
      </x:c>
      <x:c r="C1264" s="30" t="str">
        <x:v>IBD / GCM</x:v>
      </x:c>
      <x:c r="D1264" s="31" t="str">
        <x:v>有什么问题想问？</x:v>
      </x:c>
      <x:c r="E1264" s="31" t="str">
        <x:v>有什么问题想问</x:v>
      </x:c>
      <x:c r="F1264" s="31" t="str">
        <x:v>Other Question</x:v>
      </x:c>
      <x:c r="G1264" s="30" t="str">
        <x:v>CL1250</x:v>
      </x:c>
      <x:c r="H1264" s="32" t="n">
        <x:f>COUNTIF($G$5:$G$1725,G1264)</x:f>
        <x:v>1</x:v>
      </x:c>
      <x:c r="I1264" s="30" t="str">
        <x:v>A29</x:v>
      </x:c>
      <x:c r="J1264" s="31" t="str">
        <x:v>选择一个公司take private，需要考量什么 | Global Markets做了什么，觉得有趣吗？ | 为什么高中读A Level大学选择HKU</x:v>
      </x:c>
    </x:row>
    <x:row r="1265" ht="32" customHeight="1">
      <x:c r="A1265" s="30" t="str">
        <x:v>QB2047</x:v>
      </x:c>
      <x:c r="B1265" s="30" t="str">
        <x:v>Nomura</x:v>
      </x:c>
      <x:c r="C1265" s="30" t="str">
        <x:v>IBD / GCM</x:v>
      </x:c>
      <x:c r="D1265" s="31" t="str">
        <x:v>how did you do valuation in the project</x:v>
      </x:c>
      <x:c r="E1265" s="31" t="str">
        <x:v>How did you do valuation in the project</x:v>
      </x:c>
      <x:c r="F1265" s="31" t="str">
        <x:v>Valuation</x:v>
      </x:c>
      <x:c r="G1265" s="30" t="str">
        <x:v>CL0387</x:v>
      </x:c>
      <x:c r="H1265" s="32" t="n">
        <x:f>COUNTIF($G$5:$G$1725,G1265)</x:f>
        <x:v>1</x:v>
      </x:c>
      <x:c r="I1265" s="30" t="str">
        <x:v>C29</x:v>
      </x:c>
      <x:c r="J1265" s="31" t="str">
        <x:v>born and raised in hk? | why not law | walk me through a project</x:v>
      </x:c>
    </x:row>
    <x:row r="1266" ht="32" customHeight="1">
      <x:c r="A1266" s="30" t="str">
        <x:v>QB2048</x:v>
      </x:c>
      <x:c r="B1266" s="30" t="str">
        <x:v>Nomura</x:v>
      </x:c>
      <x:c r="C1266" s="30" t="str">
        <x:v>IBD / GCM</x:v>
      </x:c>
      <x:c r="D1266" s="31" t="str">
        <x:v>have you followed the fed interest rate hike</x:v>
      </x:c>
      <x:c r="E1266" s="31" t="str">
        <x:v>Have you followed the fed interest rate hike</x:v>
      </x:c>
      <x:c r="F1266" s="31" t="str">
        <x:v>Markets &amp; Macro</x:v>
      </x:c>
      <x:c r="G1266" s="30" t="str">
        <x:v>CL0364</x:v>
      </x:c>
      <x:c r="H1266" s="32" t="n">
        <x:f>COUNTIF($G$5:$G$1725,G1266)</x:f>
        <x:v>1</x:v>
      </x:c>
      <x:c r="I1266" s="30" t="str">
        <x:v>C30</x:v>
      </x:c>
      <x:c r="J1266" s="31" t="str">
        <x:v>why not law | walk me through a project | how did you do valuation in the project</x:v>
      </x:c>
    </x:row>
    <x:row r="1267" ht="48" customHeight="1">
      <x:c r="A1267" s="30" t="str">
        <x:v>QB2050</x:v>
      </x:c>
      <x:c r="B1267" s="30" t="str">
        <x:v>Nomura</x:v>
      </x:c>
      <x:c r="C1267" s="30" t="str">
        <x:v>IBD / GCM</x:v>
      </x:c>
      <x:c r="D1267" s="31" t="str">
        <x:v>tell me a time when you faced challenges</x:v>
      </x:c>
      <x:c r="E1267" s="31" t="str">
        <x:v>Tell me about a challenge, setback, or failure</x:v>
      </x:c>
      <x:c r="F1267" s="31" t="str">
        <x:v>Behavioral &amp; Situational</x:v>
      </x:c>
      <x:c r="G1267" s="30" t="str">
        <x:v>CL0007</x:v>
      </x:c>
      <x:c r="H1267" s="32" t="n">
        <x:f>COUNTIF($G$5:$G$1725,G1267)</x:f>
        <x:v>16</x:v>
      </x:c>
      <x:c r="I1267" s="30" t="str">
        <x:v>C32</x:v>
      </x:c>
      <x:c r="J1267" s="31" t="str">
        <x:v>how did you do valuation in the project | have you followed the fed interest rate hike | buy-side vs sell-side</x:v>
      </x:c>
    </x:row>
    <x:row r="1268" ht="48" customHeight="1">
      <x:c r="A1268" s="30" t="str">
        <x:v>QB2051</x:v>
      </x:c>
      <x:c r="B1268" s="30" t="str">
        <x:v>Nomura</x:v>
      </x:c>
      <x:c r="C1268" s="30" t="str">
        <x:v>IBD / GCM</x:v>
      </x:c>
      <x:c r="D1268" s="31" t="str">
        <x:v>how do you see yourself in 5 yrs</x:v>
      </x:c>
      <x:c r="E1268" s="31" t="str">
        <x:v>How do you see yourself in 5 yrs</x:v>
      </x:c>
      <x:c r="F1268" s="31" t="str">
        <x:v>Other Question</x:v>
      </x:c>
      <x:c r="G1268" s="30" t="str">
        <x:v>CL0424</x:v>
      </x:c>
      <x:c r="H1268" s="32" t="n">
        <x:f>COUNTIF($G$5:$G$1725,G1268)</x:f>
        <x:v>1</x:v>
      </x:c>
      <x:c r="I1268" s="30" t="str">
        <x:v>C33</x:v>
      </x:c>
      <x:c r="J1268" s="31" t="str">
        <x:v>have you followed the fed interest rate hike | buy-side vs sell-side | tell me a time when you faced challenges</x:v>
      </x:c>
    </x:row>
    <x:row r="1269" ht="32" customHeight="1">
      <x:c r="A1269" s="30" t="str">
        <x:v>QB2056</x:v>
      </x:c>
      <x:c r="B1269" s="30" t="str">
        <x:v>Nomura</x:v>
      </x:c>
      <x:c r="C1269" s="30" t="str">
        <x:v>IBD / GCM</x:v>
      </x:c>
      <x:c r="D1269" s="31" t="str">
        <x:v>with Benson from International Syndicated team</x:v>
      </x:c>
      <x:c r="E1269" s="31" t="str">
        <x:v>With Benson from International Syndicated team</x:v>
      </x:c>
      <x:c r="F1269" s="31" t="str">
        <x:v>Capital Markets &amp; Financing</x:v>
      </x:c>
      <x:c r="G1269" s="30" t="str">
        <x:v>CL1185</x:v>
      </x:c>
      <x:c r="H1269" s="32" t="n">
        <x:f>COUNTIF($G$5:$G$1725,G1269)</x:f>
        <x:v>1</x:v>
      </x:c>
      <x:c r="I1269" s="30" t="str">
        <x:v>A38</x:v>
      </x:c>
      <x:c r="J1269" s="31" t="str">
        <x:v>有什么问题想问？ | 2025 SA | Daisy 25/10</x:v>
      </x:c>
    </x:row>
    <x:row r="1270" ht="32" customHeight="1">
      <x:c r="A1270" s="30" t="str">
        <x:v>QB2058</x:v>
      </x:c>
      <x:c r="B1270" s="30" t="str">
        <x:v>Nomura</x:v>
      </x:c>
      <x:c r="C1270" s="30" t="str">
        <x:v>IBD / GCM</x:v>
      </x:c>
      <x:c r="D1270" s="31" t="str">
        <x:v>walk through resume</x:v>
      </x:c>
      <x:c r="E1270" s="31" t="str">
        <x:v>Tell me about yourself / walk me through your resume</x:v>
      </x:c>
      <x:c r="F1270" s="31" t="str">
        <x:v>Resume &amp; Experience</x:v>
      </x:c>
      <x:c r="G1270" s="30" t="str">
        <x:v>CL0001</x:v>
      </x:c>
      <x:c r="H1270" s="32" t="n">
        <x:f>COUNTIF($G$5:$G$1725,G1270)</x:f>
        <x:v>170</x:v>
      </x:c>
      <x:c r="I1270" s="30" t="str">
        <x:v>A39</x:v>
      </x:c>
      <x:c r="J1270" s="31" t="str">
        <x:v>2025 SA | Daisy 25/10 | with Benson from International Syndicated team</x:v>
      </x:c>
    </x:row>
    <x:row r="1271" ht="32" customHeight="1">
      <x:c r="A1271" s="30" t="str">
        <x:v>QB2059</x:v>
      </x:c>
      <x:c r="B1271" s="30" t="str">
        <x:v>Nomura</x:v>
      </x:c>
      <x:c r="C1271" s="30" t="str">
        <x:v>IBD / GCM</x:v>
      </x:c>
      <x:c r="D1271" s="31" t="str">
        <x:v>Self-intro</x:v>
      </x:c>
      <x:c r="E1271" s="31" t="str">
        <x:v>Tell me about yourself / walk me through your resume</x:v>
      </x:c>
      <x:c r="F1271" s="31" t="str">
        <x:v>Resume &amp; Experience</x:v>
      </x:c>
      <x:c r="G1271" s="30" t="str">
        <x:v>CL0001</x:v>
      </x:c>
      <x:c r="H1271" s="32" t="n">
        <x:f>COUNTIF($G$5:$G$1725,G1271)</x:f>
        <x:v>170</x:v>
      </x:c>
      <x:c r="I1271" s="30" t="str">
        <x:v>C39</x:v>
      </x:c>
      <x:c r="J1271" s="31" t="str">
        <x:v>any questions | SPD | Kevin Ng--TMT ED</x:v>
      </x:c>
    </x:row>
    <x:row r="1272" ht="32" customHeight="1">
      <x:c r="A1272" s="30" t="str">
        <x:v>QB2060</x:v>
      </x:c>
      <x:c r="B1272" s="30" t="str">
        <x:v>Nomura</x:v>
      </x:c>
      <x:c r="C1272" s="30" t="str">
        <x:v>IBD / GCM</x:v>
      </x:c>
      <x:c r="D1272" s="31" t="str">
        <x:v>(he asked me to elaborate a lot more almost cover every experience in details)</x:v>
      </x:c>
      <x:c r="E1272" s="31" t="str">
        <x:v>(he asked me to elaborate a lot more almost cover every experience in details)</x:v>
      </x:c>
      <x:c r="F1272" s="31" t="str">
        <x:v>Resume &amp; Experience</x:v>
      </x:c>
      <x:c r="G1272" s="30" t="str">
        <x:v>CL0055</x:v>
      </x:c>
      <x:c r="H1272" s="32" t="n">
        <x:f>COUNTIF($G$5:$G$1725,G1272)</x:f>
        <x:v>1</x:v>
      </x:c>
      <x:c r="I1272" s="30" t="str">
        <x:v>A40</x:v>
      </x:c>
      <x:c r="J1272" s="31" t="str">
        <x:v>Daisy 25/10 | with Benson from International Syndicated team | walk through resume</x:v>
      </x:c>
    </x:row>
    <x:row r="1273" ht="32" customHeight="1">
      <x:c r="A1273" s="30" t="str">
        <x:v>QB2061</x:v>
      </x:c>
      <x:c r="B1273" s="30" t="str">
        <x:v>Nomura</x:v>
      </x:c>
      <x:c r="C1273" s="30" t="str">
        <x:v>IBD / GCM</x:v>
      </x:c>
      <x:c r="D1273" s="31" t="str">
        <x:v>M&amp;A deal walk through, how to do valuation, any insights, what comparables</x:v>
      </x:c>
      <x:c r="E1273" s="31" t="str">
        <x:v>M&amp;A deal walk through, how to do valuation, any insights, what comparables</x:v>
      </x:c>
      <x:c r="F1273" s="31" t="str">
        <x:v>Valuation</x:v>
      </x:c>
      <x:c r="G1273" s="30" t="str">
        <x:v>CL0596</x:v>
      </x:c>
      <x:c r="H1273" s="32" t="n">
        <x:f>COUNTIF($G$5:$G$1725,G1273)</x:f>
        <x:v>1</x:v>
      </x:c>
      <x:c r="I1273" s="30" t="str">
        <x:v>C40</x:v>
      </x:c>
      <x:c r="J1273" s="31" t="str">
        <x:v>SPD | Kevin Ng--TMT ED | Self-intro</x:v>
      </x:c>
    </x:row>
    <x:row r="1274" ht="48" customHeight="1">
      <x:c r="A1274" s="30" t="str">
        <x:v>QB2062</x:v>
      </x:c>
      <x:c r="B1274" s="30" t="str">
        <x:v>Nomura</x:v>
      </x:c>
      <x:c r="C1274" s="30" t="str">
        <x:v>IBD / GCM</x:v>
      </x:c>
      <x:c r="D1274" s="31" t="str">
        <x:v>Could you walk me through the DCF model you built for BYD</x:v>
      </x:c>
      <x:c r="E1274" s="31" t="str">
        <x:v>Could you walk me through the DCF model you built for BYD</x:v>
      </x:c>
      <x:c r="F1274" s="31" t="str">
        <x:v>Valuation</x:v>
      </x:c>
      <x:c r="G1274" s="30" t="str">
        <x:v>CL0210</x:v>
      </x:c>
      <x:c r="H1274" s="32" t="n">
        <x:f>COUNTIF($G$5:$G$1725,G1274)</x:f>
        <x:v>1</x:v>
      </x:c>
      <x:c r="I1274" s="30" t="str">
        <x:v>A41</x:v>
      </x:c>
      <x:c r="J1274" s="31" t="str">
        <x:v>with Benson from International Syndicated team | walk through resume | (he asked me to elaborate a lot more almost cover every experience in details)</x:v>
      </x:c>
    </x:row>
    <x:row r="1275" ht="48" customHeight="1">
      <x:c r="A1275" s="30" t="str">
        <x:v>QB2063</x:v>
      </x:c>
      <x:c r="B1275" s="30" t="str">
        <x:v>Nomura</x:v>
      </x:c>
      <x:c r="C1275" s="30" t="str">
        <x:v>IBD / GCM</x:v>
      </x:c>
      <x:c r="D1275" s="31" t="str">
        <x:v>DCF model walk through, WACC?</x:v>
      </x:c>
      <x:c r="E1275" s="31" t="str">
        <x:v>DCF model walk through, WACC</x:v>
      </x:c>
      <x:c r="F1275" s="31" t="str">
        <x:v>Valuation</x:v>
      </x:c>
      <x:c r="G1275" s="30" t="str">
        <x:v>CL0226</x:v>
      </x:c>
      <x:c r="H1275" s="32" t="n">
        <x:f>COUNTIF($G$5:$G$1725,G1275)</x:f>
        <x:v>1</x:v>
      </x:c>
      <x:c r="I1275" s="30" t="str">
        <x:v>C41</x:v>
      </x:c>
      <x:c r="J1275" s="31" t="str">
        <x:v>Kevin Ng--TMT ED | Self-intro | M&amp;A deal walk through, how to do valuation, any insights, what comparables</x:v>
      </x:c>
    </x:row>
    <x:row r="1276" ht="48" customHeight="1">
      <x:c r="A1276" s="30" t="str">
        <x:v>QB2064</x:v>
      </x:c>
      <x:c r="B1276" s="30" t="str">
        <x:v>Nomura</x:v>
      </x:c>
      <x:c r="C1276" s="30" t="str">
        <x:v>IBD / GCM</x:v>
      </x:c>
      <x:c r="D1276" s="31" t="str">
        <x:v>Did you meet any conflicts or disagreements during the process</x:v>
      </x:c>
      <x:c r="E1276" s="31" t="str">
        <x:v>Tell me about a team conflict and how you handled it</x:v>
      </x:c>
      <x:c r="F1276" s="31" t="str">
        <x:v>Behavioral &amp; Situational</x:v>
      </x:c>
      <x:c r="G1276" s="30" t="str">
        <x:v>CL0023</x:v>
      </x:c>
      <x:c r="H1276" s="32" t="n">
        <x:f>COUNTIF($G$5:$G$1725,G1276)</x:f>
        <x:v>3</x:v>
      </x:c>
      <x:c r="I1276" s="30" t="str">
        <x:v>A42</x:v>
      </x:c>
      <x:c r="J1276" s="31" t="str">
        <x:v>walk through resume | (he asked me to elaborate a lot more almost cover every experience in details) | Could you walk me through the DCF model you built for BYD</x:v>
      </x:c>
    </x:row>
    <x:row r="1277" ht="48" customHeight="1">
      <x:c r="A1277" s="30" t="str">
        <x:v>QB2065</x:v>
      </x:c>
      <x:c r="B1277" s="30" t="str">
        <x:v>Nomura</x:v>
      </x:c>
      <x:c r="C1277" s="30" t="str">
        <x:v>IBD / GCM</x:v>
      </x:c>
      <x:c r="D1277" s="31" t="str">
        <x:v>Baidu acquiring Sensetime deal walk through, do it make sense, why 5 yrs</x:v>
      </x:c>
      <x:c r="E1277" s="31" t="str">
        <x:v>Baidu acquiring Sensetime deal walk through, do it make sense, why 5 yrs</x:v>
      </x:c>
      <x:c r="F1277" s="31" t="str">
        <x:v>Fit &amp; Motivation</x:v>
      </x:c>
      <x:c r="G1277" s="30" t="str">
        <x:v>CL0154</x:v>
      </x:c>
      <x:c r="H1277" s="32" t="n">
        <x:f>COUNTIF($G$5:$G$1725,G1277)</x:f>
        <x:v>1</x:v>
      </x:c>
      <x:c r="I1277" s="30" t="str">
        <x:v>C42</x:v>
      </x:c>
      <x:c r="J1277" s="31" t="str">
        <x:v>Self-intro | M&amp;A deal walk through, how to do valuation, any insights, what comparables | DCF model walk through, WACC?</x:v>
      </x:c>
    </x:row>
    <x:row r="1278" ht="68" customHeight="1">
      <x:c r="A1278" s="30" t="str">
        <x:v>QB2066</x:v>
      </x:c>
      <x:c r="B1278" s="30" t="str">
        <x:v>Nomura</x:v>
      </x:c>
      <x:c r="C1278" s="30" t="str">
        <x:v>IBD / GCM</x:v>
      </x:c>
      <x:c r="D1278" s="31" t="str">
        <x:v>How do you think of the EV market in the future</x:v>
      </x:c>
      <x:c r="E1278" s="31" t="str">
        <x:v>How do you think of the EV market in the future</x:v>
      </x:c>
      <x:c r="F1278" s="31" t="str">
        <x:v>Other Question</x:v>
      </x:c>
      <x:c r="G1278" s="30" t="str">
        <x:v>CL0427</x:v>
      </x:c>
      <x:c r="H1278" s="32" t="n">
        <x:f>COUNTIF($G$5:$G$1725,G1278)</x:f>
        <x:v>1</x:v>
      </x:c>
      <x:c r="I1278" s="30" t="str">
        <x:v>A43</x:v>
      </x:c>
      <x:c r="J1278" s="31" t="str">
        <x:v>(he asked me to elaborate a lot more almost cover every experience in details) | Could you walk me through the DCF model you built for BYD | Did you meet any conflicts or disagreements during the process</x:v>
      </x:c>
    </x:row>
    <x:row r="1279" ht="68" customHeight="1">
      <x:c r="A1279" s="30" t="str">
        <x:v>QB2067</x:v>
      </x:c>
      <x:c r="B1279" s="30" t="str">
        <x:v>Nomura</x:v>
      </x:c>
      <x:c r="C1279" s="30" t="str">
        <x:v>IBD / GCM</x:v>
      </x:c>
      <x:c r="D1279" s="31" t="str">
        <x:v>What do you do in your spare time</x:v>
      </x:c>
      <x:c r="E1279" s="31" t="str">
        <x:v>What do you do in your spare time</x:v>
      </x:c>
      <x:c r="F1279" s="31" t="str">
        <x:v>Other Question</x:v>
      </x:c>
      <x:c r="G1279" s="30" t="str">
        <x:v>CL0918</x:v>
      </x:c>
      <x:c r="H1279" s="32" t="n">
        <x:f>COUNTIF($G$5:$G$1725,G1279)</x:f>
        <x:v>1</x:v>
      </x:c>
      <x:c r="I1279" s="30" t="str">
        <x:v>C43</x:v>
      </x:c>
      <x:c r="J1279" s="31" t="str">
        <x:v>M&amp;A deal walk through, how to do valuation, any insights, what comparables | DCF model walk through, WACC? | Baidu acquiring Sensetime deal walk through, do it make sense, why 5 yrs</x:v>
      </x:c>
    </x:row>
    <x:row r="1280" ht="68" customHeight="1">
      <x:c r="A1280" s="30" t="str">
        <x:v>QB2068</x:v>
      </x:c>
      <x:c r="B1280" s="30" t="str">
        <x:v>Nomura</x:v>
      </x:c>
      <x:c r="C1280" s="30" t="str">
        <x:v>IBD / GCM</x:v>
      </x:c>
      <x:c r="D1280" s="31" t="str">
        <x:v>(I asked him is it global or just chinese market, he said global)</x:v>
      </x:c>
      <x:c r="E1280" s="31" t="str">
        <x:v>(I asked him is it global or just chinese market, he said global)</x:v>
      </x:c>
      <x:c r="F1280" s="31" t="str">
        <x:v>Accounting &amp; Financial Statements</x:v>
      </x:c>
      <x:c r="G1280" s="30" t="str">
        <x:v>CL0057</x:v>
      </x:c>
      <x:c r="H1280" s="32" t="n">
        <x:f>COUNTIF($G$5:$G$1725,G1280)</x:f>
        <x:v>1</x:v>
      </x:c>
      <x:c r="I1280" s="30" t="str">
        <x:v>A44</x:v>
      </x:c>
      <x:c r="J1280" s="31" t="str">
        <x:v>Could you walk me through the DCF model you built for BYD | Did you meet any conflicts or disagreements during the process | How do you think of the EV market in the future</x:v>
      </x:c>
    </x:row>
    <x:row r="1281" ht="68" customHeight="1">
      <x:c r="A1281" s="30" t="str">
        <x:v>QB2069</x:v>
      </x:c>
      <x:c r="B1281" s="30" t="str">
        <x:v>Nomura</x:v>
      </x:c>
      <x:c r="C1281" s="30" t="str">
        <x:v>IBD / GCM</x:v>
      </x:c>
      <x:c r="D1281" s="31" t="str">
        <x:v>Which company will be the best winner (I said Tesla)</x:v>
      </x:c>
      <x:c r="E1281" s="31" t="str">
        <x:v>Which company will be the best winner (I said Tesla)</x:v>
      </x:c>
      <x:c r="F1281" s="31" t="str">
        <x:v>Company, Industry &amp; Deals</x:v>
      </x:c>
      <x:c r="G1281" s="30" t="str">
        <x:v>CL1092</x:v>
      </x:c>
      <x:c r="H1281" s="32" t="n">
        <x:f>COUNTIF($G$5:$G$1725,G1281)</x:f>
        <x:v>1</x:v>
      </x:c>
      <x:c r="I1281" s="30" t="str">
        <x:v>A45</x:v>
      </x:c>
      <x:c r="J1281" s="31" t="str">
        <x:v>Did you meet any conflicts or disagreements during the process | How do you think of the EV market in the future | (I asked him is it global or just chinese market, he said global)</x:v>
      </x:c>
    </x:row>
    <x:row r="1282" ht="68" customHeight="1">
      <x:c r="A1282" s="30" t="str">
        <x:v>QB2071</x:v>
      </x:c>
      <x:c r="B1282" s="30" t="str">
        <x:v>Nomura</x:v>
      </x:c>
      <x:c r="C1282" s="30" t="str">
        <x:v>IBD / GCM</x:v>
      </x:c>
      <x:c r="D1282" s="31" t="str">
        <x:v>Do you think Tesla is undervalued or overvalued</x:v>
      </x:c>
      <x:c r="E1282" s="31" t="str">
        <x:v>Do you think Tesla is undervalued or overvalued</x:v>
      </x:c>
      <x:c r="F1282" s="31" t="str">
        <x:v>Accounting &amp; Financial Statements</x:v>
      </x:c>
      <x:c r="G1282" s="30" t="str">
        <x:v>CL0297</x:v>
      </x:c>
      <x:c r="H1282" s="32" t="n">
        <x:f>COUNTIF($G$5:$G$1725,G1282)</x:f>
        <x:v>1</x:v>
      </x:c>
      <x:c r="I1282" s="30" t="str">
        <x:v>A46</x:v>
      </x:c>
      <x:c r="J1282" s="31" t="str">
        <x:v>How do you think of the EV market in the future | (I asked him is it global or just chinese market, he said global) | Which company will be the best winner (I said Tesla)</x:v>
      </x:c>
    </x:row>
    <x:row r="1283" ht="48" customHeight="1">
      <x:c r="A1283" s="30" t="str">
        <x:v>QB2072</x:v>
      </x:c>
      <x:c r="B1283" s="30" t="str">
        <x:v>Nomura</x:v>
      </x:c>
      <x:c r="C1283" s="30" t="str">
        <x:v>IBD / GCM</x:v>
      </x:c>
      <x:c r="D1283" s="31" t="str">
        <x:v>Self-intro</x:v>
      </x:c>
      <x:c r="E1283" s="31" t="str">
        <x:v>Tell me about yourself / walk me through your resume</x:v>
      </x:c>
      <x:c r="F1283" s="31" t="str">
        <x:v>Resume &amp; Experience</x:v>
      </x:c>
      <x:c r="G1283" s="30" t="str">
        <x:v>CL0001</x:v>
      </x:c>
      <x:c r="H1283" s="32" t="n">
        <x:f>COUNTIF($G$5:$G$1725,G1283)</x:f>
        <x:v>170</x:v>
      </x:c>
      <x:c r="I1283" s="30" t="str">
        <x:v>C46</x:v>
      </x:c>
      <x:c r="J1283" s="31" t="str">
        <x:v>Baidu acquiring Sensetime deal walk through, do it make sense, why 5 yrs | What do you do in your spare time | Timothy Wong--Levfin vp</x:v>
      </x:c>
    </x:row>
    <x:row r="1284" ht="68" customHeight="1">
      <x:c r="A1284" s="30" t="str">
        <x:v>QB2073</x:v>
      </x:c>
      <x:c r="B1284" s="30" t="str">
        <x:v>Nomura</x:v>
      </x:c>
      <x:c r="C1284" s="30" t="str">
        <x:v>IBD / GCM</x:v>
      </x:c>
      <x:c r="D1284" s="31" t="str">
        <x:v>Why ibd</x:v>
      </x:c>
      <x:c r="E1284" s="31" t="str">
        <x:v>Why investment banking?</x:v>
      </x:c>
      <x:c r="F1284" s="31" t="str">
        <x:v>Fit &amp; Motivation</x:v>
      </x:c>
      <x:c r="G1284" s="30" t="str">
        <x:v>CL0003</x:v>
      </x:c>
      <x:c r="H1284" s="32" t="n">
        <x:f>COUNTIF($G$5:$G$1725,G1284)</x:f>
        <x:v>34</x:v>
      </x:c>
      <x:c r="I1284" s="30" t="str">
        <x:v>A47</x:v>
      </x:c>
      <x:c r="J1284" s="31" t="str">
        <x:v>(I asked him is it global or just chinese market, he said global) | Which company will be the best winner (I said Tesla) | Do you think Tesla is undervalued or overvalued</x:v>
      </x:c>
    </x:row>
    <x:row r="1285" ht="32" customHeight="1">
      <x:c r="A1285" s="30" t="str">
        <x:v>QB2074</x:v>
      </x:c>
      <x:c r="B1285" s="30" t="str">
        <x:v>Nomura</x:v>
      </x:c>
      <x:c r="C1285" s="30" t="str">
        <x:v>IBD / GCM</x:v>
      </x:c>
      <x:c r="D1285" s="31" t="str">
        <x:v>What did you do at equity research internship</x:v>
      </x:c>
      <x:c r="E1285" s="31" t="str">
        <x:v>What did you do at equity research internship</x:v>
      </x:c>
      <x:c r="F1285" s="31" t="str">
        <x:v>Resume &amp; Experience</x:v>
      </x:c>
      <x:c r="G1285" s="30" t="str">
        <x:v>CL0896</x:v>
      </x:c>
      <x:c r="H1285" s="32" t="n">
        <x:f>COUNTIF($G$5:$G$1725,G1285)</x:f>
        <x:v>1</x:v>
      </x:c>
      <x:c r="I1285" s="30" t="str">
        <x:v>C47</x:v>
      </x:c>
      <x:c r="J1285" s="31" t="str">
        <x:v>What do you do in your spare time | Timothy Wong--Levfin vp | Self-intro</x:v>
      </x:c>
    </x:row>
    <x:row r="1286" ht="48" customHeight="1">
      <x:c r="A1286" s="30" t="str">
        <x:v>QB2075</x:v>
      </x:c>
      <x:c r="B1286" s="30" t="str">
        <x:v>Nomura</x:v>
      </x:c>
      <x:c r="C1286" s="30" t="str">
        <x:v>IBD / GCM</x:v>
      </x:c>
      <x:c r="D1286" s="31" t="str">
        <x:v>Why nomura</x:v>
      </x:c>
      <x:c r="E1286" s="31" t="str">
        <x:v>Why this firm?</x:v>
      </x:c>
      <x:c r="F1286" s="31" t="str">
        <x:v>Fit &amp; Motivation</x:v>
      </x:c>
      <x:c r="G1286" s="30" t="str">
        <x:v>CL0002</x:v>
      </x:c>
      <x:c r="H1286" s="32" t="n">
        <x:f>COUNTIF($G$5:$G$1725,G1286)</x:f>
        <x:v>39</x:v>
      </x:c>
      <x:c r="I1286" s="30" t="str">
        <x:v>A48</x:v>
      </x:c>
      <x:c r="J1286" s="31" t="str">
        <x:v>Which company will be the best winner (I said Tesla) | Do you think Tesla is undervalued or overvalued | Why ibd</x:v>
      </x:c>
    </x:row>
    <x:row r="1287" ht="32" customHeight="1">
      <x:c r="A1287" s="30" t="str">
        <x:v>QB2076</x:v>
      </x:c>
      <x:c r="B1287" s="30" t="str">
        <x:v>Nomura</x:v>
      </x:c>
      <x:c r="C1287" s="30" t="str">
        <x:v>IBD / GCM</x:v>
      </x:c>
      <x:c r="D1287" s="31" t="str">
        <x:v>How did u build the DCF model for BYD</x:v>
      </x:c>
      <x:c r="E1287" s="31" t="str">
        <x:v>How did u build the DCF model for BYD</x:v>
      </x:c>
      <x:c r="F1287" s="31" t="str">
        <x:v>Valuation</x:v>
      </x:c>
      <x:c r="G1287" s="30" t="str">
        <x:v>CL0377</x:v>
      </x:c>
      <x:c r="H1287" s="32" t="n">
        <x:f>COUNTIF($G$5:$G$1725,G1287)</x:f>
        <x:v>1</x:v>
      </x:c>
      <x:c r="I1287" s="30" t="str">
        <x:v>C48</x:v>
      </x:c>
      <x:c r="J1287" s="31" t="str">
        <x:v>Timothy Wong--Levfin vp | Self-intro | What did you do at equity research internship</x:v>
      </x:c>
    </x:row>
    <x:row r="1288" ht="32" customHeight="1">
      <x:c r="A1288" s="30" t="str">
        <x:v>QB2077</x:v>
      </x:c>
      <x:c r="B1288" s="30" t="str">
        <x:v>Nomura</x:v>
      </x:c>
      <x:c r="C1288" s="30" t="str">
        <x:v>IBD / GCM</x:v>
      </x:c>
      <x:c r="D1288" s="31" t="str">
        <x:v>What's the advantages of nomura</x:v>
      </x:c>
      <x:c r="E1288" s="31" t="str">
        <x:v>What's the advantages of nomura</x:v>
      </x:c>
      <x:c r="F1288" s="31" t="str">
        <x:v>Other Question</x:v>
      </x:c>
      <x:c r="G1288" s="30" t="str">
        <x:v>CL1048</x:v>
      </x:c>
      <x:c r="H1288" s="32" t="n">
        <x:f>COUNTIF($G$5:$G$1725,G1288)</x:f>
        <x:v>1</x:v>
      </x:c>
      <x:c r="I1288" s="30" t="str">
        <x:v>A49</x:v>
      </x:c>
      <x:c r="J1288" s="31" t="str">
        <x:v>Do you think Tesla is undervalued or overvalued | Why ibd | Why nomura</x:v>
      </x:c>
    </x:row>
    <x:row r="1289" ht="48" customHeight="1">
      <x:c r="A1289" s="30" t="str">
        <x:v>QB2078</x:v>
      </x:c>
      <x:c r="B1289" s="30" t="str">
        <x:v>Nomura</x:v>
      </x:c>
      <x:c r="C1289" s="30" t="str">
        <x:v>IBD / GCM</x:v>
      </x:c>
      <x:c r="D1289" s="31" t="str">
        <x:v>Discuss tariff effect on Chinese EV makers blabla</x:v>
      </x:c>
      <x:c r="E1289" s="31" t="str">
        <x:v>Discuss tariff effect on Chinese EV makers blabla</x:v>
      </x:c>
      <x:c r="F1289" s="31" t="str">
        <x:v>Markets &amp; Macro</x:v>
      </x:c>
      <x:c r="G1289" s="30" t="str">
        <x:v>CL0259</x:v>
      </x:c>
      <x:c r="H1289" s="32" t="n">
        <x:f>COUNTIF($G$5:$G$1725,G1289)</x:f>
        <x:v>1</x:v>
      </x:c>
      <x:c r="I1289" s="30" t="str">
        <x:v>C49</x:v>
      </x:c>
      <x:c r="J1289" s="31" t="str">
        <x:v>Self-intro | What did you do at equity research internship | How did u build the DCF model for BYD</x:v>
      </x:c>
    </x:row>
    <x:row r="1290" ht="48" customHeight="1">
      <x:c r="A1290" s="30" t="str">
        <x:v>QB2080</x:v>
      </x:c>
      <x:c r="B1290" s="30" t="str">
        <x:v>Nomura</x:v>
      </x:c>
      <x:c r="C1290" s="30" t="str">
        <x:v>IBD / GCM</x:v>
      </x:c>
      <x:c r="D1290" s="31" t="str">
        <x:v>Discuss Trump's presidency's effect on Chinese EV makers blabla</x:v>
      </x:c>
      <x:c r="E1290" s="31" t="str">
        <x:v>Discuss Trump's presidency's effect on Chinese EV makers blabla</x:v>
      </x:c>
      <x:c r="F1290" s="31" t="str">
        <x:v>Other Question</x:v>
      </x:c>
      <x:c r="G1290" s="30" t="str">
        <x:v>CL0260</x:v>
      </x:c>
      <x:c r="H1290" s="32" t="n">
        <x:f>COUNTIF($G$5:$G$1725,G1290)</x:f>
        <x:v>1</x:v>
      </x:c>
      <x:c r="I1290" s="30" t="str">
        <x:v>C50</x:v>
      </x:c>
      <x:c r="J1290" s="31" t="str">
        <x:v>What did you do at equity research internship | How did u build the DCF model for BYD | Discuss tariff effect on Chinese EV makers blabla</x:v>
      </x:c>
    </x:row>
    <x:row r="1291" ht="48" customHeight="1">
      <x:c r="A1291" s="30" t="str">
        <x:v>QB2082</x:v>
      </x:c>
      <x:c r="B1291" s="30" t="str">
        <x:v>Nomura</x:v>
      </x:c>
      <x:c r="C1291" s="30" t="str">
        <x:v>IBD / GCM</x:v>
      </x:c>
      <x:c r="D1291" s="31" t="str">
        <x:v>Walk through the M&amp;A deal you did in your first internship</x:v>
      </x:c>
      <x:c r="E1291" s="31" t="str">
        <x:v>Walk me through a deal you worked on</x:v>
      </x:c>
      <x:c r="F1291" s="31" t="str">
        <x:v>Resume &amp; Experience</x:v>
      </x:c>
      <x:c r="G1291" s="30" t="str">
        <x:v>CL0017</x:v>
      </x:c>
      <x:c r="H1291" s="32" t="n">
        <x:f>COUNTIF($G$5:$G$1725,G1291)</x:f>
        <x:v>8</x:v>
      </x:c>
      <x:c r="I1291" s="30" t="str">
        <x:v>C51</x:v>
      </x:c>
      <x:c r="J1291" s="31" t="str">
        <x:v>How did u build the DCF model for BYD | Discuss tariff effect on Chinese EV makers blabla | Discuss Trump's presidency's effect on Chinese EV makers blabla</x:v>
      </x:c>
    </x:row>
    <x:row r="1292" ht="48" customHeight="1">
      <x:c r="A1292" s="30" t="str">
        <x:v>QB2084</x:v>
      </x:c>
      <x:c r="B1292" s="30" t="str">
        <x:v>Nomura</x:v>
      </x:c>
      <x:c r="C1292" s="30" t="str">
        <x:v>IBD / GCM</x:v>
      </x:c>
      <x:c r="D1292" s="31" t="str">
        <x:v>by debt/cash?</x:v>
      </x:c>
      <x:c r="E1292" s="31" t="str">
        <x:v>By debt/cash</x:v>
      </x:c>
      <x:c r="F1292" s="31" t="str">
        <x:v>Other Question</x:v>
      </x:c>
      <x:c r="G1292" s="30" t="str">
        <x:v>CL0180</x:v>
      </x:c>
      <x:c r="H1292" s="32" t="n">
        <x:f>COUNTIF($G$5:$G$1725,G1292)</x:f>
        <x:v>1</x:v>
      </x:c>
      <x:c r="I1292" s="30" t="str">
        <x:v>C53</x:v>
      </x:c>
      <x:c r="J1292" s="31" t="str">
        <x:v>Discuss Trump's presidency's effect on Chinese EV makers blabla | Walk through the M&amp;A deal you did in your first internship | any regulatory concern</x:v>
      </x:c>
    </x:row>
    <x:row r="1293" ht="48" customHeight="1">
      <x:c r="A1293" s="30" t="str">
        <x:v>QB2085</x:v>
      </x:c>
      <x:c r="B1293" s="30" t="str">
        <x:v>Nomura</x:v>
      </x:c>
      <x:c r="C1293" s="30" t="str">
        <x:v>IBD / GCM</x:v>
      </x:c>
      <x:c r="D1293" s="31" t="str">
        <x:v>Did you participate in the financing work</x:v>
      </x:c>
      <x:c r="E1293" s="31" t="str">
        <x:v>Did you participate in the financing work</x:v>
      </x:c>
      <x:c r="F1293" s="31" t="str">
        <x:v>Capital Markets &amp; Financing</x:v>
      </x:c>
      <x:c r="G1293" s="30" t="str">
        <x:v>CL0249</x:v>
      </x:c>
      <x:c r="H1293" s="32" t="n">
        <x:f>COUNTIF($G$5:$G$1725,G1293)</x:f>
        <x:v>1</x:v>
      </x:c>
      <x:c r="I1293" s="30" t="str">
        <x:v>C54</x:v>
      </x:c>
      <x:c r="J1293" s="31" t="str">
        <x:v>Walk through the M&amp;A deal you did in your first internship | any regulatory concern | by debt/cash?</x:v>
      </x:c>
    </x:row>
    <x:row r="1294" ht="68" customHeight="1">
      <x:c r="A1294" s="30" t="str">
        <x:v>QB2087</x:v>
      </x:c>
      <x:c r="B1294" s="30" t="str">
        <x:v>Nomura</x:v>
      </x:c>
      <x:c r="C1294" s="30" t="str">
        <x:v>IBD / GCM</x:v>
      </x:c>
      <x:c r="D1294" s="31" t="str">
        <x:v>Case study--advising on a European engineering company specialized in the provision of soil studies, financial sponsor exit strategies, business model analysis, accounting, basic valuation, DCF</x:v>
      </x:c>
      <x:c r="E1294" s="31" t="str">
        <x:v>Case study--advising on a European engineering company specialized in the provision of soil studies, financial sponsor exit strategies, business model analysis, accounting, basic valuation, DCF</x:v>
      </x:c>
      <x:c r="F1294" s="31" t="str">
        <x:v>Accounting &amp; Financial Statements</x:v>
      </x:c>
      <x:c r="G1294" s="30" t="str">
        <x:v>CL0195</x:v>
      </x:c>
      <x:c r="H1294" s="32" t="n">
        <x:f>COUNTIF($G$5:$G$1725,G1294)</x:f>
        <x:v>1</x:v>
      </x:c>
      <x:c r="I1294" s="30" t="str">
        <x:v>C57</x:v>
      </x:c>
      <x:c r="J1294" s="31" t="str">
        <x:v>by debt/cash? | Did you participate in the financing work | Sophie Wang--China team vp</x:v>
      </x:c>
    </x:row>
    <x:row r="1295" ht="92" customHeight="1">
      <x:c r="A1295" s="30" t="str">
        <x:v>QB2088</x:v>
      </x:c>
      <x:c r="B1295" s="30" t="str">
        <x:v>Nomura</x:v>
      </x:c>
      <x:c r="C1295" s="30" t="str">
        <x:v>IBD / GCM</x:v>
      </x:c>
      <x:c r="D1295" s="31" t="str">
        <x:v>What's the difference between comparable comp and transaction comp</x:v>
      </x:c>
      <x:c r="E1295" s="31" t="str">
        <x:v>What's the difference between comparable comp and transaction comp</x:v>
      </x:c>
      <x:c r="F1295" s="31" t="str">
        <x:v>Valuation</x:v>
      </x:c>
      <x:c r="G1295" s="30" t="str">
        <x:v>CL1052</x:v>
      </x:c>
      <x:c r="H1295" s="32" t="n">
        <x:f>COUNTIF($G$5:$G$1725,G1295)</x:f>
        <x:v>1</x:v>
      </x:c>
      <x:c r="I1295" s="30" t="str">
        <x:v>C58</x:v>
      </x:c>
      <x:c r="J1295" s="31" t="str">
        <x:v>Did you participate in the financing work | Sophie Wang--China team vp | Case study--advising on a European engineering company specialized in the provision of soil studies, financial sponsor exit strategies, business model analysis, acc...</x:v>
      </x:c>
    </x:row>
    <x:row r="1296" ht="92" customHeight="1">
      <x:c r="A1296" s="30" t="str">
        <x:v>QB2089</x:v>
      </x:c>
      <x:c r="B1296" s="30" t="str">
        <x:v>Nomura</x:v>
      </x:c>
      <x:c r="C1296" s="30" t="str">
        <x:v>IBD / GCM</x:v>
      </x:c>
      <x:c r="D1296" s="31" t="str">
        <x:v>How do you select comparable comps</x:v>
      </x:c>
      <x:c r="E1296" s="31" t="str">
        <x:v>How do you select comparable companies?</x:v>
      </x:c>
      <x:c r="F1296" s="31" t="str">
        <x:v>Valuation</x:v>
      </x:c>
      <x:c r="G1296" s="30" t="str">
        <x:v>CL0012</x:v>
      </x:c>
      <x:c r="H1296" s="32" t="n">
        <x:f>COUNTIF($G$5:$G$1725,G1296)</x:f>
        <x:v>12</x:v>
      </x:c>
      <x:c r="I1296" s="30" t="str">
        <x:v>C59</x:v>
      </x:c>
      <x:c r="J1296" s="31" t="str">
        <x:v>Sophie Wang--China team vp | Case study--advising on a European engineering company specialized in the provision of soil studies, financial sponsor exit strategies, business model analysis, accounting, basic valuation, DCF | What's the d...</x:v>
      </x:c>
    </x:row>
    <x:row r="1297" ht="92" customHeight="1">
      <x:c r="A1297" s="30" t="str">
        <x:v>QB2090</x:v>
      </x:c>
      <x:c r="B1297" s="30" t="str">
        <x:v>Nomura</x:v>
      </x:c>
      <x:c r="C1297" s="30" t="str">
        <x:v>IBD / GCM</x:v>
      </x:c>
      <x:c r="D1297" s="31" t="str">
        <x:v>Do you have experience doing comparable comps and precedant transaction analysis in your previous internship?</x:v>
      </x:c>
      <x:c r="E1297" s="31" t="str">
        <x:v>Do you have experience doing comparable comps and precedant transaction analysis in your previous internship</x:v>
      </x:c>
      <x:c r="F1297" s="31" t="str">
        <x:v>Resume &amp; Experience</x:v>
      </x:c>
      <x:c r="G1297" s="30" t="str">
        <x:v>CL0272</x:v>
      </x:c>
      <x:c r="H1297" s="32" t="n">
        <x:f>COUNTIF($G$5:$G$1725,G1297)</x:f>
        <x:v>1</x:v>
      </x:c>
      <x:c r="I1297" s="30" t="str">
        <x:v>C60</x:v>
      </x:c>
      <x:c r="J1297" s="31" t="str">
        <x:v>Case study--advising on a European engineering company specialized in the provision of soil studies, financial sponsor exit strategies, business model analysis, accounting, basic valuation, DCF | What's the difference between comparable ...</x:v>
      </x:c>
    </x:row>
    <x:row r="1298" ht="68" customHeight="1">
      <x:c r="A1298" s="30" t="str">
        <x:v>QB2091</x:v>
      </x:c>
      <x:c r="B1298" s="30" t="str">
        <x:v>Nomura</x:v>
      </x:c>
      <x:c r="C1298" s="30" t="str">
        <x:v>IBD / GCM</x:v>
      </x:c>
      <x:c r="D1298" s="31" t="str">
        <x:v>What are commonly used comps?</x:v>
      </x:c>
      <x:c r="E1298" s="31" t="str">
        <x:v>What are commonly used comps</x:v>
      </x:c>
      <x:c r="F1298" s="31" t="str">
        <x:v>Valuation</x:v>
      </x:c>
      <x:c r="G1298" s="30" t="str">
        <x:v>CL0862</x:v>
      </x:c>
      <x:c r="H1298" s="32" t="n">
        <x:f>COUNTIF($G$5:$G$1725,G1298)</x:f>
        <x:v>1</x:v>
      </x:c>
      <x:c r="I1298" s="30" t="str">
        <x:v>C61</x:v>
      </x:c>
      <x:c r="J1298" s="31" t="str">
        <x:v>What's the difference between comparable comp and transaction comp | How do you select comparable comps | Do you have experience doing comparable comps and precedant transaction analysis in your previous internship?</x:v>
      </x:c>
    </x:row>
    <x:row r="1299" ht="68" customHeight="1">
      <x:c r="A1299" s="30" t="str">
        <x:v>QB2092</x:v>
      </x:c>
      <x:c r="B1299" s="30" t="str">
        <x:v>Nomura</x:v>
      </x:c>
      <x:c r="C1299" s="30" t="str">
        <x:v>IBD / GCM</x:v>
      </x:c>
      <x:c r="D1299" s="31" t="str">
        <x:v>Difference between PE, EV/EBITDA, EV/EBIT</x:v>
      </x:c>
      <x:c r="E1299" s="31" t="str">
        <x:v>Difference between PE, EV/EBITDA, EV/EBIT</x:v>
      </x:c>
      <x:c r="F1299" s="31" t="str">
        <x:v>Other Question</x:v>
      </x:c>
      <x:c r="G1299" s="30" t="str">
        <x:v>CL0255</x:v>
      </x:c>
      <x:c r="H1299" s="32" t="n">
        <x:f>COUNTIF($G$5:$G$1725,G1299)</x:f>
        <x:v>1</x:v>
      </x:c>
      <x:c r="I1299" s="30" t="str">
        <x:v>C62</x:v>
      </x:c>
      <x:c r="J1299" s="31" t="str">
        <x:v>How do you select comparable comps | Do you have experience doing comparable comps and precedant transaction analysis in your previous internship? | What are commonly used comps?</x:v>
      </x:c>
    </x:row>
    <x:row r="1300" ht="68" customHeight="1">
      <x:c r="A1300" s="30" t="str">
        <x:v>QB2093</x:v>
      </x:c>
      <x:c r="B1300" s="30" t="str">
        <x:v>Nomura</x:v>
      </x:c>
      <x:c r="C1300" s="30" t="str">
        <x:v>IBD / GCM</x:v>
      </x:c>
      <x:c r="D1300" s="31" t="str">
        <x:v>How do you think of the three valuation methodlogies</x:v>
      </x:c>
      <x:c r="E1300" s="31" t="str">
        <x:v>What are the main valuation methodologies?</x:v>
      </x:c>
      <x:c r="F1300" s="31" t="str">
        <x:v>Valuation</x:v>
      </x:c>
      <x:c r="G1300" s="30" t="str">
        <x:v>CL0010</x:v>
      </x:c>
      <x:c r="H1300" s="32" t="n">
        <x:f>COUNTIF($G$5:$G$1725,G1300)</x:f>
        <x:v>13</x:v>
      </x:c>
      <x:c r="I1300" s="30" t="str">
        <x:v>C63</x:v>
      </x:c>
      <x:c r="J1300" s="31" t="str">
        <x:v>Do you have experience doing comparable comps and precedant transaction analysis in your previous internship? | What are commonly used comps? | Difference between PE, EV/EBITDA, EV/EBIT</x:v>
      </x:c>
    </x:row>
    <x:row r="1301" ht="48" customHeight="1">
      <x:c r="A1301" s="30" t="str">
        <x:v>QB2094</x:v>
      </x:c>
      <x:c r="B1301" s="30" t="str">
        <x:v>Nomura</x:v>
      </x:c>
      <x:c r="C1301" s="30" t="str">
        <x:v>IBD / GCM</x:v>
      </x:c>
      <x:c r="D1301" s="31" t="str">
        <x:v>Walk me through a DCF model</x:v>
      </x:c>
      <x:c r="E1301" s="31" t="str">
        <x:v>Walk me through a DCF model</x:v>
      </x:c>
      <x:c r="F1301" s="31" t="str">
        <x:v>Valuation</x:v>
      </x:c>
      <x:c r="G1301" s="30" t="str">
        <x:v>CL0824</x:v>
      </x:c>
      <x:c r="H1301" s="32" t="n">
        <x:f>COUNTIF($G$5:$G$1725,G1301)</x:f>
        <x:v>1</x:v>
      </x:c>
      <x:c r="I1301" s="30" t="str">
        <x:v>C64</x:v>
      </x:c>
      <x:c r="J1301" s="31" t="str">
        <x:v>What are commonly used comps? | Difference between PE, EV/EBITDA, EV/EBIT | How do you think of the three valuation methodlogies</x:v>
      </x:c>
    </x:row>
    <x:row r="1302" ht="48" customHeight="1">
      <x:c r="A1302" s="30" t="str">
        <x:v>QB2095</x:v>
      </x:c>
      <x:c r="B1302" s="30" t="str">
        <x:v>Nomura</x:v>
      </x:c>
      <x:c r="C1302" s="30" t="str">
        <x:v>IBD / GCM</x:v>
      </x:c>
      <x:c r="D1302" s="31" t="str">
        <x:v>How to get wacc</x:v>
      </x:c>
      <x:c r="E1302" s="31" t="str">
        <x:v>How do you calculate WACC?</x:v>
      </x:c>
      <x:c r="F1302" s="31" t="str">
        <x:v>Valuation</x:v>
      </x:c>
      <x:c r="G1302" s="30" t="str">
        <x:v>CL0011</x:v>
      </x:c>
      <x:c r="H1302" s="32" t="n">
        <x:f>COUNTIF($G$5:$G$1725,G1302)</x:f>
        <x:v>12</x:v>
      </x:c>
      <x:c r="I1302" s="30" t="str">
        <x:v>C65</x:v>
      </x:c>
      <x:c r="J1302" s="31" t="str">
        <x:v>Difference between PE, EV/EBITDA, EV/EBIT | How do you think of the three valuation methodlogies | Walk me through a DCF model</x:v>
      </x:c>
    </x:row>
    <x:row r="1303" ht="48" customHeight="1">
      <x:c r="A1303" s="30" t="str">
        <x:v>QB2096</x:v>
      </x:c>
      <x:c r="B1303" s="30" t="str">
        <x:v>Nomura</x:v>
      </x:c>
      <x:c r="C1303" s="30" t="str">
        <x:v>IBD / GCM</x:v>
      </x:c>
      <x:c r="D1303" s="31" t="str">
        <x:v>How to get cost of equity</x:v>
      </x:c>
      <x:c r="E1303" s="31" t="str">
        <x:v>How to get cost of equity</x:v>
      </x:c>
      <x:c r="F1303" s="31" t="str">
        <x:v>Valuation</x:v>
      </x:c>
      <x:c r="G1303" s="30" t="str">
        <x:v>CL0472</x:v>
      </x:c>
      <x:c r="H1303" s="32" t="n">
        <x:f>COUNTIF($G$5:$G$1725,G1303)</x:f>
        <x:v>1</x:v>
      </x:c>
      <x:c r="I1303" s="30" t="str">
        <x:v>C66</x:v>
      </x:c>
      <x:c r="J1303" s="31" t="str">
        <x:v>How do you think of the three valuation methodlogies | Walk me through a DCF model | How to get wacc</x:v>
      </x:c>
    </x:row>
    <x:row r="1304" ht="32" customHeight="1">
      <x:c r="A1304" s="30" t="str">
        <x:v>QB2097</x:v>
      </x:c>
      <x:c r="B1304" s="30" t="str">
        <x:v>Nomura</x:v>
      </x:c>
      <x:c r="C1304" s="30" t="str">
        <x:v>IBD / GCM</x:v>
      </x:c>
      <x:c r="D1304" s="31" t="str">
        <x:v>How to get beta</x:v>
      </x:c>
      <x:c r="E1304" s="31" t="str">
        <x:v>How to get beta</x:v>
      </x:c>
      <x:c r="F1304" s="31" t="str">
        <x:v>Valuation</x:v>
      </x:c>
      <x:c r="G1304" s="30" t="str">
        <x:v>CL0470</x:v>
      </x:c>
      <x:c r="H1304" s="32" t="n">
        <x:f>COUNTIF($G$5:$G$1725,G1304)</x:f>
        <x:v>1</x:v>
      </x:c>
      <x:c r="I1304" s="30" t="str">
        <x:v>C67</x:v>
      </x:c>
      <x:c r="J1304" s="31" t="str">
        <x:v>Walk me through a DCF model | How to get wacc | How to get cost of equity</x:v>
      </x:c>
    </x:row>
    <x:row r="1305" ht="32" customHeight="1">
      <x:c r="A1305" s="30" t="str">
        <x:v>QB2101</x:v>
      </x:c>
      <x:c r="B1305" s="30" t="str">
        <x:v>Nomura</x:v>
      </x:c>
      <x:c r="C1305" s="30" t="str">
        <x:v>IBD / GCM</x:v>
      </x:c>
      <x:c r="D1305" s="31" t="str">
        <x:v>Do you know Rita Zhang from GF Holdings (hk)?</x:v>
      </x:c>
      <x:c r="E1305" s="31" t="str">
        <x:v>Do you know Rita Zhang from GF Holdings (hk)</x:v>
      </x:c>
      <x:c r="F1305" s="31" t="str">
        <x:v>Other Question</x:v>
      </x:c>
      <x:c r="G1305" s="30" t="str">
        <x:v>CL0279</x:v>
      </x:c>
      <x:c r="H1305" s="32" t="n">
        <x:f>COUNTIF($G$5:$G$1725,G1305)</x:f>
        <x:v>1</x:v>
      </x:c>
      <x:c r="I1305" s="30" t="str">
        <x:v>A72</x:v>
      </x:c>
      <x:c r="J1305" s="31" t="str">
        <x:v>Phone Interview | 25 Kari, with Brian | Introduction</x:v>
      </x:c>
    </x:row>
    <x:row r="1306" ht="32" customHeight="1">
      <x:c r="A1306" s="30" t="str">
        <x:v>QB2102</x:v>
      </x:c>
      <x:c r="B1306" s="30" t="str">
        <x:v>Nomura</x:v>
      </x:c>
      <x:c r="C1306" s="30" t="str">
        <x:v>IBD / GCM</x:v>
      </x:c>
      <x:c r="D1306" s="31" t="str">
        <x:v>Technical: PPE write down 10 + Depreciation 10, 3 statements?</x:v>
      </x:c>
      <x:c r="E1306" s="31" t="str">
        <x:v>How does a transaction flow through the three financial statements?</x:v>
      </x:c>
      <x:c r="F1306" s="31" t="str">
        <x:v>Accounting &amp; Financial Statements</x:v>
      </x:c>
      <x:c r="G1306" s="30" t="str">
        <x:v>CL0004</x:v>
      </x:c>
      <x:c r="H1306" s="32" t="n">
        <x:f>COUNTIF($G$5:$G$1725,G1306)</x:f>
        <x:v>21</x:v>
      </x:c>
      <x:c r="I1306" s="30" t="str">
        <x:v>A73</x:v>
      </x:c>
      <x:c r="J1306" s="31" t="str">
        <x:v>25 Kari, with Brian | Introduction | Do you know Rita Zhang from GF Holdings (hk)?</x:v>
      </x:c>
    </x:row>
    <x:row r="1307" ht="48" customHeight="1">
      <x:c r="A1307" s="30" t="str">
        <x:v>QB2104</x:v>
      </x:c>
      <x:c r="B1307" s="30" t="str">
        <x:v>Nomura</x:v>
      </x:c>
      <x:c r="C1307" s="30" t="str">
        <x:v>IBD / GCM</x:v>
      </x:c>
      <x:c r="D1307" s="31" t="str">
        <x:v>Walk through DCF</x:v>
      </x:c>
      <x:c r="E1307" s="31" t="str">
        <x:v>Walk me through a DCF</x:v>
      </x:c>
      <x:c r="F1307" s="31" t="str">
        <x:v>Valuation</x:v>
      </x:c>
      <x:c r="G1307" s="30" t="str">
        <x:v>CL0013</x:v>
      </x:c>
      <x:c r="H1307" s="32" t="n">
        <x:f>COUNTIF($G$5:$G$1725,G1307)</x:f>
        <x:v>10</x:v>
      </x:c>
      <x:c r="I1307" s="30" t="str">
        <x:v>A75</x:v>
      </x:c>
      <x:c r="J1307" s="31" t="str">
        <x:v>Do you know Rita Zhang from GF Holdings (hk)? | Technical: PPE write down 10 + Depreciation 10, 3 statements? | 1 deal in GF healthcare team</x:v>
      </x:c>
    </x:row>
    <x:row r="1308" ht="48" customHeight="1">
      <x:c r="A1308" s="30" t="str">
        <x:v>QB2105</x:v>
      </x:c>
      <x:c r="B1308" s="30" t="str">
        <x:v>Nomura</x:v>
      </x:c>
      <x:c r="C1308" s="30" t="str">
        <x:v>IBD / GCM</x:v>
      </x:c>
      <x:c r="D1308" s="31" t="str">
        <x:v>What formula you use for cost of equity</x:v>
      </x:c>
      <x:c r="E1308" s="31" t="str">
        <x:v>What formula you use for cost of equity</x:v>
      </x:c>
      <x:c r="F1308" s="31" t="str">
        <x:v>Valuation</x:v>
      </x:c>
      <x:c r="G1308" s="30" t="str">
        <x:v>CL0946</x:v>
      </x:c>
      <x:c r="H1308" s="32" t="n">
        <x:f>COUNTIF($G$5:$G$1725,G1308)</x:f>
        <x:v>1</x:v>
      </x:c>
      <x:c r="I1308" s="30" t="str">
        <x:v>A76</x:v>
      </x:c>
      <x:c r="J1308" s="31" t="str">
        <x:v>Technical: PPE write down 10 + Depreciation 10, 3 statements? | 1 deal in GF healthcare team | Walk through DCF</x:v>
      </x:c>
    </x:row>
    <x:row r="1309" ht="32" customHeight="1">
      <x:c r="A1309" s="30" t="str">
        <x:v>QB2106</x:v>
      </x:c>
      <x:c r="B1309" s="30" t="str">
        <x:v>Nomura</x:v>
      </x:c>
      <x:c r="C1309" s="30" t="str">
        <x:v>IBD / GCM</x:v>
      </x:c>
      <x:c r="D1309" s="31" t="str">
        <x:v>What do you use for rf ( I said t-bill/bond/notes)</x:v>
      </x:c>
      <x:c r="E1309" s="31" t="str">
        <x:v>What do you use for rf ( I said t-bill/bond/notes)</x:v>
      </x:c>
      <x:c r="F1309" s="31" t="str">
        <x:v>Other Question</x:v>
      </x:c>
      <x:c r="G1309" s="30" t="str">
        <x:v>CL0934</x:v>
      </x:c>
      <x:c r="H1309" s="32" t="n">
        <x:f>COUNTIF($G$5:$G$1725,G1309)</x:f>
        <x:v>1</x:v>
      </x:c>
      <x:c r="I1309" s="30" t="str">
        <x:v>A77</x:v>
      </x:c>
      <x:c r="J1309" s="31" t="str">
        <x:v>1 deal in GF healthcare team | Walk through DCF | What formula you use for cost of equity</x:v>
      </x:c>
    </x:row>
    <x:row r="1310" ht="48" customHeight="1">
      <x:c r="A1310" s="30" t="str">
        <x:v>QB2107</x:v>
      </x:c>
      <x:c r="B1310" s="30" t="str">
        <x:v>Nomura</x:v>
      </x:c>
      <x:c r="C1310" s="30" t="str">
        <x:v>IBD / GCM</x:v>
      </x:c>
      <x:c r="D1310" s="31" t="str">
        <x:v>Rf for Chinese firm?</x:v>
      </x:c>
      <x:c r="E1310" s="31" t="str">
        <x:v>Rf for Chinese firm</x:v>
      </x:c>
      <x:c r="F1310" s="31" t="str">
        <x:v>Other Question</x:v>
      </x:c>
      <x:c r="G1310" s="30" t="str">
        <x:v>CL0665</x:v>
      </x:c>
      <x:c r="H1310" s="32" t="n">
        <x:f>COUNTIF($G$5:$G$1725,G1310)</x:f>
        <x:v>1</x:v>
      </x:c>
      <x:c r="I1310" s="30" t="str">
        <x:v>A78</x:v>
      </x:c>
      <x:c r="J1310" s="31" t="str">
        <x:v>Walk through DCF | What formula you use for cost of equity | What do you use for rf ( I said t-bill/bond/notes)</x:v>
      </x:c>
    </x:row>
    <x:row r="1311" ht="32" customHeight="1">
      <x:c r="A1311" s="30" t="str">
        <x:v>QB2117</x:v>
      </x:c>
      <x:c r="B1311" s="30" t="str">
        <x:v>Nomura</x:v>
      </x:c>
      <x:c r="C1311" s="30" t="str">
        <x:v>IBD / GCM</x:v>
      </x:c>
      <x:c r="D1311" s="31" t="str">
        <x:v>Have you chatted with Joseph from Odysseus? (is her 学长)</x:v>
      </x:c>
      <x:c r="E1311" s="31" t="str">
        <x:v>Have you chatted with Joseph from Odysseus? (is her 学长)</x:v>
      </x:c>
      <x:c r="F1311" s="31" t="str">
        <x:v>Accounting &amp; Financial Statements</x:v>
      </x:c>
      <x:c r="G1311" s="30" t="str">
        <x:v>CL0361</x:v>
      </x:c>
      <x:c r="H1311" s="32" t="n">
        <x:f>COUNTIF($G$5:$G$1725,G1311)</x:f>
        <x:v>1</x:v>
      </x:c>
      <x:c r="I1311" s="30" t="str">
        <x:v>C87</x:v>
      </x:c>
      <x:c r="J1311" s="31" t="str">
        <x:v>How to get beta | SPD 12/11 | Case Interview - Sophie Wang ED China team</x:v>
      </x:c>
    </x:row>
    <x:row r="1312" ht="92" customHeight="1">
      <x:c r="A1312" s="30" t="str">
        <x:v>QB2119</x:v>
      </x:c>
      <x:c r="B1312" s="30" t="str">
        <x:v>Nomura</x:v>
      </x:c>
      <x:c r="C1312" s="30" t="str">
        <x:v>IBD / GCM</x:v>
      </x:c>
      <x:c r="D1312" s="31" t="str">
        <x:v>Basically going over the case questions, asked me to expand on a few but overall straightforward. Case study is about Kao's acquisition of Bondi Sands (Nomura being the buyer's sole financial advisor), mainly tested on DCF, trading and transaction comps, multiples.</x:v>
      </x:c>
      <x:c r="E1312" s="31" t="str">
        <x:v>Basically going over the case questions, asked me to expand on a few but overall straightforward. Case study is about Kao's acquisition of Bondi Sands (Nomura being the buyer's sole financial advisor), mainly tested on DCF, trading and transaction comps, multiples</x:v>
      </x:c>
      <x:c r="F1312" s="31" t="str">
        <x:v>Accounting &amp; Financial Statements</x:v>
      </x:c>
      <x:c r="G1312" s="30" t="str">
        <x:v>CL0155</x:v>
      </x:c>
      <x:c r="H1312" s="32" t="n">
        <x:f>COUNTIF($G$5:$G$1725,G1312)</x:f>
        <x:v>1</x:v>
      </x:c>
      <x:c r="I1312" s="30" t="str">
        <x:v>C88</x:v>
      </x:c>
      <x:c r="J1312" s="31" t="str">
        <x:v>SPD 12/11 | Case Interview - Sophie Wang ED China team | Have you chatted with Joseph from Odysseus? (is her 学长)</x:v>
      </x:c>
    </x:row>
    <x:row r="1313" ht="48" customHeight="1">
      <x:c r="A1313" s="30" t="str">
        <x:v>QB2120</x:v>
      </x:c>
      <x:c r="B1313" s="30" t="str">
        <x:v>Nomura</x:v>
      </x:c>
      <x:c r="C1313" s="30" t="str">
        <x:v>IBD / GCM</x:v>
      </x:c>
      <x:c r="D1313" s="31" t="str">
        <x:v>Introduce yourself, past experience, why you want to join Nomura (I talked about the deal that she introduced us during the event)</x:v>
      </x:c>
      <x:c r="E1313" s="31" t="str">
        <x:v>Tell me about yourself / walk me through your resume</x:v>
      </x:c>
      <x:c r="F1313" s="31" t="str">
        <x:v>Fit &amp; Motivation</x:v>
      </x:c>
      <x:c r="G1313" s="30" t="str">
        <x:v>CL0001</x:v>
      </x:c>
      <x:c r="H1313" s="32" t="n">
        <x:f>COUNTIF($G$5:$G$1725,G1313)</x:f>
        <x:v>170</x:v>
      </x:c>
      <x:c r="I1313" s="30" t="str">
        <x:v>A89</x:v>
      </x:c>
      <x:c r="J1313" s="31" t="str">
        <x:v>1st round 17/10 Anna (Katy TMT) | No technicals super chill | (She did not open cam, but I recognized her from Women Who Lead)</x:v>
      </x:c>
    </x:row>
    <x:row r="1314" ht="68" customHeight="1">
      <x:c r="A1314" s="30" t="str">
        <x:v>QB2121</x:v>
      </x:c>
      <x:c r="B1314" s="30" t="str">
        <x:v>Nomura</x:v>
      </x:c>
      <x:c r="C1314" s="30" t="str">
        <x:v>IBD / GCM</x:v>
      </x:c>
      <x:c r="D1314" s="31" t="str">
        <x:v>Talk more about internships, projects you worked on in the last internship</x:v>
      </x:c>
      <x:c r="E1314" s="31" t="str">
        <x:v>Talk more about internships, projects you worked on in the last internship</x:v>
      </x:c>
      <x:c r="F1314" s="31" t="str">
        <x:v>Resume &amp; Experience</x:v>
      </x:c>
      <x:c r="G1314" s="30" t="str">
        <x:v>CL0698</x:v>
      </x:c>
      <x:c r="H1314" s="32" t="n">
        <x:f>COUNTIF($G$5:$G$1725,G1314)</x:f>
        <x:v>1</x:v>
      </x:c>
      <x:c r="I1314" s="30" t="str">
        <x:v>A90</x:v>
      </x:c>
      <x:c r="J1314" s="31" t="str">
        <x:v>No technicals super chill | (She did not open cam, but I recognized her from Women Who Lead) | Introduce yourself, past experience, why you want to join Nomura (I talked about the deal that she introduced us during the event)</x:v>
      </x:c>
    </x:row>
    <x:row r="1315" ht="92" customHeight="1">
      <x:c r="A1315" s="30" t="str">
        <x:v>QB2123</x:v>
      </x:c>
      <x:c r="B1315" s="30" t="str">
        <x:v>Nomura</x:v>
      </x:c>
      <x:c r="C1315" s="30" t="str">
        <x:v>IBD / GCM</x:v>
      </x:c>
      <x:c r="D1315" s="31" t="str">
        <x:v>Current deal on EOR, where's the firm based at, competitive advantages etc.</x:v>
      </x:c>
      <x:c r="E1315" s="31" t="str">
        <x:v>Discuss a recent deal completed by this firm</x:v>
      </x:c>
      <x:c r="F1315" s="31" t="str">
        <x:v>Company, Industry &amp; Deals</x:v>
      </x:c>
      <x:c r="G1315" s="30" t="str">
        <x:v>CL0008</x:v>
      </x:c>
      <x:c r="H1315" s="32" t="n">
        <x:f>COUNTIF($G$5:$G$1725,G1315)</x:f>
        <x:v>14</x:v>
      </x:c>
      <x:c r="I1315" s="30" t="str">
        <x:v>A91</x:v>
      </x:c>
      <x:c r="J1315" s="31" t="str">
        <x:v>(She did not open cam, but I recognized her from Women Who Lead) | Introduce yourself, past experience, why you want to join Nomura (I talked about the deal that she introduced us during the event) | Talk more about internships, projects...</x:v>
      </x:c>
    </x:row>
    <x:row r="1316" ht="92" customHeight="1">
      <x:c r="A1316" s="30" t="str">
        <x:v>QB2125</x:v>
      </x:c>
      <x:c r="B1316" s="30" t="str">
        <x:v>Nomura</x:v>
      </x:c>
      <x:c r="C1316" s="30" t="str">
        <x:v>IBD / GCM</x:v>
      </x:c>
      <x:c r="D1316" s="31" t="str">
        <x:v>Lots of follow-ups cause she's working on a deal in the same sector</x:v>
      </x:c>
      <x:c r="E1316" s="31" t="str">
        <x:v>Lots of follow-ups cause she's working on a deal in the same sector</x:v>
      </x:c>
      <x:c r="F1316" s="31" t="str">
        <x:v>Company, Industry &amp; Deals</x:v>
      </x:c>
      <x:c r="G1316" s="30" t="str">
        <x:v>CL0594</x:v>
      </x:c>
      <x:c r="H1316" s="32" t="n">
        <x:f>COUNTIF($G$5:$G$1725,G1316)</x:f>
        <x:v>1</x:v>
      </x:c>
      <x:c r="I1316" s="30" t="str">
        <x:v>A92</x:v>
      </x:c>
      <x:c r="J1316" s="31" t="str">
        <x:v>Introduce yourself, past experience, why you want to join Nomura (I talked about the deal that she introduced us during the event) | Talk more about internships, projects you worked on in the last internship | Current deal on EOR, where'...</x:v>
      </x:c>
    </x:row>
    <x:row r="1317" ht="92" customHeight="1">
      <x:c r="A1317" s="30" t="str">
        <x:v>QB2126</x:v>
      </x:c>
      <x:c r="B1317" s="30" t="str">
        <x:v>Nomura</x:v>
      </x:c>
      <x:c r="C1317" s="30" t="str">
        <x:v>IBD / GCM</x:v>
      </x:c>
      <x:c r="D1317" s="31" t="str">
        <x:v>You're meeting with the chairman of the firm. What info to gather and questions to ask that will enable you to assess whether this firm is a feasible take-over target (I mentioned financial feasibility then he asked me to expand)</x:v>
      </x:c>
      <x:c r="E1317" s="31" t="str">
        <x:v>You're meeting with the chairman of the firm. What info to gather and questions to ask that will enable you to assess whether this firm is a feasible take-over target (I mentioned financial feasibility then he asked me to expand)</x:v>
      </x:c>
      <x:c r="F1317" s="31" t="str">
        <x:v>Accounting &amp; Financial Statements</x:v>
      </x:c>
      <x:c r="G1317" s="30" t="str">
        <x:v>CL1212</x:v>
      </x:c>
      <x:c r="H1317" s="32" t="n">
        <x:f>COUNTIF($G$5:$G$1725,G1317)</x:f>
        <x:v>1</x:v>
      </x:c>
      <x:c r="I1317" s="30" t="str">
        <x:v>C92</x:v>
      </x:c>
      <x:c r="J1317" s="31" t="str">
        <x:v>Basically going over the case questions, asked me to expand on a few but overall straightforward. Case study is about Kao's acquisition of Bondi Sands (Nomura being the buyer's sole financial advisor), mainly tested on DCF, trading and t...</x:v>
      </x:c>
    </x:row>
    <x:row r="1318" ht="68" customHeight="1">
      <x:c r="A1318" s="30" t="str">
        <x:v>QB2127</x:v>
      </x:c>
      <x:c r="B1318" s="30" t="str">
        <x:v>Nomura</x:v>
      </x:c>
      <x:c r="C1318" s="30" t="str">
        <x:v>IBD / GCM</x:v>
      </x:c>
      <x:c r="D1318" s="31" t="str">
        <x:v>Why art history?</x:v>
      </x:c>
      <x:c r="E1318" s="31" t="str">
        <x:v>Why art history</x:v>
      </x:c>
      <x:c r="F1318" s="31" t="str">
        <x:v>Fit &amp; Motivation</x:v>
      </x:c>
      <x:c r="G1318" s="30" t="str">
        <x:v>CL1115</x:v>
      </x:c>
      <x:c r="H1318" s="32" t="n">
        <x:f>COUNTIF($G$5:$G$1725,G1318)</x:f>
        <x:v>1</x:v>
      </x:c>
      <x:c r="I1318" s="30" t="str">
        <x:v>A93</x:v>
      </x:c>
      <x:c r="J1318" s="31" t="str">
        <x:v>Talk more about internships, projects you worked on in the last internship | Current deal on EOR, where's the firm based at, competitive advantages etc. | Lots of follow-ups cause she's working on a deal in the same sector</x:v>
      </x:c>
    </x:row>
    <x:row r="1319" ht="92" customHeight="1">
      <x:c r="A1319" s="30" t="str">
        <x:v>QB2128</x:v>
      </x:c>
      <x:c r="B1319" s="30" t="str">
        <x:v>Nomura</x:v>
      </x:c>
      <x:c r="C1319" s="30" t="str">
        <x:v>IBD / GCM</x:v>
      </x:c>
      <x:c r="D1319" s="31" t="str">
        <x:v>假设你客户投了一家公司15%的股权，被投企业发了股息，你客户的FS会受到怎样的影响？</x:v>
      </x:c>
      <x:c r="E1319" s="31" t="str">
        <x:v>假设你客户投了一家公司15%的股权，被投企业发了股息，你客户的FS会受到怎样的影响</x:v>
      </x:c>
      <x:c r="F1319" s="31" t="str">
        <x:v>Other Question</x:v>
      </x:c>
      <x:c r="G1319" s="30" t="str">
        <x:v>CL1232</x:v>
      </x:c>
      <x:c r="H1319" s="32" t="n">
        <x:f>COUNTIF($G$5:$G$1725,G1319)</x:f>
        <x:v>1</x:v>
      </x:c>
      <x:c r="I1319" s="30" t="str">
        <x:v>C93</x:v>
      </x:c>
      <x:c r="J1319" s="31" t="str">
        <x:v>Interviewer 1 - Jason Leung | (He's not looking at screen, seems occupied, little serious) | You're meeting with the chairman of the firm. What info to gather and questions to ask that will enable you to assess whether this firm is a fea...</x:v>
      </x:c>
    </x:row>
    <x:row r="1320" ht="32" customHeight="1">
      <x:c r="A1320" s="30" t="str">
        <x:v>QB2134</x:v>
      </x:c>
      <x:c r="B1320" s="30" t="str">
        <x:v>Nomura</x:v>
      </x:c>
      <x:c r="C1320" s="30" t="str">
        <x:v>IBD / GCM</x:v>
      </x:c>
      <x:c r="D1320" s="31" t="str">
        <x:v>Tell me more about you, why up to this role (5 min)</x:v>
      </x:c>
      <x:c r="E1320" s="31" t="str">
        <x:v>Tell me more about you, why up to this role (5 min)</x:v>
      </x:c>
      <x:c r="F1320" s="31" t="str">
        <x:v>Fit &amp; Motivation</x:v>
      </x:c>
      <x:c r="G1320" s="30" t="str">
        <x:v>CL0768</x:v>
      </x:c>
      <x:c r="H1320" s="32" t="n">
        <x:f>COUNTIF($G$5:$G$1725,G1320)</x:f>
        <x:v>1</x:v>
      </x:c>
      <x:c r="I1320" s="30" t="str">
        <x:v>C100</x:v>
      </x:c>
      <x:c r="J1320" s="31" t="str">
        <x:v>你到full-time还有两年时间，这两年会发生很多事，你的plan B是什么 | 有什么问题吗 | Interviewer 2 - Shinichi Yao</x:v>
      </x:c>
    </x:row>
    <x:row r="1321" ht="48" customHeight="1">
      <x:c r="A1321" s="30" t="str">
        <x:v>QB2136</x:v>
      </x:c>
      <x:c r="B1321" s="30" t="str">
        <x:v>Nomura</x:v>
      </x:c>
      <x:c r="C1321" s="30" t="str">
        <x:v>IBD / GCM</x:v>
      </x:c>
      <x:c r="D1321" s="31" t="str">
        <x:v>Need to sacrifice your private time doing ibd, are you ready for this?</x:v>
      </x:c>
      <x:c r="E1321" s="31" t="str">
        <x:v>Need to sacrifice your private time doing ibd, are you ready for this</x:v>
      </x:c>
      <x:c r="F1321" s="31" t="str">
        <x:v>Other Question</x:v>
      </x:c>
      <x:c r="G1321" s="30" t="str">
        <x:v>CL0619</x:v>
      </x:c>
      <x:c r="H1321" s="32" t="n">
        <x:f>COUNTIF($G$5:$G$1725,G1321)</x:f>
        <x:v>1</x:v>
      </x:c>
      <x:c r="I1321" s="30" t="str">
        <x:v>C102</x:v>
      </x:c>
      <x:c r="J1321" s="31" t="str">
        <x:v>Interviewer 2 - Shinichi Yao | Tell me more about you, why up to this role (5 min) | Your advantages in competing for this role</x:v>
      </x:c>
    </x:row>
    <x:row r="1322" ht="68" customHeight="1">
      <x:c r="A1322" s="30" t="str">
        <x:v>QB2138</x:v>
      </x:c>
      <x:c r="B1322" s="30" t="str">
        <x:v>Nomura</x:v>
      </x:c>
      <x:c r="C1322" s="30" t="str">
        <x:v>IBD / GCM</x:v>
      </x:c>
      <x:c r="D1322" s="31" t="str">
        <x:v>日本人口有1.2亿，理发店的总数量大约是？（估算逻辑+结果）</x:v>
      </x:c>
      <x:c r="E1322" s="31" t="str">
        <x:v>日本人口有1.2亿，理发店的总数量大约是？（估算逻辑+结果）</x:v>
      </x:c>
      <x:c r="F1322" s="31" t="str">
        <x:v>Other Question</x:v>
      </x:c>
      <x:c r="G1322" s="30" t="str">
        <x:v>CL1246</x:v>
      </x:c>
      <x:c r="H1322" s="32" t="n">
        <x:f>COUNTIF($G$5:$G$1725,G1322)</x:f>
        <x:v>1</x:v>
      </x:c>
      <x:c r="I1322" s="30" t="str">
        <x:v>C104</x:v>
      </x:c>
      <x:c r="J1322" s="31" t="str">
        <x:v>Your advantages in competing for this role | Need to sacrifice your private time doing ibd, are you ready for this? | You chatted with junior bankers, what you know about Nomura ibd at this stage</x:v>
      </x:c>
    </x:row>
    <x:row r="1323" ht="68" customHeight="1">
      <x:c r="A1323" s="30" t="str">
        <x:v>QB2139</x:v>
      </x:c>
      <x:c r="B1323" s="30" t="str">
        <x:v>Nomura</x:v>
      </x:c>
      <x:c r="C1323" s="30" t="str">
        <x:v>IBD / GCM</x:v>
      </x:c>
      <x:c r="D1323" s="31" t="str">
        <x:v>讲一下M&amp;A的整个流程（buyside/sellside）</x:v>
      </x:c>
      <x:c r="E1323" s="31" t="str">
        <x:v>讲一下M&amp;A的整个流程（buyside/sellside）</x:v>
      </x:c>
      <x:c r="F1323" s="31" t="str">
        <x:v>M&amp;A</x:v>
      </x:c>
      <x:c r="G1323" s="30" t="str">
        <x:v>CL1253</x:v>
      </x:c>
      <x:c r="H1323" s="32" t="n">
        <x:f>COUNTIF($G$5:$G$1725,G1323)</x:f>
        <x:v>1</x:v>
      </x:c>
      <x:c r="I1323" s="30" t="str">
        <x:v>C105</x:v>
      </x:c>
      <x:c r="J1323" s="31" t="str">
        <x:v>Need to sacrifice your private time doing ibd, are you ready for this? | You chatted with junior bankers, what you know about Nomura ibd at this stage | 日本人口有1.2亿，理发店的总数量大约是？（估算逻辑+结果）</x:v>
      </x:c>
    </x:row>
    <x:row r="1324" ht="48" customHeight="1">
      <x:c r="A1324" s="30" t="str">
        <x:v>QB2140</x:v>
      </x:c>
      <x:c r="B1324" s="30" t="str">
        <x:v>Nomura</x:v>
      </x:c>
      <x:c r="C1324" s="30" t="str">
        <x:v>IBD / GCM</x:v>
      </x:c>
      <x:c r="D1324" s="31" t="str">
        <x:v>拿到hk offer后更多的exposure在north-asia，主要的product是M&amp;A，IPO ECM相关的很少，你ok吗？</x:v>
      </x:c>
      <x:c r="E1324" s="31" t="str">
        <x:v>拿到hk offer后更多的exposure在north-asia，主要的product是M&amp;A，IPO ECM相关的很少，你ok吗</x:v>
      </x:c>
      <x:c r="F1324" s="31" t="str">
        <x:v>Capital Markets &amp; Financing</x:v>
      </x:c>
      <x:c r="G1324" s="30" t="str">
        <x:v>CL1244</x:v>
      </x:c>
      <x:c r="H1324" s="32" t="n">
        <x:f>COUNTIF($G$5:$G$1725,G1324)</x:f>
        <x:v>1</x:v>
      </x:c>
      <x:c r="I1324" s="30" t="str">
        <x:v>C106</x:v>
      </x:c>
      <x:c r="J1324" s="31" t="str">
        <x:v>You chatted with junior bankers, what you know about Nomura ibd at this stage | 日本人口有1.2亿，理发店的总数量大约是？（估算逻辑+结果） | 讲一下M&amp;A的整个流程（buyside/sellside）</x:v>
      </x:c>
    </x:row>
    <x:row r="1325" ht="32" customHeight="1">
      <x:c r="A1325" s="30" t="str">
        <x:v>QB2146</x:v>
      </x:c>
      <x:c r="B1325" s="30" t="str">
        <x:v>Houlihan Lokey</x:v>
      </x:c>
      <x:c r="C1325" s="30" t="str">
        <x:v>IBD / GCM</x:v>
      </x:c>
      <x:c r="D1325" s="31" t="str">
        <x:v>Self intro</x:v>
      </x:c>
      <x:c r="E1325" s="31" t="str">
        <x:v>Tell me about yourself / walk me through your resume</x:v>
      </x:c>
      <x:c r="F1325" s="31" t="str">
        <x:v>Resume &amp; Experience</x:v>
      </x:c>
      <x:c r="G1325" s="30" t="str">
        <x:v>CL0001</x:v>
      </x:c>
      <x:c r="H1325" s="32" t="n">
        <x:f>COUNTIF($G$5:$G$1725,G1325)</x:f>
        <x:v>170</x:v>
      </x:c>
      <x:c r="I1325" s="30" t="str">
        <x:v>B3</x:v>
      </x:c>
      <x:c r="J1325" s="31" t="str">
        <x:v>2nd round</x:v>
      </x:c>
    </x:row>
    <x:row r="1326" ht="32" customHeight="1">
      <x:c r="A1326" s="30" t="str">
        <x:v>QB2147</x:v>
      </x:c>
      <x:c r="B1326" s="30" t="str">
        <x:v>Houlihan Lokey</x:v>
      </x:c>
      <x:c r="C1326" s="30" t="str">
        <x:v>IBD / GCM</x:v>
      </x:c>
      <x:c r="D1326" s="31" t="str">
        <x:v>Self Intro</x:v>
      </x:c>
      <x:c r="E1326" s="31" t="str">
        <x:v>Tell me about yourself / walk me through your resume</x:v>
      </x:c>
      <x:c r="F1326" s="31" t="str">
        <x:v>Resume &amp; Experience</x:v>
      </x:c>
      <x:c r="G1326" s="30" t="str">
        <x:v>CL0001</x:v>
      </x:c>
      <x:c r="H1326" s="32" t="n">
        <x:f>COUNTIF($G$5:$G$1725,G1326)</x:f>
        <x:v>170</x:v>
      </x:c>
      <x:c r="I1326" s="30" t="str">
        <x:v>A4</x:v>
      </x:c>
      <x:c r="J1326" s="31" t="str">
        <x:v>2025 SA | 1st round (Emily) | (20 mins interview)</x:v>
      </x:c>
    </x:row>
    <x:row r="1327" ht="32" customHeight="1">
      <x:c r="A1327" s="30" t="str">
        <x:v>QB2148</x:v>
      </x:c>
      <x:c r="B1327" s="30" t="str">
        <x:v>Houlihan Lokey</x:v>
      </x:c>
      <x:c r="C1327" s="30" t="str">
        <x:v>IBD / GCM</x:v>
      </x:c>
      <x:c r="D1327" s="31" t="str">
        <x:v>Talk about a deal you worked on</x:v>
      </x:c>
      <x:c r="E1327" s="31" t="str">
        <x:v>Walk me through a deal you worked on</x:v>
      </x:c>
      <x:c r="F1327" s="31" t="str">
        <x:v>Resume &amp; Experience</x:v>
      </x:c>
      <x:c r="G1327" s="30" t="str">
        <x:v>CL0017</x:v>
      </x:c>
      <x:c r="H1327" s="32" t="n">
        <x:f>COUNTIF($G$5:$G$1725,G1327)</x:f>
        <x:v>8</x:v>
      </x:c>
      <x:c r="I1327" s="30" t="str">
        <x:v>B4</x:v>
      </x:c>
      <x:c r="J1327" s="31" t="str">
        <x:v>2nd round | Self intro</x:v>
      </x:c>
    </x:row>
    <x:row r="1328" ht="32" customHeight="1">
      <x:c r="A1328" s="30" t="str">
        <x:v>QB2149</x:v>
      </x:c>
      <x:c r="B1328" s="30" t="str">
        <x:v>Houlihan Lokey</x:v>
      </x:c>
      <x:c r="C1328" s="30" t="str">
        <x:v>IBD / GCM</x:v>
      </x:c>
      <x:c r="D1328" s="31" t="str">
        <x:v>8 EV/EBITDA, 5 interest coverage ratio, 5% interest rate on debt, Loan to value? (0.5)</x:v>
      </x:c>
      <x:c r="E1328" s="31" t="str">
        <x:v>8 EV/EBITDA, 5 interest coverage ratio, 5% interest rate on debt, Loan to value? (0.5)</x:v>
      </x:c>
      <x:c r="F1328" s="31" t="str">
        <x:v>Markets &amp; Macro</x:v>
      </x:c>
      <x:c r="G1328" s="30" t="str">
        <x:v>CL0086</x:v>
      </x:c>
      <x:c r="H1328" s="32" t="n">
        <x:f>COUNTIF($G$5:$G$1725,G1328)</x:f>
        <x:v>1</x:v>
      </x:c>
      <x:c r="I1328" s="30" t="str">
        <x:v>A5</x:v>
      </x:c>
      <x:c r="J1328" s="31" t="str">
        <x:v>1st round (Emily) | (20 mins interview) | Self Intro</x:v>
      </x:c>
    </x:row>
    <x:row r="1329" ht="48" customHeight="1">
      <x:c r="A1329" s="30" t="str">
        <x:v>QB2150</x:v>
      </x:c>
      <x:c r="B1329" s="30" t="str">
        <x:v>Houlihan Lokey</x:v>
      </x:c>
      <x:c r="C1329" s="30" t="str">
        <x:v>IBD / GCM</x:v>
      </x:c>
      <x:c r="D1329" s="31" t="str">
        <x:v>What and why CPS? What are some terms in there? Type of debt (mezzanine) What are the current debt it holds, and is CPS on/senior/junior to it?</x:v>
      </x:c>
      <x:c r="E1329" s="31" t="str">
        <x:v>What and why CPS? What are some terms in there? Type of debt (mezzanine) What are the current debt it holds, and is CPS on/senior/junior to it</x:v>
      </x:c>
      <x:c r="F1329" s="31" t="str">
        <x:v>Fit &amp; Motivation</x:v>
      </x:c>
      <x:c r="G1329" s="30" t="str">
        <x:v>CL0860</x:v>
      </x:c>
      <x:c r="H1329" s="32" t="n">
        <x:f>COUNTIF($G$5:$G$1725,G1329)</x:f>
        <x:v>1</x:v>
      </x:c>
      <x:c r="I1329" s="30" t="str">
        <x:v>B5</x:v>
      </x:c>
      <x:c r="J1329" s="31" t="str">
        <x:v>2nd round | Self intro | Talk about a deal you worked on</x:v>
      </x:c>
    </x:row>
    <x:row r="1330" ht="48" customHeight="1">
      <x:c r="A1330" s="30" t="str">
        <x:v>QB2151</x:v>
      </x:c>
      <x:c r="B1330" s="30" t="str">
        <x:v>Houlihan Lokey</x:v>
      </x:c>
      <x:c r="C1330" s="30" t="str">
        <x:v>IBD / GCM</x:v>
      </x:c>
      <x:c r="D1330" s="31" t="str">
        <x:v>If the price fluctuation of callable bonds increase, how does it effect the YTM? (increase)</x:v>
      </x:c>
      <x:c r="E1330" s="31" t="str">
        <x:v>If the price fluctuation of callable bonds increase, how does it effect the YTM? (increase)</x:v>
      </x:c>
      <x:c r="F1330" s="31" t="str">
        <x:v>Other Question</x:v>
      </x:c>
      <x:c r="G1330" s="30" t="str">
        <x:v>CL0522</x:v>
      </x:c>
      <x:c r="H1330" s="32" t="n">
        <x:f>COUNTIF($G$5:$G$1725,G1330)</x:f>
        <x:v>1</x:v>
      </x:c>
      <x:c r="I1330" s="30" t="str">
        <x:v>A6</x:v>
      </x:c>
      <x:c r="J1330" s="31" t="str">
        <x:v>(20 mins interview) | Self Intro | 8 EV/EBITDA, 5 interest coverage ratio, 5% interest rate on debt, Loan to value? (0.5)</x:v>
      </x:c>
    </x:row>
    <x:row r="1331" ht="68" customHeight="1">
      <x:c r="A1331" s="30" t="str">
        <x:v>QB2152</x:v>
      </x:c>
      <x:c r="B1331" s="30" t="str">
        <x:v>Houlihan Lokey</x:v>
      </x:c>
      <x:c r="C1331" s="30" t="str">
        <x:v>IBD / GCM</x:v>
      </x:c>
      <x:c r="D1331" s="31" t="str">
        <x:v>What is the IRR ?</x:v>
      </x:c>
      <x:c r="E1331" s="31" t="str">
        <x:v>What is the IRR</x:v>
      </x:c>
      <x:c r="F1331" s="31" t="str">
        <x:v>Accounting &amp; Financial Statements</x:v>
      </x:c>
      <x:c r="G1331" s="30" t="str">
        <x:v>CL0982</x:v>
      </x:c>
      <x:c r="H1331" s="32" t="n">
        <x:f>COUNTIF($G$5:$G$1725,G1331)</x:f>
        <x:v>1</x:v>
      </x:c>
      <x:c r="I1331" s="30" t="str">
        <x:v>B6</x:v>
      </x:c>
      <x:c r="J1331" s="31" t="str">
        <x:v>Self intro | Talk about a deal you worked on | What and why CPS? What are some terms in there? Type of debt (mezzanine) What are the current debt it holds, and is CPS on/senior/junior to it?</x:v>
      </x:c>
    </x:row>
    <x:row r="1332" ht="68" customHeight="1">
      <x:c r="A1332" s="30" t="str">
        <x:v>QB2153</x:v>
      </x:c>
      <x:c r="B1332" s="30" t="str">
        <x:v>Houlihan Lokey</x:v>
      </x:c>
      <x:c r="C1332" s="30" t="str">
        <x:v>IBD / GCM</x:v>
      </x:c>
      <x:c r="D1332" s="31" t="str">
        <x:v>Adjustments to EBITDA to find adjusted EBITDA?</x:v>
      </x:c>
      <x:c r="E1332" s="31" t="str">
        <x:v>Adjustments to EBITDA to find adjusted EBITDA</x:v>
      </x:c>
      <x:c r="F1332" s="31" t="str">
        <x:v>Other Question</x:v>
      </x:c>
      <x:c r="G1332" s="30" t="str">
        <x:v>CL0101</x:v>
      </x:c>
      <x:c r="H1332" s="32" t="n">
        <x:f>COUNTIF($G$5:$G$1725,G1332)</x:f>
        <x:v>1</x:v>
      </x:c>
      <x:c r="I1332" s="30" t="str">
        <x:v>A7</x:v>
      </x:c>
      <x:c r="J1332" s="31" t="str">
        <x:v>Self Intro | 8 EV/EBITDA, 5 interest coverage ratio, 5% interest rate on debt, Loan to value? (0.5) | If the price fluctuation of callable bonds increase, how does it effect the YTM? (increase)</x:v>
      </x:c>
    </x:row>
    <x:row r="1333" ht="68" customHeight="1">
      <x:c r="A1333" s="30" t="str">
        <x:v>QB2154</x:v>
      </x:c>
      <x:c r="B1333" s="30" t="str">
        <x:v>Houlihan Lokey</x:v>
      </x:c>
      <x:c r="C1333" s="30" t="str">
        <x:v>IBD / GCM</x:v>
      </x:c>
      <x:c r="D1333" s="31" t="str">
        <x:v>Asset writedown 100, 3 statement</x:v>
      </x:c>
      <x:c r="E1333" s="31" t="str">
        <x:v>Asset writedown 100, 3 statement</x:v>
      </x:c>
      <x:c r="F1333" s="31" t="str">
        <x:v>Accounting &amp; Financial Statements</x:v>
      </x:c>
      <x:c r="G1333" s="30" t="str">
        <x:v>CL0150</x:v>
      </x:c>
      <x:c r="H1333" s="32" t="n">
        <x:f>COUNTIF($G$5:$G$1725,G1333)</x:f>
        <x:v>1</x:v>
      </x:c>
      <x:c r="I1333" s="30" t="str">
        <x:v>B7</x:v>
      </x:c>
      <x:c r="J1333" s="31" t="str">
        <x:v>Talk about a deal you worked on | What and why CPS? What are some terms in there? Type of debt (mezzanine) What are the current debt it holds, and is CPS on/senior/junior to it? | What is the IRR ?</x:v>
      </x:c>
    </x:row>
    <x:row r="1334" ht="68" customHeight="1">
      <x:c r="A1334" s="30" t="str">
        <x:v>QB2155</x:v>
      </x:c>
      <x:c r="B1334" s="30" t="str">
        <x:v>Houlihan Lokey</x:v>
      </x:c>
      <x:c r="C1334" s="30" t="str">
        <x:v>IBD / GCM</x:v>
      </x:c>
      <x:c r="D1334" s="31" t="str">
        <x:v>Why restructuring?</x:v>
      </x:c>
      <x:c r="E1334" s="31" t="str">
        <x:v>Why restructuring</x:v>
      </x:c>
      <x:c r="F1334" s="31" t="str">
        <x:v>Fit &amp; Motivation</x:v>
      </x:c>
      <x:c r="G1334" s="30" t="str">
        <x:v>CL1160</x:v>
      </x:c>
      <x:c r="H1334" s="32" t="n">
        <x:f>COUNTIF($G$5:$G$1725,G1334)</x:f>
        <x:v>1</x:v>
      </x:c>
      <x:c r="I1334" s="30" t="str">
        <x:v>A8</x:v>
      </x:c>
      <x:c r="J1334" s="31" t="str">
        <x:v>8 EV/EBITDA, 5 interest coverage ratio, 5% interest rate on debt, Loan to value? (0.5) | If the price fluctuation of callable bonds increase, how does it effect the YTM? (increase) | Adjustments to EBITDA to find adjusted EBITDA?</x:v>
      </x:c>
    </x:row>
    <x:row r="1335" ht="68" customHeight="1">
      <x:c r="A1335" s="30" t="str">
        <x:v>QB2156</x:v>
      </x:c>
      <x:c r="B1335" s="30" t="str">
        <x:v>Houlihan Lokey</x:v>
      </x:c>
      <x:c r="C1335" s="30" t="str">
        <x:v>IBD / GCM</x:v>
      </x:c>
      <x:c r="D1335" s="31" t="str">
        <x:v>EV 150, Senior debt 100, CPS 100, what is the value of CPS?</x:v>
      </x:c>
      <x:c r="E1335" s="31" t="str">
        <x:v>EV 150, Senior debt 100, CPS 100, what is the value of CPS</x:v>
      </x:c>
      <x:c r="F1335" s="31" t="str">
        <x:v>Accounting &amp; Financial Statements</x:v>
      </x:c>
      <x:c r="G1335" s="30" t="str">
        <x:v>CL0314</x:v>
      </x:c>
      <x:c r="H1335" s="32" t="n">
        <x:f>COUNTIF($G$5:$G$1725,G1335)</x:f>
        <x:v>1</x:v>
      </x:c>
      <x:c r="I1335" s="30" t="str">
        <x:v>B8</x:v>
      </x:c>
      <x:c r="J1335" s="31" t="str">
        <x:v>What and why CPS? What are some terms in there? Type of debt (mezzanine) What are the current debt it holds, and is CPS on/senior/junior to it? | What is the IRR ? | Asset writedown 100, 3 statement</x:v>
      </x:c>
    </x:row>
    <x:row r="1336" ht="48" customHeight="1">
      <x:c r="A1336" s="30" t="str">
        <x:v>QB2158</x:v>
      </x:c>
      <x:c r="B1336" s="30" t="str">
        <x:v>Houlihan Lokey</x:v>
      </x:c>
      <x:c r="C1336" s="30" t="str">
        <x:v>IBD / GCM</x:v>
      </x:c>
      <x:c r="D1336" s="31" t="str">
        <x:v>Why restructuring? Are you sure you want to do this?</x:v>
      </x:c>
      <x:c r="E1336" s="31" t="str">
        <x:v>Why restructuring? Are you sure you want to do this</x:v>
      </x:c>
      <x:c r="F1336" s="31" t="str">
        <x:v>Fit &amp; Motivation</x:v>
      </x:c>
      <x:c r="G1336" s="30" t="str">
        <x:v>CL1162</x:v>
      </x:c>
      <x:c r="H1336" s="32" t="n">
        <x:f>COUNTIF($G$5:$G$1725,G1336)</x:f>
        <x:v>1</x:v>
      </x:c>
      <x:c r="I1336" s="30" t="str">
        <x:v>B9</x:v>
      </x:c>
      <x:c r="J1336" s="31" t="str">
        <x:v>What is the IRR ? | Asset writedown 100, 3 statement | EV 150, Senior debt 100, CPS 100, what is the value of CPS?</x:v>
      </x:c>
    </x:row>
    <x:row r="1337" ht="32" customHeight="1">
      <x:c r="A1337" s="30" t="str">
        <x:v>QB2162</x:v>
      </x:c>
      <x:c r="B1337" s="30" t="str">
        <x:v>Houlihan Lokey</x:v>
      </x:c>
      <x:c r="C1337" s="30" t="str">
        <x:v>IBD / GCM</x:v>
      </x:c>
      <x:c r="D1337" s="31" t="str">
        <x:v>Self Intro, Why HL, Why restructuring</x:v>
      </x:c>
      <x:c r="E1337" s="31" t="str">
        <x:v>Tell me about yourself / walk me through your resume</x:v>
      </x:c>
      <x:c r="F1337" s="31" t="str">
        <x:v>Fit &amp; Motivation</x:v>
      </x:c>
      <x:c r="G1337" s="30" t="str">
        <x:v>CL0001</x:v>
      </x:c>
      <x:c r="H1337" s="32" t="n">
        <x:f>COUNTIF($G$5:$G$1725,G1337)</x:f>
        <x:v>170</x:v>
      </x:c>
      <x:c r="I1337" s="30" t="str">
        <x:v>A19</x:v>
      </x:c>
      <x:c r="J1337" s="31" t="str">
        <x:v>Mandarin Q&amp;A | 2024 SA | Emily (40 mins interview + 10 mins Q&amp;A)</x:v>
      </x:c>
    </x:row>
    <x:row r="1338" ht="32" customHeight="1">
      <x:c r="A1338" s="30" t="str">
        <x:v>QB2163</x:v>
      </x:c>
      <x:c r="B1338" s="30" t="str">
        <x:v>Houlihan Lokey</x:v>
      </x:c>
      <x:c r="C1338" s="30" t="str">
        <x:v>IBD / GCM</x:v>
      </x:c>
      <x:c r="D1338" s="31" t="str">
        <x:v>Very demanding work, can you handle it? How will you balance your hobbies and interests?</x:v>
      </x:c>
      <x:c r="E1338" s="31" t="str">
        <x:v>What are your interests outside work and school?</x:v>
      </x:c>
      <x:c r="F1338" s="31" t="str">
        <x:v>Behavioral &amp; Situational</x:v>
      </x:c>
      <x:c r="G1338" s="30" t="str">
        <x:v>CL0014</x:v>
      </x:c>
      <x:c r="H1338" s="32" t="n">
        <x:f>COUNTIF($G$5:$G$1725,G1338)</x:f>
        <x:v>10</x:v>
      </x:c>
      <x:c r="I1338" s="30" t="str">
        <x:v>A20</x:v>
      </x:c>
      <x:c r="J1338" s="31" t="str">
        <x:v>2024 SA | Emily (40 mins interview + 10 mins Q&amp;A) | Self Intro, Why HL, Why restructuring</x:v>
      </x:c>
    </x:row>
    <x:row r="1339" ht="68" customHeight="1">
      <x:c r="A1339" s="30" t="str">
        <x:v>QB2164</x:v>
      </x:c>
      <x:c r="B1339" s="30" t="str">
        <x:v>Houlihan Lokey</x:v>
      </x:c>
      <x:c r="C1339" s="30" t="str">
        <x:v>IBD / GCM</x:v>
      </x:c>
      <x:c r="D1339" s="31" t="str">
        <x:v>Tell me something not on your resume, what do you do in your free time</x:v>
      </x:c>
      <x:c r="E1339" s="31" t="str">
        <x:v>Tell me something not on your resume, what do you do in your free time</x:v>
      </x:c>
      <x:c r="F1339" s="31" t="str">
        <x:v>Resume &amp; Experience</x:v>
      </x:c>
      <x:c r="G1339" s="30" t="str">
        <x:v>CL0774</x:v>
      </x:c>
      <x:c r="H1339" s="32" t="n">
        <x:f>COUNTIF($G$5:$G$1725,G1339)</x:f>
        <x:v>1</x:v>
      </x:c>
      <x:c r="I1339" s="30" t="str">
        <x:v>A21</x:v>
      </x:c>
      <x:c r="J1339" s="31" t="str">
        <x:v>Emily (40 mins interview + 10 mins Q&amp;A) | Self Intro, Why HL, Why restructuring | Very demanding work, can you handle it? How will you balance your hobbies and interests?</x:v>
      </x:c>
    </x:row>
    <x:row r="1340" ht="68" customHeight="1">
      <x:c r="A1340" s="30" t="str">
        <x:v>QB2165</x:v>
      </x:c>
      <x:c r="B1340" s="30" t="str">
        <x:v>Houlihan Lokey</x:v>
      </x:c>
      <x:c r="C1340" s="30" t="str">
        <x:v>IBD / GCM</x:v>
      </x:c>
      <x:c r="D1340" s="31" t="str">
        <x:v>Tell me a company on your resume, and how do you evaluate the company</x:v>
      </x:c>
      <x:c r="E1340" s="31" t="str">
        <x:v>Tell me a company on your resume, and how do you evaluate the company</x:v>
      </x:c>
      <x:c r="F1340" s="31" t="str">
        <x:v>Resume &amp; Experience</x:v>
      </x:c>
      <x:c r="G1340" s="30" t="str">
        <x:v>CL0703</x:v>
      </x:c>
      <x:c r="H1340" s="32" t="n">
        <x:f>COUNTIF($G$5:$G$1725,G1340)</x:f>
        <x:v>1</x:v>
      </x:c>
      <x:c r="I1340" s="30" t="str">
        <x:v>A22</x:v>
      </x:c>
      <x:c r="J1340" s="31" t="str">
        <x:v>Self Intro, Why HL, Why restructuring | Very demanding work, can you handle it? How will you balance your hobbies and interests? | Tell me something not on your resume, what do you do in your free time</x:v>
      </x:c>
    </x:row>
    <x:row r="1341" ht="68" customHeight="1">
      <x:c r="A1341" s="30" t="str">
        <x:v>QB2167</x:v>
      </x:c>
      <x:c r="B1341" s="30" t="str">
        <x:v>Houlihan Lokey</x:v>
      </x:c>
      <x:c r="C1341" s="30" t="str">
        <x:v>IBD / GCM</x:v>
      </x:c>
      <x:c r="D1341" s="31" t="str">
        <x:v>What are the credit analysis metrics</x:v>
      </x:c>
      <x:c r="E1341" s="31" t="str">
        <x:v>What are the credit analysis metrics</x:v>
      </x:c>
      <x:c r="F1341" s="31" t="str">
        <x:v>Other Question</x:v>
      </x:c>
      <x:c r="G1341" s="30" t="str">
        <x:v>CL0877</x:v>
      </x:c>
      <x:c r="H1341" s="32" t="n">
        <x:f>COUNTIF($G$5:$G$1725,G1341)</x:f>
        <x:v>1</x:v>
      </x:c>
      <x:c r="I1341" s="30" t="str">
        <x:v>A24</x:v>
      </x:c>
      <x:c r="J1341" s="31" t="str">
        <x:v>Tell me something not on your resume, what do you do in your free time | Tell me a company on your resume, and how do you evaluate the company | Investment grade bond vs high yield bond</x:v>
      </x:c>
    </x:row>
    <x:row r="1342" ht="48" customHeight="1">
      <x:c r="A1342" s="30" t="str">
        <x:v>QB2168</x:v>
      </x:c>
      <x:c r="B1342" s="30" t="str">
        <x:v>Houlihan Lokey</x:v>
      </x:c>
      <x:c r="C1342" s="30" t="str">
        <x:v>IBD / GCM</x:v>
      </x:c>
      <x:c r="D1342" s="31" t="str">
        <x:v>What are some signs of company going through distress</x:v>
      </x:c>
      <x:c r="E1342" s="31" t="str">
        <x:v>What are some signs of company going through distress</x:v>
      </x:c>
      <x:c r="F1342" s="31" t="str">
        <x:v>Company, Industry &amp; Deals</x:v>
      </x:c>
      <x:c r="G1342" s="30" t="str">
        <x:v>CL0873</x:v>
      </x:c>
      <x:c r="H1342" s="32" t="n">
        <x:f>COUNTIF($G$5:$G$1725,G1342)</x:f>
        <x:v>1</x:v>
      </x:c>
      <x:c r="I1342" s="30" t="str">
        <x:v>A25</x:v>
      </x:c>
      <x:c r="J1342" s="31" t="str">
        <x:v>Tell me a company on your resume, and how do you evaluate the company | Investment grade bond vs high yield bond | What are the credit analysis metrics</x:v>
      </x:c>
    </x:row>
    <x:row r="1343" ht="48" customHeight="1">
      <x:c r="A1343" s="30" t="str">
        <x:v>QB2169</x:v>
      </x:c>
      <x:c r="B1343" s="30" t="str">
        <x:v>Houlihan Lokey</x:v>
      </x:c>
      <x:c r="C1343" s="30" t="str">
        <x:v>IBD / GCM</x:v>
      </x:c>
      <x:c r="D1343" s="31" t="str">
        <x:v>EV/EBITDA=5, Interest coverage =5, what's loan to value (need to ask for lended interest rate of 5%). Answer is 1.25</x:v>
      </x:c>
      <x:c r="E1343" s="31" t="str">
        <x:v>EV/EBITDA=5, Interest coverage =5, what's loan to value (need to ask for lended interest rate of 5%). Answer is 1.25</x:v>
      </x:c>
      <x:c r="F1343" s="31" t="str">
        <x:v>Accounting &amp; Financial Statements</x:v>
      </x:c>
      <x:c r="G1343" s="30" t="str">
        <x:v>CL0318</x:v>
      </x:c>
      <x:c r="H1343" s="32" t="n">
        <x:f>COUNTIF($G$5:$G$1725,G1343)</x:f>
        <x:v>1</x:v>
      </x:c>
      <x:c r="I1343" s="30" t="str">
        <x:v>A26</x:v>
      </x:c>
      <x:c r="J1343" s="31" t="str">
        <x:v>Investment grade bond vs high yield bond | What are the credit analysis metrics | What are some signs of company going through distress</x:v>
      </x:c>
    </x:row>
    <x:row r="1344" ht="68" customHeight="1">
      <x:c r="A1344" s="30" t="str">
        <x:v>QB2170</x:v>
      </x:c>
      <x:c r="B1344" s="30" t="str">
        <x:v>Houlihan Lokey</x:v>
      </x:c>
      <x:c r="C1344" s="30" t="str">
        <x:v>IBD / GCM</x:v>
      </x:c>
      <x:c r="D1344" s="31" t="str">
        <x:v>Walk me through a DCF, purpose, what is WACC, what is beta, assumptions</x:v>
      </x:c>
      <x:c r="E1344" s="31" t="str">
        <x:v>Walk me through a DCF, purpose, what is WACC, what is beta, assumptions</x:v>
      </x:c>
      <x:c r="F1344" s="31" t="str">
        <x:v>Accounting &amp; Financial Statements</x:v>
      </x:c>
      <x:c r="G1344" s="30" t="str">
        <x:v>CL0826</x:v>
      </x:c>
      <x:c r="H1344" s="32" t="n">
        <x:f>COUNTIF($G$5:$G$1725,G1344)</x:f>
        <x:v>1</x:v>
      </x:c>
      <x:c r="I1344" s="30" t="str">
        <x:v>A27</x:v>
      </x:c>
      <x:c r="J1344" s="31" t="str">
        <x:v>What are the credit analysis metrics | What are some signs of company going through distress | EV/EBITDA=5, Interest coverage =5, what's loan to value (need to ask for lended interest rate of 5%). Answer is 1.25</x:v>
      </x:c>
    </x:row>
    <x:row r="1345" ht="68" customHeight="1">
      <x:c r="A1345" s="30" t="str">
        <x:v>QB2171</x:v>
      </x:c>
      <x:c r="B1345" s="30" t="str">
        <x:v>Houlihan Lokey</x:v>
      </x:c>
      <x:c r="C1345" s="30" t="str">
        <x:v>IBD / GCM</x:v>
      </x:c>
      <x:c r="D1345" s="31" t="str">
        <x:v>Tell me how you do due dilligence in one of your deals</x:v>
      </x:c>
      <x:c r="E1345" s="31" t="str">
        <x:v>Tell me how you do due dilligence in one of your deals</x:v>
      </x:c>
      <x:c r="F1345" s="31" t="str">
        <x:v>Company, Industry &amp; Deals</x:v>
      </x:c>
      <x:c r="G1345" s="30" t="str">
        <x:v>CL0762</x:v>
      </x:c>
      <x:c r="H1345" s="32" t="n">
        <x:f>COUNTIF($G$5:$G$1725,G1345)</x:f>
        <x:v>1</x:v>
      </x:c>
      <x:c r="I1345" s="30" t="str">
        <x:v>A28</x:v>
      </x:c>
      <x:c r="J1345" s="31" t="str">
        <x:v>What are some signs of company going through distress | EV/EBITDA=5, Interest coverage =5, what's loan to value (need to ask for lended interest rate of 5%). Answer is 1.25 | Walk me through a DCF, purpose, what is WACC, what is beta, as...</x:v>
      </x:c>
    </x:row>
    <x:row r="1346" ht="68" customHeight="1">
      <x:c r="A1346" s="30" t="str">
        <x:v>QB2172</x:v>
      </x:c>
      <x:c r="B1346" s="30" t="str">
        <x:v>Houlihan Lokey</x:v>
      </x:c>
      <x:c r="C1346" s="30" t="str">
        <x:v>IBD / GCM</x:v>
      </x:c>
      <x:c r="D1346" s="31" t="str">
        <x:v>Why restructuring but not bulge bracket ibd?</x:v>
      </x:c>
      <x:c r="E1346" s="31" t="str">
        <x:v>Why restructuring but not bulge bracket ibd</x:v>
      </x:c>
      <x:c r="F1346" s="31" t="str">
        <x:v>Fit &amp; Motivation</x:v>
      </x:c>
      <x:c r="G1346" s="30" t="str">
        <x:v>CL1161</x:v>
      </x:c>
      <x:c r="H1346" s="32" t="n">
        <x:f>COUNTIF($G$5:$G$1725,G1346)</x:f>
        <x:v>1</x:v>
      </x:c>
      <x:c r="I1346" s="30" t="str">
        <x:v>A29</x:v>
      </x:c>
      <x:c r="J1346" s="31" t="str">
        <x:v>EV/EBITDA=5, Interest coverage =5, what's loan to value (need to ask for lended interest rate of 5%). Answer is 1.25 | Walk me through a DCF, purpose, what is WACC, what is beta, assumptions | Tell me how you do due dilligence in one of ...</x:v>
      </x:c>
    </x:row>
    <x:row r="1347" ht="68" customHeight="1">
      <x:c r="A1347" s="30" t="str">
        <x:v>QB2173</x:v>
      </x:c>
      <x:c r="B1347" s="30" t="str">
        <x:v>Houlihan Lokey</x:v>
      </x:c>
      <x:c r="C1347" s="30" t="str">
        <x:v>IBD / GCM</x:v>
      </x:c>
      <x:c r="D1347" s="31" t="str">
        <x:v>Why interested in debt?</x:v>
      </x:c>
      <x:c r="E1347" s="31" t="str">
        <x:v>Why interested in debt</x:v>
      </x:c>
      <x:c r="F1347" s="31" t="str">
        <x:v>Fit &amp; Motivation</x:v>
      </x:c>
      <x:c r="G1347" s="30" t="str">
        <x:v>CL1141</x:v>
      </x:c>
      <x:c r="H1347" s="32" t="n">
        <x:f>COUNTIF($G$5:$G$1725,G1347)</x:f>
        <x:v>1</x:v>
      </x:c>
      <x:c r="I1347" s="30" t="str">
        <x:v>A30</x:v>
      </x:c>
      <x:c r="J1347" s="31" t="str">
        <x:v>Walk me through a DCF, purpose, what is WACC, what is beta, assumptions | Tell me how you do due dilligence in one of your deals | Why restructuring but not bulge bracket ibd?</x:v>
      </x:c>
    </x:row>
    <x:row r="1348" ht="48" customHeight="1">
      <x:c r="A1348" s="30" t="str">
        <x:v>QB2174</x:v>
      </x:c>
      <x:c r="B1348" s="30" t="str">
        <x:v>Houlihan Lokey</x:v>
      </x:c>
      <x:c r="C1348" s="30" t="str">
        <x:v>IBD / GCM</x:v>
      </x:c>
      <x:c r="D1348" s="31" t="str">
        <x:v>Progress with other banks and offers? How would you choose and why</x:v>
      </x:c>
      <x:c r="E1348" s="31" t="str">
        <x:v>Progress with other banks and offers? How would you choose and why</x:v>
      </x:c>
      <x:c r="F1348" s="31" t="str">
        <x:v>Other Question</x:v>
      </x:c>
      <x:c r="G1348" s="30" t="str">
        <x:v>CL0654</x:v>
      </x:c>
      <x:c r="H1348" s="32" t="n">
        <x:f>COUNTIF($G$5:$G$1725,G1348)</x:f>
        <x:v>1</x:v>
      </x:c>
      <x:c r="I1348" s="30" t="str">
        <x:v>A31</x:v>
      </x:c>
      <x:c r="J1348" s="31" t="str">
        <x:v>Tell me how you do due dilligence in one of your deals | Why restructuring but not bulge bracket ibd? | Why interested in debt?</x:v>
      </x:c>
    </x:row>
    <x:row r="1349" ht="32" customHeight="1">
      <x:c r="A1349" s="30" t="str">
        <x:v>QB2190</x:v>
      </x:c>
      <x:c r="B1349" s="30" t="str">
        <x:v>GS PWM</x:v>
      </x:c>
      <x:c r="C1349" s="30" t="str">
        <x:v>PWM / AM</x:v>
      </x:c>
      <x:c r="D1349" s="31" t="str">
        <x:v>Do you think AI is beneficial or harmful for decision-making?</x:v>
      </x:c>
      <x:c r="E1349" s="31" t="str">
        <x:v>Do you think AI is beneficial or harmful for decision-making</x:v>
      </x:c>
      <x:c r="F1349" s="31" t="str">
        <x:v>Accounting &amp; Financial Statements</x:v>
      </x:c>
      <x:c r="G1349" s="30" t="str">
        <x:v>CL0292</x:v>
      </x:c>
      <x:c r="H1349" s="32" t="n">
        <x:f>COUNTIF($G$5:$G$1725,G1349)</x:f>
        <x:v>1</x:v>
      </x:c>
      <x:c r="I1349" s="30" t="str">
        <x:v>A4</x:v>
      </x:c>
      <x:c r="J1349" s="31" t="str">
        <x:v>2024 SA | Coco-SPD | 30min Group Discussion + Presentation + Debate</x:v>
      </x:c>
    </x:row>
    <x:row r="1350" ht="48" customHeight="1">
      <x:c r="A1350" s="30" t="str">
        <x:v>QB2193</x:v>
      </x:c>
      <x:c r="B1350" s="30" t="str">
        <x:v>GS PWM</x:v>
      </x:c>
      <x:c r="C1350" s="30" t="str">
        <x:v>PWM / AM</x:v>
      </x:c>
      <x:c r="D1350" s="31" t="str">
        <x:v>Describe a successful business organization</x:v>
      </x:c>
      <x:c r="E1350" s="31" t="str">
        <x:v>Describe a successful business organization</x:v>
      </x:c>
      <x:c r="F1350" s="31" t="str">
        <x:v>Other Question</x:v>
      </x:c>
      <x:c r="G1350" s="30" t="str">
        <x:v>CL0230</x:v>
      </x:c>
      <x:c r="H1350" s="32" t="n">
        <x:f>COUNTIF($G$5:$G$1725,G1350)</x:f>
        <x:v>1</x:v>
      </x:c>
      <x:c r="I1350" s="30" t="str">
        <x:v>A7</x:v>
      </x:c>
      <x:c r="J1350" s="31" t="str">
        <x:v>Do you think AI is beneficial or harmful for decision-making? | 30 min Q&amp;A for observer | Writing Test</x:v>
      </x:c>
    </x:row>
    <x:row r="1351" ht="32" customHeight="1">
      <x:c r="A1351" s="30" t="str">
        <x:v>QB2198</x:v>
      </x:c>
      <x:c r="B1351" s="30" t="str">
        <x:v>GS PWM</x:v>
      </x:c>
      <x:c r="C1351" s="30" t="str">
        <x:v>PWM / AM</x:v>
      </x:c>
      <x:c r="D1351" s="31" t="str">
        <x:v>Market Asset Allocation Q</x:v>
      </x:c>
      <x:c r="E1351" s="31" t="str">
        <x:v>Market Asset Allocation Q</x:v>
      </x:c>
      <x:c r="F1351" s="31" t="str">
        <x:v>Fit &amp; Motivation</x:v>
      </x:c>
      <x:c r="G1351" s="30" t="str">
        <x:v>CL0598</x:v>
      </x:c>
      <x:c r="H1351" s="32" t="n">
        <x:f>COUNTIF($G$5:$G$1725,G1351)</x:f>
        <x:v>1</x:v>
      </x:c>
      <x:c r="I1351" s="30" t="str">
        <x:v>A12</x:v>
      </x:c>
      <x:c r="J1351" s="31" t="str">
        <x:v>Each has 5 questions (4 English + 1 Cantonese/Mandarin) | Ribo-SPD | Normal Behavioral Q</x:v>
      </x:c>
    </x:row>
    <x:row r="1352" ht="32" customHeight="1">
      <x:c r="A1352" s="30" t="str">
        <x:v>QB2199</x:v>
      </x:c>
      <x:c r="B1352" s="30" t="str">
        <x:v>GS PWM</x:v>
      </x:c>
      <x:c r="C1352" s="30" t="str">
        <x:v>PWM / AM</x:v>
      </x:c>
      <x:c r="D1352" s="31" t="str">
        <x:v>Brain Teaser : How many coffee shops in Central</x:v>
      </x:c>
      <x:c r="E1352" s="31" t="str">
        <x:v>Brain Teaser : How many coffee shops in Central</x:v>
      </x:c>
      <x:c r="F1352" s="31" t="str">
        <x:v>Consulting &amp; Case</x:v>
      </x:c>
      <x:c r="G1352" s="30" t="str">
        <x:v>CL0167</x:v>
      </x:c>
      <x:c r="H1352" s="32" t="n">
        <x:f>COUNTIF($G$5:$G$1725,G1352)</x:f>
        <x:v>1</x:v>
      </x:c>
      <x:c r="I1352" s="30" t="str">
        <x:v>A13</x:v>
      </x:c>
      <x:c r="J1352" s="31" t="str">
        <x:v>Ribo-SPD | Normal Behavioral Q | Market Asset Allocation Q</x:v>
      </x:c>
    </x:row>
    <x:row r="1353" ht="48" customHeight="1">
      <x:c r="A1353" s="30" t="str">
        <x:v>QB2200</x:v>
      </x:c>
      <x:c r="B1353" s="30" t="str">
        <x:v>GS PWM</x:v>
      </x:c>
      <x:c r="C1353" s="30" t="str">
        <x:v>PWM / AM</x:v>
      </x:c>
      <x:c r="D1353" s="31" t="str">
        <x:v>Market Q: How do you view the HK- China Memorendum</x:v>
      </x:c>
      <x:c r="E1353" s="31" t="str">
        <x:v>Market Q: How do you view the HK- China Memorendum</x:v>
      </x:c>
      <x:c r="F1353" s="31" t="str">
        <x:v>Other Question</x:v>
      </x:c>
      <x:c r="G1353" s="30" t="str">
        <x:v>CL0602</x:v>
      </x:c>
      <x:c r="H1353" s="32" t="n">
        <x:f>COUNTIF($G$5:$G$1725,G1353)</x:f>
        <x:v>1</x:v>
      </x:c>
      <x:c r="I1353" s="30" t="str">
        <x:v>A14</x:v>
      </x:c>
      <x:c r="J1353" s="31" t="str">
        <x:v>Normal Behavioral Q | Market Asset Allocation Q | Brain Teaser : How many coffee shops in Central</x:v>
      </x:c>
    </x:row>
    <x:row r="1354" ht="92" customHeight="1">
      <x:c r="A1354" s="30" t="str">
        <x:v>QB2215</x:v>
      </x:c>
      <x:c r="B1354" s="30" t="str">
        <x:v>GS PWM</x:v>
      </x:c>
      <x:c r="C1354" s="30" t="str">
        <x:v>PWM / AM</x:v>
      </x:c>
      <x:c r="D1354" s="31" t="str">
        <x:v>Tony - MD from Investment Team; ? - Snr Mgmt Role; ? - Operation Role</x:v>
      </x:c>
      <x:c r="E1354" s="31" t="str">
        <x:v>Tony - MD from Investment Team; ? - Snr Mgmt Role; ? - Operation Role</x:v>
      </x:c>
      <x:c r="F1354" s="31" t="str">
        <x:v>Behavioral &amp; Situational</x:v>
      </x:c>
      <x:c r="G1354" s="30" t="str">
        <x:v>CL0796</x:v>
      </x:c>
      <x:c r="H1354" s="32" t="n">
        <x:f>COUNTIF($G$5:$G$1725,G1354)</x:f>
        <x:v>1</x:v>
      </x:c>
      <x:c r="I1354" s="30" t="str">
        <x:v>A23</x:v>
      </x:c>
      <x:c r="J1354" s="31" t="str">
        <x:v>60 mins debate between 7 candidates in physically HK office (FOR) and another 7 candidates virtually on Zoom (AGAINST) | Topic: whether trump‘s policy of restricting international student visa is rational for controlling immigration (FOR...</x:v>
      </x:c>
    </x:row>
    <x:row r="1355" ht="68" customHeight="1">
      <x:c r="A1355" s="30" t="str">
        <x:v>QB2226</x:v>
      </x:c>
      <x:c r="B1355" s="30" t="str">
        <x:v>GS PWM</x:v>
      </x:c>
      <x:c r="C1355" s="30" t="str">
        <x:v>PWM / AM</x:v>
      </x:c>
      <x:c r="D1355" s="31" t="str">
        <x:v>All of the rounds begin with a quick self intro</x:v>
      </x:c>
      <x:c r="E1355" s="31" t="str">
        <x:v>Tell me about yourself / walk me through your resume</x:v>
      </x:c>
      <x:c r="F1355" s="31" t="str">
        <x:v>Resume &amp; Experience</x:v>
      </x:c>
      <x:c r="G1355" s="30" t="str">
        <x:v>CL0001</x:v>
      </x:c>
      <x:c r="H1355" s="32" t="n">
        <x:f>COUNTIF($G$5:$G$1725,G1355)</x:f>
        <x:v>170</x:v>
      </x:c>
      <x:c r="I1355" s="30" t="str">
        <x:v>A31</x:v>
      </x:c>
      <x:c r="J1355" s="31" t="str">
        <x:v>20min x 5 (Five round 1v1) | Each has EXACTLY 5 questions (typically 4 English + 1 Mandarin, but some interviewers ask most/all of the Qs in Mandarin) | All of the interviewers are front line sales (pwm advisors)</x:v>
      </x:c>
    </x:row>
    <x:row r="1356" ht="68" customHeight="1">
      <x:c r="A1356" s="30" t="str">
        <x:v>QB2228</x:v>
      </x:c>
      <x:c r="B1356" s="30" t="str">
        <x:v>GS PWM</x:v>
      </x:c>
      <x:c r="C1356" s="30" t="str">
        <x:v>PWM / AM</x:v>
      </x:c>
      <x:c r="D1356" s="31" t="str">
        <x:v>谁是你的role model?</x:v>
      </x:c>
      <x:c r="E1356" s="31" t="str">
        <x:v>谁是你的role model</x:v>
      </x:c>
      <x:c r="F1356" s="31" t="str">
        <x:v>Other Technical</x:v>
      </x:c>
      <x:c r="G1356" s="30" t="str">
        <x:v>CL1256</x:v>
      </x:c>
      <x:c r="H1356" s="32" t="n">
        <x:f>COUNTIF($G$5:$G$1725,G1356)</x:f>
        <x:v>1</x:v>
      </x:c>
      <x:c r="I1356" s="30" t="str">
        <x:v>A34</x:v>
      </x:c>
      <x:c r="J1356" s="31" t="str">
        <x:v>All of the interviewers are front line sales (pwm advisors) | All of the rounds begin with a quick self intro | Cannot recall all of the Qs but list some of them below:</x:v>
      </x:c>
    </x:row>
    <x:row r="1357" ht="32" customHeight="1">
      <x:c r="A1357" s="30" t="str">
        <x:v>QB2231</x:v>
      </x:c>
      <x:c r="B1357" s="30" t="str">
        <x:v>GS PWM</x:v>
      </x:c>
      <x:c r="C1357" s="30" t="str">
        <x:v>PWM / AM</x:v>
      </x:c>
      <x:c r="D1357" s="31" t="str">
        <x:v>可以讲讲你生活中遇到的困难吗？不要学习/工作上的</x:v>
      </x:c>
      <x:c r="E1357" s="31" t="str">
        <x:v>可以讲讲你生活中遇到的困难吗？不要学习/工作上的</x:v>
      </x:c>
      <x:c r="F1357" s="31" t="str">
        <x:v>Other Question</x:v>
      </x:c>
      <x:c r="G1357" s="30" t="str">
        <x:v>CL1234</x:v>
      </x:c>
      <x:c r="H1357" s="32" t="n">
        <x:f>COUNTIF($G$5:$G$1725,G1357)</x:f>
        <x:v>1</x:v>
      </x:c>
      <x:c r="I1357" s="30" t="str">
        <x:v>A37</x:v>
      </x:c>
      <x:c r="J1357" s="31" t="str">
        <x:v>谁是你的role model? | 如果不做金融，你觉得你现在会在做什么 | 可以简单讲讲你的家庭BG吗</x:v>
      </x:c>
    </x:row>
    <x:row r="1358" ht="32" customHeight="1">
      <x:c r="A1358" s="30" t="str">
        <x:v>QB2232</x:v>
      </x:c>
      <x:c r="B1358" s="30" t="str">
        <x:v>GS PWM</x:v>
      </x:c>
      <x:c r="C1358" s="30" t="str">
        <x:v>PWM / AM</x:v>
      </x:c>
      <x:c r="D1358" s="31" t="str">
        <x:v>Market Sizing: Estimate the annual revenue of GS PWM in APAC</x:v>
      </x:c>
      <x:c r="E1358" s="31" t="str">
        <x:v>Market Sizing: Estimate the annual revenue of GS PWM in APAC</x:v>
      </x:c>
      <x:c r="F1358" s="31" t="str">
        <x:v>Consulting &amp; Case</x:v>
      </x:c>
      <x:c r="G1358" s="30" t="str">
        <x:v>CL0603</x:v>
      </x:c>
      <x:c r="H1358" s="32" t="n">
        <x:f>COUNTIF($G$5:$G$1725,G1358)</x:f>
        <x:v>1</x:v>
      </x:c>
      <x:c r="I1358" s="30" t="str">
        <x:v>A38</x:v>
      </x:c>
      <x:c r="J1358" s="31" t="str">
        <x:v>如果不做金融，你觉得你现在会在做什么 | 可以简单讲讲你的家庭BG吗 | 可以讲讲你生活中遇到的困难吗？不要学习/工作上的</x:v>
      </x:c>
    </x:row>
    <x:row r="1359" ht="48" customHeight="1">
      <x:c r="A1359" s="30" t="str">
        <x:v>QB2233</x:v>
      </x:c>
      <x:c r="B1359" s="30" t="str">
        <x:v>GS PWM</x:v>
      </x:c>
      <x:c r="C1359" s="30" t="str">
        <x:v>PWM / AM</x:v>
      </x:c>
      <x:c r="D1359" s="31" t="str">
        <x:v>详细讲讲你的PA Investment - follow-up: 做投资决定的主要参考依据？调仓的频率？</x:v>
      </x:c>
      <x:c r="E1359" s="31" t="str">
        <x:v>详细讲讲你的PA Investment - follow-up: 做投资决定的主要参考依据？调仓的频率</x:v>
      </x:c>
      <x:c r="F1359" s="31" t="str">
        <x:v>Other Question</x:v>
      </x:c>
      <x:c r="G1359" s="30" t="str">
        <x:v>CL1255</x:v>
      </x:c>
      <x:c r="H1359" s="32" t="n">
        <x:f>COUNTIF($G$5:$G$1725,G1359)</x:f>
        <x:v>1</x:v>
      </x:c>
      <x:c r="I1359" s="30" t="str">
        <x:v>A39</x:v>
      </x:c>
      <x:c r="J1359" s="31" t="str">
        <x:v>可以简单讲讲你的家庭BG吗 | 可以讲讲你生活中遇到的困难吗？不要学习/工作上的 | Market Sizing: Estimate the annual revenue of GS PWM in APAC</x:v>
      </x:c>
    </x:row>
    <x:row r="1360" ht="48" customHeight="1">
      <x:c r="A1360" s="30" t="str">
        <x:v>QB2234</x:v>
      </x:c>
      <x:c r="B1360" s="30" t="str">
        <x:v>GS PWM</x:v>
      </x:c>
      <x:c r="C1360" s="30" t="str">
        <x:v>PWM / AM</x:v>
      </x:c>
      <x:c r="D1360" s="31" t="str">
        <x:v>What is the culture of GS?</x:v>
      </x:c>
      <x:c r="E1360" s="31" t="str">
        <x:v>What is the culture of GS</x:v>
      </x:c>
      <x:c r="F1360" s="31" t="str">
        <x:v>Accounting &amp; Financial Statements</x:v>
      </x:c>
      <x:c r="G1360" s="30" t="str">
        <x:v>CL0976</x:v>
      </x:c>
      <x:c r="H1360" s="32" t="n">
        <x:f>COUNTIF($G$5:$G$1725,G1360)</x:f>
        <x:v>1</x:v>
      </x:c>
      <x:c r="I1360" s="30" t="str">
        <x:v>A40</x:v>
      </x:c>
      <x:c r="J1360" s="31" t="str">
        <x:v>可以讲讲你生活中遇到的困难吗？不要学习/工作上的 | Market Sizing: Estimate the annual revenue of GS PWM in APAC | 详细讲讲你的PA Investment - follow-up: 做投资决定的主要参考依据？调仓的频率？</x:v>
      </x:c>
    </x:row>
    <x:row r="1361" ht="48" customHeight="1">
      <x:c r="A1361" s="30" t="str">
        <x:v>QB2235</x:v>
      </x:c>
      <x:c r="B1361" s="30" t="str">
        <x:v>GS PWM</x:v>
      </x:c>
      <x:c r="C1361" s="30" t="str">
        <x:v>PWM / AM</x:v>
      </x:c>
      <x:c r="D1361" s="31" t="str">
        <x:v>If you could change one aspect of the GS, what will you do?</x:v>
      </x:c>
      <x:c r="E1361" s="31" t="str">
        <x:v>If you could change one aspect of the GS, what will you do</x:v>
      </x:c>
      <x:c r="F1361" s="31" t="str">
        <x:v>Other Question</x:v>
      </x:c>
      <x:c r="G1361" s="30" t="str">
        <x:v>CL0529</x:v>
      </x:c>
      <x:c r="H1361" s="32" t="n">
        <x:f>COUNTIF($G$5:$G$1725,G1361)</x:f>
        <x:v>1</x:v>
      </x:c>
      <x:c r="I1361" s="30" t="str">
        <x:v>A41</x:v>
      </x:c>
      <x:c r="J1361" s="31" t="str">
        <x:v>Market Sizing: Estimate the annual revenue of GS PWM in APAC | 详细讲讲你的PA Investment - follow-up: 做投资决定的主要参考依据？调仓的频率？ | What is the culture of GS?</x:v>
      </x:c>
    </x:row>
    <x:row r="1362" ht="48" customHeight="1">
      <x:c r="A1362" s="30" t="str">
        <x:v>QB2236</x:v>
      </x:c>
      <x:c r="B1362" s="30" t="str">
        <x:v>GS PWM</x:v>
      </x:c>
      <x:c r="C1362" s="30" t="str">
        <x:v>PWM / AM</x:v>
      </x:c>
      <x:c r="D1362" s="31" t="str">
        <x:v>Pitch me a stock</x:v>
      </x:c>
      <x:c r="E1362" s="31" t="str">
        <x:v>Pitch me a stock</x:v>
      </x:c>
      <x:c r="F1362" s="31" t="str">
        <x:v>Investment Pitch</x:v>
      </x:c>
      <x:c r="G1362" s="30" t="str">
        <x:v>CL0006</x:v>
      </x:c>
      <x:c r="H1362" s="32" t="n">
        <x:f>COUNTIF($G$5:$G$1725,G1362)</x:f>
        <x:v>19</x:v>
      </x:c>
      <x:c r="I1362" s="30" t="str">
        <x:v>A42</x:v>
      </x:c>
      <x:c r="J1362" s="31" t="str">
        <x:v>详细讲讲你的PA Investment - follow-up: 做投资决定的主要参考依据？调仓的频率？ | What is the culture of GS? | If you could change one aspect of the GS, what will you do?</x:v>
      </x:c>
    </x:row>
    <x:row r="1363" ht="48" customHeight="1">
      <x:c r="A1363" s="30" t="str">
        <x:v>QB2238</x:v>
      </x:c>
      <x:c r="B1363" s="30" t="str">
        <x:v>GS PWM</x:v>
      </x:c>
      <x:c r="C1363" s="30" t="str">
        <x:v>PWM / AM</x:v>
      </x:c>
      <x:c r="D1363" s="31" t="str">
        <x:v>Technical: 什么样的产品是带有杠杆的？</x:v>
      </x:c>
      <x:c r="E1363" s="31" t="str">
        <x:v>Technical: 什么样的产品是带有杠杆的</x:v>
      </x:c>
      <x:c r="F1363" s="31" t="str">
        <x:v>Other Technical</x:v>
      </x:c>
      <x:c r="G1363" s="30" t="str">
        <x:v>CL0701</x:v>
      </x:c>
      <x:c r="H1363" s="32" t="n">
        <x:f>COUNTIF($G$5:$G$1725,G1363)</x:f>
        <x:v>1</x:v>
      </x:c>
      <x:c r="I1363" s="30" t="str">
        <x:v>A44</x:v>
      </x:c>
      <x:c r="J1363" s="31" t="str">
        <x:v>If you could change one aspect of the GS, what will you do? | Pitch me a stock | Any recent news that you're recently following</x:v>
      </x:c>
    </x:row>
    <x:row r="1364" ht="48" customHeight="1">
      <x:c r="A1364" s="30" t="str">
        <x:v>QB2239</x:v>
      </x:c>
      <x:c r="B1364" s="30" t="str">
        <x:v>GS PWM</x:v>
      </x:c>
      <x:c r="C1364" s="30" t="str">
        <x:v>PWM / AM</x:v>
      </x:c>
      <x:c r="D1364" s="31" t="str">
        <x:v>What's the difference (typically) between the 1st Gen Wealthy people and the 2nd Gen?</x:v>
      </x:c>
      <x:c r="E1364" s="31" t="str">
        <x:v>What's the difference (typically) between the 1st Gen Wealthy people and the 2nd Gen</x:v>
      </x:c>
      <x:c r="F1364" s="31" t="str">
        <x:v>Wealth &amp; Asset Management</x:v>
      </x:c>
      <x:c r="G1364" s="30" t="str">
        <x:v>CL1051</x:v>
      </x:c>
      <x:c r="H1364" s="32" t="n">
        <x:f>COUNTIF($G$5:$G$1725,G1364)</x:f>
        <x:v>1</x:v>
      </x:c>
      <x:c r="I1364" s="30" t="str">
        <x:v>A45</x:v>
      </x:c>
      <x:c r="J1364" s="31" t="str">
        <x:v>Pitch me a stock | Any recent news that you're recently following | Technical: 什么样的产品是带有杠杆的？</x:v>
      </x:c>
    </x:row>
    <x:row r="1365" ht="68" customHeight="1">
      <x:c r="A1365" s="30" t="str">
        <x:v>QB2240</x:v>
      </x:c>
      <x:c r="B1365" s="30" t="str">
        <x:v>GS PWM</x:v>
      </x:c>
      <x:c r="C1365" s="30" t="str">
        <x:v>PWM / AM</x:v>
      </x:c>
      <x:c r="D1365" s="31" t="str">
        <x:v>Would you advise the 2nd Gen Clients to buy crypto/digital assets?</x:v>
      </x:c>
      <x:c r="E1365" s="31" t="str">
        <x:v>Would you advise the 2nd Gen Clients to buy crypto/digital assets</x:v>
      </x:c>
      <x:c r="F1365" s="31" t="str">
        <x:v>Other Question</x:v>
      </x:c>
      <x:c r="G1365" s="30" t="str">
        <x:v>CL1194</x:v>
      </x:c>
      <x:c r="H1365" s="32" t="n">
        <x:f>COUNTIF($G$5:$G$1725,G1365)</x:f>
        <x:v>1</x:v>
      </x:c>
      <x:c r="I1365" s="30" t="str">
        <x:v>A46</x:v>
      </x:c>
      <x:c r="J1365" s="31" t="str">
        <x:v>Any recent news that you're recently following | Technical: 什么样的产品是带有杠杆的？ | What's the difference (typically) between the 1st Gen Wealthy people and the 2nd Gen?</x:v>
      </x:c>
    </x:row>
    <x:row r="1366" ht="68" customHeight="1">
      <x:c r="A1366" s="30" t="str">
        <x:v>QB2241</x:v>
      </x:c>
      <x:c r="B1366" s="30" t="str">
        <x:v>GS PWM</x:v>
      </x:c>
      <x:c r="C1366" s="30" t="str">
        <x:v>PWM / AM</x:v>
      </x:c>
      <x:c r="D1366" s="31" t="str">
        <x:v>Typical Asset Allocation Question: construct a 100 million investment portfolio for a client</x:v>
      </x:c>
      <x:c r="E1366" s="31" t="str">
        <x:v>Typical Asset Allocation Question: construct a 100 million investment portfolio for a client</x:v>
      </x:c>
      <x:c r="F1366" s="31" t="str">
        <x:v>Fit &amp; Motivation</x:v>
      </x:c>
      <x:c r="G1366" s="30" t="str">
        <x:v>CL0807</x:v>
      </x:c>
      <x:c r="H1366" s="32" t="n">
        <x:f>COUNTIF($G$5:$G$1725,G1366)</x:f>
        <x:v>1</x:v>
      </x:c>
      <x:c r="I1366" s="30" t="str">
        <x:v>A47</x:v>
      </x:c>
      <x:c r="J1366" s="31" t="str">
        <x:v>Technical: 什么样的产品是带有杠杆的？ | What's the difference (typically) between the 1st Gen Wealthy people and the 2nd Gen? | Would you advise the 2nd Gen Clients to buy crypto/digital assets?</x:v>
      </x:c>
    </x:row>
    <x:row r="1367" ht="92" customHeight="1">
      <x:c r="A1367" s="30" t="str">
        <x:v>QB2243</x:v>
      </x:c>
      <x:c r="B1367" s="30" t="str">
        <x:v>GS PWM</x:v>
      </x:c>
      <x:c r="C1367" s="30" t="str">
        <x:v>PWM / AM</x:v>
      </x:c>
      <x:c r="D1367" s="31" t="str">
        <x:v>Give me an example when you are tackling with a task with ambiguity</x:v>
      </x:c>
      <x:c r="E1367" s="31" t="str">
        <x:v>Give me an example when you are tackling with a task with ambiguity</x:v>
      </x:c>
      <x:c r="F1367" s="31" t="str">
        <x:v>Other Question</x:v>
      </x:c>
      <x:c r="G1367" s="30" t="str">
        <x:v>CL0348</x:v>
      </x:c>
      <x:c r="H1367" s="32" t="n">
        <x:f>COUNTIF($G$5:$G$1725,G1367)</x:f>
        <x:v>1</x:v>
      </x:c>
      <x:c r="I1367" s="30" t="str">
        <x:v>A49</x:v>
      </x:c>
      <x:c r="J1367" s="31" t="str">
        <x:v>Would you advise the 2nd Gen Clients to buy crypto/digital assets? | Typical Asset Allocation Question: construct a 100 million investment portfolio for a client | Follow-up: Assume YOU are the PB clients, what kind of different 100 mill...</x:v>
      </x:c>
    </x:row>
    <x:row r="1368" ht="48" customHeight="1">
      <x:c r="A1368" s="30" t="str">
        <x:v>QB2251</x:v>
      </x:c>
      <x:c r="B1368" s="30" t="str">
        <x:v>JPM PB</x:v>
      </x:c>
      <x:c r="C1368" s="30" t="str">
        <x:v>PWM / AM</x:v>
      </x:c>
      <x:c r="D1368" s="31" t="str">
        <x:v>Within the advisor, do you want to be banker or investor?</x:v>
      </x:c>
      <x:c r="E1368" s="31" t="str">
        <x:v>Within the advisor, do you want to be banker or investor</x:v>
      </x:c>
      <x:c r="F1368" s="31" t="str">
        <x:v>Other Question</x:v>
      </x:c>
      <x:c r="G1368" s="30" t="str">
        <x:v>CL1188</x:v>
      </x:c>
      <x:c r="H1368" s="32" t="n">
        <x:f>COUNTIF($G$5:$G$1725,G1368)</x:f>
        <x:v>1</x:v>
      </x:c>
      <x:c r="I1368" s="30" t="str">
        <x:v>A7</x:v>
      </x:c>
      <x:c r="J1368" s="31" t="str">
        <x:v>No intermediate rounds; direct to SPD | 2-rounds of 1v1 interview | First: HK Team Advisor-Investor Helen Ng</x:v>
      </x:c>
    </x:row>
    <x:row r="1369" ht="32" customHeight="1">
      <x:c r="A1369" s="30" t="str">
        <x:v>QB2252</x:v>
      </x:c>
      <x:c r="B1369" s="30" t="str">
        <x:v>JPM PB</x:v>
      </x:c>
      <x:c r="C1369" s="30" t="str">
        <x:v>PWM / AM</x:v>
      </x:c>
      <x:c r="D1369" s="31" t="str">
        <x:v>Why do you put PE in the lifestyle bucket which is supposed to be more conservative?</x:v>
      </x:c>
      <x:c r="E1369" s="31" t="str">
        <x:v>Why do you put PE in the lifestyle bucket which is supposed to be more conservative</x:v>
      </x:c>
      <x:c r="F1369" s="31" t="str">
        <x:v>Fit &amp; Motivation</x:v>
      </x:c>
      <x:c r="G1369" s="30" t="str">
        <x:v>CL1127</x:v>
      </x:c>
      <x:c r="H1369" s="32" t="n">
        <x:f>COUNTIF($G$5:$G$1725,G1369)</x:f>
        <x:v>1</x:v>
      </x:c>
      <x:c r="I1369" s="30" t="str">
        <x:v>I7</x:v>
      </x:c>
      <x:c r="J1369" s="31" t="str">
        <x:v>Group case (with 2 development scenarios) | Q&amp;A session:</x:v>
      </x:c>
    </x:row>
    <x:row r="1370" ht="48" customHeight="1">
      <x:c r="A1370" s="30" t="str">
        <x:v>QB2254</x:v>
      </x:c>
      <x:c r="B1370" s="30" t="str">
        <x:v>JPM PB</x:v>
      </x:c>
      <x:c r="C1370" s="30" t="str">
        <x:v>PWM / AM</x:v>
      </x:c>
      <x:c r="D1370" s="31" t="str">
        <x:v>What approach should you take if you want the client to fund in more money into the account? (particularly if the performance of the portfolio is not good)</x:v>
      </x:c>
      <x:c r="E1370" s="31" t="str">
        <x:v>What approach should you take if you want the client to fund in more money into the account? (particularly if the performance of the portfolio is not good)</x:v>
      </x:c>
      <x:c r="F1370" s="31" t="str">
        <x:v>Accounting &amp; Financial Statements</x:v>
      </x:c>
      <x:c r="G1370" s="30" t="str">
        <x:v>CL0861</x:v>
      </x:c>
      <x:c r="H1370" s="32" t="n">
        <x:f>COUNTIF($G$5:$G$1725,G1370)</x:f>
        <x:v>1</x:v>
      </x:c>
      <x:c r="I1370" s="30" t="str">
        <x:v>I8</x:v>
      </x:c>
      <x:c r="J1370" s="31" t="str">
        <x:v>Group case (with 2 development scenarios) | Q&amp;A session: | Why do you put PE in the lifestyle bucket which is supposed to be more conservative?</x:v>
      </x:c>
    </x:row>
    <x:row r="1371" ht="68" customHeight="1">
      <x:c r="A1371" s="30" t="str">
        <x:v>QB2255</x:v>
      </x:c>
      <x:c r="B1371" s="30" t="str">
        <x:v>JPM PB</x:v>
      </x:c>
      <x:c r="C1371" s="30" t="str">
        <x:v>PWM / AM</x:v>
      </x:c>
      <x:c r="D1371" s="31" t="str">
        <x:v>You have lots of intern experience and how do you manage to do that?</x:v>
      </x:c>
      <x:c r="E1371" s="31" t="str">
        <x:v>You have lots of intern experience and how do you manage to do that</x:v>
      </x:c>
      <x:c r="F1371" s="31" t="str">
        <x:v>Resume &amp; Experience</x:v>
      </x:c>
      <x:c r="G1371" s="30" t="str">
        <x:v>CL1202</x:v>
      </x:c>
      <x:c r="H1371" s="32" t="n">
        <x:f>COUNTIF($G$5:$G$1725,G1371)</x:f>
        <x:v>1</x:v>
      </x:c>
      <x:c r="I1371" s="30" t="str">
        <x:v>A9</x:v>
      </x:c>
      <x:c r="J1371" s="31" t="str">
        <x:v>First: HK Team Advisor-Investor Helen Ng | Within the advisor, do you want to be banker or investor? | Maybe you have some misconceptions about them. Elaborate. Answer it again.</x:v>
      </x:c>
    </x:row>
    <x:row r="1372" ht="68" customHeight="1">
      <x:c r="A1372" s="30" t="str">
        <x:v>QB2256</x:v>
      </x:c>
      <x:c r="B1372" s="30" t="str">
        <x:v>JPM PB</x:v>
      </x:c>
      <x:c r="C1372" s="30" t="str">
        <x:v>PWM / AM</x:v>
      </x:c>
      <x:c r="D1372" s="31" t="str">
        <x:v>Why don't you mention anything related to leverage in the proposal? What's your ideas?</x:v>
      </x:c>
      <x:c r="E1372" s="31" t="str">
        <x:v>Why don't you mention anything related to leverage in the proposal? What's your ideas</x:v>
      </x:c>
      <x:c r="F1372" s="31" t="str">
        <x:v>Fit &amp; Motivation</x:v>
      </x:c>
      <x:c r="G1372" s="30" t="str">
        <x:v>CL1133</x:v>
      </x:c>
      <x:c r="H1372" s="32" t="n">
        <x:f>COUNTIF($G$5:$G$1725,G1372)</x:f>
        <x:v>1</x:v>
      </x:c>
      <x:c r="I1372" s="30" t="str">
        <x:v>I9</x:v>
      </x:c>
      <x:c r="J1372" s="31" t="str">
        <x:v>Q&amp;A session: | Why do you put PE in the lifestyle bucket which is supposed to be more conservative? | What approach should you take if you want the client to fund in more money into the account? (particularly if the performance of the po...</x:v>
      </x:c>
    </x:row>
    <x:row r="1373" ht="68" customHeight="1">
      <x:c r="A1373" s="30" t="str">
        <x:v>QB2257</x:v>
      </x:c>
      <x:c r="B1373" s="30" t="str">
        <x:v>JPM PB</x:v>
      </x:c>
      <x:c r="C1373" s="30" t="str">
        <x:v>PWM / AM</x:v>
      </x:c>
      <x:c r="D1373" s="31" t="str">
        <x:v>Of all the internships you've done, which one do you like best?</x:v>
      </x:c>
      <x:c r="E1373" s="31" t="str">
        <x:v>Of all the internships you've done, which one do you like best</x:v>
      </x:c>
      <x:c r="F1373" s="31" t="str">
        <x:v>Resume &amp; Experience</x:v>
      </x:c>
      <x:c r="G1373" s="30" t="str">
        <x:v>CL0624</x:v>
      </x:c>
      <x:c r="H1373" s="32" t="n">
        <x:f>COUNTIF($G$5:$G$1725,G1373)</x:f>
        <x:v>1</x:v>
      </x:c>
      <x:c r="I1373" s="30" t="str">
        <x:v>A10</x:v>
      </x:c>
      <x:c r="J1373" s="31" t="str">
        <x:v>Within the advisor, do you want to be banker or investor? | Maybe you have some misconceptions about them. Elaborate. Answer it again. | You have lots of intern experience and how do you manage to do that?</x:v>
      </x:c>
    </x:row>
    <x:row r="1374" ht="92" customHeight="1">
      <x:c r="A1374" s="30" t="str">
        <x:v>QB2258</x:v>
      </x:c>
      <x:c r="B1374" s="30" t="str">
        <x:v>JPM PB</x:v>
      </x:c>
      <x:c r="C1374" s="30" t="str">
        <x:v>PWM / AM</x:v>
      </x:c>
      <x:c r="D1374" s="31" t="str">
        <x:v>What kind of tools can you think in terms of lending?</x:v>
      </x:c>
      <x:c r="E1374" s="31" t="str">
        <x:v>What kind of tools can you think in terms of lending</x:v>
      </x:c>
      <x:c r="F1374" s="31" t="str">
        <x:v>Other Question</x:v>
      </x:c>
      <x:c r="G1374" s="30" t="str">
        <x:v>CL1009</x:v>
      </x:c>
      <x:c r="H1374" s="32" t="n">
        <x:f>COUNTIF($G$5:$G$1725,G1374)</x:f>
        <x:v>1</x:v>
      </x:c>
      <x:c r="I1374" s="30" t="str">
        <x:v>I10</x:v>
      </x:c>
      <x:c r="J1374" s="31" t="str">
        <x:v>Why do you put PE in the lifestyle bucket which is supposed to be more conservative? | What approach should you take if you want the client to fund in more money into the account? (particularly if the performance of the portfolio is not ...</x:v>
      </x:c>
    </x:row>
    <x:row r="1375" ht="68" customHeight="1">
      <x:c r="A1375" s="30" t="str">
        <x:v>QB2259</x:v>
      </x:c>
      <x:c r="B1375" s="30" t="str">
        <x:v>JPM PB</x:v>
      </x:c>
      <x:c r="C1375" s="30" t="str">
        <x:v>PWM / AM</x:v>
      </x:c>
      <x:c r="D1375" s="31" t="str">
        <x:v>What are you exactly doing in this role?</x:v>
      </x:c>
      <x:c r="E1375" s="31" t="str">
        <x:v>What are you exactly doing in this role</x:v>
      </x:c>
      <x:c r="F1375" s="31" t="str">
        <x:v>Other Question</x:v>
      </x:c>
      <x:c r="G1375" s="30" t="str">
        <x:v>CL0886</x:v>
      </x:c>
      <x:c r="H1375" s="32" t="n">
        <x:f>COUNTIF($G$5:$G$1725,G1375)</x:f>
        <x:v>1</x:v>
      </x:c>
      <x:c r="I1375" s="30" t="str">
        <x:v>A11</x:v>
      </x:c>
      <x:c r="J1375" s="31" t="str">
        <x:v>Maybe you have some misconceptions about them. Elaborate. Answer it again. | You have lots of intern experience and how do you manage to do that? | Of all the internships you've done, which one do you like best?</x:v>
      </x:c>
    </x:row>
    <x:row r="1376" ht="68" customHeight="1">
      <x:c r="A1376" s="30" t="str">
        <x:v>QB2260</x:v>
      </x:c>
      <x:c r="B1376" s="30" t="str">
        <x:v>JPM PB</x:v>
      </x:c>
      <x:c r="C1376" s="30" t="str">
        <x:v>PWM / AM</x:v>
      </x:c>
      <x:c r="D1376" s="31" t="str">
        <x:v>Senario assumptions: do the right thing (stick to your self) or so things rightly (follow what your supervisor asked to do)?</x:v>
      </x:c>
      <x:c r="E1376" s="31" t="str">
        <x:v>Senario assumptions: do the right thing (stick to your self) or so things rightly (follow what your supervisor asked to do)</x:v>
      </x:c>
      <x:c r="F1376" s="31" t="str">
        <x:v>Other Question</x:v>
      </x:c>
      <x:c r="G1376" s="30" t="str">
        <x:v>CL0672</x:v>
      </x:c>
      <x:c r="H1376" s="32" t="n">
        <x:f>COUNTIF($G$5:$G$1725,G1376)</x:f>
        <x:v>1</x:v>
      </x:c>
      <x:c r="I1376" s="30" t="str">
        <x:v>A12</x:v>
      </x:c>
      <x:c r="J1376" s="31" t="str">
        <x:v>You have lots of intern experience and how do you manage to do that? | Of all the internships you've done, which one do you like best? | What are you exactly doing in this role?</x:v>
      </x:c>
    </x:row>
    <x:row r="1377" ht="68" customHeight="1">
      <x:c r="A1377" s="30" t="str">
        <x:v>QB2262</x:v>
      </x:c>
      <x:c r="B1377" s="30" t="str">
        <x:v>JPM PB</x:v>
      </x:c>
      <x:c r="C1377" s="30" t="str">
        <x:v>PWM / AM</x:v>
      </x:c>
      <x:c r="D1377" s="31" t="str">
        <x:v>Tell me a piece of article you read about JPM?</x:v>
      </x:c>
      <x:c r="E1377" s="31" t="str">
        <x:v>Tell me a piece of article you read about JPM</x:v>
      </x:c>
      <x:c r="F1377" s="31" t="str">
        <x:v>Other Question</x:v>
      </x:c>
      <x:c r="G1377" s="30" t="str">
        <x:v>CL0705</x:v>
      </x:c>
      <x:c r="H1377" s="32" t="n">
        <x:f>COUNTIF($G$5:$G$1725,G1377)</x:f>
        <x:v>1</x:v>
      </x:c>
      <x:c r="I1377" s="30" t="str">
        <x:v>A14</x:v>
      </x:c>
      <x:c r="J1377" s="31" t="str">
        <x:v>What are you exactly doing in this role? | Senario assumptions: do the right thing (stick to your self) or so things rightly (follow what your supervisor asked to do)? | A question that didn't I understand</x:v>
      </x:c>
    </x:row>
    <x:row r="1378" ht="32" customHeight="1">
      <x:c r="A1378" s="30" t="str">
        <x:v>QB2267</x:v>
      </x:c>
      <x:c r="B1378" s="30" t="str">
        <x:v>JPM PB</x:v>
      </x:c>
      <x:c r="C1378" s="30" t="str">
        <x:v>PWM / AM</x:v>
      </x:c>
      <x:c r="D1378" s="31" t="str">
        <x:v>self intro</x:v>
      </x:c>
      <x:c r="E1378" s="31" t="str">
        <x:v>Tell me about yourself / walk me through your resume</x:v>
      </x:c>
      <x:c r="F1378" s="31" t="str">
        <x:v>Resume &amp; Experience</x:v>
      </x:c>
      <x:c r="G1378" s="30" t="str">
        <x:v>CL0001</x:v>
      </x:c>
      <x:c r="H1378" s="32" t="n">
        <x:f>COUNTIF($G$5:$G$1725,G1378)</x:f>
        <x:v>170</x:v>
      </x:c>
      <x:c r="I1378" s="30" t="str">
        <x:v>A20</x:v>
      </x:c>
      <x:c r="J1378" s="31" t="str">
        <x:v>Forget | 反问 | Second: TW Team Advisor-Single Coverage Ethan Lan</x:v>
      </x:c>
    </x:row>
    <x:row r="1379" ht="48" customHeight="1">
      <x:c r="A1379" s="30" t="str">
        <x:v>QB2269</x:v>
      </x:c>
      <x:c r="B1379" s="30" t="str">
        <x:v>JPM PB</x:v>
      </x:c>
      <x:c r="C1379" s="30" t="str">
        <x:v>PWM / AM</x:v>
      </x:c>
      <x:c r="D1379" s="31" t="str">
        <x:v>Tell me about a time of teamwork (I said JPM's AWM case and i said we used data to construct the entire portfolio)</x:v>
      </x:c>
      <x:c r="E1379" s="31" t="str">
        <x:v>Tell me about a time of teamwork (I said JPM's AWM case and i said we used data to construct the entire portfolio)</x:v>
      </x:c>
      <x:c r="F1379" s="31" t="str">
        <x:v>Behavioral &amp; Situational</x:v>
      </x:c>
      <x:c r="G1379" s="30" t="str">
        <x:v>CL0729</x:v>
      </x:c>
      <x:c r="H1379" s="32" t="n">
        <x:f>COUNTIF($G$5:$G$1725,G1379)</x:f>
        <x:v>1</x:v>
      </x:c>
      <x:c r="I1379" s="30" t="str">
        <x:v>A22</x:v>
      </x:c>
      <x:c r="J1379" s="31" t="str">
        <x:v>Second: TW Team Advisor-Single Coverage Ethan Lan | self intro | Forget</x:v>
      </x:c>
    </x:row>
    <x:row r="1380" ht="68" customHeight="1">
      <x:c r="A1380" s="30" t="str">
        <x:v>QB2273</x:v>
      </x:c>
      <x:c r="B1380" s="30" t="str">
        <x:v>JPM PB</x:v>
      </x:c>
      <x:c r="C1380" s="30" t="str">
        <x:v>PWM / AM</x:v>
      </x:c>
      <x:c r="D1380" s="31" t="str">
        <x:v>Tell me about a time of having conflicts with your teammates (Different ideas on the Exhibition Club)</x:v>
      </x:c>
      <x:c r="E1380" s="31" t="str">
        <x:v>Tell me about a team conflict and how you handled it</x:v>
      </x:c>
      <x:c r="F1380" s="31" t="str">
        <x:v>Behavioral &amp; Situational</x:v>
      </x:c>
      <x:c r="G1380" s="30" t="str">
        <x:v>CL0023</x:v>
      </x:c>
      <x:c r="H1380" s="32" t="n">
        <x:f>COUNTIF($G$5:$G$1725,G1380)</x:f>
        <x:v>3</x:v>
      </x:c>
      <x:c r="I1380" s="30" t="str">
        <x:v>A26</x:v>
      </x:c>
      <x:c r="J1380" s="31" t="str">
        <x:v>Follow up: How do you analyse those data? What kind of tools? | Follow up: What was your role inside? | Follow up: How did you allocate the work and manage the situation?</x:v>
      </x:c>
    </x:row>
    <x:row r="1381" ht="68" customHeight="1">
      <x:c r="A1381" s="30" t="str">
        <x:v>QB2276</x:v>
      </x:c>
      <x:c r="B1381" s="30" t="str">
        <x:v>JPM PB</x:v>
      </x:c>
      <x:c r="C1381" s="30" t="str">
        <x:v>PWM / AM</x:v>
      </x:c>
      <x:c r="D1381" s="31" t="str">
        <x:v>你关注市场吗？昨天恒指跌了多少？S&amp;P 500收盘多少？</x:v>
      </x:c>
      <x:c r="E1381" s="31" t="str">
        <x:v>你关注市场吗？昨天恒指跌了多少？S&amp;P 500收盘多少</x:v>
      </x:c>
      <x:c r="F1381" s="31" t="str">
        <x:v>Other Question</x:v>
      </x:c>
      <x:c r="G1381" s="30" t="str">
        <x:v>CL1227</x:v>
      </x:c>
      <x:c r="H1381" s="32" t="n">
        <x:f>COUNTIF($G$5:$G$1725,G1381)</x:f>
        <x:v>1</x:v>
      </x:c>
      <x:c r="I1381" s="30" t="str">
        <x:v>A29</x:v>
      </x:c>
      <x:c r="J1381" s="31" t="str">
        <x:v>Tell me about a time of having conflicts with your teammates (Different ideas on the Exhibition Club) | Follow up: How do you persuade your teammates then? Is there any major conflicts? | 转为普通话</x:v>
      </x:c>
    </x:row>
    <x:row r="1382" ht="48" customHeight="1">
      <x:c r="A1382" s="30" t="str">
        <x:v>QB2277</x:v>
      </x:c>
      <x:c r="B1382" s="30" t="str">
        <x:v>JPM PB</x:v>
      </x:c>
      <x:c r="C1382" s="30" t="str">
        <x:v>PWM / AM</x:v>
      </x:c>
      <x:c r="D1382" s="31" t="str">
        <x:v>你对未来自己的预期是怎么样的？</x:v>
      </x:c>
      <x:c r="E1382" s="31" t="str">
        <x:v>你对未来自己的预期是怎么样的</x:v>
      </x:c>
      <x:c r="F1382" s="31" t="str">
        <x:v>Other Question</x:v>
      </x:c>
      <x:c r="G1382" s="30" t="str">
        <x:v>CL1228</x:v>
      </x:c>
      <x:c r="H1382" s="32" t="n">
        <x:f>COUNTIF($G$5:$G$1725,G1382)</x:f>
        <x:v>1</x:v>
      </x:c>
      <x:c r="I1382" s="30" t="str">
        <x:v>A30</x:v>
      </x:c>
      <x:c r="J1382" s="31" t="str">
        <x:v>Follow up: How do you persuade your teammates then? Is there any major conflicts? | 转为普通话 | 你关注市场吗？昨天恒指跌了多少？S&amp;P 500收盘多少？</x:v>
      </x:c>
    </x:row>
    <x:row r="1383" ht="32" customHeight="1">
      <x:c r="A1383" s="30" t="str">
        <x:v>QB2280</x:v>
      </x:c>
      <x:c r="B1383" s="30" t="str">
        <x:v>JPM PB</x:v>
      </x:c>
      <x:c r="C1383" s="30" t="str">
        <x:v>PWM / AM</x:v>
      </x:c>
      <x:c r="D1383" s="31" t="str">
        <x:v>一些当场反馈：回答问题应该要把结论说在前面，因为client时间很宝贵，不太有时间听故事；不知道的不需要装作知道，市场问题不必回答出来，但是不能给client错误信息</x:v>
      </x:c>
      <x:c r="E1383" s="31" t="str">
        <x:v>一些当场反馈：回答问题应该要把结论说在前面，因为client时间很宝贵，不太有时间听故事；不知道的不需要装作知道，市场问题不必回答出来，但是不能给client错误信息</x:v>
      </x:c>
      <x:c r="F1383" s="31" t="str">
        <x:v>Other Question</x:v>
      </x:c>
      <x:c r="G1383" s="30" t="str">
        <x:v>CL1215</x:v>
      </x:c>
      <x:c r="H1383" s="32" t="n">
        <x:f>COUNTIF($G$5:$G$1725,G1383)</x:f>
        <x:v>1</x:v>
      </x:c>
      <x:c r="I1383" s="30" t="str">
        <x:v>A33</x:v>
      </x:c>
      <x:c r="J1383" s="31" t="str">
        <x:v>你对未来自己的预期是怎么样的？ | 忘了 | 反问</x:v>
      </x:c>
    </x:row>
    <x:row r="1384" ht="32" customHeight="1">
      <x:c r="A1384" s="30" t="str">
        <x:v>QB2287</x:v>
      </x:c>
      <x:c r="B1384" s="30" t="str">
        <x:v>JPM AM</x:v>
      </x:c>
      <x:c r="C1384" s="30" t="str">
        <x:v>PWM / AM</x:v>
      </x:c>
      <x:c r="D1384" s="31" t="str">
        <x:v>why AM?</x:v>
      </x:c>
      <x:c r="E1384" s="31" t="str">
        <x:v>Why asset management?</x:v>
      </x:c>
      <x:c r="F1384" s="31" t="str">
        <x:v>Fit &amp; Motivation</x:v>
      </x:c>
      <x:c r="G1384" s="30" t="str">
        <x:v>CL0029</x:v>
      </x:c>
      <x:c r="H1384" s="32" t="n">
        <x:f>COUNTIF($G$5:$G$1725,G1384)</x:f>
        <x:v>3</x:v>
      </x:c>
      <x:c r="I1384" s="30" t="str">
        <x:v>A4</x:v>
      </x:c>
      <x:c r="J1384" s="31" t="str">
        <x:v>HK First Round (Ribo with Thomas - Ntw &amp; Michelle) | More like networking:</x:v>
      </x:c>
    </x:row>
    <x:row r="1385" ht="32" customHeight="1">
      <x:c r="A1385" s="30" t="str">
        <x:v>QB2289</x:v>
      </x:c>
      <x:c r="B1385" s="30" t="str">
        <x:v>JPM AM</x:v>
      </x:c>
      <x:c r="C1385" s="30" t="str">
        <x:v>PWM / AM</x:v>
      </x:c>
      <x:c r="D1385" s="31" t="str">
        <x:v>plan for studies?</x:v>
      </x:c>
      <x:c r="E1385" s="31" t="str">
        <x:v>Plan for studies</x:v>
      </x:c>
      <x:c r="F1385" s="31" t="str">
        <x:v>Other Question</x:v>
      </x:c>
      <x:c r="G1385" s="30" t="str">
        <x:v>CL0639</x:v>
      </x:c>
      <x:c r="H1385" s="32" t="n">
        <x:f>COUNTIF($G$5:$G$1725,G1385)</x:f>
        <x:v>1</x:v>
      </x:c>
      <x:c r="I1385" s="30" t="str">
        <x:v>A5</x:v>
      </x:c>
      <x:c r="J1385" s="31" t="str">
        <x:v>HK First Round (Ribo with Thomas - Ntw &amp; Michelle) | More like networking: | why AM?</x:v>
      </x:c>
    </x:row>
    <x:row r="1386" ht="32" customHeight="1">
      <x:c r="A1386" s="30" t="str">
        <x:v>QB2290</x:v>
      </x:c>
      <x:c r="B1386" s="30" t="str">
        <x:v>JPM AM</x:v>
      </x:c>
      <x:c r="C1386" s="30" t="str">
        <x:v>PWM / AM</x:v>
      </x:c>
      <x:c r="D1386" s="31" t="str">
        <x:v>w/ a British White Guy from the Tele Implementation?</x:v>
      </x:c>
      <x:c r="E1386" s="31" t="str">
        <x:v>W/ a British White Guy from the Tele Implementation</x:v>
      </x:c>
      <x:c r="F1386" s="31" t="str">
        <x:v>Other Question</x:v>
      </x:c>
      <x:c r="G1386" s="30" t="str">
        <x:v>CL0816</x:v>
      </x:c>
      <x:c r="H1386" s="32" t="n">
        <x:f>COUNTIF($G$5:$G$1725,G1386)</x:f>
        <x:v>1</x:v>
      </x:c>
      <x:c r="I1386" s="30" t="str">
        <x:v>G5</x:v>
      </x:c>
      <x:c r="J1386" s="31" t="str">
        <x:v>2025 SA | John | Pre-SPD in-person meeting</x:v>
      </x:c>
    </x:row>
    <x:row r="1387" ht="32" customHeight="1">
      <x:c r="A1387" s="30" t="str">
        <x:v>QB2291</x:v>
      </x:c>
      <x:c r="B1387" s="30" t="str">
        <x:v>JPM AM</x:v>
      </x:c>
      <x:c r="C1387" s="30" t="str">
        <x:v>PWM / AM</x:v>
      </x:c>
      <x:c r="D1387" s="31" t="str">
        <x:v>How do u see the AM landscape? Digitalization?</x:v>
      </x:c>
      <x:c r="E1387" s="31" t="str">
        <x:v>How do u see the AM landscape? Digitalization</x:v>
      </x:c>
      <x:c r="F1387" s="31" t="str">
        <x:v>Wealth &amp; Asset Management</x:v>
      </x:c>
      <x:c r="G1387" s="30" t="str">
        <x:v>CL0396</x:v>
      </x:c>
      <x:c r="H1387" s="32" t="n">
        <x:f>COUNTIF($G$5:$G$1725,G1387)</x:f>
        <x:v>1</x:v>
      </x:c>
      <x:c r="I1387" s="30" t="str">
        <x:v>A6</x:v>
      </x:c>
      <x:c r="J1387" s="31" t="str">
        <x:v>More like networking: | why AM? | plan for studies?</x:v>
      </x:c>
    </x:row>
    <x:row r="1388" ht="48" customHeight="1">
      <x:c r="A1388" s="30" t="str">
        <x:v>QB2293</x:v>
      </x:c>
      <x:c r="B1388" s="30" t="str">
        <x:v>JPM AM</x:v>
      </x:c>
      <x:c r="C1388" s="30" t="str">
        <x:v>PWM / AM</x:v>
      </x:c>
      <x:c r="D1388" s="31" t="str">
        <x:v>Lots of CV-based questions but more on the project/leadership/voluntary related experiences but not internship ones.</x:v>
      </x:c>
      <x:c r="E1388" s="31" t="str">
        <x:v>Lots of CV-based questions but more on the project/leadership/voluntary related experiences but not internship ones</x:v>
      </x:c>
      <x:c r="F1388" s="31" t="str">
        <x:v>Resume &amp; Experience</x:v>
      </x:c>
      <x:c r="G1388" s="30" t="str">
        <x:v>CL0593</x:v>
      </x:c>
      <x:c r="H1388" s="32" t="n">
        <x:f>COUNTIF($G$5:$G$1725,G1388)</x:f>
        <x:v>1</x:v>
      </x:c>
      <x:c r="I1388" s="30" t="str">
        <x:v>G7</x:v>
      </x:c>
      <x:c r="J1388" s="31" t="str">
        <x:v>Pre-SPD in-person meeting | w/ a British White Guy from the Tele Implementation? | Just to know you a bit more.</x:v>
      </x:c>
    </x:row>
    <x:row r="1389" ht="68" customHeight="1">
      <x:c r="A1389" s="30" t="str">
        <x:v>QB2295</x:v>
      </x:c>
      <x:c r="B1389" s="30" t="str">
        <x:v>JPM AM</x:v>
      </x:c>
      <x:c r="C1389" s="30" t="str">
        <x:v>PWM / AM</x:v>
      </x:c>
      <x:c r="D1389" s="31" t="str">
        <x:v>Share a little bit more about the JPM AWMC you've done. How did you become the captain?</x:v>
      </x:c>
      <x:c r="E1389" s="31" t="str">
        <x:v>Share a little bit more about the JPM AWMC you've done. How did you become the captain</x:v>
      </x:c>
      <x:c r="F1389" s="31" t="str">
        <x:v>Other Question</x:v>
      </x:c>
      <x:c r="G1389" s="30" t="str">
        <x:v>CL0673</x:v>
      </x:c>
      <x:c r="H1389" s="32" t="n">
        <x:f>COUNTIF($G$5:$G$1725,G1389)</x:f>
        <x:v>1</x:v>
      </x:c>
      <x:c r="I1389" s="30" t="str">
        <x:v>G8</x:v>
      </x:c>
      <x:c r="J1389" s="31" t="str">
        <x:v>w/ a British White Guy from the Tele Implementation? | Just to know you a bit more. | Lots of CV-based questions but more on the project/leadership/voluntary related experiences but not internship ones.</x:v>
      </x:c>
    </x:row>
    <x:row r="1390" ht="68" customHeight="1">
      <x:c r="A1390" s="30" t="str">
        <x:v>QB2297</x:v>
      </x:c>
      <x:c r="B1390" s="30" t="str">
        <x:v>JPM AM</x:v>
      </x:c>
      <x:c r="C1390" s="30" t="str">
        <x:v>PWM / AM</x:v>
      </x:c>
      <x:c r="D1390" s="31" t="str">
        <x:v>What kinds of preparations you've made for the SPD?</x:v>
      </x:c>
      <x:c r="E1390" s="31" t="str">
        <x:v>What kinds of preparations you've made for the SPD</x:v>
      </x:c>
      <x:c r="F1390" s="31" t="str">
        <x:v>Company, Industry &amp; Deals</x:v>
      </x:c>
      <x:c r="G1390" s="30" t="str">
        <x:v>CL1010</x:v>
      </x:c>
      <x:c r="H1390" s="32" t="n">
        <x:f>COUNTIF($G$5:$G$1725,G1390)</x:f>
        <x:v>1</x:v>
      </x:c>
      <x:c r="I1390" s="30" t="str">
        <x:v>G9</x:v>
      </x:c>
      <x:c r="J1390" s="31" t="str">
        <x:v>Just to know you a bit more. | Lots of CV-based questions but more on the project/leadership/voluntary related experiences but not internship ones. | Share a little bit more about the JPM AWMC you've done. How did you become the captain?</x:v>
      </x:c>
    </x:row>
    <x:row r="1391" ht="68" customHeight="1">
      <x:c r="A1391" s="30" t="str">
        <x:v>QB2299</x:v>
      </x:c>
      <x:c r="B1391" s="30" t="str">
        <x:v>JPM AM</x:v>
      </x:c>
      <x:c r="C1391" s="30" t="str">
        <x:v>PWM / AM</x:v>
      </x:c>
      <x:c r="D1391" s="31" t="str">
        <x:v>What roles are you interested within the JPMAM?</x:v>
      </x:c>
      <x:c r="E1391" s="31" t="str">
        <x:v>What roles are you interested within the JPMAM</x:v>
      </x:c>
      <x:c r="F1391" s="31" t="str">
        <x:v>Other Question</x:v>
      </x:c>
      <x:c r="G1391" s="30" t="str">
        <x:v>CL0049</x:v>
      </x:c>
      <x:c r="H1391" s="32" t="n">
        <x:f>COUNTIF($G$5:$G$1725,G1391)</x:f>
        <x:v>2</x:v>
      </x:c>
      <x:c r="I1391" s="30" t="str">
        <x:v>G10</x:v>
      </x:c>
      <x:c r="J1391" s="31" t="str">
        <x:v>Lots of CV-based questions but more on the project/leadership/voluntary related experiences but not internship ones. | Share a little bit more about the JPM AWMC you've done. How did you become the captain? | What kinds of preparations y...</x:v>
      </x:c>
    </x:row>
    <x:row r="1392" ht="32" customHeight="1">
      <x:c r="A1392" s="30" t="str">
        <x:v>QB2303</x:v>
      </x:c>
      <x:c r="B1392" s="30" t="str">
        <x:v>JPM AM</x:v>
      </x:c>
      <x:c r="C1392" s="30" t="str">
        <x:v>PWM / AM</x:v>
      </x:c>
      <x:c r="D1392" s="31" t="str">
        <x:v>If the manager asked you to pitch a wrong idea to client, how would you do?</x:v>
      </x:c>
      <x:c r="E1392" s="31" t="str">
        <x:v>If the manager asked you to pitch a wrong idea to client, how would you do</x:v>
      </x:c>
      <x:c r="F1392" s="31" t="str">
        <x:v>Other Question</x:v>
      </x:c>
      <x:c r="G1392" s="30" t="str">
        <x:v>CL0520</x:v>
      </x:c>
      <x:c r="H1392" s="32" t="n">
        <x:f>COUNTIF($G$5:$G$1725,G1392)</x:f>
        <x:v>1</x:v>
      </x:c>
      <x:c r="I1392" s="30" t="str">
        <x:v>A13</x:v>
      </x:c>
      <x:c r="J1392" s="31" t="str">
        <x:v>Fed Fund Rate | Yield Curve Shape &amp; DV01 | Normal Behaviorals Except for 1:</x:v>
      </x:c>
    </x:row>
    <x:row r="1393" ht="48" customHeight="1">
      <x:c r="A1393" s="30" t="str">
        <x:v>QB2304</x:v>
      </x:c>
      <x:c r="B1393" s="30" t="str">
        <x:v>JPM AM</x:v>
      </x:c>
      <x:c r="C1393" s="30" t="str">
        <x:v>PWM / AM</x:v>
      </x:c>
      <x:c r="D1393" s="31" t="str">
        <x:v>w/ Natalie, from Product Strategy?</x:v>
      </x:c>
      <x:c r="E1393" s="31" t="str">
        <x:v>W/ Natalie, from Product Strategy</x:v>
      </x:c>
      <x:c r="F1393" s="31" t="str">
        <x:v>Other Question</x:v>
      </x:c>
      <x:c r="G1393" s="30" t="str">
        <x:v>CL0818</x:v>
      </x:c>
      <x:c r="H1393" s="32" t="n">
        <x:f>COUNTIF($G$5:$G$1725,G1393)</x:f>
        <x:v>1</x:v>
      </x:c>
      <x:c r="I1393" s="30" t="str">
        <x:v>G13</x:v>
      </x:c>
      <x:c r="J1393" s="31" t="str">
        <x:v>What kinds of preparations you've made for the SPD? | What roles are you interested within the JPMAM? | 反问</x:v>
      </x:c>
    </x:row>
    <x:row r="1394" ht="32" customHeight="1">
      <x:c r="A1394" s="30" t="str">
        <x:v>QB2305</x:v>
      </x:c>
      <x:c r="B1394" s="30" t="str">
        <x:v>JPM AM</x:v>
      </x:c>
      <x:c r="C1394" s="30" t="str">
        <x:v>PWM / AM</x:v>
      </x:c>
      <x:c r="D1394" s="31" t="str">
        <x:v>Quick self intro</x:v>
      </x:c>
      <x:c r="E1394" s="31" t="str">
        <x:v>Tell me about yourself / walk me through your resume</x:v>
      </x:c>
      <x:c r="F1394" s="31" t="str">
        <x:v>Resume &amp; Experience</x:v>
      </x:c>
      <x:c r="G1394" s="30" t="str">
        <x:v>CL0001</x:v>
      </x:c>
      <x:c r="H1394" s="32" t="n">
        <x:f>COUNTIF($G$5:$G$1725,G1394)</x:f>
        <x:v>170</x:v>
      </x:c>
      <x:c r="I1394" s="30" t="str">
        <x:v>G14</x:v>
      </x:c>
      <x:c r="J1394" s="31" t="str">
        <x:v>What roles are you interested within the JPMAM? | 反问 | w/ Natalie, from Product Strategy?</x:v>
      </x:c>
    </x:row>
    <x:row r="1395" ht="32" customHeight="1">
      <x:c r="A1395" s="30" t="str">
        <x:v>QB2307</x:v>
      </x:c>
      <x:c r="B1395" s="30" t="str">
        <x:v>JPM AM</x:v>
      </x:c>
      <x:c r="C1395" s="30" t="str">
        <x:v>PWM / AM</x:v>
      </x:c>
      <x:c r="D1395" s="31" t="str">
        <x:v>Where did you attend your high school? And how did you learn your English?</x:v>
      </x:c>
      <x:c r="E1395" s="31" t="str">
        <x:v>Where did you attend your high school? And how did you learn your English</x:v>
      </x:c>
      <x:c r="F1395" s="31" t="str">
        <x:v>Resume &amp; Experience</x:v>
      </x:c>
      <x:c r="G1395" s="30" t="str">
        <x:v>CL1084</x:v>
      </x:c>
      <x:c r="H1395" s="32" t="n">
        <x:f>COUNTIF($G$5:$G$1725,G1395)</x:f>
        <x:v>1</x:v>
      </x:c>
      <x:c r="I1395" s="30" t="str">
        <x:v>G15</x:v>
      </x:c>
      <x:c r="J1395" s="31" t="str">
        <x:v>反问 | w/ Natalie, from Product Strategy? | Quick self intro</x:v>
      </x:c>
    </x:row>
    <x:row r="1396" ht="48" customHeight="1">
      <x:c r="A1396" s="30" t="str">
        <x:v>QB2308</x:v>
      </x:c>
      <x:c r="B1396" s="30" t="str">
        <x:v>JPM AM</x:v>
      </x:c>
      <x:c r="C1396" s="30" t="str">
        <x:v>PWM / AM</x:v>
      </x:c>
      <x:c r="D1396" s="31" t="str">
        <x:v>5 Pages of JPM Funds details : with stats like CAGR, market trends...</x:v>
      </x:c>
      <x:c r="E1396" s="31" t="str">
        <x:v>5 Pages of JPM Funds details : with stats like CAGR, market trends</x:v>
      </x:c>
      <x:c r="F1396" s="31" t="str">
        <x:v>Other Question</x:v>
      </x:c>
      <x:c r="G1396" s="30" t="str">
        <x:v>CL0081</x:v>
      </x:c>
      <x:c r="H1396" s="32" t="n">
        <x:f>COUNTIF($G$5:$G$1725,G1396)</x:f>
        <x:v>1</x:v>
      </x:c>
      <x:c r="I1396" s="30" t="str">
        <x:v>A16</x:v>
      </x:c>
      <x:c r="J1396" s="31" t="str">
        <x:v>Normal Behaviorals Except for 1: | If the manager asked you to pitch a wrong idea to client, how would you do? | Case Study:</x:v>
      </x:c>
    </x:row>
    <x:row r="1397" ht="48" customHeight="1">
      <x:c r="A1397" s="30" t="str">
        <x:v>QB2309</x:v>
      </x:c>
      <x:c r="B1397" s="30" t="str">
        <x:v>JPM AM</x:v>
      </x:c>
      <x:c r="C1397" s="30" t="str">
        <x:v>PWM / AM</x:v>
      </x:c>
      <x:c r="D1397" s="31" t="str">
        <x:v>What motivates you to be here today? (Why JPM?)</x:v>
      </x:c>
      <x:c r="E1397" s="31" t="str">
        <x:v>What motivates you to be here today? (Why JPM?)</x:v>
      </x:c>
      <x:c r="F1397" s="31" t="str">
        <x:v>Fit &amp; Motivation</x:v>
      </x:c>
      <x:c r="G1397" s="30" t="str">
        <x:v>CL1013</x:v>
      </x:c>
      <x:c r="H1397" s="32" t="n">
        <x:f>COUNTIF($G$5:$G$1725,G1397)</x:f>
        <x:v>1</x:v>
      </x:c>
      <x:c r="I1397" s="30" t="str">
        <x:v>G16</x:v>
      </x:c>
      <x:c r="J1397" s="31" t="str">
        <x:v>w/ Natalie, from Product Strategy? | Quick self intro | Where did you attend your high school? And how did you learn your English?</x:v>
      </x:c>
    </x:row>
    <x:row r="1398" ht="48" customHeight="1">
      <x:c r="A1398" s="30" t="str">
        <x:v>QB2311</x:v>
      </x:c>
      <x:c r="B1398" s="30" t="str">
        <x:v>JPM AM</x:v>
      </x:c>
      <x:c r="C1398" s="30" t="str">
        <x:v>PWM / AM</x:v>
      </x:c>
      <x:c r="D1398" s="31" t="str">
        <x:v>What roles are you interested within the JPMAM?</x:v>
      </x:c>
      <x:c r="E1398" s="31" t="str">
        <x:v>What roles are you interested within the JPMAM</x:v>
      </x:c>
      <x:c r="F1398" s="31" t="str">
        <x:v>Other Question</x:v>
      </x:c>
      <x:c r="G1398" s="30" t="str">
        <x:v>CL0049</x:v>
      </x:c>
      <x:c r="H1398" s="32" t="n">
        <x:f>COUNTIF($G$5:$G$1725,G1398)</x:f>
        <x:v>2</x:v>
      </x:c>
      <x:c r="I1398" s="30" t="str">
        <x:v>G17</x:v>
      </x:c>
      <x:c r="J1398" s="31" t="str">
        <x:v>Quick self intro | Where did you attend your high school? And how did you learn your English? | What motivates you to be here today? (Why JPM?)</x:v>
      </x:c>
    </x:row>
    <x:row r="1399" ht="68" customHeight="1">
      <x:c r="A1399" s="30" t="str">
        <x:v>QB2312</x:v>
      </x:c>
      <x:c r="B1399" s="30" t="str">
        <x:v>JPM AM</x:v>
      </x:c>
      <x:c r="C1399" s="30" t="str">
        <x:v>PWM / AM</x:v>
      </x:c>
      <x:c r="D1399" s="31" t="str">
        <x:v>Share a piece of feedback that you've received before.</x:v>
      </x:c>
      <x:c r="E1399" s="31" t="str">
        <x:v>Share a piece of feedback that you've received before</x:v>
      </x:c>
      <x:c r="F1399" s="31" t="str">
        <x:v>Behavioral &amp; Situational</x:v>
      </x:c>
      <x:c r="G1399" s="30" t="str">
        <x:v>CL0674</x:v>
      </x:c>
      <x:c r="H1399" s="32" t="n">
        <x:f>COUNTIF($G$5:$G$1725,G1399)</x:f>
        <x:v>1</x:v>
      </x:c>
      <x:c r="I1399" s="30" t="str">
        <x:v>G18</x:v>
      </x:c>
      <x:c r="J1399" s="31" t="str">
        <x:v>Where did you attend your high school? And how did you learn your English? | What motivates you to be here today? (Why JPM?) | What roles are you interested within the JPMAM?</x:v>
      </x:c>
    </x:row>
    <x:row r="1400" ht="48" customHeight="1">
      <x:c r="A1400" s="30" t="str">
        <x:v>QB2314</x:v>
      </x:c>
      <x:c r="B1400" s="30" t="str">
        <x:v>JPM AM</x:v>
      </x:c>
      <x:c r="C1400" s="30" t="str">
        <x:v>PWM / AM</x:v>
      </x:c>
      <x:c r="D1400" s="31" t="str">
        <x:v>I've seen lots of experiences within Chinese banks. What are the points that you like and dislike about them?</x:v>
      </x:c>
      <x:c r="E1400" s="31" t="str">
        <x:v>I've seen lots of experiences within Chinese banks. What are the points that you like and dislike about them</x:v>
      </x:c>
      <x:c r="F1400" s="31" t="str">
        <x:v>Resume &amp; Experience</x:v>
      </x:c>
      <x:c r="G1400" s="30" t="str">
        <x:v>CL0510</x:v>
      </x:c>
      <x:c r="H1400" s="32" t="n">
        <x:f>COUNTIF($G$5:$G$1725,G1400)</x:f>
        <x:v>1</x:v>
      </x:c>
      <x:c r="I1400" s="30" t="str">
        <x:v>G19</x:v>
      </x:c>
      <x:c r="J1400" s="31" t="str">
        <x:v>What motivates you to be here today? (Why JPM?) | What roles are you interested within the JPMAM? | Share a piece of feedback that you've received before.</x:v>
      </x:c>
    </x:row>
    <x:row r="1401" ht="48" customHeight="1">
      <x:c r="A1401" s="30" t="str">
        <x:v>QB2319</x:v>
      </x:c>
      <x:c r="B1401" s="30" t="str">
        <x:v>JPM AM</x:v>
      </x:c>
      <x:c r="C1401" s="30" t="str">
        <x:v>PWM / AM</x:v>
      </x:c>
      <x:c r="D1401" s="31" t="str">
        <x:v>是否了解摩根基金的历史？</x:v>
      </x:c>
      <x:c r="E1401" s="31" t="str">
        <x:v>是否了解摩根基金的历史</x:v>
      </x:c>
      <x:c r="F1401" s="31" t="str">
        <x:v>Other Question</x:v>
      </x:c>
      <x:c r="G1401" s="30" t="str">
        <x:v>CL1247</x:v>
      </x:c>
      <x:c r="H1401" s="32" t="n">
        <x:f>COUNTIF($G$5:$G$1725,G1401)</x:f>
        <x:v>1</x:v>
      </x:c>
      <x:c r="I1401" s="30" t="str">
        <x:v>A23</x:v>
      </x:c>
      <x:c r="J1401" s="31" t="str">
        <x:v>CN Off-cycle First Rounds (Ribo with Hill Wang) | He seems having a question list (Normal Behaviorals) | (with Elena) - in Mandarin</x:v>
      </x:c>
    </x:row>
    <x:row r="1402" ht="48" customHeight="1">
      <x:c r="A1402" s="30" t="str">
        <x:v>QB2321</x:v>
      </x:c>
      <x:c r="B1402" s="30" t="str">
        <x:v>JPM AM</x:v>
      </x:c>
      <x:c r="C1402" s="30" t="str">
        <x:v>PWM / AM</x:v>
      </x:c>
      <x:c r="D1402" s="31" t="str">
        <x:v>为什么AM而不是PB？为什么Institutional？</x:v>
      </x:c>
      <x:c r="E1402" s="31" t="str">
        <x:v>为什么AM而不是PB？为什么Institutional</x:v>
      </x:c>
      <x:c r="F1402" s="31" t="str">
        <x:v>Other Question</x:v>
      </x:c>
      <x:c r="G1402" s="30" t="str">
        <x:v>CL1218</x:v>
      </x:c>
      <x:c r="H1402" s="32" t="n">
        <x:f>COUNTIF($G$5:$G$1725,G1402)</x:f>
        <x:v>1</x:v>
      </x:c>
      <x:c r="I1402" s="30" t="str">
        <x:v>A24</x:v>
      </x:c>
      <x:c r="J1402" s="31" t="str">
        <x:v>He seems having a question list (Normal Behaviorals) | (with Elena) - in Mandarin | 是否了解摩根基金的历史？</x:v>
      </x:c>
    </x:row>
    <x:row r="1403" ht="32" customHeight="1">
      <x:c r="A1403" s="30" t="str">
        <x:v>QB2323</x:v>
      </x:c>
      <x:c r="B1403" s="30" t="str">
        <x:v>JPM AM</x:v>
      </x:c>
      <x:c r="C1403" s="30" t="str">
        <x:v>PWM / AM</x:v>
      </x:c>
      <x:c r="D1403" s="31" t="str">
        <x:v>Self intro</x:v>
      </x:c>
      <x:c r="E1403" s="31" t="str">
        <x:v>Tell me about yourself / walk me through your resume</x:v>
      </x:c>
      <x:c r="F1403" s="31" t="str">
        <x:v>Resume &amp; Experience</x:v>
      </x:c>
      <x:c r="G1403" s="30" t="str">
        <x:v>CL0001</x:v>
      </x:c>
      <x:c r="H1403" s="32" t="n">
        <x:f>COUNTIF($G$5:$G$1725,G1403)</x:f>
        <x:v>170</x:v>
      </x:c>
      <x:c r="I1403" s="30" t="str">
        <x:v>G25</x:v>
      </x:c>
      <x:c r="J1403" s="31" t="str">
        <x:v>反问 | SPD one-on-one | w/ Jacky Cheung in Product Strategy Team</x:v>
      </x:c>
    </x:row>
    <x:row r="1404" ht="48" customHeight="1">
      <x:c r="A1404" s="30" t="str">
        <x:v>QB2325</x:v>
      </x:c>
      <x:c r="B1404" s="30" t="str">
        <x:v>JPM AM</x:v>
      </x:c>
      <x:c r="C1404" s="30" t="str">
        <x:v>PWM / AM</x:v>
      </x:c>
      <x:c r="D1404" s="31" t="str">
        <x:v>Pitch me one sector or asset class and what's your expectation for it in the future and 5 years horizon</x:v>
      </x:c>
      <x:c r="E1404" s="31" t="str">
        <x:v>Pitch me one sector or asset class and what's your expectation for it in the future and 5 years horizon</x:v>
      </x:c>
      <x:c r="F1404" s="31" t="str">
        <x:v>Company, Industry &amp; Deals</x:v>
      </x:c>
      <x:c r="G1404" s="30" t="str">
        <x:v>CL0637</x:v>
      </x:c>
      <x:c r="H1404" s="32" t="n">
        <x:f>COUNTIF($G$5:$G$1725,G1404)</x:f>
        <x:v>1</x:v>
      </x:c>
      <x:c r="I1404" s="30" t="str">
        <x:v>G26</x:v>
      </x:c>
      <x:c r="J1404" s="31" t="str">
        <x:v>SPD one-on-one | w/ Jacky Cheung in Product Strategy Team | Self intro</x:v>
      </x:c>
    </x:row>
    <x:row r="1405" ht="48" customHeight="1">
      <x:c r="A1405" s="30" t="str">
        <x:v>QB2327</x:v>
      </x:c>
      <x:c r="B1405" s="30" t="str">
        <x:v>JPM AM</x:v>
      </x:c>
      <x:c r="C1405" s="30" t="str">
        <x:v>PWM / AM</x:v>
      </x:c>
      <x:c r="D1405" s="31" t="str">
        <x:v>Describe a time when you are working in a team and have conflicts with others. How do you handle that?</x:v>
      </x:c>
      <x:c r="E1405" s="31" t="str">
        <x:v>Describe a time when you are working in a team and have conflicts with others. How do you handle that</x:v>
      </x:c>
      <x:c r="F1405" s="31" t="str">
        <x:v>Behavioral &amp; Situational</x:v>
      </x:c>
      <x:c r="G1405" s="30" t="str">
        <x:v>CL0231</x:v>
      </x:c>
      <x:c r="H1405" s="32" t="n">
        <x:f>COUNTIF($G$5:$G$1725,G1405)</x:f>
        <x:v>1</x:v>
      </x:c>
      <x:c r="I1405" s="30" t="str">
        <x:v>G27</x:v>
      </x:c>
      <x:c r="J1405" s="31" t="str">
        <x:v>w/ Jacky Cheung in Product Strategy Team | Self intro | Pitch me one sector or asset class and what's your expectation for it in the future and 5 years horizon</x:v>
      </x:c>
    </x:row>
    <x:row r="1406" ht="68" customHeight="1">
      <x:c r="A1406" s="30" t="str">
        <x:v>QB2328</x:v>
      </x:c>
      <x:c r="B1406" s="30" t="str">
        <x:v>JPM AM</x:v>
      </x:c>
      <x:c r="C1406" s="30" t="str">
        <x:v>PWM / AM</x:v>
      </x:c>
      <x:c r="D1406" s="31" t="str">
        <x:v>Do you have any preference between client roles and investment roles?</x:v>
      </x:c>
      <x:c r="E1406" s="31" t="str">
        <x:v>Do you have any preference between client roles and investment roles</x:v>
      </x:c>
      <x:c r="F1406" s="31" t="str">
        <x:v>Other Question</x:v>
      </x:c>
      <x:c r="G1406" s="30" t="str">
        <x:v>CL0271</x:v>
      </x:c>
      <x:c r="H1406" s="32" t="n">
        <x:f>COUNTIF($G$5:$G$1725,G1406)</x:f>
        <x:v>1</x:v>
      </x:c>
      <x:c r="I1406" s="30" t="str">
        <x:v>G28</x:v>
      </x:c>
      <x:c r="J1406" s="31" t="str">
        <x:v>Self intro | Pitch me one sector or asset class and what's your expectation for it in the future and 5 years horizon | Describe a time when you are working in a team and have conflicts with others. How do you handle that?</x:v>
      </x:c>
    </x:row>
    <x:row r="1407" ht="68" customHeight="1">
      <x:c r="A1407" s="30" t="str">
        <x:v>QB2330</x:v>
      </x:c>
      <x:c r="B1407" s="30" t="str">
        <x:v>JPM AM</x:v>
      </x:c>
      <x:c r="C1407" s="30" t="str">
        <x:v>PWM / AM</x:v>
      </x:c>
      <x:c r="D1407" s="31" t="str">
        <x:v>Do you prefer to work in teams or work independently? And give me an example of having the contrast experiences.</x:v>
      </x:c>
      <x:c r="E1407" s="31" t="str">
        <x:v>Do you prefer to work in teams or work independently? And give me an example of having the contrast experiences</x:v>
      </x:c>
      <x:c r="F1407" s="31" t="str">
        <x:v>Resume &amp; Experience</x:v>
      </x:c>
      <x:c r="G1407" s="30" t="str">
        <x:v>CL0287</x:v>
      </x:c>
      <x:c r="H1407" s="32" t="n">
        <x:f>COUNTIF($G$5:$G$1725,G1407)</x:f>
        <x:v>1</x:v>
      </x:c>
      <x:c r="I1407" s="30" t="str">
        <x:v>G30</x:v>
      </x:c>
      <x:c r="J1407" s="31" t="str">
        <x:v>Describe a time when you are working in a team and have conflicts with others. How do you handle that? | Do you have any preference between client roles and investment roles? | Integrity is very important. Give me an example of doing the...</x:v>
      </x:c>
    </x:row>
    <x:row r="1408" ht="68" customHeight="1">
      <x:c r="A1408" s="30" t="str">
        <x:v>QB2332</x:v>
      </x:c>
      <x:c r="B1408" s="30" t="str">
        <x:v>JPM AM</x:v>
      </x:c>
      <x:c r="C1408" s="30" t="str">
        <x:v>PWM / AM</x:v>
      </x:c>
      <x:c r="D1408" s="31" t="str">
        <x:v>w/ Clara Tan, Client Advisor in Global Strategic Clients Team</x:v>
      </x:c>
      <x:c r="E1408" s="31" t="str">
        <x:v>W/ Clara Tan, Client Advisor in Global Strategic Clients Team</x:v>
      </x:c>
      <x:c r="F1408" s="31" t="str">
        <x:v>Other Question</x:v>
      </x:c>
      <x:c r="G1408" s="30" t="str">
        <x:v>CL0817</x:v>
      </x:c>
      <x:c r="H1408" s="32" t="n">
        <x:f>COUNTIF($G$5:$G$1725,G1408)</x:f>
        <x:v>1</x:v>
      </x:c>
      <x:c r="I1408" s="30" t="str">
        <x:v>G33</x:v>
      </x:c>
      <x:c r="J1408" s="31" t="str">
        <x:v>Integrity is very important. Give me an example of doing the right thing. | Do you prefer to work in teams or work independently? And give me an example of having the contrast experiences. | 反问</x:v>
      </x:c>
    </x:row>
    <x:row r="1409" ht="68" customHeight="1">
      <x:c r="A1409" s="30" t="str">
        <x:v>QB2333</x:v>
      </x:c>
      <x:c r="B1409" s="30" t="str">
        <x:v>JPM AM</x:v>
      </x:c>
      <x:c r="C1409" s="30" t="str">
        <x:v>PWM / AM</x:v>
      </x:c>
      <x:c r="D1409" s="31" t="str">
        <x:v>If you're walking into the meeting room for the clients but you suddenly realized a big mistake about the numbers, what will you do?</x:v>
      </x:c>
      <x:c r="E1409" s="31" t="str">
        <x:v>If you're walking into the meeting room for the clients but you suddenly realized a big mistake about the numbers, what will you do</x:v>
      </x:c>
      <x:c r="F1409" s="31" t="str">
        <x:v>Behavioral &amp; Situational</x:v>
      </x:c>
      <x:c r="G1409" s="30" t="str">
        <x:v>CL0533</x:v>
      </x:c>
      <x:c r="H1409" s="32" t="n">
        <x:f>COUNTIF($G$5:$G$1725,G1409)</x:f>
        <x:v>1</x:v>
      </x:c>
      <x:c r="I1409" s="30" t="str">
        <x:v>G34</x:v>
      </x:c>
      <x:c r="J1409" s="31" t="str">
        <x:v>Do you prefer to work in teams or work independently? And give me an example of having the contrast experiences. | 反问 | w/ Clara Tan, Client Advisor in Global Strategic Clients Team</x:v>
      </x:c>
    </x:row>
    <x:row r="1410" ht="68" customHeight="1">
      <x:c r="A1410" s="30" t="str">
        <x:v>QB2334</x:v>
      </x:c>
      <x:c r="B1410" s="30" t="str">
        <x:v>JPM AM</x:v>
      </x:c>
      <x:c r="C1410" s="30" t="str">
        <x:v>PWM / AM</x:v>
      </x:c>
      <x:c r="D1410" s="31" t="str">
        <x:v>Give me an example that you find you could have done better afterwards.</x:v>
      </x:c>
      <x:c r="E1410" s="31" t="str">
        <x:v>Give me an example that you find you could have done better afterwards</x:v>
      </x:c>
      <x:c r="F1410" s="31" t="str">
        <x:v>Other Question</x:v>
      </x:c>
      <x:c r="G1410" s="30" t="str">
        <x:v>CL0347</x:v>
      </x:c>
      <x:c r="H1410" s="32" t="n">
        <x:f>COUNTIF($G$5:$G$1725,G1410)</x:f>
        <x:v>1</x:v>
      </x:c>
      <x:c r="I1410" s="30" t="str">
        <x:v>G35</x:v>
      </x:c>
      <x:c r="J1410" s="31" t="str">
        <x:v>反问 | w/ Clara Tan, Client Advisor in Global Strategic Clients Team | If you're walking into the meeting room for the clients but you suddenly realized a big mistake about the numbers, what will you do?</x:v>
      </x:c>
    </x:row>
    <x:row r="1411" ht="92" customHeight="1">
      <x:c r="A1411" s="30" t="str">
        <x:v>QB2335</x:v>
      </x:c>
      <x:c r="B1411" s="30" t="str">
        <x:v>JPM AM</x:v>
      </x:c>
      <x:c r="C1411" s="30" t="str">
        <x:v>PWM / AM</x:v>
      </x:c>
      <x:c r="D1411" s="31" t="str">
        <x:v>What's your understanding about "do the right thing" and please give an example</x:v>
      </x:c>
      <x:c r="E1411" s="31" t="str">
        <x:v>What's your understanding about "do the right thing" and please give an example</x:v>
      </x:c>
      <x:c r="F1411" s="31" t="str">
        <x:v>Other Question</x:v>
      </x:c>
      <x:c r="G1411" s="30" t="str">
        <x:v>CL1068</x:v>
      </x:c>
      <x:c r="H1411" s="32" t="n">
        <x:f>COUNTIF($G$5:$G$1725,G1411)</x:f>
        <x:v>1</x:v>
      </x:c>
      <x:c r="I1411" s="30" t="str">
        <x:v>G36</x:v>
      </x:c>
      <x:c r="J1411" s="31" t="str">
        <x:v>w/ Clara Tan, Client Advisor in Global Strategic Clients Team | If you're walking into the meeting room for the clients but you suddenly realized a big mistake about the numbers, what will you do? | Give me an example that you find you c...</x:v>
      </x:c>
    </x:row>
    <x:row r="1412" ht="92" customHeight="1">
      <x:c r="A1412" s="30" t="str">
        <x:v>QB2336</x:v>
      </x:c>
      <x:c r="B1412" s="30" t="str">
        <x:v>JPM AM</x:v>
      </x:c>
      <x:c r="C1412" s="30" t="str">
        <x:v>PWM / AM</x:v>
      </x:c>
      <x:c r="D1412" s="31" t="str">
        <x:v>Math question: 类似If a frog jumps half the distance to a pond with each leap, how many jumps would it need to reach the water?</x:v>
      </x:c>
      <x:c r="E1412" s="31" t="str">
        <x:v>Math question: 类似If a frog jumps half the distance to a pond with each leap, how many jumps would it need to reach the water</x:v>
      </x:c>
      <x:c r="F1412" s="31" t="str">
        <x:v>Other Technical</x:v>
      </x:c>
      <x:c r="G1412" s="30" t="str">
        <x:v>CL0605</x:v>
      </x:c>
      <x:c r="H1412" s="32" t="n">
        <x:f>COUNTIF($G$5:$G$1725,G1412)</x:f>
        <x:v>1</x:v>
      </x:c>
      <x:c r="I1412" s="30" t="str">
        <x:v>G37</x:v>
      </x:c>
      <x:c r="J1412" s="31" t="str">
        <x:v>If you're walking into the meeting room for the clients but you suddenly realized a big mistake about the numbers, what will you do? | Give me an example that you find you could have done better afterwards. | What's your understanding ab...</x:v>
      </x:c>
    </x:row>
    <x:row r="1413" ht="92" customHeight="1">
      <x:c r="A1413" s="30" t="str">
        <x:v>QB2337</x:v>
      </x:c>
      <x:c r="B1413" s="30" t="str">
        <x:v>JPM AM</x:v>
      </x:c>
      <x:c r="C1413" s="30" t="str">
        <x:v>PWM / AM</x:v>
      </x:c>
      <x:c r="D1413" s="31" t="str">
        <x:v>Tell me about a time when your teammates did not contribute/cooperate a lot, how did you handle that?</x:v>
      </x:c>
      <x:c r="E1413" s="31" t="str">
        <x:v>Tell me about a time when your teammates did not contribute/cooperate a lot, how did you handle that</x:v>
      </x:c>
      <x:c r="F1413" s="31" t="str">
        <x:v>Other Question</x:v>
      </x:c>
      <x:c r="G1413" s="30" t="str">
        <x:v>CL0731</x:v>
      </x:c>
      <x:c r="H1413" s="32" t="n">
        <x:f>COUNTIF($G$5:$G$1725,G1413)</x:f>
        <x:v>1</x:v>
      </x:c>
      <x:c r="I1413" s="30" t="str">
        <x:v>G38</x:v>
      </x:c>
      <x:c r="J1413" s="31" t="str">
        <x:v>Give me an example that you find you could have done better afterwards. | What's your understanding about "do the right thing" and please give an example | Math question: 类似If a frog jumps half the distance to a pond with each leap, how ...</x:v>
      </x:c>
    </x:row>
    <x:row r="1414" ht="92" customHeight="1">
      <x:c r="A1414" s="30" t="str">
        <x:v>QB2339</x:v>
      </x:c>
      <x:c r="B1414" s="30" t="str">
        <x:v>JPM AM</x:v>
      </x:c>
      <x:c r="C1414" s="30" t="str">
        <x:v>PWM / AM</x:v>
      </x:c>
      <x:c r="D1414" s="31" t="str">
        <x:v>Use 2 minutes to quickly comment on the current market movements and what are you investment recommendations?</x:v>
      </x:c>
      <x:c r="E1414" s="31" t="str">
        <x:v>Use 2 minutes to quickly comment on the current market movements and what are you investment recommendations</x:v>
      </x:c>
      <x:c r="F1414" s="31" t="str">
        <x:v>Other Question</x:v>
      </x:c>
      <x:c r="G1414" s="30" t="str">
        <x:v>CL0809</x:v>
      </x:c>
      <x:c r="H1414" s="32" t="n">
        <x:f>COUNTIF($G$5:$G$1725,G1414)</x:f>
        <x:v>1</x:v>
      </x:c>
      <x:c r="I1414" s="30" t="str">
        <x:v>G40</x:v>
      </x:c>
      <x:c r="J1414" s="31" t="str">
        <x:v>Math question: 类似If a frog jumps half the distance to a pond with each leap, how many jumps would it need to reach the water? | Tell me about a time when your teammates did not contribute/cooperate a lot, how did you handle that? | Follo...</x:v>
      </x:c>
    </x:row>
    <x:row r="1415" ht="92" customHeight="1">
      <x:c r="A1415" s="30" t="str">
        <x:v>QB2340</x:v>
      </x:c>
      <x:c r="B1415" s="30" t="str">
        <x:v>JPM AM</x:v>
      </x:c>
      <x:c r="C1415" s="30" t="str">
        <x:v>PWM / AM</x:v>
      </x:c>
      <x:c r="D1415" s="31" t="str">
        <x:v>Why do you specifically want to join in AM given that you've got lots of other internship experiences before?</x:v>
      </x:c>
      <x:c r="E1415" s="31" t="str">
        <x:v>Why do you specifically want to join in AM given that you've got lots of other internship experiences before</x:v>
      </x:c>
      <x:c r="F1415" s="31" t="str">
        <x:v>Fit &amp; Motivation</x:v>
      </x:c>
      <x:c r="G1415" s="30" t="str">
        <x:v>CL1128</x:v>
      </x:c>
      <x:c r="H1415" s="32" t="n">
        <x:f>COUNTIF($G$5:$G$1725,G1415)</x:f>
        <x:v>1</x:v>
      </x:c>
      <x:c r="I1415" s="30" t="str">
        <x:v>G41</x:v>
      </x:c>
      <x:c r="J1415" s="31" t="str">
        <x:v>Tell me about a time when your teammates did not contribute/cooperate a lot, how did you handle that? | Follow up: What's the most difficult part when you're persuading her? | Use 2 minutes to quickly comment on the current market moveme...</x:v>
      </x:c>
    </x:row>
    <x:row r="1416" ht="92" customHeight="1">
      <x:c r="A1416" s="30" t="str">
        <x:v>QB2341</x:v>
      </x:c>
      <x:c r="B1416" s="30" t="str">
        <x:v>JPM AM</x:v>
      </x:c>
      <x:c r="C1416" s="30" t="str">
        <x:v>PWM / AM</x:v>
      </x:c>
      <x:c r="D1416" s="31" t="str">
        <x:v>What do you think is one of the trends in AM industry currently? (I said digital transformation)</x:v>
      </x:c>
      <x:c r="E1416" s="31" t="str">
        <x:v>What do you think is one of the trends in AM industry currently? (I said digital transformation)</x:v>
      </x:c>
      <x:c r="F1416" s="31" t="str">
        <x:v>Accounting &amp; Financial Statements</x:v>
      </x:c>
      <x:c r="G1416" s="30" t="str">
        <x:v>CL0930</x:v>
      </x:c>
      <x:c r="H1416" s="32" t="n">
        <x:f>COUNTIF($G$5:$G$1725,G1416)</x:f>
        <x:v>1</x:v>
      </x:c>
      <x:c r="I1416" s="30" t="str">
        <x:v>G42</x:v>
      </x:c>
      <x:c r="J1416" s="31" t="str">
        <x:v>Follow up: What's the most difficult part when you're persuading her? | Use 2 minutes to quickly comment on the current market movements and what are you investment recommendations? | Why do you specifically want to join in AM given that...</x:v>
      </x:c>
    </x:row>
    <x:row r="1417" ht="32" customHeight="1">
      <x:c r="A1417" s="30" t="str">
        <x:v>QB2345</x:v>
      </x:c>
      <x:c r="B1417" s="30" t="str">
        <x:v>Citi PB</x:v>
      </x:c>
      <x:c r="C1417" s="30" t="str">
        <x:v>PWM / AM</x:v>
      </x:c>
      <x:c r="D1417" s="31" t="str">
        <x:v>1st part: Business sense (asset allocation)</x:v>
      </x:c>
      <x:c r="E1417" s="31" t="str">
        <x:v>1st part: Business sense (asset allocation)</x:v>
      </x:c>
      <x:c r="F1417" s="31" t="str">
        <x:v>Fit &amp; Motivation</x:v>
      </x:c>
      <x:c r="G1417" s="30" t="str">
        <x:v>CL0069</x:v>
      </x:c>
      <x:c r="H1417" s="32" t="n">
        <x:f>COUNTIF($G$5:$G$1725,G1417)</x:f>
        <x:v>1</x:v>
      </x:c>
      <x:c r="I1417" s="30" t="str">
        <x:v>A2</x:v>
      </x:c>
      <x:c r="J1417" s="31" t="str">
        <x:v>First round a case study with 2 parts</x:v>
      </x:c>
    </x:row>
    <x:row r="1418" ht="32" customHeight="1">
      <x:c r="A1418" s="30" t="str">
        <x:v>QB2346</x:v>
      </x:c>
      <x:c r="B1418" s="30" t="str">
        <x:v>Citi PB</x:v>
      </x:c>
      <x:c r="C1418" s="30" t="str">
        <x:v>PWM / AM</x:v>
      </x:c>
      <x:c r="D1418" s="31" t="str">
        <x:v>2nd part: Market (give a news, asking the impact on PB Clients)</x:v>
      </x:c>
      <x:c r="E1418" s="31" t="str">
        <x:v>2nd part: Market (give a news, asking the impact on PB Clients)</x:v>
      </x:c>
      <x:c r="F1418" s="31" t="str">
        <x:v>Wealth &amp; Asset Management</x:v>
      </x:c>
      <x:c r="G1418" s="30" t="str">
        <x:v>CL0072</x:v>
      </x:c>
      <x:c r="H1418" s="32" t="n">
        <x:f>COUNTIF($G$5:$G$1725,G1418)</x:f>
        <x:v>1</x:v>
      </x:c>
      <x:c r="I1418" s="30" t="str">
        <x:v>A3</x:v>
      </x:c>
      <x:c r="J1418" s="31" t="str">
        <x:v>First round a case study with 2 parts | 1st part: Business sense (asset allocation)</x:v>
      </x:c>
    </x:row>
    <x:row r="1419" ht="68" customHeight="1">
      <x:c r="A1419" s="30" t="str">
        <x:v>QB2348</x:v>
      </x:c>
      <x:c r="B1419" s="30" t="str">
        <x:v>Citi PB</x:v>
      </x:c>
      <x:c r="C1419" s="30" t="str">
        <x:v>PWM / AM</x:v>
      </x:c>
      <x:c r="D1419" s="31" t="str">
        <x:v>How do you see the conglomerates sector?</x:v>
      </x:c>
      <x:c r="E1419" s="31" t="str">
        <x:v>How do you see the conglomerates sector</x:v>
      </x:c>
      <x:c r="F1419" s="31" t="str">
        <x:v>Company, Industry &amp; Deals</x:v>
      </x:c>
      <x:c r="G1419" s="30" t="str">
        <x:v>CL0421</x:v>
      </x:c>
      <x:c r="H1419" s="32" t="n">
        <x:f>COUNTIF($G$5:$G$1725,G1419)</x:f>
        <x:v>1</x:v>
      </x:c>
      <x:c r="I1419" s="30" t="str">
        <x:v>A6</x:v>
      </x:c>
      <x:c r="J1419" s="31" t="str">
        <x:v>1st part: Business sense (asset allocation) | 2nd part: Market (give a news, asking the impact on PB Clients) | Superday Ribo with one harsh and one nice Director</x:v>
      </x:c>
    </x:row>
    <x:row r="1420" ht="48" customHeight="1">
      <x:c r="A1420" s="30" t="str">
        <x:v>QB2349</x:v>
      </x:c>
      <x:c r="B1420" s="30" t="str">
        <x:v>Citi PB</x:v>
      </x:c>
      <x:c r="C1420" s="30" t="str">
        <x:v>PWM / AM</x:v>
      </x:c>
      <x:c r="D1420" s="31" t="str">
        <x:v>which sectors are undervalued right now?</x:v>
      </x:c>
      <x:c r="E1420" s="31" t="str">
        <x:v>Which sectors are undervalued right now</x:v>
      </x:c>
      <x:c r="F1420" s="31" t="str">
        <x:v>Company, Industry &amp; Deals</x:v>
      </x:c>
      <x:c r="G1420" s="30" t="str">
        <x:v>CL1102</x:v>
      </x:c>
      <x:c r="H1420" s="32" t="n">
        <x:f>COUNTIF($G$5:$G$1725,G1420)</x:f>
        <x:v>1</x:v>
      </x:c>
      <x:c r="I1420" s="30" t="str">
        <x:v>A7</x:v>
      </x:c>
      <x:c r="J1420" s="31" t="str">
        <x:v>2nd part: Market (give a news, asking the impact on PB Clients) | Superday Ribo with one harsh and one nice Director | How do you see the conglomerates sector?</x:v>
      </x:c>
    </x:row>
    <x:row r="1421" ht="48" customHeight="1">
      <x:c r="A1421" s="30" t="str">
        <x:v>QB2351</x:v>
      </x:c>
      <x:c r="B1421" s="30" t="str">
        <x:v>Citi PB</x:v>
      </x:c>
      <x:c r="C1421" s="30" t="str">
        <x:v>PWM / AM</x:v>
      </x:c>
      <x:c r="D1421" s="31" t="str">
        <x:v>What's the usual purporse of Leverage in a portfolio?</x:v>
      </x:c>
      <x:c r="E1421" s="31" t="str">
        <x:v>What's the usual purporse of Leverage in a portfolio</x:v>
      </x:c>
      <x:c r="F1421" s="31" t="str">
        <x:v>Wealth &amp; Asset Management</x:v>
      </x:c>
      <x:c r="G1421" s="30" t="str">
        <x:v>CL1060</x:v>
      </x:c>
      <x:c r="H1421" s="32" t="n">
        <x:f>COUNTIF($G$5:$G$1725,G1421)</x:f>
        <x:v>1</x:v>
      </x:c>
      <x:c r="I1421" s="30" t="str">
        <x:v>A9</x:v>
      </x:c>
      <x:c r="J1421" s="31" t="str">
        <x:v>How do you see the conglomerates sector? | which sectors are undervalued right now? | Understanding towards Credit Lending</x:v>
      </x:c>
    </x:row>
    <x:row r="1422" ht="32" customHeight="1">
      <x:c r="A1422" s="30" t="str">
        <x:v>QB2354</x:v>
      </x:c>
      <x:c r="B1422" s="30" t="str">
        <x:v>HSBC PB</x:v>
      </x:c>
      <x:c r="C1422" s="30" t="str">
        <x:v>PWM / AM</x:v>
      </x:c>
      <x:c r="D1422" s="31" t="str">
        <x:v>自我介绍</x:v>
      </x:c>
      <x:c r="E1422" s="31" t="str">
        <x:v>Tell me about yourself / walk me through your resume</x:v>
      </x:c>
      <x:c r="F1422" s="31" t="str">
        <x:v>Other Question</x:v>
      </x:c>
      <x:c r="G1422" s="30" t="str">
        <x:v>CL0001</x:v>
      </x:c>
      <x:c r="H1422" s="32" t="n">
        <x:f>COUNTIF($G$5:$G$1725,G1422)</x:f>
        <x:v>170</x:v>
      </x:c>
      <x:c r="I1422" s="30" t="str">
        <x:v>A3</x:v>
      </x:c>
      <x:c r="J1422" s="31" t="str">
        <x:v>HSBC SH RM intern | Jim</x:v>
      </x:c>
    </x:row>
    <x:row r="1423" ht="32" customHeight="1">
      <x:c r="A1423" s="30" t="str">
        <x:v>QB2357</x:v>
      </x:c>
      <x:c r="B1423" s="30" t="str">
        <x:v>HSBC PB</x:v>
      </x:c>
      <x:c r="C1423" s="30" t="str">
        <x:v>PWM / AM</x:v>
      </x:c>
      <x:c r="D1423" s="31" t="str">
        <x:v>why RM</x:v>
      </x:c>
      <x:c r="E1423" s="31" t="str">
        <x:v>Why RM</x:v>
      </x:c>
      <x:c r="F1423" s="31" t="str">
        <x:v>Fit &amp; Motivation</x:v>
      </x:c>
      <x:c r="G1423" s="30" t="str">
        <x:v>CL1163</x:v>
      </x:c>
      <x:c r="H1423" s="32" t="n">
        <x:f>COUNTIF($G$5:$G$1725,G1423)</x:f>
        <x:v>1</x:v>
      </x:c>
      <x:c r="I1423" s="30" t="str">
        <x:v>A6</x:v>
      </x:c>
      <x:c r="J1423" s="31" t="str">
        <x:v>自我介绍 | 专业发展，课程内容（I am from AMPB so this interviewer may be curious） | 市场新闻，如何影响PB客户</x:v>
      </x:c>
    </x:row>
    <x:row r="1424" ht="32" customHeight="1">
      <x:c r="A1424" s="30" t="str">
        <x:v>QB2363</x:v>
      </x:c>
      <x:c r="B1424" s="30" t="str">
        <x:v>HSBC PB</x:v>
      </x:c>
      <x:c r="C1424" s="30" t="str">
        <x:v>PWM / AM</x:v>
      </x:c>
      <x:c r="D1424" s="31" t="str">
        <x:v>如何进入过去的某个实习公司（我的是Bain）</x:v>
      </x:c>
      <x:c r="E1424" s="31" t="str">
        <x:v>如何进入过去的某个实习公司（我的是Bain）</x:v>
      </x:c>
      <x:c r="F1424" s="31" t="str">
        <x:v>Other Question</x:v>
      </x:c>
      <x:c r="G1424" s="30" t="str">
        <x:v>CL1238</x:v>
      </x:c>
      <x:c r="H1424" s="32" t="n">
        <x:f>COUNTIF($G$5:$G$1725,G1424)</x:f>
        <x:v>1</x:v>
      </x:c>
      <x:c r="I1424" s="30" t="str">
        <x:v>A12</x:v>
      </x:c>
      <x:c r="J1424" s="31" t="str">
        <x:v>推销一本书 | AI如何改变行业 | 未来职业发展</x:v>
      </x:c>
    </x:row>
    <x:row r="1425" ht="48" customHeight="1">
      <x:c r="A1425" s="30" t="str">
        <x:v>QB2365</x:v>
      </x:c>
      <x:c r="B1425" s="30" t="str">
        <x:v>HSBC PB</x:v>
      </x:c>
      <x:c r="C1425" s="30" t="str">
        <x:v>PWM / AM</x:v>
      </x:c>
      <x:c r="D1425" s="31" t="str">
        <x:v>It's also recommended to prepare for PB client demand trends, situational questions, and some investment assessment technical knowledge.</x:v>
      </x:c>
      <x:c r="E1425" s="31" t="str">
        <x:v>It's also recommended to prepare for PB client demand trends, situational questions, and some investment assessment technical knowledge</x:v>
      </x:c>
      <x:c r="F1425" s="31" t="str">
        <x:v>Wealth &amp; Asset Management</x:v>
      </x:c>
      <x:c r="G1425" s="30" t="str">
        <x:v>CL0565</x:v>
      </x:c>
      <x:c r="H1425" s="32" t="n">
        <x:f>COUNTIF($G$5:$G$1725,G1425)</x:f>
        <x:v>1</x:v>
      </x:c>
      <x:c r="I1425" s="30" t="str">
        <x:v>A14</x:v>
      </x:c>
      <x:c r="J1425" s="31" t="str">
        <x:v>未来职业发展 | 如何进入过去的某个实习公司（我的是Bain） | 在Bain做了啥</x:v>
      </x:c>
    </x:row>
    <x:row r="1426" ht="68" customHeight="1">
      <x:c r="A1426" s="30" t="str">
        <x:v>QB2366</x:v>
      </x:c>
      <x:c r="B1426" s="30" t="str">
        <x:v>HSBC PB</x:v>
      </x:c>
      <x:c r="C1426" s="30" t="str">
        <x:v>PWM / AM</x:v>
      </x:c>
      <x:c r="D1426" s="31" t="str">
        <x:v>Sometimes PB interviews seem simple, but you need to incorporate client-facing experience into your answers to make them more relevant.</x:v>
      </x:c>
      <x:c r="E1426" s="31" t="str">
        <x:v>Sometimes PB interviews seem simple, but you need to incorporate client-facing experience into your answers to make them more relevant</x:v>
      </x:c>
      <x:c r="F1426" s="31" t="str">
        <x:v>Resume &amp; Experience</x:v>
      </x:c>
      <x:c r="G1426" s="30" t="str">
        <x:v>CL0689</x:v>
      </x:c>
      <x:c r="H1426" s="32" t="n">
        <x:f>COUNTIF($G$5:$G$1725,G1426)</x:f>
        <x:v>1</x:v>
      </x:c>
      <x:c r="I1426" s="30" t="str">
        <x:v>A15</x:v>
      </x:c>
      <x:c r="J1426" s="31" t="str">
        <x:v>如何进入过去的某个实习公司（我的是Bain） | 在Bain做了啥 | It's also recommended to prepare for PB client demand trends, situational questions, and some investment assessment technical knowledge.</x:v>
      </x:c>
    </x:row>
    <x:row r="1427" ht="32" customHeight="1">
      <x:c r="A1427" s="30" t="str">
        <x:v>QB2374</x:v>
      </x:c>
      <x:c r="B1427" s="30" t="str">
        <x:v>BlackRock</x:v>
      </x:c>
      <x:c r="C1427" s="30" t="str">
        <x:v>PWM / AM</x:v>
      </x:c>
      <x:c r="D1427" s="31" t="str">
        <x:v>Self Introduction</x:v>
      </x:c>
      <x:c r="E1427" s="31" t="str">
        <x:v>Tell me about yourself / walk me through your resume</x:v>
      </x:c>
      <x:c r="F1427" s="31" t="str">
        <x:v>Resume &amp; Experience</x:v>
      </x:c>
      <x:c r="G1427" s="30" t="str">
        <x:v>CL0001</x:v>
      </x:c>
      <x:c r="H1427" s="32" t="n">
        <x:f>COUNTIF($G$5:$G$1725,G1427)</x:f>
        <x:v>170</x:v>
      </x:c>
      <x:c r="I1427" s="30" t="str">
        <x:v>A6</x:v>
      </x:c>
      <x:c r="J1427" s="31" t="str">
        <x:v>First Interviewer | Beata | Peng Chau (PB)</x:v>
      </x:c>
    </x:row>
    <x:row r="1428" ht="32" customHeight="1">
      <x:c r="A1428" s="30" t="str">
        <x:v>QB2375</x:v>
      </x:c>
      <x:c r="B1428" s="30" t="str">
        <x:v>BlackRock</x:v>
      </x:c>
      <x:c r="C1428" s="30" t="str">
        <x:v>PWM / AM</x:v>
      </x:c>
      <x:c r="D1428" s="31" t="str">
        <x:v>Self introduction</x:v>
      </x:c>
      <x:c r="E1428" s="31" t="str">
        <x:v>Tell me about yourself / walk me through your resume</x:v>
      </x:c>
      <x:c r="F1428" s="31" t="str">
        <x:v>Resume &amp; Experience</x:v>
      </x:c>
      <x:c r="G1428" s="30" t="str">
        <x:v>CL0001</x:v>
      </x:c>
      <x:c r="H1428" s="32" t="n">
        <x:f>COUNTIF($G$5:$G$1725,G1428)</x:f>
        <x:v>170</x:v>
      </x:c>
      <x:c r="I1428" s="30" t="str">
        <x:v>C6</x:v>
      </x:c>
      <x:c r="J1428" s="31" t="str">
        <x:v>Second Interviewer | Kristy Chan (Institutional)</x:v>
      </x:c>
    </x:row>
    <x:row r="1429" ht="48" customHeight="1">
      <x:c r="A1429" s="30" t="str">
        <x:v>QB2376</x:v>
      </x:c>
      <x:c r="B1429" s="30" t="str">
        <x:v>BlackRock</x:v>
      </x:c>
      <x:c r="C1429" s="30" t="str">
        <x:v>PWM / AM</x:v>
      </x:c>
      <x:c r="D1429" s="31" t="str">
        <x:v>You're majoring in AMPB, what things that you learnt from your program do you think can be brought to your internship here?</x:v>
      </x:c>
      <x:c r="E1429" s="31" t="str">
        <x:v>You're majoring in AMPB, what things that you learnt from your program do you think can be brought to your internship here</x:v>
      </x:c>
      <x:c r="F1429" s="31" t="str">
        <x:v>Resume &amp; Experience</x:v>
      </x:c>
      <x:c r="G1429" s="30" t="str">
        <x:v>CL1211</x:v>
      </x:c>
      <x:c r="H1429" s="32" t="n">
        <x:f>COUNTIF($G$5:$G$1725,G1429)</x:f>
        <x:v>1</x:v>
      </x:c>
      <x:c r="I1429" s="30" t="str">
        <x:v>A7</x:v>
      </x:c>
      <x:c r="J1429" s="31" t="str">
        <x:v>Beata | Peng Chau (PB) | Self Introduction</x:v>
      </x:c>
    </x:row>
    <x:row r="1430" ht="48" customHeight="1">
      <x:c r="A1430" s="30" t="str">
        <x:v>QB2378</x:v>
      </x:c>
      <x:c r="B1430" s="30" t="str">
        <x:v>BlackRock</x:v>
      </x:c>
      <x:c r="C1430" s="30" t="str">
        <x:v>PWM / AM</x:v>
      </x:c>
      <x:c r="D1430" s="31" t="str">
        <x:v>Continuing the last question, do you know how to use Bloomberg?</x:v>
      </x:c>
      <x:c r="E1430" s="31" t="str">
        <x:v>Continuing the last question, do you know how to use Bloomberg</x:v>
      </x:c>
      <x:c r="F1430" s="31" t="str">
        <x:v>Other Question</x:v>
      </x:c>
      <x:c r="G1430" s="30" t="str">
        <x:v>CL0206</x:v>
      </x:c>
      <x:c r="H1430" s="32" t="n">
        <x:f>COUNTIF($G$5:$G$1725,G1430)</x:f>
        <x:v>1</x:v>
      </x:c>
      <x:c r="I1430" s="30" t="str">
        <x:v>A8</x:v>
      </x:c>
      <x:c r="J1430" s="31" t="str">
        <x:v>Peng Chau (PB) | Self Introduction | You're majoring in AMPB, what things that you learnt from your program do you think can be brought to your internship here?</x:v>
      </x:c>
    </x:row>
    <x:row r="1431" ht="68" customHeight="1">
      <x:c r="A1431" s="30" t="str">
        <x:v>QB2380</x:v>
      </x:c>
      <x:c r="B1431" s="30" t="str">
        <x:v>BlackRock</x:v>
      </x:c>
      <x:c r="C1431" s="30" t="str">
        <x:v>PWM / AM</x:v>
      </x:c>
      <x:c r="D1431" s="31" t="str">
        <x:v>workplace scenario: you're currently working on one task, your manager asks you to help another, what will you do?</x:v>
      </x:c>
      <x:c r="E1431" s="31" t="str">
        <x:v>Workplace scenario: you're currently working on one task, your manager asks you to help another, what will you do</x:v>
      </x:c>
      <x:c r="F1431" s="31" t="str">
        <x:v>Other Question</x:v>
      </x:c>
      <x:c r="G1431" s="30" t="str">
        <x:v>CL1191</x:v>
      </x:c>
      <x:c r="H1431" s="32" t="n">
        <x:f>COUNTIF($G$5:$G$1725,G1431)</x:f>
        <x:v>1</x:v>
      </x:c>
      <x:c r="I1431" s="30" t="str">
        <x:v>A9</x:v>
      </x:c>
      <x:c r="J1431" s="31" t="str">
        <x:v>Self Introduction | You're majoring in AMPB, what things that you learnt from your program do you think can be brought to your internship here? | Continuing the last question, do you know how to use Bloomberg?</x:v>
      </x:c>
    </x:row>
    <x:row r="1432" ht="68" customHeight="1">
      <x:c r="A1432" s="30" t="str">
        <x:v>QB2381</x:v>
      </x:c>
      <x:c r="B1432" s="30" t="str">
        <x:v>BlackRock</x:v>
      </x:c>
      <x:c r="C1432" s="30" t="str">
        <x:v>PWM / AM</x:v>
      </x:c>
      <x:c r="D1432" s="31" t="str">
        <x:v>suppose there's a client with his asset allcation 60% equities and 40% fixed income, now under the environment of bad economy and the trends of ai and stuff (dont remember lol), he lost a lot of money, what would you suggest him to do now</x:v>
      </x:c>
      <x:c r="E1432" s="31" t="str">
        <x:v>Suppose there's a client with his asset allcation 60% equities and 40% fixed income, now under the environment of bad economy and the trends of ai and stuff (dont remember lol), he lost a lot of money, what would you suggest him to do now</x:v>
      </x:c>
      <x:c r="F1432" s="31" t="str">
        <x:v>Other Question</x:v>
      </x:c>
      <x:c r="G1432" s="30" t="str">
        <x:v>CL0694</x:v>
      </x:c>
      <x:c r="H1432" s="32" t="n">
        <x:f>COUNTIF($G$5:$G$1725,G1432)</x:f>
        <x:v>1</x:v>
      </x:c>
      <x:c r="I1432" s="30" t="str">
        <x:v>C9</x:v>
      </x:c>
      <x:c r="J1432" s="31" t="str">
        <x:v>Self introduction | active fund vs passive fund (mandarin) | 你認為未來經濟會下行嗎、interest rates viewpoints (cantonese)</x:v>
      </x:c>
    </x:row>
    <x:row r="1433" ht="92" customHeight="1">
      <x:c r="A1433" s="30" t="str">
        <x:v>QB2382</x:v>
      </x:c>
      <x:c r="B1433" s="30" t="str">
        <x:v>BlackRock</x:v>
      </x:c>
      <x:c r="C1433" s="30" t="str">
        <x:v>PWM / AM</x:v>
      </x:c>
      <x:c r="D1433" s="31" t="str">
        <x:v>CV question - tell me more about your work at ING Bank on the pitchbook (cantonese)</x:v>
      </x:c>
      <x:c r="E1433" s="31" t="str">
        <x:v>CV question - tell me more about your work at ING Bank on the pitchbook (cantonese)</x:v>
      </x:c>
      <x:c r="F1433" s="31" t="str">
        <x:v>Fit &amp; Motivation</x:v>
      </x:c>
      <x:c r="G1433" s="30" t="str">
        <x:v>CL0214</x:v>
      </x:c>
      <x:c r="H1433" s="32" t="n">
        <x:f>COUNTIF($G$5:$G$1725,G1433)</x:f>
        <x:v>1</x:v>
      </x:c>
      <x:c r="I1433" s="30" t="str">
        <x:v>A10</x:v>
      </x:c>
      <x:c r="J1433" s="31" t="str">
        <x:v>You're majoring in AMPB, what things that you learnt from your program do you think can be brought to your internship here? | Continuing the last question, do you know how to use Bloomberg? | workplace scenario: you're currently working ...</x:v>
      </x:c>
    </x:row>
    <x:row r="1434" ht="92" customHeight="1">
      <x:c r="A1434" s="30" t="str">
        <x:v>QB2383</x:v>
      </x:c>
      <x:c r="B1434" s="30" t="str">
        <x:v>BlackRock</x:v>
      </x:c>
      <x:c r="C1434" s="30" t="str">
        <x:v>PWM / AM</x:v>
      </x:c>
      <x:c r="D1434" s="31" t="str">
        <x:v>tell me about your weakness</x:v>
      </x:c>
      <x:c r="E1434" s="31" t="str">
        <x:v>Tell me about your weakness</x:v>
      </x:c>
      <x:c r="F1434" s="31" t="str">
        <x:v>Behavioral &amp; Situational</x:v>
      </x:c>
      <x:c r="G1434" s="30" t="str">
        <x:v>CL0757</x:v>
      </x:c>
      <x:c r="H1434" s="32" t="n">
        <x:f>COUNTIF($G$5:$G$1725,G1434)</x:f>
        <x:v>1</x:v>
      </x:c>
      <x:c r="I1434" s="30" t="str">
        <x:v>C10</x:v>
      </x:c>
      <x:c r="J1434" s="31" t="str">
        <x:v>active fund vs passive fund (mandarin) | 你認為未來經濟會下行嗎、interest rates viewpoints (cantonese) | suppose there's a client with his asset allcation 60% equities and 40% fixed income, now under the environment of bad economy and the trends of ...</x:v>
      </x:c>
    </x:row>
    <x:row r="1435" ht="92" customHeight="1">
      <x:c r="A1435" s="30" t="str">
        <x:v>QB2384</x:v>
      </x:c>
      <x:c r="B1435" s="30" t="str">
        <x:v>BlackRock</x:v>
      </x:c>
      <x:c r="C1435" s="30" t="str">
        <x:v>PWM / AM</x:v>
      </x:c>
      <x:c r="D1435" s="31" t="str">
        <x:v>CV question - tell me project you did at Bain &amp; Company (not very deep)</x:v>
      </x:c>
      <x:c r="E1435" s="31" t="str">
        <x:v>CV question - tell me project you did at Bain &amp; Company (not very deep)</x:v>
      </x:c>
      <x:c r="F1435" s="31" t="str">
        <x:v>Resume &amp; Experience</x:v>
      </x:c>
      <x:c r="G1435" s="30" t="str">
        <x:v>CL0215</x:v>
      </x:c>
      <x:c r="H1435" s="32" t="n">
        <x:f>COUNTIF($G$5:$G$1725,G1435)</x:f>
        <x:v>1</x:v>
      </x:c>
      <x:c r="I1435" s="30" t="str">
        <x:v>A11</x:v>
      </x:c>
      <x:c r="J1435" s="31" t="str">
        <x:v>Continuing the last question, do you know how to use Bloomberg? | workplace scenario: you're currently working on one task, your manager asks you to help another, what will you do? | CV question - tell me more about your work at ING Bank...</x:v>
      </x:c>
    </x:row>
    <x:row r="1436" ht="92" customHeight="1">
      <x:c r="A1436" s="30" t="str">
        <x:v>QB2386</x:v>
      </x:c>
      <x:c r="B1436" s="30" t="str">
        <x:v>BlackRock</x:v>
      </x:c>
      <x:c r="C1436" s="30" t="str">
        <x:v>PWM / AM</x:v>
      </x:c>
      <x:c r="D1436" s="31" t="str">
        <x:v>is there a time when your approach to a task was not ok, and what did you do</x:v>
      </x:c>
      <x:c r="E1436" s="31" t="str">
        <x:v>Is there a time when your approach to a task was not ok, and what did you do</x:v>
      </x:c>
      <x:c r="F1436" s="31" t="str">
        <x:v>Resume &amp; Experience</x:v>
      </x:c>
      <x:c r="G1436" s="30" t="str">
        <x:v>CL0560</x:v>
      </x:c>
      <x:c r="H1436" s="32" t="n">
        <x:f>COUNTIF($G$5:$G$1725,G1436)</x:f>
        <x:v>1</x:v>
      </x:c>
      <x:c r="I1436" s="30" t="str">
        <x:v>A12</x:v>
      </x:c>
      <x:c r="J1436" s="31" t="str">
        <x:v>workplace scenario: you're currently working on one task, your manager asks you to help another, what will you do? | CV question - tell me more about your work at ING Bank on the pitchbook (cantonese) | CV question - tell me project you ...</x:v>
      </x:c>
    </x:row>
    <x:row r="1437" ht="68" customHeight="1">
      <x:c r="A1437" s="30" t="str">
        <x:v>QB2388</x:v>
      </x:c>
      <x:c r="B1437" s="30" t="str">
        <x:v>BlackRock</x:v>
      </x:c>
      <x:c r="C1437" s="30" t="str">
        <x:v>PWM / AM</x:v>
      </x:c>
      <x:c r="D1437" s="31" t="str">
        <x:v>talk about a blackrock product</x:v>
      </x:c>
      <x:c r="E1437" s="31" t="str">
        <x:v>Talk about a blackrock product</x:v>
      </x:c>
      <x:c r="F1437" s="31" t="str">
        <x:v>Other Question</x:v>
      </x:c>
      <x:c r="G1437" s="30" t="str">
        <x:v>CL0695</x:v>
      </x:c>
      <x:c r="H1437" s="32" t="n">
        <x:f>COUNTIF($G$5:$G$1725,G1437)</x:f>
        <x:v>1</x:v>
      </x:c>
      <x:c r="I1437" s="30" t="str">
        <x:v>A13</x:v>
      </x:c>
      <x:c r="J1437" s="31" t="str">
        <x:v>CV question - tell me more about your work at ING Bank on the pitchbook (cantonese) | CV question - tell me project you did at Bain &amp; Company (not very deep) | is there a time when your approach to a task was not ok, and what did you do</x:v>
      </x:c>
    </x:row>
    <x:row r="1438" ht="48" customHeight="1">
      <x:c r="A1438" s="30" t="str">
        <x:v>QB2393</x:v>
      </x:c>
      <x:c r="B1438" s="30" t="str">
        <x:v>BlackRock</x:v>
      </x:c>
      <x:c r="C1438" s="30" t="str">
        <x:v>PWM / AM</x:v>
      </x:c>
      <x:c r="D1438" s="31" t="str">
        <x:v>also asked me about a case competition experience on my cv</x:v>
      </x:c>
      <x:c r="E1438" s="31" t="str">
        <x:v>Also asked me about a case competition experience on my cv</x:v>
      </x:c>
      <x:c r="F1438" s="31" t="str">
        <x:v>Resume &amp; Experience</x:v>
      </x:c>
      <x:c r="G1438" s="30" t="str">
        <x:v>CL0107</x:v>
      </x:c>
      <x:c r="H1438" s="32" t="n">
        <x:f>COUNTIF($G$5:$G$1725,G1438)</x:f>
        <x:v>1</x:v>
      </x:c>
      <x:c r="I1438" s="30" t="str">
        <x:v>A17</x:v>
      </x:c>
      <x:c r="J1438" s="31" t="str">
        <x:v>active fund vs passive fund | any questions for me? | (she asked a question in mandarin as well, but i dont remember what that was lmao)</x:v>
      </x:c>
    </x:row>
    <x:row r="1439" ht="48" customHeight="1">
      <x:c r="A1439" s="30" t="str">
        <x:v>QB2396</x:v>
      </x:c>
      <x:c r="B1439" s="30" t="str">
        <x:v>BlackRock</x:v>
      </x:c>
      <x:c r="C1439" s="30" t="str">
        <x:v>PWM / AM</x:v>
      </x:c>
      <x:c r="D1439" s="31" t="str">
        <x:v>3rd and 4th interviewer (two from private bank distribution)</x:v>
      </x:c>
      <x:c r="E1439" s="31" t="str">
        <x:v>3rd and 4th interviewer (two from private bank distribution)</x:v>
      </x:c>
      <x:c r="F1439" s="31" t="str">
        <x:v>Wealth &amp; Asset Management</x:v>
      </x:c>
      <x:c r="G1439" s="30" t="str">
        <x:v>CL0079</x:v>
      </x:c>
      <x:c r="H1439" s="32" t="n">
        <x:f>COUNTIF($G$5:$G$1725,G1439)</x:f>
        <x:v>1</x:v>
      </x:c>
      <x:c r="I1439" s="30" t="str">
        <x:v>C21</x:v>
      </x:c>
      <x:c r="J1439" s="31" t="str">
        <x:v>a teamwork experience | any questions for me? | also asked whether i had a preference on institutional or pb</x:v>
      </x:c>
    </x:row>
    <x:row r="1440" ht="32" customHeight="1">
      <x:c r="A1440" s="30" t="str">
        <x:v>QB2400</x:v>
      </x:c>
      <x:c r="B1440" s="30" t="str">
        <x:v>BlackRock</x:v>
      </x:c>
      <x:c r="C1440" s="30" t="str">
        <x:v>PWM / AM</x:v>
      </x:c>
      <x:c r="D1440" s="31" t="str">
        <x:v>Introduce yourself</x:v>
      </x:c>
      <x:c r="E1440" s="31" t="str">
        <x:v>Tell me about yourself / walk me through your resume</x:v>
      </x:c>
      <x:c r="F1440" s="31" t="str">
        <x:v>Resume &amp; Experience</x:v>
      </x:c>
      <x:c r="G1440" s="30" t="str">
        <x:v>CL0001</x:v>
      </x:c>
      <x:c r="H1440" s="32" t="n">
        <x:f>COUNTIF($G$5:$G$1725,G1440)</x:f>
        <x:v>170</x:v>
      </x:c>
      <x:c r="I1440" s="30" t="str">
        <x:v>A28</x:v>
      </x:c>
      <x:c r="J1440" s="31" t="str">
        <x:v>2025 SA | Fundamental Equities | Round 1 (interviewer 1)</x:v>
      </x:c>
    </x:row>
    <x:row r="1441" ht="32" customHeight="1">
      <x:c r="A1441" s="30" t="str">
        <x:v>QB2403</x:v>
      </x:c>
      <x:c r="B1441" s="30" t="str">
        <x:v>BlackRock</x:v>
      </x:c>
      <x:c r="C1441" s="30" t="str">
        <x:v>PWM / AM</x:v>
      </x:c>
      <x:c r="D1441" s="31" t="str">
        <x:v>asset allocation question</x:v>
      </x:c>
      <x:c r="E1441" s="31" t="str">
        <x:v>Asset allocation question</x:v>
      </x:c>
      <x:c r="F1441" s="31" t="str">
        <x:v>Fit &amp; Motivation</x:v>
      </x:c>
      <x:c r="G1441" s="30" t="str">
        <x:v>CL0149</x:v>
      </x:c>
      <x:c r="H1441" s="32" t="n">
        <x:f>COUNTIF($G$5:$G$1725,G1441)</x:f>
        <x:v>1</x:v>
      </x:c>
      <x:c r="I1441" s="30" t="str">
        <x:v>A31</x:v>
      </x:c>
      <x:c r="J1441" s="31" t="str">
        <x:v>Introduce yourself | talk abit about CV | if theres a war now what would u do</x:v>
      </x:c>
    </x:row>
    <x:row r="1442" ht="32" customHeight="1">
      <x:c r="A1442" s="30" t="str">
        <x:v>QB2404</x:v>
      </x:c>
      <x:c r="B1442" s="30" t="str">
        <x:v>BlackRock</x:v>
      </x:c>
      <x:c r="C1442" s="30" t="str">
        <x:v>PWM / AM</x:v>
      </x:c>
      <x:c r="D1442" s="31" t="str">
        <x:v>tell me a time about when u took a risk without knowing the outcome</x:v>
      </x:c>
      <x:c r="E1442" s="31" t="str">
        <x:v>Tell me a time about when u took a risk without knowing the outcome</x:v>
      </x:c>
      <x:c r="F1442" s="31" t="str">
        <x:v>Other Question</x:v>
      </x:c>
      <x:c r="G1442" s="30" t="str">
        <x:v>CL0708</x:v>
      </x:c>
      <x:c r="H1442" s="32" t="n">
        <x:f>COUNTIF($G$5:$G$1725,G1442)</x:f>
        <x:v>1</x:v>
      </x:c>
      <x:c r="I1442" s="30" t="str">
        <x:v>A32</x:v>
      </x:c>
      <x:c r="J1442" s="31" t="str">
        <x:v>talk abit about CV | if theres a war now what would u do | asset allocation question</x:v>
      </x:c>
    </x:row>
    <x:row r="1443" ht="48" customHeight="1">
      <x:c r="A1443" s="30" t="str">
        <x:v>QB2406</x:v>
      </x:c>
      <x:c r="B1443" s="30" t="str">
        <x:v>BlackRock</x:v>
      </x:c>
      <x:c r="C1443" s="30" t="str">
        <x:v>PWM / AM</x:v>
      </x:c>
      <x:c r="D1443" s="31" t="str">
        <x:v>introduce yourself</x:v>
      </x:c>
      <x:c r="E1443" s="31" t="str">
        <x:v>Tell me about yourself / walk me through your resume</x:v>
      </x:c>
      <x:c r="F1443" s="31" t="str">
        <x:v>Resume &amp; Experience</x:v>
      </x:c>
      <x:c r="G1443" s="30" t="str">
        <x:v>CL0001</x:v>
      </x:c>
      <x:c r="H1443" s="32" t="n">
        <x:f>COUNTIF($G$5:$G$1725,G1443)</x:f>
        <x:v>170</x:v>
      </x:c>
      <x:c r="I1443" s="30" t="str">
        <x:v>A35</x:v>
      </x:c>
      <x:c r="J1443" s="31" t="str">
        <x:v>asset allocation question | tell me a time about when u took a risk without knowing the outcome | Round 1 (Interviewer 2)</x:v>
      </x:c>
    </x:row>
    <x:row r="1444" ht="48" customHeight="1">
      <x:c r="A1444" s="30" t="str">
        <x:v>QB2407</x:v>
      </x:c>
      <x:c r="B1444" s="30" t="str">
        <x:v>BlackRock</x:v>
      </x:c>
      <x:c r="C1444" s="30" t="str">
        <x:v>PWM / AM</x:v>
      </x:c>
      <x:c r="D1444" s="31" t="str">
        <x:v>pitch me a stock</x:v>
      </x:c>
      <x:c r="E1444" s="31" t="str">
        <x:v>Pitch me a stock</x:v>
      </x:c>
      <x:c r="F1444" s="31" t="str">
        <x:v>Investment Pitch</x:v>
      </x:c>
      <x:c r="G1444" s="30" t="str">
        <x:v>CL0006</x:v>
      </x:c>
      <x:c r="H1444" s="32" t="n">
        <x:f>COUNTIF($G$5:$G$1725,G1444)</x:f>
        <x:v>19</x:v>
      </x:c>
      <x:c r="I1444" s="30" t="str">
        <x:v>A36</x:v>
      </x:c>
      <x:c r="J1444" s="31" t="str">
        <x:v>tell me a time about when u took a risk without knowing the outcome | Round 1 (Interviewer 2) | introduce yourself</x:v>
      </x:c>
    </x:row>
    <x:row r="1445" ht="32" customHeight="1">
      <x:c r="A1445" s="30" t="str">
        <x:v>QB2408</x:v>
      </x:c>
      <x:c r="B1445" s="30" t="str">
        <x:v>BlackRock</x:v>
      </x:c>
      <x:c r="C1445" s="30" t="str">
        <x:v>PWM / AM</x:v>
      </x:c>
      <x:c r="D1445" s="31" t="str">
        <x:v>pitch me another stock</x:v>
      </x:c>
      <x:c r="E1445" s="31" t="str">
        <x:v>Pitch me another stock</x:v>
      </x:c>
      <x:c r="F1445" s="31" t="str">
        <x:v>Other Question</x:v>
      </x:c>
      <x:c r="G1445" s="30" t="str">
        <x:v>CL0636</x:v>
      </x:c>
      <x:c r="H1445" s="32" t="n">
        <x:f>COUNTIF($G$5:$G$1725,G1445)</x:f>
        <x:v>1</x:v>
      </x:c>
      <x:c r="I1445" s="30" t="str">
        <x:v>A37</x:v>
      </x:c>
      <x:c r="J1445" s="31" t="str">
        <x:v>Round 1 (Interviewer 2) | introduce yourself | pitch me a stock</x:v>
      </x:c>
    </x:row>
    <x:row r="1446" ht="48" customHeight="1">
      <x:c r="A1446" s="30" t="str">
        <x:v>QB2410</x:v>
      </x:c>
      <x:c r="B1446" s="30" t="str">
        <x:v>BlackRock</x:v>
      </x:c>
      <x:c r="C1446" s="30" t="str">
        <x:v>PWM / AM</x:v>
      </x:c>
      <x:c r="D1446" s="31" t="str">
        <x:v>why is the brand's USP, revenue break</x:v>
      </x:c>
      <x:c r="E1446" s="31" t="str">
        <x:v>Why is the brand's USP, revenue break</x:v>
      </x:c>
      <x:c r="F1446" s="31" t="str">
        <x:v>Fit &amp; Motivation</x:v>
      </x:c>
      <x:c r="G1446" s="30" t="str">
        <x:v>CL1149</x:v>
      </x:c>
      <x:c r="H1446" s="32" t="n">
        <x:f>COUNTIF($G$5:$G$1725,G1446)</x:f>
        <x:v>1</x:v>
      </x:c>
      <x:c r="I1446" s="30" t="str">
        <x:v>A39</x:v>
      </x:c>
      <x:c r="J1446" s="31" t="str">
        <x:v>pitch me a stock | pitch me another stock | follow up questions on pitch: what are the biggest risk</x:v>
      </x:c>
    </x:row>
    <x:row r="1447" ht="48" customHeight="1">
      <x:c r="A1447" s="30" t="str">
        <x:v>QB2411</x:v>
      </x:c>
      <x:c r="B1447" s="30" t="str">
        <x:v>BlackRock</x:v>
      </x:c>
      <x:c r="C1447" s="30" t="str">
        <x:v>PWM / AM</x:v>
      </x:c>
      <x:c r="D1447" s="31" t="str">
        <x:v>what is your favourite book outside of finance and why</x:v>
      </x:c>
      <x:c r="E1447" s="31" t="str">
        <x:v>What is your favourite book outside of finance and why</x:v>
      </x:c>
      <x:c r="F1447" s="31" t="str">
        <x:v>Accounting &amp; Financial Statements</x:v>
      </x:c>
      <x:c r="G1447" s="30" t="str">
        <x:v>CL1003</x:v>
      </x:c>
      <x:c r="H1447" s="32" t="n">
        <x:f>COUNTIF($G$5:$G$1725,G1447)</x:f>
        <x:v>1</x:v>
      </x:c>
      <x:c r="I1447" s="30" t="str">
        <x:v>A40</x:v>
      </x:c>
      <x:c r="J1447" s="31" t="str">
        <x:v>pitch me another stock | follow up questions on pitch: what are the biggest risk | why is the brand's USP, revenue break</x:v>
      </x:c>
    </x:row>
    <x:row r="1448" ht="48" customHeight="1">
      <x:c r="A1448" s="30" t="str">
        <x:v>QB2412</x:v>
      </x:c>
      <x:c r="B1448" s="30" t="str">
        <x:v>BlackRock</x:v>
      </x:c>
      <x:c r="C1448" s="30" t="str">
        <x:v>PWM / AM</x:v>
      </x:c>
      <x:c r="D1448" s="31" t="str">
        <x:v>what are some cultures u know of outside of malaysia and hong kong (anything to share?)</x:v>
      </x:c>
      <x:c r="E1448" s="31" t="str">
        <x:v>What are some cultures u know of outside of malaysia and hong kong (anything to share?)</x:v>
      </x:c>
      <x:c r="F1448" s="31" t="str">
        <x:v>Fit &amp; Motivation</x:v>
      </x:c>
      <x:c r="G1448" s="30" t="str">
        <x:v>CL0867</x:v>
      </x:c>
      <x:c r="H1448" s="32" t="n">
        <x:f>COUNTIF($G$5:$G$1725,G1448)</x:f>
        <x:v>1</x:v>
      </x:c>
      <x:c r="I1448" s="30" t="str">
        <x:v>A41</x:v>
      </x:c>
      <x:c r="J1448" s="31" t="str">
        <x:v>follow up questions on pitch: what are the biggest risk | why is the brand's USP, revenue break | what is your favourite book outside of finance and why</x:v>
      </x:c>
    </x:row>
    <x:row r="1449" ht="68" customHeight="1">
      <x:c r="A1449" s="30" t="str">
        <x:v>QB2413</x:v>
      </x:c>
      <x:c r="B1449" s="30" t="str">
        <x:v>BlackRock</x:v>
      </x:c>
      <x:c r="C1449" s="30" t="str">
        <x:v>PWM / AM</x:v>
      </x:c>
      <x:c r="D1449" s="31" t="str">
        <x:v>do u invest? what do u invest in and why</x:v>
      </x:c>
      <x:c r="E1449" s="31" t="str">
        <x:v>Do u invest? what do u invest in and why</x:v>
      </x:c>
      <x:c r="F1449" s="31" t="str">
        <x:v>Other Question</x:v>
      </x:c>
      <x:c r="G1449" s="30" t="str">
        <x:v>CL0263</x:v>
      </x:c>
      <x:c r="H1449" s="32" t="n">
        <x:f>COUNTIF($G$5:$G$1725,G1449)</x:f>
        <x:v>1</x:v>
      </x:c>
      <x:c r="I1449" s="30" t="str">
        <x:v>A42</x:v>
      </x:c>
      <x:c r="J1449" s="31" t="str">
        <x:v>why is the brand's USP, revenue break | what is your favourite book outside of finance and why | what are some cultures u know of outside of malaysia and hong kong (anything to share?)</x:v>
      </x:c>
    </x:row>
    <x:row r="1450" ht="68" customHeight="1">
      <x:c r="A1450" s="30" t="str">
        <x:v>QB2414</x:v>
      </x:c>
      <x:c r="B1450" s="30" t="str">
        <x:v>BlackRock</x:v>
      </x:c>
      <x:c r="C1450" s="30" t="str">
        <x:v>PWM / AM</x:v>
      </x:c>
      <x:c r="D1450" s="31" t="str">
        <x:v>would u consider urself as a risk taker</x:v>
      </x:c>
      <x:c r="E1450" s="31" t="str">
        <x:v>Would u consider urself as a risk taker</x:v>
      </x:c>
      <x:c r="F1450" s="31" t="str">
        <x:v>Other Question</x:v>
      </x:c>
      <x:c r="G1450" s="30" t="str">
        <x:v>CL1193</x:v>
      </x:c>
      <x:c r="H1450" s="32" t="n">
        <x:f>COUNTIF($G$5:$G$1725,G1450)</x:f>
        <x:v>1</x:v>
      </x:c>
      <x:c r="I1450" s="30" t="str">
        <x:v>A43</x:v>
      </x:c>
      <x:c r="J1450" s="31" t="str">
        <x:v>what is your favourite book outside of finance and why | what are some cultures u know of outside of malaysia and hong kong (anything to share?) | do u invest? what do u invest in and why</x:v>
      </x:c>
    </x:row>
    <x:row r="1451" ht="32" customHeight="1">
      <x:c r="A1451" s="30" t="str">
        <x:v>QB2430</x:v>
      </x:c>
      <x:c r="B1451" s="30" t="str">
        <x:v>Mckinsey</x:v>
      </x:c>
      <x:c r="C1451" s="30" t="str">
        <x:v>Consulting</x:v>
      </x:c>
      <x:c r="D1451" s="31" t="str">
        <x:v>Tell me about yourself</x:v>
      </x:c>
      <x:c r="E1451" s="31" t="str">
        <x:v>Tell me about yourself / walk me through your resume</x:v>
      </x:c>
      <x:c r="F1451" s="31" t="str">
        <x:v>Consulting &amp; Case</x:v>
      </x:c>
      <x:c r="G1451" s="30" t="str">
        <x:v>CL0001</x:v>
      </x:c>
      <x:c r="H1451" s="32" t="n">
        <x:f>COUNTIF($G$5:$G$1725,G1451)</x:f>
        <x:v>170</x:v>
      </x:c>
      <x:c r="I1451" s="30" t="str">
        <x:v>A4</x:v>
      </x:c>
      <x:c r="J1451" s="31" t="str">
        <x:v>2024 SA | Regan | Mckinsey hr screening interview</x:v>
      </x:c>
    </x:row>
    <x:row r="1452" ht="32" customHeight="1">
      <x:c r="A1452" s="30" t="str">
        <x:v>QB2431</x:v>
      </x:c>
      <x:c r="B1452" s="30" t="str">
        <x:v>Mckinsey</x:v>
      </x:c>
      <x:c r="C1452" s="30" t="str">
        <x:v>Consulting</x:v>
      </x:c>
      <x:c r="D1452" s="31" t="str">
        <x:v>Give me an broad overview of ur cv</x:v>
      </x:c>
      <x:c r="E1452" s="31" t="str">
        <x:v>Tell me about yourself / walk me through your resume</x:v>
      </x:c>
      <x:c r="F1452" s="31" t="str">
        <x:v>Resume &amp; Experience</x:v>
      </x:c>
      <x:c r="G1452" s="30" t="str">
        <x:v>CL0001</x:v>
      </x:c>
      <x:c r="H1452" s="32" t="n">
        <x:f>COUNTIF($G$5:$G$1725,G1452)</x:f>
        <x:v>170</x:v>
      </x:c>
      <x:c r="I1452" s="30" t="str">
        <x:v>A5</x:v>
      </x:c>
      <x:c r="J1452" s="31" t="str">
        <x:v>Regan | Mckinsey hr screening interview | Tell me about yourself</x:v>
      </x:c>
    </x:row>
    <x:row r="1453" ht="48" customHeight="1">
      <x:c r="A1453" s="30" t="str">
        <x:v>QB2432</x:v>
      </x:c>
      <x:c r="B1453" s="30" t="str">
        <x:v>Mckinsey</x:v>
      </x:c>
      <x:c r="C1453" s="30" t="str">
        <x:v>Consulting</x:v>
      </x:c>
      <x:c r="D1453" s="31" t="str">
        <x:v>Why consulting not IBD</x:v>
      </x:c>
      <x:c r="E1453" s="31" t="str">
        <x:v>Why consulting?</x:v>
      </x:c>
      <x:c r="F1453" s="31" t="str">
        <x:v>Fit &amp; Motivation</x:v>
      </x:c>
      <x:c r="G1453" s="30" t="str">
        <x:v>CL1117</x:v>
      </x:c>
      <x:c r="H1453" s="32" t="n">
        <x:f>COUNTIF($G$5:$G$1725,G1453)</x:f>
        <x:v>1</x:v>
      </x:c>
      <x:c r="I1453" s="30" t="str">
        <x:v>A6</x:v>
      </x:c>
      <x:c r="J1453" s="31" t="str">
        <x:v>Mckinsey hr screening interview | Tell me about yourself | Give me an broad overview of ur cv</x:v>
      </x:c>
    </x:row>
    <x:row r="1454" ht="68" customHeight="1">
      <x:c r="A1454" s="30" t="str">
        <x:v>QB2434</x:v>
      </x:c>
      <x:c r="B1454" s="30" t="str">
        <x:v>Mckinsey</x:v>
      </x:c>
      <x:c r="C1454" s="30" t="str">
        <x:v>Consulting</x:v>
      </x:c>
      <x:c r="D1454" s="31" t="str">
        <x:v>Tell me about a time u worked in a team. Did u face any challenges? what was teamwork dynamic? What was number of people in the team? what backgrounds are they from?</x:v>
      </x:c>
      <x:c r="E1454" s="31" t="str">
        <x:v>Tell me about a challenge, setback, or failure</x:v>
      </x:c>
      <x:c r="F1454" s="31" t="str">
        <x:v>Resume &amp; Experience</x:v>
      </x:c>
      <x:c r="G1454" s="30" t="str">
        <x:v>CL0007</x:v>
      </x:c>
      <x:c r="H1454" s="32" t="n">
        <x:f>COUNTIF($G$5:$G$1725,G1454)</x:f>
        <x:v>16</x:v>
      </x:c>
      <x:c r="I1454" s="30" t="str">
        <x:v>A8</x:v>
      </x:c>
      <x:c r="J1454" s="31" t="str">
        <x:v>Give me an broad overview of ur cv | Why consulting not IBD | Other than “people personality” why consulting</x:v>
      </x:c>
    </x:row>
    <x:row r="1455" ht="32" customHeight="1">
      <x:c r="A1455" s="30" t="str">
        <x:v>QB2440</x:v>
      </x:c>
      <x:c r="B1455" s="30" t="str">
        <x:v>Mckinsey</x:v>
      </x:c>
      <x:c r="C1455" s="30" t="str">
        <x:v>Consulting</x:v>
      </x:c>
      <x:c r="D1455" s="31" t="str">
        <x:v>MS return, summer?</x:v>
      </x:c>
      <x:c r="E1455" s="31" t="str">
        <x:v>MS return, summer</x:v>
      </x:c>
      <x:c r="F1455" s="31" t="str">
        <x:v>Consulting &amp; Case</x:v>
      </x:c>
      <x:c r="G1455" s="30" t="str">
        <x:v>CL0611</x:v>
      </x:c>
      <x:c r="H1455" s="32" t="n">
        <x:f>COUNTIF($G$5:$G$1725,G1455)</x:f>
        <x:v>1</x:v>
      </x:c>
      <x:c r="I1455" s="30" t="str">
        <x:v>A17</x:v>
      </x:c>
      <x:c r="J1455" s="31" t="str">
        <x:v>Pretalk 10.16 - Amy Weng / HR | Introduction | PEI: Opposing opinions</x:v>
      </x:c>
    </x:row>
    <x:row r="1456" ht="32" customHeight="1">
      <x:c r="A1456" s="30" t="str">
        <x:v>QB2449</x:v>
      </x:c>
      <x:c r="B1456" s="30" t="str">
        <x:v>Mckinsey</x:v>
      </x:c>
      <x:c r="C1456" s="30" t="str">
        <x:v>Consulting</x:v>
      </x:c>
      <x:c r="D1456" s="31" t="str">
        <x:v>自我介绍</x:v>
      </x:c>
      <x:c r="E1456" s="31" t="str">
        <x:v>Tell me about yourself / walk me through your resume</x:v>
      </x:c>
      <x:c r="F1456" s="31" t="str">
        <x:v>Consulting &amp; Case</x:v>
      </x:c>
      <x:c r="G1456" s="30" t="str">
        <x:v>CL0001</x:v>
      </x:c>
      <x:c r="H1456" s="32" t="n">
        <x:f>COUNTIF($G$5:$G$1725,G1456)</x:f>
        <x:v>170</x:v>
      </x:c>
      <x:c r="I1456" s="30" t="str">
        <x:v>B25</x:v>
      </x:c>
      <x:c r="J1456" s="31" t="str">
        <x:v>R1 11.1 - Jane Haolu Zhang / EM</x:v>
      </x:c>
    </x:row>
    <x:row r="1457" ht="32" customHeight="1">
      <x:c r="A1457" s="30" t="str">
        <x:v>QB2454</x:v>
      </x:c>
      <x:c r="B1457" s="30" t="str">
        <x:v>Mckinsey</x:v>
      </x:c>
      <x:c r="C1457" s="30" t="str">
        <x:v>Consulting</x:v>
      </x:c>
      <x:c r="D1457" s="31" t="str">
        <x:v>Case - Media, family owned company - sell / pass to next gen?</x:v>
      </x:c>
      <x:c r="E1457" s="31" t="str">
        <x:v>Case - Media, family owned company - sell / pass to next gen</x:v>
      </x:c>
      <x:c r="F1457" s="31" t="str">
        <x:v>Consulting &amp; Case</x:v>
      </x:c>
      <x:c r="G1457" s="30" t="str">
        <x:v>CL0192</x:v>
      </x:c>
      <x:c r="H1457" s="32" t="n">
        <x:f>COUNTIF($G$5:$G$1725,G1457)</x:f>
        <x:v>1</x:v>
      </x:c>
      <x:c r="I1457" s="30" t="str">
        <x:v>A28</x:v>
      </x:c>
      <x:c r="J1457" s="31" t="str">
        <x:v>PEI | Connection | Follow-up: Why challenging</x:v>
      </x:c>
    </x:row>
    <x:row r="1458" ht="32" customHeight="1">
      <x:c r="A1458" s="30" t="str">
        <x:v>QB2457</x:v>
      </x:c>
      <x:c r="B1458" s="30" t="str">
        <x:v>Mckinsey</x:v>
      </x:c>
      <x:c r="C1458" s="30" t="str">
        <x:v>Consulting</x:v>
      </x:c>
      <x:c r="D1458" s="31" t="str">
        <x:v>What formula you used</x:v>
      </x:c>
      <x:c r="E1458" s="31" t="str">
        <x:v>What formula you used</x:v>
      </x:c>
      <x:c r="F1458" s="31" t="str">
        <x:v>Consulting &amp; Case</x:v>
      </x:c>
      <x:c r="G1458" s="30" t="str">
        <x:v>CL0947</x:v>
      </x:c>
      <x:c r="H1458" s="32" t="n">
        <x:f>COUNTIF($G$5:$G$1725,G1458)</x:f>
        <x:v>1</x:v>
      </x:c>
      <x:c r="I1458" s="30" t="str">
        <x:v>B29</x:v>
      </x:c>
      <x:c r="J1458" s="31" t="str">
        <x:v>PEI | Growth | Followup:</x:v>
      </x:c>
    </x:row>
    <x:row r="1459" ht="32" customHeight="1">
      <x:c r="A1459" s="30" t="str">
        <x:v>QB2458</x:v>
      </x:c>
      <x:c r="B1459" s="30" t="str">
        <x:v>Mckinsey</x:v>
      </x:c>
      <x:c r="C1459" s="30" t="str">
        <x:v>Consulting</x:v>
      </x:c>
      <x:c r="D1459" s="31" t="str">
        <x:v>Did anyone else involved in this task? What did they do</x:v>
      </x:c>
      <x:c r="E1459" s="31" t="str">
        <x:v>Did anyone else involved in this task? What did they do</x:v>
      </x:c>
      <x:c r="F1459" s="31" t="str">
        <x:v>Consulting &amp; Case</x:v>
      </x:c>
      <x:c r="G1459" s="30" t="str">
        <x:v>CL0235</x:v>
      </x:c>
      <x:c r="H1459" s="32" t="n">
        <x:f>COUNTIF($G$5:$G$1725,G1459)</x:f>
        <x:v>1</x:v>
      </x:c>
      <x:c r="I1459" s="30" t="str">
        <x:v>B30</x:v>
      </x:c>
      <x:c r="J1459" s="31" t="str">
        <x:v>Growth | Followup: | What formula you used</x:v>
      </x:c>
    </x:row>
    <x:row r="1460" ht="48" customHeight="1">
      <x:c r="A1460" s="30" t="str">
        <x:v>QB2459</x:v>
      </x:c>
      <x:c r="B1460" s="30" t="str">
        <x:v>Mckinsey</x:v>
      </x:c>
      <x:c r="C1460" s="30" t="str">
        <x:v>Consulting</x:v>
      </x:c>
      <x:c r="D1460" s="31" t="str">
        <x:v>Case - Sports wearing brand (like Lululemon) - switch products to ESG related?</x:v>
      </x:c>
      <x:c r="E1460" s="31" t="str">
        <x:v>Case - Sports wearing brand (like Lululemon) - switch products to ESG related</x:v>
      </x:c>
      <x:c r="F1460" s="31" t="str">
        <x:v>Consulting &amp; Case</x:v>
      </x:c>
      <x:c r="G1460" s="30" t="str">
        <x:v>CL0193</x:v>
      </x:c>
      <x:c r="H1460" s="32" t="n">
        <x:f>COUNTIF($G$5:$G$1725,G1460)</x:f>
        <x:v>1</x:v>
      </x:c>
      <x:c r="I1460" s="30" t="str">
        <x:v>B31</x:v>
      </x:c>
      <x:c r="J1460" s="31" t="str">
        <x:v>Followup: | What formula you used | Did anyone else involved in this task? What did they do</x:v>
      </x:c>
    </x:row>
    <x:row r="1461" ht="68" customHeight="1">
      <x:c r="A1461" s="30" t="str">
        <x:v>QB2463</x:v>
      </x:c>
      <x:c r="B1461" s="30" t="str">
        <x:v>Mckinsey</x:v>
      </x:c>
      <x:c r="C1461" s="30" t="str">
        <x:v>Consulting</x:v>
      </x:c>
      <x:c r="D1461" s="31" t="str">
        <x:v>自我介绍</x:v>
      </x:c>
      <x:c r="E1461" s="31" t="str">
        <x:v>Tell me about yourself / walk me through your resume</x:v>
      </x:c>
      <x:c r="F1461" s="31" t="str">
        <x:v>Consulting &amp; Case</x:v>
      </x:c>
      <x:c r="G1461" s="30" t="str">
        <x:v>CL0001</x:v>
      </x:c>
      <x:c r="H1461" s="32" t="n">
        <x:f>COUNTIF($G$5:$G$1725,G1461)</x:f>
        <x:v>170</x:v>
      </x:c>
      <x:c r="I1461" s="30" t="str">
        <x:v>A36</x:v>
      </x:c>
      <x:c r="J1461" s="31" t="str">
        <x:v>Case - Media, family owned company - sell / pass to next gen? | 反问 （中文） | Final Round 11.5 - Minyu Xiao / AP (He's crazy... serious + no facial expressions + grill deeply to CV)</x:v>
      </x:c>
    </x:row>
    <x:row r="1462" ht="48" customHeight="1">
      <x:c r="A1462" s="30" t="str">
        <x:v>QB2464</x:v>
      </x:c>
      <x:c r="B1462" s="30" t="str">
        <x:v>Mckinsey</x:v>
      </x:c>
      <x:c r="C1462" s="30" t="str">
        <x:v>Consulting</x:v>
      </x:c>
      <x:c r="D1462" s="31" t="str">
        <x:v>自我介绍</x:v>
      </x:c>
      <x:c r="E1462" s="31" t="str">
        <x:v>Tell me about yourself / walk me through your resume</x:v>
      </x:c>
      <x:c r="F1462" s="31" t="str">
        <x:v>Consulting &amp; Case</x:v>
      </x:c>
      <x:c r="G1462" s="30" t="str">
        <x:v>CL0001</x:v>
      </x:c>
      <x:c r="H1462" s="32" t="n">
        <x:f>COUNTIF($G$5:$G$1725,G1462)</x:f>
        <x:v>170</x:v>
      </x:c>
      <x:c r="I1462" s="30" t="str">
        <x:v>B36</x:v>
      </x:c>
      <x:c r="J1462" s="31" t="str">
        <x:v>Case - Sports wearing brand (like Lululemon) - switch products to ESG related? | 反问 （中文） | Final Round 11.7 - Jia Zhou / Par</x:v>
      </x:c>
    </x:row>
    <x:row r="1463" ht="48" customHeight="1">
      <x:c r="A1463" s="30" t="str">
        <x:v>QB2467</x:v>
      </x:c>
      <x:c r="B1463" s="30" t="str">
        <x:v>Mckinsey</x:v>
      </x:c>
      <x:c r="C1463" s="30" t="str">
        <x:v>Consulting</x:v>
      </x:c>
      <x:c r="D1463" s="31" t="str">
        <x:v>why not banking</x:v>
      </x:c>
      <x:c r="E1463" s="31" t="str">
        <x:v>Why this role instead of another career path?</x:v>
      </x:c>
      <x:c r="F1463" s="31" t="str">
        <x:v>Fit &amp; Motivation</x:v>
      </x:c>
      <x:c r="G1463" s="30" t="str">
        <x:v>CL0020</x:v>
      </x:c>
      <x:c r="H1463" s="32" t="n">
        <x:f>COUNTIF($G$5:$G$1725,G1463)</x:f>
        <x:v>4</x:v>
      </x:c>
      <x:c r="I1463" s="30" t="str">
        <x:v>A38</x:v>
      </x:c>
      <x:c r="J1463" s="31" t="str">
        <x:v>Final Round 11.5 - Minyu Xiao / AP (He's crazy... serious + no facial expressions + grill deeply to CV) | 自我介绍 | 在MS具体做了什么</x:v>
      </x:c>
    </x:row>
    <x:row r="1464" ht="32" customHeight="1">
      <x:c r="A1464" s="30" t="str">
        <x:v>QB2469</x:v>
      </x:c>
      <x:c r="B1464" s="30" t="str">
        <x:v>Mckinsey</x:v>
      </x:c>
      <x:c r="C1464" s="30" t="str">
        <x:v>Consulting</x:v>
      </x:c>
      <x:c r="D1464" s="31" t="str">
        <x:v>why not coporate but consulting</x:v>
      </x:c>
      <x:c r="E1464" s="31" t="str">
        <x:v>Why not coporate but consulting</x:v>
      </x:c>
      <x:c r="F1464" s="31" t="str">
        <x:v>Fit &amp; Motivation</x:v>
      </x:c>
      <x:c r="G1464" s="30" t="str">
        <x:v>CL1156</x:v>
      </x:c>
      <x:c r="H1464" s="32" t="n">
        <x:f>COUNTIF($G$5:$G$1725,G1464)</x:f>
        <x:v>1</x:v>
      </x:c>
      <x:c r="I1464" s="30" t="str">
        <x:v>A39</x:v>
      </x:c>
      <x:c r="J1464" s="31" t="str">
        <x:v>自我介绍 | 在MS具体做了什么 | why not banking</x:v>
      </x:c>
    </x:row>
    <x:row r="1465" ht="32" customHeight="1">
      <x:c r="A1465" s="30" t="str">
        <x:v>QB2472</x:v>
      </x:c>
      <x:c r="B1465" s="30" t="str">
        <x:v>Mckinsey</x:v>
      </x:c>
      <x:c r="C1465" s="30" t="str">
        <x:v>Consulting</x:v>
      </x:c>
      <x:c r="D1465" s="31" t="str">
        <x:v>为什么转consulting</x:v>
      </x:c>
      <x:c r="E1465" s="31" t="str">
        <x:v>为什么转consulting</x:v>
      </x:c>
      <x:c r="F1465" s="31" t="str">
        <x:v>Consulting &amp; Case</x:v>
      </x:c>
      <x:c r="G1465" s="30" t="str">
        <x:v>CL1224</x:v>
      </x:c>
      <x:c r="H1465" s="32" t="n">
        <x:f>COUNTIF($G$5:$G$1725,G1465)</x:f>
        <x:v>1</x:v>
      </x:c>
      <x:c r="I1465" s="30" t="str">
        <x:v>B40</x:v>
      </x:c>
      <x:c r="J1465" s="31" t="str">
        <x:v>在MS做了Chagee的IPO，怎么看Chagee这个公司 | Chagee和蜜雪二选一，你作为投资者会投哪个 | 认为蜜雪的competitive advantage是什么</x:v>
      </x:c>
    </x:row>
    <x:row r="1466" ht="32" customHeight="1">
      <x:c r="A1466" s="30" t="str">
        <x:v>QB2477</x:v>
      </x:c>
      <x:c r="B1466" s="30" t="str">
        <x:v>Mckinsey</x:v>
      </x:c>
      <x:c r="C1466" s="30" t="str">
        <x:v>Consulting</x:v>
      </x:c>
      <x:c r="D1466" s="31" t="str">
        <x:v>Why challenging</x:v>
      </x:c>
      <x:c r="E1466" s="31" t="str">
        <x:v>Tell me about a challenge, setback, or failure</x:v>
      </x:c>
      <x:c r="F1466" s="31" t="str">
        <x:v>Fit &amp; Motivation</x:v>
      </x:c>
      <x:c r="G1466" s="30" t="str">
        <x:v>CL0007</x:v>
      </x:c>
      <x:c r="H1466" s="32" t="n">
        <x:f>COUNTIF($G$5:$G$1725,G1466)</x:f>
        <x:v>16</x:v>
      </x:c>
      <x:c r="I1466" s="30" t="str">
        <x:v>A43</x:v>
      </x:c>
      <x:c r="J1466" s="31" t="str">
        <x:v>PEI | Leadership | Followup:</x:v>
      </x:c>
    </x:row>
    <x:row r="1467" ht="32" customHeight="1">
      <x:c r="A1467" s="30" t="str">
        <x:v>QB2479</x:v>
      </x:c>
      <x:c r="B1467" s="30" t="str">
        <x:v>Mckinsey</x:v>
      </x:c>
      <x:c r="C1467" s="30" t="str">
        <x:v>Consulting</x:v>
      </x:c>
      <x:c r="D1467" s="31" t="str">
        <x:v>What's the score scale of the English exam in Yunnan provice</x:v>
      </x:c>
      <x:c r="E1467" s="31" t="str">
        <x:v>What's the score scale of the English exam in Yunnan provice</x:v>
      </x:c>
      <x:c r="F1467" s="31" t="str">
        <x:v>Consulting &amp; Case</x:v>
      </x:c>
      <x:c r="G1467" s="30" t="str">
        <x:v>CL1057</x:v>
      </x:c>
      <x:c r="H1467" s="32" t="n">
        <x:f>COUNTIF($G$5:$G$1725,G1467)</x:f>
        <x:v>1</x:v>
      </x:c>
      <x:c r="I1467" s="30" t="str">
        <x:v>A44</x:v>
      </x:c>
      <x:c r="J1467" s="31" t="str">
        <x:v>Leadership | Followup: | Why challenging</x:v>
      </x:c>
    </x:row>
    <x:row r="1468" ht="48" customHeight="1">
      <x:c r="A1468" s="30" t="str">
        <x:v>QB2480</x:v>
      </x:c>
      <x:c r="B1468" s="30" t="str">
        <x:v>Mckinsey</x:v>
      </x:c>
      <x:c r="C1468" s="30" t="str">
        <x:v>Consulting</x:v>
      </x:c>
      <x:c r="D1468" s="31" t="str">
        <x:v>Case - breakfast bar / snack mixes / beverage company, successfully opened online shopping trial for selected goods, should expand online and by how much?</x:v>
      </x:c>
      <x:c r="E1468" s="31" t="str">
        <x:v>Case - breakfast bar / snack mixes / beverage company, successfully opened online shopping trial for selected goods, should expand online and by how much</x:v>
      </x:c>
      <x:c r="F1468" s="31" t="str">
        <x:v>Consulting &amp; Case</x:v>
      </x:c>
      <x:c r="G1468" s="30" t="str">
        <x:v>CL0191</x:v>
      </x:c>
      <x:c r="H1468" s="32" t="n">
        <x:f>COUNTIF($G$5:$G$1725,G1468)</x:f>
        <x:v>1</x:v>
      </x:c>
      <x:c r="I1468" s="30" t="str">
        <x:v>B44</x:v>
      </x:c>
      <x:c r="J1468" s="31" t="str">
        <x:v>PEI | Drive (明确要MS实习里经历过的事情) | no follow-up, 说了一半就喊停了</x:v>
      </x:c>
    </x:row>
    <x:row r="1469" ht="68" customHeight="1">
      <x:c r="A1469" s="30" t="str">
        <x:v>QB2482</x:v>
      </x:c>
      <x:c r="B1469" s="30" t="str">
        <x:v>Mckinsey</x:v>
      </x:c>
      <x:c r="C1469" s="30" t="str">
        <x:v>Consulting</x:v>
      </x:c>
      <x:c r="D1469" s="31" t="str">
        <x:v>Q1 By how much the company need to expand the production, what factors to consider</x:v>
      </x:c>
      <x:c r="E1469" s="31" t="str">
        <x:v>Q1 By how much the company need to expand the production, what factors to consider</x:v>
      </x:c>
      <x:c r="F1469" s="31" t="str">
        <x:v>Consulting &amp; Case</x:v>
      </x:c>
      <x:c r="G1469" s="30" t="str">
        <x:v>CL0657</x:v>
      </x:c>
      <x:c r="H1469" s="32" t="n">
        <x:f>COUNTIF($G$5:$G$1725,G1469)</x:f>
        <x:v>1</x:v>
      </x:c>
      <x:c r="I1469" s="30" t="str">
        <x:v>B45</x:v>
      </x:c>
      <x:c r="J1469" s="31" t="str">
        <x:v>Drive (明确要MS实习里经历过的事情) | no follow-up, 说了一半就喊停了 | Case - breakfast bar / snack mixes / beverage company, successfully opened online shopping trial for selected goods, should expand online and by how much?</x:v>
      </x:c>
    </x:row>
    <x:row r="1470" ht="68" customHeight="1">
      <x:c r="A1470" s="30" t="str">
        <x:v>QB2487</x:v>
      </x:c>
      <x:c r="B1470" s="30" t="str">
        <x:v>Mckinsey</x:v>
      </x:c>
      <x:c r="C1470" s="30" t="str">
        <x:v>Consulting</x:v>
      </x:c>
      <x:c r="D1470" s="31" t="str">
        <x:v>which one of the external factor do you think is the most important？ why</x:v>
      </x:c>
      <x:c r="E1470" s="31" t="str">
        <x:v>Which one of the external factor do you think is the most important？ why</x:v>
      </x:c>
      <x:c r="F1470" s="31" t="str">
        <x:v>Accounting &amp; Financial Statements</x:v>
      </x:c>
      <x:c r="G1470" s="30" t="str">
        <x:v>CL1098</x:v>
      </x:c>
      <x:c r="H1470" s="32" t="n">
        <x:f>COUNTIF($G$5:$G$1725,G1470)</x:f>
        <x:v>1</x:v>
      </x:c>
      <x:c r="I1470" s="30" t="str">
        <x:v>A48</x:v>
      </x:c>
      <x:c r="J1470" s="31" t="str">
        <x:v>Case - Game / sports entertainment stores, VR / sports stimulator, 180 stores in the US | Q1 Causes of the variance of sports stimulator utilization over different locations | followup:</x:v>
      </x:c>
    </x:row>
    <x:row r="1471" ht="118" customHeight="1">
      <x:c r="A1471" s="30" t="str">
        <x:v>QB2488</x:v>
      </x:c>
      <x:c r="B1471" s="30" t="str">
        <x:v>Mckinsey</x:v>
      </x:c>
      <x:c r="C1471" s="30" t="str">
        <x:v>Consulting</x:v>
      </x:c>
      <x:c r="D1471" s="31" t="str">
        <x:v>Q3 Given breakfact bar &amp; snack mixes share the same cutting mechine, to decide whether company need buy a second mechine, calculate how much snack mixes can be produced if prioritizing to fit breakfast bar's demand</x:v>
      </x:c>
      <x:c r="E1471" s="31" t="str">
        <x:v>How do you prioritize and manage multiple tasks?</x:v>
      </x:c>
      <x:c r="F1471" s="31" t="str">
        <x:v>Fit &amp; Motivation</x:v>
      </x:c>
      <x:c r="G1471" s="30" t="str">
        <x:v>CL0419</x:v>
      </x:c>
      <x:c r="H1471" s="32" t="n">
        <x:f>COUNTIF($G$5:$G$1725,G1471)</x:f>
        <x:v>1</x:v>
      </x:c>
      <x:c r="I1471" s="30" t="str">
        <x:v>B48</x:v>
      </x:c>
      <x:c r="J1471" s="31" t="str">
        <x:v>Q1 By how much the company need to expand the production, what factors to consider | (Need a very micro one, need to give the formula to calculate the % of production demand increase), then give the elements under each part of the formul...</x:v>
      </x:c>
    </x:row>
    <x:row r="1472" ht="92" customHeight="1">
      <x:c r="A1472" s="30" t="str">
        <x:v>QB2494</x:v>
      </x:c>
      <x:c r="B1472" s="30" t="str">
        <x:v>Mckinsey</x:v>
      </x:c>
      <x:c r="C1472" s="30" t="str">
        <x:v>Consulting</x:v>
      </x:c>
      <x:c r="D1472" s="31" t="str">
        <x:v>over the 3 locations, which do you think performs the best and why?</x:v>
      </x:c>
      <x:c r="E1472" s="31" t="str">
        <x:v>Over the 3 locations, which do you think performs the best and why</x:v>
      </x:c>
      <x:c r="F1472" s="31" t="str">
        <x:v>Fit &amp; Motivation</x:v>
      </x:c>
      <x:c r="G1472" s="30" t="str">
        <x:v>CL0630</x:v>
      </x:c>
      <x:c r="H1472" s="32" t="n">
        <x:f>COUNTIF($G$5:$G$1725,G1472)</x:f>
        <x:v>1</x:v>
      </x:c>
      <x:c r="I1472" s="30" t="str">
        <x:v>A52</x:v>
      </x:c>
      <x:c r="J1472" s="31" t="str">
        <x:v>for internal factor, if the problem is service, what data do you want to look at to analyze the difference | Q2 Charts of consumer preferences of the device types including sports stimulator by age group, revenue by type for 3 locations,...</x:v>
      </x:c>
    </x:row>
    <x:row r="1473" ht="32" customHeight="1">
      <x:c r="A1473" s="30" t="str">
        <x:v>QB2499</x:v>
      </x:c>
      <x:c r="B1473" s="30" t="str">
        <x:v>BCG</x:v>
      </x:c>
      <x:c r="C1473" s="30" t="str">
        <x:v>Consulting</x:v>
      </x:c>
      <x:c r="D1473" s="31" t="str">
        <x:v>Self intro</x:v>
      </x:c>
      <x:c r="E1473" s="31" t="str">
        <x:v>Tell me about yourself / walk me through your resume</x:v>
      </x:c>
      <x:c r="F1473" s="31" t="str">
        <x:v>Resume &amp; Experience</x:v>
      </x:c>
      <x:c r="G1473" s="30" t="str">
        <x:v>CL0001</x:v>
      </x:c>
      <x:c r="H1473" s="32" t="n">
        <x:f>COUNTIF($G$5:$G$1725,G1473)</x:f>
        <x:v>170</x:v>
      </x:c>
      <x:c r="I1473" s="30" t="str">
        <x:v>A3</x:v>
      </x:c>
      <x:c r="J1473" s="31" t="str">
        <x:v>2025 FT Emily | 24 Winson Chen</x:v>
      </x:c>
    </x:row>
    <x:row r="1474" ht="48" customHeight="1">
      <x:c r="A1474" s="30" t="str">
        <x:v>QB2500</x:v>
      </x:c>
      <x:c r="B1474" s="30" t="str">
        <x:v>BCG</x:v>
      </x:c>
      <x:c r="C1474" s="30" t="str">
        <x:v>Consulting</x:v>
      </x:c>
      <x:c r="D1474" s="31" t="str">
        <x:v>Tell me a time where you added added the most value/learnt the most? 2-3 takeaways/add value points</x:v>
      </x:c>
      <x:c r="E1474" s="31" t="str">
        <x:v>Tell me a time where you added added the most value/learnt the most? 2-3 takeaways/add value points</x:v>
      </x:c>
      <x:c r="F1474" s="31" t="str">
        <x:v>Behavioral &amp; Situational</x:v>
      </x:c>
      <x:c r="G1474" s="30" t="str">
        <x:v>CL0710</x:v>
      </x:c>
      <x:c r="H1474" s="32" t="n">
        <x:f>COUNTIF($G$5:$G$1725,G1474)</x:f>
        <x:v>1</x:v>
      </x:c>
      <x:c r="I1474" s="30" t="str">
        <x:v>A4</x:v>
      </x:c>
      <x:c r="J1474" s="31" t="str">
        <x:v>2025 FT Emily | 24 Winson Chen | Self intro</x:v>
      </x:c>
    </x:row>
    <x:row r="1475" ht="48" customHeight="1">
      <x:c r="A1475" s="30" t="str">
        <x:v>QB2502</x:v>
      </x:c>
      <x:c r="B1475" s="30" t="str">
        <x:v>BCG</x:v>
      </x:c>
      <x:c r="C1475" s="30" t="str">
        <x:v>Consulting</x:v>
      </x:c>
      <x:c r="D1475" s="31" t="str">
        <x:v>Market entry and market sizing case question of an OEM manufacturer</x:v>
      </x:c>
      <x:c r="E1475" s="31" t="str">
        <x:v>Market entry and market sizing case question of an OEM manufacturer</x:v>
      </x:c>
      <x:c r="F1475" s="31" t="str">
        <x:v>Consulting &amp; Case</x:v>
      </x:c>
      <x:c r="G1475" s="30" t="str">
        <x:v>CL0600</x:v>
      </x:c>
      <x:c r="H1475" s="32" t="n">
        <x:f>COUNTIF($G$5:$G$1725,G1475)</x:f>
        <x:v>1</x:v>
      </x:c>
      <x:c r="I1475" s="30" t="str">
        <x:v>A6</x:v>
      </x:c>
      <x:c r="J1475" s="31" t="str">
        <x:v>Self intro | Tell me a time where you added added the most value/learnt the most? 2-3 takeaways/add value points | Follow-up regarding that</x:v>
      </x:c>
    </x:row>
    <x:row r="1476" ht="32" customHeight="1">
      <x:c r="A1476" s="30" t="str">
        <x:v>QB2506</x:v>
      </x:c>
      <x:c r="B1476" s="30" t="str">
        <x:v>BCG</x:v>
      </x:c>
      <x:c r="C1476" s="30" t="str">
        <x:v>Consulting</x:v>
      </x:c>
      <x:c r="D1476" s="31" t="str">
        <x:v>self-intro</x:v>
      </x:c>
      <x:c r="E1476" s="31" t="str">
        <x:v>Tell me about yourself / walk me through your resume</x:v>
      </x:c>
      <x:c r="F1476" s="31" t="str">
        <x:v>Resume &amp; Experience</x:v>
      </x:c>
      <x:c r="G1476" s="30" t="str">
        <x:v>CL0001</x:v>
      </x:c>
      <x:c r="H1476" s="32" t="n">
        <x:f>COUNTIF($G$5:$G$1725,G1476)</x:f>
        <x:v>170</x:v>
      </x:c>
      <x:c r="I1476" s="30" t="str">
        <x:v>A11</x:v>
      </x:c>
      <x:c r="J1476" s="31" t="str">
        <x:v>Questions | 2026 FT Kari | R1 10/31 Mengjie Sun</x:v>
      </x:c>
    </x:row>
    <x:row r="1477" ht="32" customHeight="1">
      <x:c r="A1477" s="30" t="str">
        <x:v>QB2510</x:v>
      </x:c>
      <x:c r="B1477" s="30" t="str">
        <x:v>BCG</x:v>
      </x:c>
      <x:c r="C1477" s="30" t="str">
        <x:v>Consulting</x:v>
      </x:c>
      <x:c r="D1477" s="31" t="str">
        <x:v>自我介绍</x:v>
      </x:c>
      <x:c r="E1477" s="31" t="str">
        <x:v>Tell me about yourself / walk me through your resume</x:v>
      </x:c>
      <x:c r="F1477" s="31" t="str">
        <x:v>Consulting &amp; Case</x:v>
      </x:c>
      <x:c r="G1477" s="30" t="str">
        <x:v>CL0001</x:v>
      </x:c>
      <x:c r="H1477" s="32" t="n">
        <x:f>COUNTIF($G$5:$G$1725,G1477)</x:f>
        <x:v>170</x:v>
      </x:c>
      <x:c r="I1477" s="30" t="str">
        <x:v>A16</x:v>
      </x:c>
      <x:c r="J1477" s="31" t="str">
        <x:v>challenging situation + solve | 音响企业销售额下滑 | R2 11/14 Brian Lam</x:v>
      </x:c>
    </x:row>
    <x:row r="1478" ht="32" customHeight="1">
      <x:c r="A1478" s="30" t="str">
        <x:v>QB2511</x:v>
      </x:c>
      <x:c r="B1478" s="30" t="str">
        <x:v>BCG</x:v>
      </x:c>
      <x:c r="C1478" s="30" t="str">
        <x:v>Consulting</x:v>
      </x:c>
      <x:c r="D1478" s="31" t="str">
        <x:v>为什么做咨询</x:v>
      </x:c>
      <x:c r="E1478" s="31" t="str">
        <x:v>为什么做咨询</x:v>
      </x:c>
      <x:c r="F1478" s="31" t="str">
        <x:v>Consulting &amp; Case</x:v>
      </x:c>
      <x:c r="G1478" s="30" t="str">
        <x:v>CL1222</x:v>
      </x:c>
      <x:c r="H1478" s="32" t="n">
        <x:f>COUNTIF($G$5:$G$1725,G1478)</x:f>
        <x:v>1</x:v>
      </x:c>
      <x:c r="I1478" s="30" t="str">
        <x:v>A17</x:v>
      </x:c>
      <x:c r="J1478" s="31" t="str">
        <x:v>音响企业销售额下滑 | R2 11/14 Brian Lam | 自我介绍</x:v>
      </x:c>
    </x:row>
    <x:row r="1479" ht="32" customHeight="1">
      <x:c r="A1479" s="30" t="str">
        <x:v>QB2514</x:v>
      </x:c>
      <x:c r="B1479" s="30" t="str">
        <x:v>BCG</x:v>
      </x:c>
      <x:c r="C1479" s="30" t="str">
        <x:v>Consulting</x:v>
      </x:c>
      <x:c r="D1479" s="31" t="str">
        <x:v>self-intro + why not banking</x:v>
      </x:c>
      <x:c r="E1479" s="31" t="str">
        <x:v>Tell me about yourself / walk me through your resume</x:v>
      </x:c>
      <x:c r="F1479" s="31" t="str">
        <x:v>Fit &amp; Motivation</x:v>
      </x:c>
      <x:c r="G1479" s="30" t="str">
        <x:v>CL0001</x:v>
      </x:c>
      <x:c r="H1479" s="32" t="n">
        <x:f>COUNTIF($G$5:$G$1725,G1479)</x:f>
        <x:v>170</x:v>
      </x:c>
      <x:c r="I1479" s="30" t="str">
        <x:v>A21</x:v>
      </x:c>
      <x:c r="J1479" s="31" t="str">
        <x:v>为什么做咨询 | case, 晶片生产企业收入下滑（计算payback period） | Final 1.7 Charlie Reid</x:v>
      </x:c>
    </x:row>
    <x:row r="1480" ht="32" customHeight="1">
      <x:c r="A1480" s="30" t="str">
        <x:v>QB2519</x:v>
      </x:c>
      <x:c r="B1480" s="30" t="str">
        <x:v>Bain &amp; Company</x:v>
      </x:c>
      <x:c r="C1480" s="30" t="str">
        <x:v>Consulting</x:v>
      </x:c>
      <x:c r="D1480" s="31" t="str">
        <x:v>自我介绍</x:v>
      </x:c>
      <x:c r="E1480" s="31" t="str">
        <x:v>Tell me about yourself / walk me through your resume</x:v>
      </x:c>
      <x:c r="F1480" s="31" t="str">
        <x:v>Consulting &amp; Case</x:v>
      </x:c>
      <x:c r="G1480" s="30" t="str">
        <x:v>CL0001</x:v>
      </x:c>
      <x:c r="H1480" s="32" t="n">
        <x:f>COUNTIF($G$5:$G$1725,G1480)</x:f>
        <x:v>170</x:v>
      </x:c>
      <x:c r="I1480" s="30" t="str">
        <x:v>A3</x:v>
      </x:c>
      <x:c r="J1480" s="31" t="str">
        <x:v>PTA 2025 November | Jim</x:v>
      </x:c>
    </x:row>
    <x:row r="1481" ht="32" customHeight="1">
      <x:c r="A1481" s="30" t="str">
        <x:v>QB2520</x:v>
      </x:c>
      <x:c r="B1481" s="30" t="str">
        <x:v>Bain &amp; Company</x:v>
      </x:c>
      <x:c r="C1481" s="30" t="str">
        <x:v>Consulting</x:v>
      </x:c>
      <x:c r="D1481" s="31" t="str">
        <x:v>讲一下最近一段实习经历</x:v>
      </x:c>
      <x:c r="E1481" s="31" t="str">
        <x:v>讲一下最近一段实习经历</x:v>
      </x:c>
      <x:c r="F1481" s="31" t="str">
        <x:v>Consulting &amp; Case</x:v>
      </x:c>
      <x:c r="G1481" s="30" t="str">
        <x:v>CL1254</x:v>
      </x:c>
      <x:c r="H1481" s="32" t="n">
        <x:f>COUNTIF($G$5:$G$1725,G1481)</x:f>
        <x:v>1</x:v>
      </x:c>
      <x:c r="I1481" s="30" t="str">
        <x:v>A4</x:v>
      </x:c>
      <x:c r="J1481" s="31" t="str">
        <x:v>PTA 2025 November | Jim | 自我介绍</x:v>
      </x:c>
    </x:row>
    <x:row r="1482" ht="48" customHeight="1">
      <x:c r="A1482" s="30" t="str">
        <x:v>QB2540</x:v>
      </x:c>
      <x:c r="B1482" s="30" t="str">
        <x:v>MS IED</x:v>
      </x:c>
      <x:c r="C1482" s="30" t="str">
        <x:v>Sales &amp; Trading</x:v>
      </x:c>
      <x:c r="D1482" s="31" t="str">
        <x:v>Pitch a stock for 10 mins (45 mins prep time + reading materials inclduing general house view + MS stock picks)</x:v>
      </x:c>
      <x:c r="E1482" s="31" t="str">
        <x:v>Pitch me a stock</x:v>
      </x:c>
      <x:c r="F1482" s="31" t="str">
        <x:v>Investment Pitch</x:v>
      </x:c>
      <x:c r="G1482" s="30" t="str">
        <x:v>CL0006</x:v>
      </x:c>
      <x:c r="H1482" s="32" t="n">
        <x:f>COUNTIF($G$5:$G$1725,G1482)</x:f>
        <x:v>19</x:v>
      </x:c>
      <x:c r="I1482" s="30" t="str">
        <x:v>A3</x:v>
      </x:c>
      <x:c r="J1482" s="31" t="str">
        <x:v>2025 SA/IP IED | Round 1 (Mike &amp; Micheal Wong)</x:v>
      </x:c>
    </x:row>
    <x:row r="1483" ht="32" customHeight="1">
      <x:c r="A1483" s="30" t="str">
        <x:v>QB2541</x:v>
      </x:c>
      <x:c r="B1483" s="30" t="str">
        <x:v>MS IED</x:v>
      </x:c>
      <x:c r="C1483" s="30" t="str">
        <x:v>Sales &amp; Trading</x:v>
      </x:c>
      <x:c r="D1483" s="31" t="str">
        <x:v>introduce yourself</x:v>
      </x:c>
      <x:c r="E1483" s="31" t="str">
        <x:v>Tell me about yourself / walk me through your resume</x:v>
      </x:c>
      <x:c r="F1483" s="31" t="str">
        <x:v>Resume &amp; Experience</x:v>
      </x:c>
      <x:c r="G1483" s="30" t="str">
        <x:v>CL0001</x:v>
      </x:c>
      <x:c r="H1483" s="32" t="n">
        <x:f>COUNTIF($G$5:$G$1725,G1483)</x:f>
        <x:v>170</x:v>
      </x:c>
      <x:c r="I1483" s="30" t="str">
        <x:v>I3</x:v>
      </x:c>
      <x:c r="J1483" s="31" t="str">
        <x:v>Round 2 (Akshat &amp; Anitej)</x:v>
      </x:c>
    </x:row>
    <x:row r="1484" ht="32" customHeight="1">
      <x:c r="A1484" s="30" t="str">
        <x:v>QB2544</x:v>
      </x:c>
      <x:c r="B1484" s="30" t="str">
        <x:v>MS IED</x:v>
      </x:c>
      <x:c r="C1484" s="30" t="str">
        <x:v>Sales &amp; Trading</x:v>
      </x:c>
      <x:c r="D1484" s="31" t="str">
        <x:v>do u forsee any geopolitical concerns</x:v>
      </x:c>
      <x:c r="E1484" s="31" t="str">
        <x:v>Do u forsee any geopolitical concerns</x:v>
      </x:c>
      <x:c r="F1484" s="31" t="str">
        <x:v>Markets &amp; Macro</x:v>
      </x:c>
      <x:c r="G1484" s="30" t="str">
        <x:v>CL0262</x:v>
      </x:c>
      <x:c r="H1484" s="32" t="n">
        <x:f>COUNTIF($G$5:$G$1725,G1484)</x:f>
        <x:v>1</x:v>
      </x:c>
      <x:c r="I1484" s="30" t="str">
        <x:v>B5</x:v>
      </x:c>
      <x:c r="J1484" s="31" t="str"/>
    </x:row>
    <x:row r="1485" ht="32" customHeight="1">
      <x:c r="A1485" s="30" t="str">
        <x:v>QB2545</x:v>
      </x:c>
      <x:c r="B1485" s="30" t="str">
        <x:v>MS IED</x:v>
      </x:c>
      <x:c r="C1485" s="30" t="str">
        <x:v>Sales &amp; Trading</x:v>
      </x:c>
      <x:c r="D1485" s="31" t="str">
        <x:v>can u code in KGB</x:v>
      </x:c>
      <x:c r="E1485" s="31" t="str">
        <x:v>Can u code in KGB</x:v>
      </x:c>
      <x:c r="F1485" s="31" t="str">
        <x:v>Other Question</x:v>
      </x:c>
      <x:c r="G1485" s="30" t="str">
        <x:v>CL0185</x:v>
      </x:c>
      <x:c r="H1485" s="32" t="n">
        <x:f>COUNTIF($G$5:$G$1725,G1485)</x:f>
        <x:v>1</x:v>
      </x:c>
      <x:c r="I1485" s="30" t="str">
        <x:v>I5</x:v>
      </x:c>
      <x:c r="J1485" s="31" t="str">
        <x:v>Round 2 (Akshat &amp; Anitej) | introduce yourself | some CV questions</x:v>
      </x:c>
    </x:row>
    <x:row r="1486" ht="48" customHeight="1">
      <x:c r="A1486" s="30" t="str">
        <x:v>QB2548</x:v>
      </x:c>
      <x:c r="B1486" s="30" t="str">
        <x:v>MS IED</x:v>
      </x:c>
      <x:c r="C1486" s="30" t="str">
        <x:v>Sales &amp; Trading</x:v>
      </x:c>
      <x:c r="D1486" s="31" t="str">
        <x:v>what is the one thing u felt has not been priced in and investors should be most excited about</x:v>
      </x:c>
      <x:c r="E1486" s="31" t="str">
        <x:v>What is the one thing u felt has not been priced in and investors should be most excited about</x:v>
      </x:c>
      <x:c r="F1486" s="31" t="str">
        <x:v>Accounting &amp; Financial Statements</x:v>
      </x:c>
      <x:c r="G1486" s="30" t="str">
        <x:v>CL0987</x:v>
      </x:c>
      <x:c r="H1486" s="32" t="n">
        <x:f>COUNTIF($G$5:$G$1725,G1486)</x:f>
        <x:v>1</x:v>
      </x:c>
      <x:c r="I1486" s="30" t="str">
        <x:v>B7</x:v>
      </x:c>
      <x:c r="J1486" s="31" t="str">
        <x:v>do u forsee any geopolitical concerns | as portfolio manager what would u consider to do</x:v>
      </x:c>
    </x:row>
    <x:row r="1487" ht="68" customHeight="1">
      <x:c r="A1487" s="30" t="str">
        <x:v>QB2550</x:v>
      </x:c>
      <x:c r="B1487" s="30" t="str">
        <x:v>MS IED</x:v>
      </x:c>
      <x:c r="C1487" s="30" t="str">
        <x:v>Sales &amp; Trading</x:v>
      </x:c>
      <x:c r="D1487" s="31" t="str">
        <x:v>market beta questions &amp; what happens if economy is sluggish</x:v>
      </x:c>
      <x:c r="E1487" s="31" t="str">
        <x:v>Market beta questions &amp; what happens if economy is sluggish</x:v>
      </x:c>
      <x:c r="F1487" s="31" t="str">
        <x:v>Accounting &amp; Financial Statements</x:v>
      </x:c>
      <x:c r="G1487" s="30" t="str">
        <x:v>CL0599</x:v>
      </x:c>
      <x:c r="H1487" s="32" t="n">
        <x:f>COUNTIF($G$5:$G$1725,G1487)</x:f>
        <x:v>1</x:v>
      </x:c>
      <x:c r="I1487" s="30" t="str">
        <x:v>B8</x:v>
      </x:c>
      <x:c r="J1487" s="31" t="str">
        <x:v>do u forsee any geopolitical concerns | as portfolio manager what would u consider to do | what is the one thing u felt has not been priced in and investors should be most excited about</x:v>
      </x:c>
    </x:row>
    <x:row r="1488" ht="68" customHeight="1">
      <x:c r="A1488" s="30" t="str">
        <x:v>QB2552</x:v>
      </x:c>
      <x:c r="B1488" s="30" t="str">
        <x:v>MS IED</x:v>
      </x:c>
      <x:c r="C1488" s="30" t="str">
        <x:v>Sales &amp; Trading</x:v>
      </x:c>
      <x:c r="D1488" s="31" t="str">
        <x:v>how to turn annualized risk into daily risk to measure pnl</x:v>
      </x:c>
      <x:c r="E1488" s="31" t="str">
        <x:v>How to turn annualized risk into daily risk to measure pnl</x:v>
      </x:c>
      <x:c r="F1488" s="31" t="str">
        <x:v>Other Question</x:v>
      </x:c>
      <x:c r="G1488" s="30" t="str">
        <x:v>CL0482</x:v>
      </x:c>
      <x:c r="H1488" s="32" t="n">
        <x:f>COUNTIF($G$5:$G$1725,G1488)</x:f>
        <x:v>1</x:v>
      </x:c>
      <x:c r="I1488" s="30" t="str">
        <x:v>A9</x:v>
      </x:c>
      <x:c r="J1488" s="31" t="str">
        <x:v>Round 1 (Mike &amp; Micheal Wong) | Pitch a stock for 10 mins (45 mins prep time + reading materials inclduing general house view + MS stock picks) | follow up questions about stock pitch (mine was on china so many china related questions)</x:v>
      </x:c>
    </x:row>
    <x:row r="1489" ht="68" customHeight="1">
      <x:c r="A1489" s="30" t="str">
        <x:v>QB2553</x:v>
      </x:c>
      <x:c r="B1489" s="30" t="str">
        <x:v>MS IED</x:v>
      </x:c>
      <x:c r="C1489" s="30" t="str">
        <x:v>Sales &amp; Trading</x:v>
      </x:c>
      <x:c r="D1489" s="31" t="str">
        <x:v>what do you think differentiates MS from the other banks</x:v>
      </x:c>
      <x:c r="E1489" s="31" t="str">
        <x:v>What do you think differentiates MS from the other banks</x:v>
      </x:c>
      <x:c r="F1489" s="31" t="str">
        <x:v>Other Question</x:v>
      </x:c>
      <x:c r="G1489" s="30" t="str">
        <x:v>CL0928</x:v>
      </x:c>
      <x:c r="H1489" s="32" t="n">
        <x:f>COUNTIF($G$5:$G$1725,G1489)</x:f>
        <x:v>1</x:v>
      </x:c>
      <x:c r="I1489" s="30" t="str">
        <x:v>I9</x:v>
      </x:c>
      <x:c r="J1489" s="31" t="str">
        <x:v>biggest strength and weakness | follow up questions on essay question (would recommend to continuously follow on what u wrote cuz idk how to ans when they asked) | sales or trading</x:v>
      </x:c>
    </x:row>
    <x:row r="1490" ht="68" customHeight="1">
      <x:c r="A1490" s="30" t="str">
        <x:v>QB2558</x:v>
      </x:c>
      <x:c r="B1490" s="30" t="str">
        <x:v>MS IED</x:v>
      </x:c>
      <x:c r="C1490" s="30" t="str">
        <x:v>Sales &amp; Trading</x:v>
      </x:c>
      <x:c r="D1490" s="31" t="str">
        <x:v>behavourial on what would u do if client is mad at u and boss is away from desk</x:v>
      </x:c>
      <x:c r="E1490" s="31" t="str">
        <x:v>Behavourial on what would u do if client is mad at u and boss is away from desk</x:v>
      </x:c>
      <x:c r="F1490" s="31" t="str">
        <x:v>Behavioral &amp; Situational</x:v>
      </x:c>
      <x:c r="G1490" s="30" t="str">
        <x:v>CL0159</x:v>
      </x:c>
      <x:c r="H1490" s="32" t="n">
        <x:f>COUNTIF($G$5:$G$1725,G1490)</x:f>
        <x:v>1</x:v>
      </x:c>
      <x:c r="I1490" s="30" t="str">
        <x:v>A12</x:v>
      </x:c>
      <x:c r="J1490" s="31" t="str">
        <x:v>how to turn annualized risk into daily risk to measure pnl | if you could ask a senior sales person a question what would you ask | some CV questions &amp; why good fit to be a sales</x:v>
      </x:c>
    </x:row>
    <x:row r="1491" ht="48" customHeight="1">
      <x:c r="A1491" s="30" t="str">
        <x:v>QB2565</x:v>
      </x:c>
      <x:c r="B1491" s="30" t="str">
        <x:v>MS IED</x:v>
      </x:c>
      <x:c r="C1491" s="30" t="str">
        <x:v>Sales &amp; Trading</x:v>
      </x:c>
      <x:c r="D1491" s="31" t="str">
        <x:v>Stock Pitch (45min prep + 10min pre + 5min Q&amp;A)</x:v>
      </x:c>
      <x:c r="E1491" s="31" t="str">
        <x:v>Pitch me a stock</x:v>
      </x:c>
      <x:c r="F1491" s="31" t="str">
        <x:v>Investment Pitch</x:v>
      </x:c>
      <x:c r="G1491" s="30" t="str">
        <x:v>CL0006</x:v>
      </x:c>
      <x:c r="H1491" s="32" t="n">
        <x:f>COUNTIF($G$5:$G$1725,G1491)</x:f>
        <x:v>19</x:v>
      </x:c>
      <x:c r="I1491" s="30" t="str">
        <x:v>A17</x:v>
      </x:c>
      <x:c r="J1491" s="31" t="str">
        <x:v>behavourial on what would u do if client is mad at u and boss is away from desk | Hazel | Round 1 (Riccardo - cross product sales)</x:v>
      </x:c>
    </x:row>
    <x:row r="1492" ht="68" customHeight="1">
      <x:c r="A1492" s="30" t="str">
        <x:v>QB2566</x:v>
      </x:c>
      <x:c r="B1492" s="30" t="str">
        <x:v>MS IED</x:v>
      </x:c>
      <x:c r="C1492" s="30" t="str">
        <x:v>Sales &amp; Trading</x:v>
      </x:c>
      <x:c r="D1492" s="31" t="str">
        <x:v>self introduction</x:v>
      </x:c>
      <x:c r="E1492" s="31" t="str">
        <x:v>Tell me about yourself / walk me through your resume</x:v>
      </x:c>
      <x:c r="F1492" s="31" t="str">
        <x:v>Resume &amp; Experience</x:v>
      </x:c>
      <x:c r="G1492" s="30" t="str">
        <x:v>CL0001</x:v>
      </x:c>
      <x:c r="H1492" s="32" t="n">
        <x:f>COUNTIF($G$5:$G$1725,G1492)</x:f>
        <x:v>170</x:v>
      </x:c>
      <x:c r="I1492" s="30" t="str">
        <x:v>I17</x:v>
      </x:c>
      <x:c r="J1492" s="31" t="str">
        <x:v>considering ur background in qfin which is more technical, why do u want to do more of the fundamental side of things | talking about my previous boss and asked me to talk about his life story and how he is lmao | Round 2 (Joanna - secur...</x:v>
      </x:c>
    </x:row>
    <x:row r="1493" ht="32" customHeight="1">
      <x:c r="A1493" s="30" t="str">
        <x:v>QB2567</x:v>
      </x:c>
      <x:c r="B1493" s="30" t="str">
        <x:v>MS IED</x:v>
      </x:c>
      <x:c r="C1493" s="30" t="str">
        <x:v>Sales &amp; Trading</x:v>
      </x:c>
      <x:c r="D1493" s="31" t="str">
        <x:v>self introduction</x:v>
      </x:c>
      <x:c r="E1493" s="31" t="str">
        <x:v>Tell me about yourself / walk me through your resume</x:v>
      </x:c>
      <x:c r="F1493" s="31" t="str">
        <x:v>Resume &amp; Experience</x:v>
      </x:c>
      <x:c r="G1493" s="30" t="str">
        <x:v>CL0001</x:v>
      </x:c>
      <x:c r="H1493" s="32" t="n">
        <x:f>COUNTIF($G$5:$G$1725,G1493)</x:f>
        <x:v>170</x:v>
      </x:c>
      <x:c r="I1493" s="30" t="str">
        <x:v>N17</x:v>
      </x:c>
      <x:c r="J1493" s="31" t="str">
        <x:v>Followup 1 (Sean - cross producy sales)</x:v>
      </x:c>
    </x:row>
    <x:row r="1494" ht="32" customHeight="1">
      <x:c r="A1494" s="30" t="str">
        <x:v>QB2568</x:v>
      </x:c>
      <x:c r="B1494" s="30" t="str">
        <x:v>MS IED</x:v>
      </x:c>
      <x:c r="C1494" s="30" t="str">
        <x:v>Sales &amp; Trading</x:v>
      </x:c>
      <x:c r="D1494" s="31" t="str">
        <x:v>self introduction (rest of the interview all in mandarin)</x:v>
      </x:c>
      <x:c r="E1494" s="31" t="str">
        <x:v>Tell me about yourself / walk me through your resume</x:v>
      </x:c>
      <x:c r="F1494" s="31" t="str">
        <x:v>Fit &amp; Motivation</x:v>
      </x:c>
      <x:c r="G1494" s="30" t="str">
        <x:v>CL0001</x:v>
      </x:c>
      <x:c r="H1494" s="32" t="n">
        <x:f>COUNTIF($G$5:$G$1725,G1494)</x:f>
        <x:v>170</x:v>
      </x:c>
      <x:c r="I1494" s="30" t="str">
        <x:v>R17</x:v>
      </x:c>
      <x:c r="J1494" s="31" t="str">
        <x:v>Followup 2 (Anqi Jiang)</x:v>
      </x:c>
    </x:row>
    <x:row r="1495" ht="48" customHeight="1">
      <x:c r="A1495" s="30" t="str">
        <x:v>QB2570</x:v>
      </x:c>
      <x:c r="B1495" s="30" t="str">
        <x:v>MS IED</x:v>
      </x:c>
      <x:c r="C1495" s="30" t="str">
        <x:v>Sales &amp; Trading</x:v>
      </x:c>
      <x:c r="D1495" s="31" t="str">
        <x:v>why pitch Ctrip but not Meituan since they're all China consumption sector</x:v>
      </x:c>
      <x:c r="E1495" s="31" t="str">
        <x:v>Why pitch Ctrip but not Meituan since they're all China consumption sector</x:v>
      </x:c>
      <x:c r="F1495" s="31" t="str">
        <x:v>Fit &amp; Motivation</x:v>
      </x:c>
      <x:c r="G1495" s="30" t="str">
        <x:v>CL1159</x:v>
      </x:c>
      <x:c r="H1495" s="32" t="n">
        <x:f>COUNTIF($G$5:$G$1725,G1495)</x:f>
        <x:v>1</x:v>
      </x:c>
      <x:c r="I1495" s="30" t="str">
        <x:v>A18#2</x:v>
      </x:c>
      <x:c r="J1495" s="31" t="str">
        <x:v>Round 1 (Riccardo - cross product sales) | Stock Pitch (45min prep + 10min pre + 5min Q&amp;A) | follow up on stock pitch</x:v>
      </x:c>
    </x:row>
    <x:row r="1496" ht="48" customHeight="1">
      <x:c r="A1496" s="30" t="str">
        <x:v>QB2574</x:v>
      </x:c>
      <x:c r="B1496" s="30" t="str">
        <x:v>MS IED</x:v>
      </x:c>
      <x:c r="C1496" s="30" t="str">
        <x:v>Sales &amp; Trading</x:v>
      </x:c>
      <x:c r="D1496" s="31" t="str">
        <x:v>asked a lot about CV, especially the mainland security firm experience (cuz of her background from mainland)</x:v>
      </x:c>
      <x:c r="E1496" s="31" t="str">
        <x:v>Asked a lot about CV, especially the mainland security firm experience (cuz of her background from mainland)</x:v>
      </x:c>
      <x:c r="F1496" s="31" t="str">
        <x:v>Resume &amp; Experience</x:v>
      </x:c>
      <x:c r="G1496" s="30" t="str">
        <x:v>CL0143</x:v>
      </x:c>
      <x:c r="H1496" s="32" t="n">
        <x:f>COUNTIF($G$5:$G$1725,G1496)</x:f>
        <x:v>1</x:v>
      </x:c>
      <x:c r="I1496" s="30" t="str">
        <x:v>R18</x:v>
      </x:c>
      <x:c r="J1496" s="31" t="str">
        <x:v>Followup 2 (Anqi Jiang) | self introduction (rest of the interview all in mandarin)</x:v>
      </x:c>
    </x:row>
    <x:row r="1497" ht="48" customHeight="1">
      <x:c r="A1497" s="30" t="str">
        <x:v>QB2575</x:v>
      </x:c>
      <x:c r="B1497" s="30" t="str">
        <x:v>MS IED</x:v>
      </x:c>
      <x:c r="C1497" s="30" t="str">
        <x:v>Sales &amp; Trading</x:v>
      </x:c>
      <x:c r="D1497" s="31" t="str">
        <x:v>tell me what you know about the China policy pivot (detail such as size of the swap facility)</x:v>
      </x:c>
      <x:c r="E1497" s="31" t="str">
        <x:v>Tell me what you know about the China policy pivot (detail such as size of the swap facility)</x:v>
      </x:c>
      <x:c r="F1497" s="31" t="str">
        <x:v>Markets &amp; Macro</x:v>
      </x:c>
      <x:c r="G1497" s="30" t="str">
        <x:v>CL0776</x:v>
      </x:c>
      <x:c r="H1497" s="32" t="n">
        <x:f>COUNTIF($G$5:$G$1725,G1497)</x:f>
        <x:v>1</x:v>
      </x:c>
      <x:c r="I1497" s="30" t="str">
        <x:v>A19</x:v>
      </x:c>
      <x:c r="J1497" s="31" t="str">
        <x:v>follow up on stock pitch | why pitch Ctrip but not Meituan since they're all China consumption sector | US election impact on the China's consumption sector</x:v>
      </x:c>
    </x:row>
    <x:row r="1498" ht="48" customHeight="1">
      <x:c r="A1498" s="30" t="str">
        <x:v>QB2576</x:v>
      </x:c>
      <x:c r="B1498" s="30" t="str">
        <x:v>MS IED</x:v>
      </x:c>
      <x:c r="C1498" s="30" t="str">
        <x:v>Sales &amp; Trading</x:v>
      </x:c>
      <x:c r="D1498" s="31" t="str">
        <x:v>Introduce one recent headline that you follow (in mandarin)</x:v>
      </x:c>
      <x:c r="E1498" s="31" t="str">
        <x:v>Introduce one recent headline that you follow (in mandarin)</x:v>
      </x:c>
      <x:c r="F1498" s="31" t="str">
        <x:v>Fit &amp; Motivation</x:v>
      </x:c>
      <x:c r="G1498" s="30" t="str">
        <x:v>CL0550</x:v>
      </x:c>
      <x:c r="H1498" s="32" t="n">
        <x:f>COUNTIF($G$5:$G$1725,G1498)</x:f>
        <x:v>1</x:v>
      </x:c>
      <x:c r="I1498" s="30" t="str">
        <x:v>I19</x:v>
      </x:c>
      <x:c r="J1498" s="31" t="str">
        <x:v>Round 2 (Joanna - securities financing) | self introduction | CV - student club related question</x:v>
      </x:c>
    </x:row>
    <x:row r="1499" ht="68" customHeight="1">
      <x:c r="A1499" s="30" t="str">
        <x:v>QB2578</x:v>
      </x:c>
      <x:c r="B1499" s="30" t="str">
        <x:v>MS IED</x:v>
      </x:c>
      <x:c r="C1499" s="30" t="str">
        <x:v>Sales &amp; Trading</x:v>
      </x:c>
      <x:c r="D1499" s="31" t="str">
        <x:v>Discuss what's going on in China's stock market</x:v>
      </x:c>
      <x:c r="E1499" s="31" t="str">
        <x:v>Discuss what's going on in China's stock market</x:v>
      </x:c>
      <x:c r="F1499" s="31" t="str">
        <x:v>Markets &amp; Macro</x:v>
      </x:c>
      <x:c r="G1499" s="30" t="str">
        <x:v>CL0261</x:v>
      </x:c>
      <x:c r="H1499" s="32" t="n">
        <x:f>COUNTIF($G$5:$G$1725,G1499)</x:f>
        <x:v>1</x:v>
      </x:c>
      <x:c r="I1499" s="30" t="str">
        <x:v>R19</x:v>
      </x:c>
      <x:c r="J1499" s="31" t="str">
        <x:v>Followup 2 (Anqi Jiang) | self introduction (rest of the interview all in mandarin) | asked a lot about CV, especially the mainland security firm experience (cuz of her background from mainland)</x:v>
      </x:c>
    </x:row>
    <x:row r="1500" ht="68" customHeight="1">
      <x:c r="A1500" s="30" t="str">
        <x:v>QB2579</x:v>
      </x:c>
      <x:c r="B1500" s="30" t="str">
        <x:v>MS IED</x:v>
      </x:c>
      <x:c r="C1500" s="30" t="str">
        <x:v>Sales &amp; Trading</x:v>
      </x:c>
      <x:c r="D1500" s="31" t="str">
        <x:v>Give me one investment idea</x:v>
      </x:c>
      <x:c r="E1500" s="31" t="str">
        <x:v>Give me one investment idea</x:v>
      </x:c>
      <x:c r="F1500" s="31" t="str">
        <x:v>Investment Pitch</x:v>
      </x:c>
      <x:c r="G1500" s="30" t="str">
        <x:v>CL0349</x:v>
      </x:c>
      <x:c r="H1500" s="32" t="n">
        <x:f>COUNTIF($G$5:$G$1725,G1500)</x:f>
        <x:v>1</x:v>
      </x:c>
      <x:c r="I1500" s="30" t="str">
        <x:v>A20</x:v>
      </x:c>
      <x:c r="J1500" s="31" t="str">
        <x:v>why pitch Ctrip but not Meituan since they're all China consumption sector | US election impact on the China's consumption sector | tell me what you know about the China policy pivot (detail such as size of the swap facility)</x:v>
      </x:c>
    </x:row>
    <x:row r="1501" ht="48" customHeight="1">
      <x:c r="A1501" s="30" t="str">
        <x:v>QB2580</x:v>
      </x:c>
      <x:c r="B1501" s="30" t="str">
        <x:v>MS IED</x:v>
      </x:c>
      <x:c r="C1501" s="30" t="str">
        <x:v>Sales &amp; Trading</x:v>
      </x:c>
      <x:c r="D1501" s="31" t="str">
        <x:v>Stock pitch (in mandarin)</x:v>
      </x:c>
      <x:c r="E1501" s="31" t="str">
        <x:v>Pitch me a stock</x:v>
      </x:c>
      <x:c r="F1501" s="31" t="str">
        <x:v>Fit &amp; Motivation</x:v>
      </x:c>
      <x:c r="G1501" s="30" t="str">
        <x:v>CL0006</x:v>
      </x:c>
      <x:c r="H1501" s="32" t="n">
        <x:f>COUNTIF($G$5:$G$1725,G1501)</x:f>
        <x:v>19</x:v>
      </x:c>
      <x:c r="I1501" s="30" t="str">
        <x:v>I20</x:v>
      </x:c>
      <x:c r="J1501" s="31" t="str">
        <x:v>self introduction | CV - student club related question | Introduce one recent headline that you follow (in mandarin)</x:v>
      </x:c>
    </x:row>
    <x:row r="1502" ht="32" customHeight="1">
      <x:c r="A1502" s="30" t="str">
        <x:v>QB2581</x:v>
      </x:c>
      <x:c r="B1502" s="30" t="str">
        <x:v>MS IED</x:v>
      </x:c>
      <x:c r="C1502" s="30" t="str">
        <x:v>Sales &amp; Trading</x:v>
      </x:c>
      <x:c r="D1502" s="31" t="str">
        <x:v>what do you think are your adv and disadv</x:v>
      </x:c>
      <x:c r="E1502" s="31" t="str">
        <x:v>What do you think are your adv and disadv</x:v>
      </x:c>
      <x:c r="F1502" s="31" t="str">
        <x:v>Other Question</x:v>
      </x:c>
      <x:c r="G1502" s="30" t="str">
        <x:v>CL0927</x:v>
      </x:c>
      <x:c r="H1502" s="32" t="n">
        <x:f>COUNTIF($G$5:$G$1725,G1502)</x:f>
        <x:v>1</x:v>
      </x:c>
      <x:c r="I1502" s="30" t="str">
        <x:v>N20</x:v>
      </x:c>
      <x:c r="J1502" s="31" t="str">
        <x:v>self introduction | CV based questions | One market headline ur following</x:v>
      </x:c>
    </x:row>
    <x:row r="1503" ht="68" customHeight="1">
      <x:c r="A1503" s="30" t="str">
        <x:v>QB2582</x:v>
      </x:c>
      <x:c r="B1503" s="30" t="str">
        <x:v>MS IED</x:v>
      </x:c>
      <x:c r="C1503" s="30" t="str">
        <x:v>Sales &amp; Trading</x:v>
      </x:c>
      <x:c r="D1503" s="31" t="str">
        <x:v>Asset allocation (client profile is the interviewer himself)</x:v>
      </x:c>
      <x:c r="E1503" s="31" t="str">
        <x:v>Asset allocation (client profile is the interviewer himself)</x:v>
      </x:c>
      <x:c r="F1503" s="31" t="str">
        <x:v>Fit &amp; Motivation</x:v>
      </x:c>
      <x:c r="G1503" s="30" t="str">
        <x:v>CL0148</x:v>
      </x:c>
      <x:c r="H1503" s="32" t="n">
        <x:f>COUNTIF($G$5:$G$1725,G1503)</x:f>
        <x:v>1</x:v>
      </x:c>
      <x:c r="I1503" s="30" t="str">
        <x:v>A21</x:v>
      </x:c>
      <x:c r="J1503" s="31" t="str">
        <x:v>US election impact on the China's consumption sector | tell me what you know about the China policy pivot (detail such as size of the swap facility) | Give me one investment idea</x:v>
      </x:c>
    </x:row>
    <x:row r="1504" ht="48" customHeight="1">
      <x:c r="A1504" s="30" t="str">
        <x:v>QB2583</x:v>
      </x:c>
      <x:c r="B1504" s="30" t="str">
        <x:v>MS IED</x:v>
      </x:c>
      <x:c r="C1504" s="30" t="str">
        <x:v>Sales &amp; Trading</x:v>
      </x:c>
      <x:c r="D1504" s="31" t="str">
        <x:v>what roles within IED do u prefer</x:v>
      </x:c>
      <x:c r="E1504" s="31" t="str">
        <x:v>What roles within IED do u prefer</x:v>
      </x:c>
      <x:c r="F1504" s="31" t="str">
        <x:v>Other Question</x:v>
      </x:c>
      <x:c r="G1504" s="30" t="str">
        <x:v>CL1027</x:v>
      </x:c>
      <x:c r="H1504" s="32" t="n">
        <x:f>COUNTIF($G$5:$G$1725,G1504)</x:f>
        <x:v>1</x:v>
      </x:c>
      <x:c r="I1504" s="30" t="str">
        <x:v>I21</x:v>
      </x:c>
      <x:c r="J1504" s="31" t="str">
        <x:v>CV - student club related question | Introduce one recent headline that you follow (in mandarin) | Stock pitch (in mandarin)</x:v>
      </x:c>
    </x:row>
    <x:row r="1505" ht="68" customHeight="1">
      <x:c r="A1505" s="30" t="str">
        <x:v>QB2585</x:v>
      </x:c>
      <x:c r="B1505" s="30" t="str">
        <x:v>MS IED</x:v>
      </x:c>
      <x:c r="C1505" s="30" t="str">
        <x:v>Sales &amp; Trading</x:v>
      </x:c>
      <x:c r="D1505" s="31" t="str">
        <x:v>Technical (bond coupon and interest rate related)</x:v>
      </x:c>
      <x:c r="E1505" s="31" t="str">
        <x:v>Technical (bond coupon and interest rate related)</x:v>
      </x:c>
      <x:c r="F1505" s="31" t="str">
        <x:v>Capital Markets &amp; Financing</x:v>
      </x:c>
      <x:c r="G1505" s="30" t="str">
        <x:v>CL0699</x:v>
      </x:c>
      <x:c r="H1505" s="32" t="n">
        <x:f>COUNTIF($G$5:$G$1725,G1505)</x:f>
        <x:v>1</x:v>
      </x:c>
      <x:c r="I1505" s="30" t="str">
        <x:v>A22</x:v>
      </x:c>
      <x:c r="J1505" s="31" t="str">
        <x:v>tell me what you know about the China policy pivot (detail such as size of the swap facility) | Give me one investment idea | Asset allocation (client profile is the interviewer himself)</x:v>
      </x:c>
    </x:row>
    <x:row r="1506" ht="48" customHeight="1">
      <x:c r="A1506" s="30" t="str">
        <x:v>QB2587</x:v>
      </x:c>
      <x:c r="B1506" s="30" t="str">
        <x:v>MS IED</x:v>
      </x:c>
      <x:c r="C1506" s="30" t="str">
        <x:v>Sales &amp; Trading</x:v>
      </x:c>
      <x:c r="D1506" s="31" t="str">
        <x:v>are you good at math &amp; coding</x:v>
      </x:c>
      <x:c r="E1506" s="31" t="str">
        <x:v>Are you good at math &amp; coding</x:v>
      </x:c>
      <x:c r="F1506" s="31" t="str">
        <x:v>Other Technical</x:v>
      </x:c>
      <x:c r="G1506" s="30" t="str">
        <x:v>CL0136</x:v>
      </x:c>
      <x:c r="H1506" s="32" t="n">
        <x:f>COUNTIF($G$5:$G$1725,G1506)</x:f>
        <x:v>1</x:v>
      </x:c>
      <x:c r="I1506" s="30" t="str">
        <x:v>N22</x:v>
      </x:c>
      <x:c r="J1506" s="31" t="str">
        <x:v>One market headline ur following | what do you think are your adv and disadv | preference within IED (sales, trading, or structuring)</x:v>
      </x:c>
    </x:row>
    <x:row r="1507" ht="32" customHeight="1">
      <x:c r="A1507" s="30" t="str">
        <x:v>QB2591</x:v>
      </x:c>
      <x:c r="B1507" s="30" t="str">
        <x:v>MS IED</x:v>
      </x:c>
      <x:c r="C1507" s="30" t="str">
        <x:v>Sales &amp; Trading</x:v>
      </x:c>
      <x:c r="D1507" s="31" t="str">
        <x:v>Stock Pitch (30min prep + 10min pre + 5min Q&amp;A)</x:v>
      </x:c>
      <x:c r="E1507" s="31" t="str">
        <x:v>Pitch me a stock</x:v>
      </x:c>
      <x:c r="F1507" s="31" t="str">
        <x:v>Investment Pitch</x:v>
      </x:c>
      <x:c r="G1507" s="30" t="str">
        <x:v>CL0006</x:v>
      </x:c>
      <x:c r="H1507" s="32" t="n">
        <x:f>COUNTIF($G$5:$G$1725,G1507)</x:f>
        <x:v>19</x:v>
      </x:c>
      <x:c r="I1507" s="30" t="str">
        <x:v>A28</x:v>
      </x:c>
      <x:c r="J1507" s="31" t="str">
        <x:v>2026 SA/IP IED | John | Round 1 (David - ? and ? - EQ Sales)</x:v>
      </x:c>
    </x:row>
    <x:row r="1508" ht="68" customHeight="1">
      <x:c r="A1508" s="30" t="str">
        <x:v>QB2594</x:v>
      </x:c>
      <x:c r="B1508" s="30" t="str">
        <x:v>MS IED</x:v>
      </x:c>
      <x:c r="C1508" s="30" t="str">
        <x:v>Sales &amp; Trading</x:v>
      </x:c>
      <x:c r="D1508" s="31" t="str">
        <x:v>The stock you pitched just suffered a 5% price slump this morning. Any ideas on what's going on?</x:v>
      </x:c>
      <x:c r="E1508" s="31" t="str">
        <x:v>The stock you pitched just suffered a 5% price slump this morning. Any ideas on what's going on</x:v>
      </x:c>
      <x:c r="F1508" s="31" t="str">
        <x:v>Investment Pitch</x:v>
      </x:c>
      <x:c r="G1508" s="30" t="str">
        <x:v>CL0783</x:v>
      </x:c>
      <x:c r="H1508" s="32" t="n">
        <x:f>COUNTIF($G$5:$G$1725,G1508)</x:f>
        <x:v>1</x:v>
      </x:c>
      <x:c r="I1508" s="30" t="str">
        <x:v>B30</x:v>
      </x:c>
      <x:c r="J1508" s="31" t="str">
        <x:v>as portfolio manager what would u consider to do | what is the one thing u felt has not been priced in and investors should be most excited about | market beta questions &amp; what happens if economy is sluggish</x:v>
      </x:c>
    </x:row>
    <x:row r="1509" ht="68" customHeight="1">
      <x:c r="A1509" s="30" t="str">
        <x:v>QB2595</x:v>
      </x:c>
      <x:c r="B1509" s="30" t="str">
        <x:v>MS IED</x:v>
      </x:c>
      <x:c r="C1509" s="30" t="str">
        <x:v>Sales &amp; Trading</x:v>
      </x:c>
      <x:c r="D1509" s="31" t="str">
        <x:v>Although the company's valuation is relatively cheap compared to its sector peers, but its current 24x PE is almost two times high of the KOSPI. And the stock price's YTD is 70%. Where is your confidence to believe there will be even more potential?</x:v>
      </x:c>
      <x:c r="E1509" s="31" t="str">
        <x:v>Although the company's valuation is relatively cheap compared to its sector peers, but its current 24x PE is almost two times high of the KOSPI. And the stock price's YTD is 70%. Where is your confidence to believe there will be even more potential</x:v>
      </x:c>
      <x:c r="F1509" s="31" t="str">
        <x:v>Accounting &amp; Financial Statements</x:v>
      </x:c>
      <x:c r="G1509" s="30" t="str">
        <x:v>CL0109</x:v>
      </x:c>
      <x:c r="H1509" s="32" t="n">
        <x:f>COUNTIF($G$5:$G$1725,G1509)</x:f>
        <x:v>1</x:v>
      </x:c>
      <x:c r="I1509" s="30" t="str">
        <x:v>B31</x:v>
      </x:c>
      <x:c r="J1509" s="31" t="str">
        <x:v>what is the one thing u felt has not been priced in and investors should be most excited about | market beta questions &amp; what happens if economy is sluggish | The stock you pitched just suffered a 5% price slump this morning. Any ideas o...</x:v>
      </x:c>
    </x:row>
    <x:row r="1510" ht="118" customHeight="1">
      <x:c r="A1510" s="30" t="str">
        <x:v>QB2596</x:v>
      </x:c>
      <x:c r="B1510" s="30" t="str">
        <x:v>MS IED</x:v>
      </x:c>
      <x:c r="C1510" s="30" t="str">
        <x:v>Sales &amp; Trading</x:v>
      </x:c>
      <x:c r="D1510" s="31" t="str">
        <x:v>You mentioned several key product lines/models that the company is providing. Which one has the highest margin and we should pay extra attention on?</x:v>
      </x:c>
      <x:c r="E1510" s="31" t="str">
        <x:v>You mentioned several key product lines/models that the company is providing. Which one has the highest margin and we should pay extra attention on</x:v>
      </x:c>
      <x:c r="F1510" s="31" t="str">
        <x:v>Accounting &amp; Financial Statements</x:v>
      </x:c>
      <x:c r="G1510" s="30" t="str">
        <x:v>CL1207</x:v>
      </x:c>
      <x:c r="H1510" s="32" t="n">
        <x:f>COUNTIF($G$5:$G$1725,G1510)</x:f>
        <x:v>1</x:v>
      </x:c>
      <x:c r="I1510" s="30" t="str">
        <x:v>B32</x:v>
      </x:c>
      <x:c r="J1510" s="31" t="str">
        <x:v>market beta questions &amp; what happens if economy is sluggish | The stock you pitched just suffered a 5% price slump this morning. Any ideas on what's going on? | Although the company's valuation is relatively cheap compared to its sector ...</x:v>
      </x:c>
    </x:row>
    <x:row r="1511" ht="68" customHeight="1">
      <x:c r="A1511" s="30" t="str">
        <x:v>QB2598</x:v>
      </x:c>
      <x:c r="B1511" s="30" t="str">
        <x:v>MS IED</x:v>
      </x:c>
      <x:c r="C1511" s="30" t="str">
        <x:v>Sales &amp; Trading</x:v>
      </x:c>
      <x:c r="D1511" s="31" t="str">
        <x:v>Give you 1 mn today, or 100k per year for the rest of your life, which one do you prefer?</x:v>
      </x:c>
      <x:c r="E1511" s="31" t="str">
        <x:v>Give you 1 mn today, or 100k per year for the rest of your life, which one do you prefer</x:v>
      </x:c>
      <x:c r="F1511" s="31" t="str">
        <x:v>Other Question</x:v>
      </x:c>
      <x:c r="G1511" s="30" t="str">
        <x:v>CL0351</x:v>
      </x:c>
      <x:c r="H1511" s="32" t="n">
        <x:f>COUNTIF($G$5:$G$1725,G1511)</x:f>
        <x:v>1</x:v>
      </x:c>
      <x:c r="I1511" s="30" t="str">
        <x:v>A36</x:v>
      </x:c>
      <x:c r="J1511" s="31" t="str">
        <x:v>Reading Material is essentially one piece of the MS's most updated ER reports - mine is about the Asia Defence Sector | Follow-up Qs on the stock pitch | General Qs:</x:v>
      </x:c>
    </x:row>
    <x:row r="1512" ht="68" customHeight="1">
      <x:c r="A1512" s="30" t="str">
        <x:v>QB2600</x:v>
      </x:c>
      <x:c r="B1512" s="30" t="str">
        <x:v>MS IED</x:v>
      </x:c>
      <x:c r="C1512" s="30" t="str">
        <x:v>Sales &amp; Trading</x:v>
      </x:c>
      <x:c r="D1512" s="31" t="str">
        <x:v>What's your passion for your future career?</x:v>
      </x:c>
      <x:c r="E1512" s="31" t="str">
        <x:v>What's your passion for your future career</x:v>
      </x:c>
      <x:c r="F1512" s="31" t="str">
        <x:v>Other Question</x:v>
      </x:c>
      <x:c r="G1512" s="30" t="str">
        <x:v>CL1066</x:v>
      </x:c>
      <x:c r="H1512" s="32" t="n">
        <x:f>COUNTIF($G$5:$G$1725,G1512)</x:f>
        <x:v>1</x:v>
      </x:c>
      <x:c r="I1512" s="30" t="str">
        <x:v>A38</x:v>
      </x:c>
      <x:c r="J1512" s="31" t="str">
        <x:v>General Qs: | Give you 1 mn today, or 100k per year for the rest of your life, which one do you prefer? | Follow-up: you said you can start making the investment with the 1 mn today to generate a 6-7% annual return. How do you invest and...</x:v>
      </x:c>
    </x:row>
    <x:row r="1513" ht="92" customHeight="1">
      <x:c r="A1513" s="30" t="str">
        <x:v>QB2601</x:v>
      </x:c>
      <x:c r="B1513" s="30" t="str">
        <x:v>MS IED</x:v>
      </x:c>
      <x:c r="C1513" s="30" t="str">
        <x:v>Sales &amp; Trading</x:v>
      </x:c>
      <x:c r="D1513" s="31" t="str">
        <x:v>What's the stock price of MS today and what are some of the drivers of the stock recently?</x:v>
      </x:c>
      <x:c r="E1513" s="31" t="str">
        <x:v>What's the stock price of MS today and what are some of the drivers of the stock recently</x:v>
      </x:c>
      <x:c r="F1513" s="31" t="str">
        <x:v>Other Question</x:v>
      </x:c>
      <x:c r="G1513" s="30" t="str">
        <x:v>CL1058</x:v>
      </x:c>
      <x:c r="H1513" s="32" t="n">
        <x:f>COUNTIF($G$5:$G$1725,G1513)</x:f>
        <x:v>1</x:v>
      </x:c>
      <x:c r="I1513" s="30" t="str">
        <x:v>A39</x:v>
      </x:c>
      <x:c r="J1513" s="31" t="str">
        <x:v>Give you 1 mn today, or 100k per year for the rest of your life, which one do you prefer? | Follow-up: you said you can start making the investment with the 1 mn today to generate a 6-7% annual return. How do you invest and what's your s...</x:v>
      </x:c>
    </x:row>
    <x:row r="1514" ht="68" customHeight="1">
      <x:c r="A1514" s="30" t="str">
        <x:v>QB2603</x:v>
      </x:c>
      <x:c r="B1514" s="30" t="str">
        <x:v>MS IED</x:v>
      </x:c>
      <x:c r="C1514" s="30" t="str">
        <x:v>Sales &amp; Trading</x:v>
      </x:c>
      <x:c r="D1514" s="31" t="str">
        <x:v>Walk me through you CV</x:v>
      </x:c>
      <x:c r="E1514" s="31" t="str">
        <x:v>Walk me through you CV</x:v>
      </x:c>
      <x:c r="F1514" s="31" t="str">
        <x:v>Resume &amp; Experience</x:v>
      </x:c>
      <x:c r="G1514" s="30" t="str">
        <x:v>CL0840</x:v>
      </x:c>
      <x:c r="H1514" s="32" t="n">
        <x:f>COUNTIF($G$5:$G$1725,G1514)</x:f>
        <x:v>1</x:v>
      </x:c>
      <x:c r="I1514" s="30" t="str">
        <x:v>A42</x:v>
      </x:c>
      <x:c r="J1514" s="31" t="str">
        <x:v>What's your passion for your future career? | What's the stock price of MS today and what are some of the drivers of the stock recently? | Round 2 (Sharon Sham - ED, Ele Trading)</x:v>
      </x:c>
    </x:row>
    <x:row r="1515" ht="48" customHeight="1">
      <x:c r="A1515" s="30" t="str">
        <x:v>QB2604</x:v>
      </x:c>
      <x:c r="B1515" s="30" t="str">
        <x:v>MS IED</x:v>
      </x:c>
      <x:c r="C1515" s="30" t="str">
        <x:v>Sales &amp; Trading</x:v>
      </x:c>
      <x:c r="D1515" s="31" t="str">
        <x:v>Tell me about you PA account - what's the stock that you most want to buy? (essentially a stock pitch)</x:v>
      </x:c>
      <x:c r="E1515" s="31" t="str">
        <x:v>Pitch me a stock</x:v>
      </x:c>
      <x:c r="F1515" s="31" t="str">
        <x:v>Investment Pitch</x:v>
      </x:c>
      <x:c r="G1515" s="30" t="str">
        <x:v>CL0006</x:v>
      </x:c>
      <x:c r="H1515" s="32" t="n">
        <x:f>COUNTIF($G$5:$G$1725,G1515)</x:f>
        <x:v>19</x:v>
      </x:c>
      <x:c r="I1515" s="30" t="str">
        <x:v>A43</x:v>
      </x:c>
      <x:c r="J1515" s="31" t="str">
        <x:v>What's the stock price of MS today and what are some of the drivers of the stock recently? | Round 2 (Sharon Sham - ED, Ele Trading) | Walk me through you CV</x:v>
      </x:c>
    </x:row>
    <x:row r="1516" ht="68" customHeight="1">
      <x:c r="A1516" s="30" t="str">
        <x:v>QB2606</x:v>
      </x:c>
      <x:c r="B1516" s="30" t="str">
        <x:v>MS IED</x:v>
      </x:c>
      <x:c r="C1516" s="30" t="str">
        <x:v>Sales &amp; Trading</x:v>
      </x:c>
      <x:c r="D1516" s="31" t="str">
        <x:v>Some questions related to my hobbies. How do you balance that with your study/interviews?</x:v>
      </x:c>
      <x:c r="E1516" s="31" t="str">
        <x:v>What are your interests outside work and school?</x:v>
      </x:c>
      <x:c r="F1516" s="31" t="str">
        <x:v>Other Question</x:v>
      </x:c>
      <x:c r="G1516" s="30" t="str">
        <x:v>CL0014</x:v>
      </x:c>
      <x:c r="H1516" s="32" t="n">
        <x:f>COUNTIF($G$5:$G$1725,G1516)</x:f>
        <x:v>10</x:v>
      </x:c>
      <x:c r="I1516" s="30" t="str">
        <x:v>A45</x:v>
      </x:c>
      <x:c r="J1516" s="31" t="str">
        <x:v>Walk me through you CV | Tell me about you PA account - what's the stock that you most want to buy? (essentially a stock pitch) | Follow-up: any risk factors or possible headwinds for this company?</x:v>
      </x:c>
    </x:row>
    <x:row r="1517" ht="92" customHeight="1">
      <x:c r="A1517" s="30" t="str">
        <x:v>QB2607</x:v>
      </x:c>
      <x:c r="B1517" s="30" t="str">
        <x:v>MS IED</x:v>
      </x:c>
      <x:c r="C1517" s="30" t="str">
        <x:v>Sales &amp; Trading</x:v>
      </x:c>
      <x:c r="D1517" s="31" t="str">
        <x:v>Give me a case when you were doing a project and got stuck with it? How did you handle that?</x:v>
      </x:c>
      <x:c r="E1517" s="31" t="str">
        <x:v>Give me a case when you were doing a project and got stuck with it? How did you handle that</x:v>
      </x:c>
      <x:c r="F1517" s="31" t="str">
        <x:v>Other Question</x:v>
      </x:c>
      <x:c r="G1517" s="30" t="str">
        <x:v>CL0344</x:v>
      </x:c>
      <x:c r="H1517" s="32" t="n">
        <x:f>COUNTIF($G$5:$G$1725,G1517)</x:f>
        <x:v>1</x:v>
      </x:c>
      <x:c r="I1517" s="30" t="str">
        <x:v>A46</x:v>
      </x:c>
      <x:c r="J1517" s="31" t="str">
        <x:v>Tell me about you PA account - what's the stock that you most want to buy? (essentially a stock pitch) | Follow-up: any risk factors or possible headwinds for this company? | Some questions related to my hobbies. How do you balance that ...</x:v>
      </x:c>
    </x:row>
    <x:row r="1518" ht="68" customHeight="1">
      <x:c r="A1518" s="30" t="str">
        <x:v>QB2609</x:v>
      </x:c>
      <x:c r="B1518" s="30" t="str">
        <x:v>MS IED</x:v>
      </x:c>
      <x:c r="C1518" s="30" t="str">
        <x:v>Sales &amp; Trading</x:v>
      </x:c>
      <x:c r="D1518" s="31" t="str">
        <x:v>What do you think are the important qualities to become a successful salesperson?</x:v>
      </x:c>
      <x:c r="E1518" s="31" t="str">
        <x:v>What do you think are the important qualities to become a successful salesperson</x:v>
      </x:c>
      <x:c r="F1518" s="31" t="str">
        <x:v>Behavioral &amp; Situational</x:v>
      </x:c>
      <x:c r="G1518" s="30" t="str">
        <x:v>CL0926</x:v>
      </x:c>
      <x:c r="H1518" s="32" t="n">
        <x:f>COUNTIF($G$5:$G$1725,G1518)</x:f>
        <x:v>1</x:v>
      </x:c>
      <x:c r="I1518" s="30" t="str">
        <x:v>A48</x:v>
      </x:c>
      <x:c r="J1518" s="31" t="str">
        <x:v>Some questions related to my hobbies. How do you balance that with your study/interviews? | Give me a case when you were doing a project and got stuck with it? How did you handle that? | Asked about an intern project that I did before (o...</x:v>
      </x:c>
    </x:row>
    <x:row r="1519" ht="68" customHeight="1">
      <x:c r="A1519" s="30" t="str">
        <x:v>QB2610</x:v>
      </x:c>
      <x:c r="B1519" s="30" t="str">
        <x:v>MS IED</x:v>
      </x:c>
      <x:c r="C1519" s="30" t="str">
        <x:v>Sales &amp; Trading</x:v>
      </x:c>
      <x:c r="D1519" s="31" t="str">
        <x:v>What roles you are intereted in within the IED business?</x:v>
      </x:c>
      <x:c r="E1519" s="31" t="str">
        <x:v>What roles you are intereted in within the IED business</x:v>
      </x:c>
      <x:c r="F1519" s="31" t="str">
        <x:v>Other Question</x:v>
      </x:c>
      <x:c r="G1519" s="30" t="str">
        <x:v>CL1028</x:v>
      </x:c>
      <x:c r="H1519" s="32" t="n">
        <x:f>COUNTIF($G$5:$G$1725,G1519)</x:f>
        <x:v>1</x:v>
      </x:c>
      <x:c r="I1519" s="30" t="str">
        <x:v>A49</x:v>
      </x:c>
      <x:c r="J1519" s="31" t="str">
        <x:v>Give me a case when you were doing a project and got stuck with it? How did you handle that? | Asked about an intern project that I did before (on my CV) | What do you think are the important qualities to become a successful salesperson?</x:v>
      </x:c>
    </x:row>
    <x:row r="1520" ht="32" customHeight="1">
      <x:c r="A1520" s="30" t="str">
        <x:v>QB2615</x:v>
      </x:c>
      <x:c r="B1520" s="30" t="str">
        <x:v>Barclays GM</x:v>
      </x:c>
      <x:c r="C1520" s="30" t="str">
        <x:v>Sales &amp; Trading</x:v>
      </x:c>
      <x:c r="D1520" s="31" t="str">
        <x:v>With Cathy Burbridge, from PT Team, Asso?</x:v>
      </x:c>
      <x:c r="E1520" s="31" t="str">
        <x:v>With Cathy Burbridge, from PT Team, Asso</x:v>
      </x:c>
      <x:c r="F1520" s="31" t="str">
        <x:v>Behavioral &amp; Situational</x:v>
      </x:c>
      <x:c r="G1520" s="30" t="str">
        <x:v>CL1186</x:v>
      </x:c>
      <x:c r="H1520" s="32" t="n">
        <x:f>COUNTIF($G$5:$G$1725,G1520)</x:f>
        <x:v>1</x:v>
      </x:c>
      <x:c r="I1520" s="30" t="str">
        <x:v>A4</x:v>
      </x:c>
      <x:c r="J1520" s="31" t="str">
        <x:v>2026 Summer Analyst | First Round - Cash Equity Team | John</x:v>
      </x:c>
    </x:row>
    <x:row r="1521" ht="32" customHeight="1">
      <x:c r="A1521" s="30" t="str">
        <x:v>QB2616</x:v>
      </x:c>
      <x:c r="B1521" s="30" t="str">
        <x:v>Barclays GM</x:v>
      </x:c>
      <x:c r="C1521" s="30" t="str">
        <x:v>Sales &amp; Trading</x:v>
      </x:c>
      <x:c r="D1521" s="31" t="str">
        <x:v>Self intro</x:v>
      </x:c>
      <x:c r="E1521" s="31" t="str">
        <x:v>Tell me about yourself / walk me through your resume</x:v>
      </x:c>
      <x:c r="F1521" s="31" t="str">
        <x:v>Resume &amp; Experience</x:v>
      </x:c>
      <x:c r="G1521" s="30" t="str">
        <x:v>CL0001</x:v>
      </x:c>
      <x:c r="H1521" s="32" t="n">
        <x:f>COUNTIF($G$5:$G$1725,G1521)</x:f>
        <x:v>170</x:v>
      </x:c>
      <x:c r="I1521" s="30" t="str">
        <x:v>A6</x:v>
      </x:c>
      <x:c r="J1521" s="31" t="str">
        <x:v>First Round - Cash Equity Team | John | With Cathy Burbridge, from PT Team, Asso?</x:v>
      </x:c>
    </x:row>
    <x:row r="1522" ht="32" customHeight="1">
      <x:c r="A1522" s="30" t="str">
        <x:v>QB2617</x:v>
      </x:c>
      <x:c r="B1522" s="30" t="str">
        <x:v>Barclays GM</x:v>
      </x:c>
      <x:c r="C1522" s="30" t="str">
        <x:v>Sales &amp; Trading</x:v>
      </x:c>
      <x:c r="D1522" s="31" t="str">
        <x:v>What are the achievements that u've made</x:v>
      </x:c>
      <x:c r="E1522" s="31" t="str">
        <x:v>What are the achievements that u've made</x:v>
      </x:c>
      <x:c r="F1522" s="31" t="str">
        <x:v>Other Question</x:v>
      </x:c>
      <x:c r="G1522" s="30" t="str">
        <x:v>CL0875</x:v>
      </x:c>
      <x:c r="H1522" s="32" t="n">
        <x:f>COUNTIF($G$5:$G$1725,G1522)</x:f>
        <x:v>1</x:v>
      </x:c>
      <x:c r="I1522" s="30" t="str">
        <x:v>A7</x:v>
      </x:c>
      <x:c r="J1522" s="31" t="str">
        <x:v>John | With Cathy Burbridge, from PT Team, Asso? | Self intro</x:v>
      </x:c>
    </x:row>
    <x:row r="1523" ht="48" customHeight="1">
      <x:c r="A1523" s="30" t="str">
        <x:v>QB2618</x:v>
      </x:c>
      <x:c r="B1523" s="30" t="str">
        <x:v>Barclays GM</x:v>
      </x:c>
      <x:c r="C1523" s="30" t="str">
        <x:v>Sales &amp; Trading</x:v>
      </x:c>
      <x:c r="D1523" s="31" t="str">
        <x:v>Where are you currently based? (and then we chatted a lot on Milan very casually)</x:v>
      </x:c>
      <x:c r="E1523" s="31" t="str">
        <x:v>Where are you currently based? (and then we chatted a lot on Milan very casually)</x:v>
      </x:c>
      <x:c r="F1523" s="31" t="str">
        <x:v>Other Question</x:v>
      </x:c>
      <x:c r="G1523" s="30" t="str">
        <x:v>CL1083</x:v>
      </x:c>
      <x:c r="H1523" s="32" t="n">
        <x:f>COUNTIF($G$5:$G$1725,G1523)</x:f>
        <x:v>1</x:v>
      </x:c>
      <x:c r="I1523" s="30" t="str">
        <x:v>A8</x:v>
      </x:c>
      <x:c r="J1523" s="31" t="str">
        <x:v>With Cathy Burbridge, from PT Team, Asso? | Self intro | What are the achievements that u've made</x:v>
      </x:c>
    </x:row>
    <x:row r="1524" ht="48" customHeight="1">
      <x:c r="A1524" s="30" t="str">
        <x:v>QB2619</x:v>
      </x:c>
      <x:c r="B1524" s="30" t="str">
        <x:v>Barclays GM</x:v>
      </x:c>
      <x:c r="C1524" s="30" t="str">
        <x:v>Sales &amp; Trading</x:v>
      </x:c>
      <x:c r="D1524" s="31" t="str">
        <x:v>Why Trading roles?</x:v>
      </x:c>
      <x:c r="E1524" s="31" t="str">
        <x:v>Why Trading roles</x:v>
      </x:c>
      <x:c r="F1524" s="31" t="str">
        <x:v>Fit &amp; Motivation</x:v>
      </x:c>
      <x:c r="G1524" s="30" t="str">
        <x:v>CL1167</x:v>
      </x:c>
      <x:c r="H1524" s="32" t="n">
        <x:f>COUNTIF($G$5:$G$1725,G1524)</x:f>
        <x:v>1</x:v>
      </x:c>
      <x:c r="I1524" s="30" t="str">
        <x:v>A9</x:v>
      </x:c>
      <x:c r="J1524" s="31" t="str">
        <x:v>Self intro | What are the achievements that u've made | Where are you currently based? (and then we chatted a lot on Milan very casually)</x:v>
      </x:c>
    </x:row>
    <x:row r="1525" ht="48" customHeight="1">
      <x:c r="A1525" s="30" t="str">
        <x:v>QB2620</x:v>
      </x:c>
      <x:c r="B1525" s="30" t="str">
        <x:v>Barclays GM</x:v>
      </x:c>
      <x:c r="C1525" s="30" t="str">
        <x:v>Sales &amp; Trading</x:v>
      </x:c>
      <x:c r="D1525" s="31" t="str">
        <x:v>How do u usually keep updated with the market?</x:v>
      </x:c>
      <x:c r="E1525" s="31" t="str">
        <x:v>How do u usually keep updated with the market</x:v>
      </x:c>
      <x:c r="F1525" s="31" t="str">
        <x:v>Other Question</x:v>
      </x:c>
      <x:c r="G1525" s="30" t="str">
        <x:v>CL0397</x:v>
      </x:c>
      <x:c r="H1525" s="32" t="n">
        <x:f>COUNTIF($G$5:$G$1725,G1525)</x:f>
        <x:v>1</x:v>
      </x:c>
      <x:c r="I1525" s="30" t="str">
        <x:v>A10</x:v>
      </x:c>
      <x:c r="J1525" s="31" t="str">
        <x:v>What are the achievements that u've made | Where are you currently based? (and then we chatted a lot on Milan very casually) | Why Trading roles?</x:v>
      </x:c>
    </x:row>
    <x:row r="1526" ht="48" customHeight="1">
      <x:c r="A1526" s="30" t="str">
        <x:v>QB2621</x:v>
      </x:c>
      <x:c r="B1526" s="30" t="str">
        <x:v>Barclays GM</x:v>
      </x:c>
      <x:c r="C1526" s="30" t="str">
        <x:v>Sales &amp; Trading</x:v>
      </x:c>
      <x:c r="D1526" s="31" t="str">
        <x:v>Do you the difference between High Touch, Low Touch, and PT (Portfolio Trading)?</x:v>
      </x:c>
      <x:c r="E1526" s="31" t="str">
        <x:v>Do you the difference between High Touch, Low Touch, and PT (Portfolio Trading)</x:v>
      </x:c>
      <x:c r="F1526" s="31" t="str">
        <x:v>Sales &amp; Trading</x:v>
      </x:c>
      <x:c r="G1526" s="30" t="str">
        <x:v>CL0291</x:v>
      </x:c>
      <x:c r="H1526" s="32" t="n">
        <x:f>COUNTIF($G$5:$G$1725,G1526)</x:f>
        <x:v>1</x:v>
      </x:c>
      <x:c r="I1526" s="30" t="str">
        <x:v>A11</x:v>
      </x:c>
      <x:c r="J1526" s="31" t="str">
        <x:v>Where are you currently based? (and then we chatted a lot on Milan very casually) | Why Trading roles? | How do u usually keep updated with the market?</x:v>
      </x:c>
    </x:row>
    <x:row r="1527" ht="48" customHeight="1">
      <x:c r="A1527" s="30" t="str">
        <x:v>QB2622</x:v>
      </x:c>
      <x:c r="B1527" s="30" t="str">
        <x:v>Barclays GM</x:v>
      </x:c>
      <x:c r="C1527" s="30" t="str">
        <x:v>Sales &amp; Trading</x:v>
      </x:c>
      <x:c r="D1527" s="31" t="str">
        <x:v>Previously you did lots of sales and research roles, any idea about trading roles?</x:v>
      </x:c>
      <x:c r="E1527" s="31" t="str">
        <x:v>Previously you did lots of sales and research roles, any idea about trading roles</x:v>
      </x:c>
      <x:c r="F1527" s="31" t="str">
        <x:v>Sales &amp; Trading</x:v>
      </x:c>
      <x:c r="G1527" s="30" t="str">
        <x:v>CL0651</x:v>
      </x:c>
      <x:c r="H1527" s="32" t="n">
        <x:f>COUNTIF($G$5:$G$1725,G1527)</x:f>
        <x:v>1</x:v>
      </x:c>
      <x:c r="I1527" s="30" t="str">
        <x:v>A12</x:v>
      </x:c>
      <x:c r="J1527" s="31" t="str">
        <x:v>Why Trading roles? | How do u usually keep updated with the market? | Do you the difference between High Touch, Low Touch, and PT (Portfolio Trading)?</x:v>
      </x:c>
    </x:row>
    <x:row r="1528" ht="68" customHeight="1">
      <x:c r="A1528" s="30" t="str">
        <x:v>QB2624</x:v>
      </x:c>
      <x:c r="B1528" s="30" t="str">
        <x:v>Barclays GM</x:v>
      </x:c>
      <x:c r="C1528" s="30" t="str">
        <x:v>Sales &amp; Trading</x:v>
      </x:c>
      <x:c r="D1528" s="31" t="str">
        <x:v>#remark: they only looks for trading role within the Cash EQ Team</x:v>
      </x:c>
      <x:c r="E1528" s="31" t="str">
        <x:v>#remark: they only looks for trading role within the Cash EQ Team</x:v>
      </x:c>
      <x:c r="F1528" s="31" t="str">
        <x:v>Sales &amp; Trading</x:v>
      </x:c>
      <x:c r="G1528" s="30" t="str">
        <x:v>CL0061</x:v>
      </x:c>
      <x:c r="H1528" s="32" t="n">
        <x:f>COUNTIF($G$5:$G$1725,G1528)</x:f>
        <x:v>1</x:v>
      </x:c>
      <x:c r="I1528" s="30" t="str">
        <x:v>A15</x:v>
      </x:c>
      <x:c r="J1528" s="31" t="str">
        <x:v>Do you the difference between High Touch, Low Touch, and PT (Portfolio Trading)? | Previously you did lots of sales and research roles, any idea about trading roles? | 反问</x:v>
      </x:c>
    </x:row>
    <x:row r="1529" ht="48" customHeight="1">
      <x:c r="A1529" s="30" t="str">
        <x:v>QB2629</x:v>
      </x:c>
      <x:c r="B1529" s="30" t="str">
        <x:v>BofA (GM)</x:v>
      </x:c>
      <x:c r="C1529" s="30" t="str">
        <x:v>Sales &amp; Trading</x:v>
      </x:c>
      <x:c r="D1529" s="31" t="str">
        <x:v>self intro</x:v>
      </x:c>
      <x:c r="E1529" s="31" t="str">
        <x:v>Tell me about yourself / walk me through your resume</x:v>
      </x:c>
      <x:c r="F1529" s="31" t="str">
        <x:v>Resume &amp; Experience</x:v>
      </x:c>
      <x:c r="G1529" s="30" t="str">
        <x:v>CL0001</x:v>
      </x:c>
      <x:c r="H1529" s="32" t="n">
        <x:f>COUNTIF($G$5:$G$1725,G1529)</x:f>
        <x:v>170</x:v>
      </x:c>
      <x:c r="I1529" s="30" t="str">
        <x:v>A5</x:v>
      </x:c>
      <x:c r="J1529" s="31" t="str">
        <x:v>John | First Round | 24 with Equities Trading - Christelle Nachar, Director (Developed Markets Index)</x:v>
      </x:c>
    </x:row>
    <x:row r="1530" ht="48" customHeight="1">
      <x:c r="A1530" s="30" t="str">
        <x:v>QB2630</x:v>
      </x:c>
      <x:c r="B1530" s="30" t="str">
        <x:v>BofA (GM)</x:v>
      </x:c>
      <x:c r="C1530" s="30" t="str">
        <x:v>Sales &amp; Trading</x:v>
      </x:c>
      <x:c r="D1530" s="31" t="str">
        <x:v>Do you apply for other banks' programs? Then why BofA? (I said rotational opportunities within a real universal bank + friends' recommendation)</x:v>
      </x:c>
      <x:c r="E1530" s="31" t="str">
        <x:v>Do you apply for other banks' programs? Then why BofA? (I said rotational opportunities within a real universal bank + friends' recommendation)</x:v>
      </x:c>
      <x:c r="F1530" s="31" t="str">
        <x:v>Fit &amp; Motivation</x:v>
      </x:c>
      <x:c r="G1530" s="30" t="str">
        <x:v>CL0267</x:v>
      </x:c>
      <x:c r="H1530" s="32" t="n">
        <x:f>COUNTIF($G$5:$G$1725,G1530)</x:f>
        <x:v>1</x:v>
      </x:c>
      <x:c r="I1530" s="30" t="str">
        <x:v>A6</x:v>
      </x:c>
      <x:c r="J1530" s="31" t="str">
        <x:v>First Round | 24 with Equities Trading - Christelle Nachar, Director (Developed Markets Index) | self intro</x:v>
      </x:c>
    </x:row>
    <x:row r="1531" ht="68" customHeight="1">
      <x:c r="A1531" s="30" t="str">
        <x:v>QB2631</x:v>
      </x:c>
      <x:c r="B1531" s="30" t="str">
        <x:v>BofA (GM)</x:v>
      </x:c>
      <x:c r="C1531" s="30" t="str">
        <x:v>Sales &amp; Trading</x:v>
      </x:c>
      <x:c r="D1531" s="31" t="str">
        <x:v>Since BofA is really a global bank with businesses across the world, what do you see in your future careers? Focus in HK or probably move to US/EU?</x:v>
      </x:c>
      <x:c r="E1531" s="31" t="str">
        <x:v>Since BofA is really a global bank with businesses across the world, what do you see in your future careers? Focus in HK or probably move to US/EU</x:v>
      </x:c>
      <x:c r="F1531" s="31" t="str">
        <x:v>Accounting &amp; Financial Statements</x:v>
      </x:c>
      <x:c r="G1531" s="30" t="str">
        <x:v>CL0678</x:v>
      </x:c>
      <x:c r="H1531" s="32" t="n">
        <x:f>COUNTIF($G$5:$G$1725,G1531)</x:f>
        <x:v>1</x:v>
      </x:c>
      <x:c r="I1531" s="30" t="str">
        <x:v>A7</x:v>
      </x:c>
      <x:c r="J1531" s="31" t="str">
        <x:v>24 with Equities Trading - Christelle Nachar, Director (Developed Markets Index) | self intro | Do you apply for other banks' programs? Then why BofA? (I said rotational opportunities within a real universal bank + friends' recommendation)</x:v>
      </x:c>
    </x:row>
    <x:row r="1532" ht="92" customHeight="1">
      <x:c r="A1532" s="30" t="str">
        <x:v>QB2632</x:v>
      </x:c>
      <x:c r="B1532" s="30" t="str">
        <x:v>BofA (GM)</x:v>
      </x:c>
      <x:c r="C1532" s="30" t="str">
        <x:v>Sales &amp; Trading</x:v>
      </x:c>
      <x:c r="D1532" s="31" t="str">
        <x:v>Then if I let you choose the three rotational desk, what would you choose? Why? (I said mostly sales-related)</x:v>
      </x:c>
      <x:c r="E1532" s="31" t="str">
        <x:v>Then if I let you choose the three rotational desk, what would you choose? Why? (I said mostly sales-related)</x:v>
      </x:c>
      <x:c r="F1532" s="31" t="str">
        <x:v>Fit &amp; Motivation</x:v>
      </x:c>
      <x:c r="G1532" s="30" t="str">
        <x:v>CL0786</x:v>
      </x:c>
      <x:c r="H1532" s="32" t="n">
        <x:f>COUNTIF($G$5:$G$1725,G1532)</x:f>
        <x:v>1</x:v>
      </x:c>
      <x:c r="I1532" s="30" t="str">
        <x:v>A8</x:v>
      </x:c>
      <x:c r="J1532" s="31" t="str">
        <x:v>self intro | Do you apply for other banks' programs? Then why BofA? (I said rotational opportunities within a real universal bank + friends' recommendation) | Since BofA is really a global bank with businesses across the world, what do y...</x:v>
      </x:c>
    </x:row>
    <x:row r="1533" ht="118" customHeight="1">
      <x:c r="A1533" s="30" t="str">
        <x:v>QB2633</x:v>
      </x:c>
      <x:c r="B1533" s="30" t="str">
        <x:v>BofA (GM)</x:v>
      </x:c>
      <x:c r="C1533" s="30" t="str">
        <x:v>Sales &amp; Trading</x:v>
      </x:c>
      <x:c r="D1533" s="31" t="str">
        <x:v>What do you think the sales role are doing?</x:v>
      </x:c>
      <x:c r="E1533" s="31" t="str">
        <x:v>What do you think the sales role are doing</x:v>
      </x:c>
      <x:c r="F1533" s="31" t="str">
        <x:v>Other Question</x:v>
      </x:c>
      <x:c r="G1533" s="30" t="str">
        <x:v>CL0932</x:v>
      </x:c>
      <x:c r="H1533" s="32" t="n">
        <x:f>COUNTIF($G$5:$G$1725,G1533)</x:f>
        <x:v>1</x:v>
      </x:c>
      <x:c r="I1533" s="30" t="str">
        <x:v>A9</x:v>
      </x:c>
      <x:c r="J1533" s="31" t="str">
        <x:v>Do you apply for other banks' programs? Then why BofA? (I said rotational opportunities within a real universal bank + friends' recommendation) | Since BofA is really a global bank with businesses across the world, what do you see in you...</x:v>
      </x:c>
    </x:row>
    <x:row r="1534" ht="92" customHeight="1">
      <x:c r="A1534" s="30" t="str">
        <x:v>QB2634</x:v>
      </x:c>
      <x:c r="B1534" s="30" t="str">
        <x:v>BofA (GM)</x:v>
      </x:c>
      <x:c r="C1534" s="30" t="str">
        <x:v>Sales &amp; Trading</x:v>
      </x:c>
      <x:c r="D1534" s="31" t="str">
        <x:v>Then why do you believe you can become a successful sales in BofA?</x:v>
      </x:c>
      <x:c r="E1534" s="31" t="str">
        <x:v>Then why do you believe you can become a successful sales in BofA</x:v>
      </x:c>
      <x:c r="F1534" s="31" t="str">
        <x:v>Fit &amp; Motivation</x:v>
      </x:c>
      <x:c r="G1534" s="30" t="str">
        <x:v>CL0788</x:v>
      </x:c>
      <x:c r="H1534" s="32" t="n">
        <x:f>COUNTIF($G$5:$G$1725,G1534)</x:f>
        <x:v>1</x:v>
      </x:c>
      <x:c r="I1534" s="30" t="str">
        <x:v>A10</x:v>
      </x:c>
      <x:c r="J1534" s="31" t="str">
        <x:v>Since BofA is really a global bank with businesses across the world, what do you see in your future careers? Focus in HK or probably move to US/EU? | Then if I let you choose the three rotational desk, what would you choose? Why? (I said...</x:v>
      </x:c>
    </x:row>
    <x:row r="1535" ht="68" customHeight="1">
      <x:c r="A1535" s="30" t="str">
        <x:v>QB2635</x:v>
      </x:c>
      <x:c r="B1535" s="30" t="str">
        <x:v>BofA (GM)</x:v>
      </x:c>
      <x:c r="C1535" s="30" t="str">
        <x:v>Sales &amp; Trading</x:v>
      </x:c>
      <x:c r="D1535" s="31" t="str">
        <x:v>Tell me more about your self (besides the finance side), like hobbies?</x:v>
      </x:c>
      <x:c r="E1535" s="31" t="str">
        <x:v>What are your interests outside work and school?</x:v>
      </x:c>
      <x:c r="F1535" s="31" t="str">
        <x:v>Other Technical</x:v>
      </x:c>
      <x:c r="G1535" s="30" t="str">
        <x:v>CL0014</x:v>
      </x:c>
      <x:c r="H1535" s="32" t="n">
        <x:f>COUNTIF($G$5:$G$1725,G1535)</x:f>
        <x:v>10</x:v>
      </x:c>
      <x:c r="I1535" s="30" t="str">
        <x:v>A11</x:v>
      </x:c>
      <x:c r="J1535" s="31" t="str">
        <x:v>Then if I let you choose the three rotational desk, what would you choose? Why? (I said mostly sales-related) | What do you think the sales role are doing? | Then why do you believe you can become a successful sales in BofA?</x:v>
      </x:c>
    </x:row>
    <x:row r="1536" ht="48" customHeight="1">
      <x:c r="A1536" s="30" t="str">
        <x:v>QB2637</x:v>
      </x:c>
      <x:c r="B1536" s="30" t="str">
        <x:v>BofA (GM)</x:v>
      </x:c>
      <x:c r="C1536" s="30" t="str">
        <x:v>Sales &amp; Trading</x:v>
      </x:c>
      <x:c r="D1536" s="31" t="str">
        <x:v>What's the collaborative environment in BofA look like?</x:v>
      </x:c>
      <x:c r="E1536" s="31" t="str">
        <x:v>What's the collaborative environment in BofA look like</x:v>
      </x:c>
      <x:c r="F1536" s="31" t="str">
        <x:v>Other Question</x:v>
      </x:c>
      <x:c r="G1536" s="30" t="str">
        <x:v>CL1050</x:v>
      </x:c>
      <x:c r="H1536" s="32" t="n">
        <x:f>COUNTIF($G$5:$G$1725,G1536)</x:f>
        <x:v>1</x:v>
      </x:c>
      <x:c r="I1536" s="30" t="str">
        <x:v>A13</x:v>
      </x:c>
      <x:c r="J1536" s="31" t="str">
        <x:v>Then why do you believe you can become a successful sales in BofA? | Tell me more about your self (besides the finance side), like hobbies? | 反问</x:v>
      </x:c>
    </x:row>
    <x:row r="1537" ht="48" customHeight="1">
      <x:c r="A1537" s="30" t="str">
        <x:v>QB2639</x:v>
      </x:c>
      <x:c r="B1537" s="30" t="str">
        <x:v>BofA (GM)</x:v>
      </x:c>
      <x:c r="C1537" s="30" t="str">
        <x:v>Sales &amp; Trading</x:v>
      </x:c>
      <x:c r="D1537" s="31" t="str">
        <x:v>self intro</x:v>
      </x:c>
      <x:c r="E1537" s="31" t="str">
        <x:v>Tell me about yourself / walk me through your resume</x:v>
      </x:c>
      <x:c r="F1537" s="31" t="str">
        <x:v>Resume &amp; Experience</x:v>
      </x:c>
      <x:c r="G1537" s="30" t="str">
        <x:v>CL0001</x:v>
      </x:c>
      <x:c r="H1537" s="32" t="n">
        <x:f>COUNTIF($G$5:$G$1725,G1537)</x:f>
        <x:v>170</x:v>
      </x:c>
      <x:c r="I1537" s="30" t="str">
        <x:v>A16</x:v>
      </x:c>
      <x:c r="J1537" s="31" t="str">
        <x:v>反问 | What's the collaborative environment in BofA look like? | 28 with Equities Sales - Stacy He, Associate (Prime Brokerage)</x:v>
      </x:c>
    </x:row>
    <x:row r="1538" ht="48" customHeight="1">
      <x:c r="A1538" s="30" t="str">
        <x:v>QB2640</x:v>
      </x:c>
      <x:c r="B1538" s="30" t="str">
        <x:v>BofA (GM)</x:v>
      </x:c>
      <x:c r="C1538" s="30" t="str">
        <x:v>Sales &amp; Trading</x:v>
      </x:c>
      <x:c r="D1538" s="31" t="str">
        <x:v>CV based: First related internship, what did you do and what did you learn from it?</x:v>
      </x:c>
      <x:c r="E1538" s="31" t="str">
        <x:v>CV based: First related internship, what did you do and what did you learn from it</x:v>
      </x:c>
      <x:c r="F1538" s="31" t="str">
        <x:v>Resume &amp; Experience</x:v>
      </x:c>
      <x:c r="G1538" s="30" t="str">
        <x:v>CL0211</x:v>
      </x:c>
      <x:c r="H1538" s="32" t="n">
        <x:f>COUNTIF($G$5:$G$1725,G1538)</x:f>
        <x:v>1</x:v>
      </x:c>
      <x:c r="I1538" s="30" t="str">
        <x:v>A17</x:v>
      </x:c>
      <x:c r="J1538" s="31" t="str">
        <x:v>What's the collaborative environment in BofA look like? | 28 with Equities Sales - Stacy He, Associate (Prime Brokerage) | self intro</x:v>
      </x:c>
    </x:row>
    <x:row r="1539" ht="92" customHeight="1">
      <x:c r="A1539" s="30" t="str">
        <x:v>QB2643</x:v>
      </x:c>
      <x:c r="B1539" s="30" t="str">
        <x:v>BofA (GM)</x:v>
      </x:c>
      <x:c r="C1539" s="30" t="str">
        <x:v>Sales &amp; Trading</x:v>
      </x:c>
      <x:c r="D1539" s="31" t="str">
        <x:v>CV based: Second related internship, what did you do and what did you learn from it?</x:v>
      </x:c>
      <x:c r="E1539" s="31" t="str">
        <x:v>CV based: Second related internship, what did you do and what did you learn from it</x:v>
      </x:c>
      <x:c r="F1539" s="31" t="str">
        <x:v>Resume &amp; Experience</x:v>
      </x:c>
      <x:c r="G1539" s="30" t="str">
        <x:v>CL0212</x:v>
      </x:c>
      <x:c r="H1539" s="32" t="n">
        <x:f>COUNTIF($G$5:$G$1725,G1539)</x:f>
        <x:v>1</x:v>
      </x:c>
      <x:c r="I1539" s="30" t="str">
        <x:v>A20</x:v>
      </x:c>
      <x:c r="J1539" s="31" t="str">
        <x:v>CV based: First related internship, what did you do and what did you learn from it? | Follow up: Is there any multitasking examples? What do you set the priorities for different tasks? | Follow up: What if two sales give you tasks and ne...</x:v>
      </x:c>
    </x:row>
    <x:row r="1540" ht="68" customHeight="1">
      <x:c r="A1540" s="30" t="str">
        <x:v>QB2645</x:v>
      </x:c>
      <x:c r="B1540" s="30" t="str">
        <x:v>BofA (GM)</x:v>
      </x:c>
      <x:c r="C1540" s="30" t="str">
        <x:v>Sales &amp; Trading</x:v>
      </x:c>
      <x:c r="D1540" s="31" t="str">
        <x:v>Any example for working under stress?</x:v>
      </x:c>
      <x:c r="E1540" s="31" t="str">
        <x:v>Any example for working under stress</x:v>
      </x:c>
      <x:c r="F1540" s="31" t="str">
        <x:v>Other Question</x:v>
      </x:c>
      <x:c r="G1540" s="30" t="str">
        <x:v>CL0114</x:v>
      </x:c>
      <x:c r="H1540" s="32" t="n">
        <x:f>COUNTIF($G$5:$G$1725,G1540)</x:f>
        <x:v>1</x:v>
      </x:c>
      <x:c r="I1540" s="30" t="str">
        <x:v>A22</x:v>
      </x:c>
      <x:c r="J1540" s="31" t="str">
        <x:v>Follow up: What if two sales give you tasks and need to be handled within 30 mins? | CV based: Second related internship, what did you do and what did you learn from it? | 反问</x:v>
      </x:c>
    </x:row>
    <x:row r="1541" ht="32" customHeight="1">
      <x:c r="A1541" s="30" t="str">
        <x:v>QB2651</x:v>
      </x:c>
      <x:c r="B1541" s="30" t="str">
        <x:v>BofA (GM)</x:v>
      </x:c>
      <x:c r="C1541" s="30" t="str">
        <x:v>Sales &amp; Trading</x:v>
      </x:c>
      <x:c r="D1541" s="31" t="str">
        <x:v>self-intro</x:v>
      </x:c>
      <x:c r="E1541" s="31" t="str">
        <x:v>Tell me about yourself / walk me through your resume</x:v>
      </x:c>
      <x:c r="F1541" s="31" t="str">
        <x:v>Resume &amp; Experience</x:v>
      </x:c>
      <x:c r="G1541" s="30" t="str">
        <x:v>CL0001</x:v>
      </x:c>
      <x:c r="H1541" s="32" t="n">
        <x:f>COUNTIF($G$5:$G$1725,G1541)</x:f>
        <x:v>170</x:v>
      </x:c>
      <x:c r="I1541" s="30" t="str">
        <x:v>A30</x:v>
      </x:c>
      <x:c r="J1541" s="31" t="str">
        <x:v>反问 | SPD | 27 with Gordon Lai – Director, Equities Sales</x:v>
      </x:c>
    </x:row>
    <x:row r="1542" ht="32" customHeight="1">
      <x:c r="A1542" s="30" t="str">
        <x:v>QB2652</x:v>
      </x:c>
      <x:c r="B1542" s="30" t="str">
        <x:v>BofA (GM)</x:v>
      </x:c>
      <x:c r="C1542" s="30" t="str">
        <x:v>Sales &amp; Trading</x:v>
      </x:c>
      <x:c r="D1542" s="31" t="str">
        <x:v>Do you have your own investment account?</x:v>
      </x:c>
      <x:c r="E1542" s="31" t="str">
        <x:v>Do you have your own investment account</x:v>
      </x:c>
      <x:c r="F1542" s="31" t="str">
        <x:v>Other Question</x:v>
      </x:c>
      <x:c r="G1542" s="30" t="str">
        <x:v>CL0032</x:v>
      </x:c>
      <x:c r="H1542" s="32" t="n">
        <x:f>COUNTIF($G$5:$G$1725,G1542)</x:f>
        <x:v>2</x:v>
      </x:c>
      <x:c r="I1542" s="30" t="str">
        <x:v>A31</x:v>
      </x:c>
      <x:c r="J1542" s="31" t="str">
        <x:v>SPD | 27 with Gordon Lai – Director, Equities Sales | self-intro</x:v>
      </x:c>
    </x:row>
    <x:row r="1543" ht="48" customHeight="1">
      <x:c r="A1543" s="30" t="str">
        <x:v>QB2653</x:v>
      </x:c>
      <x:c r="B1543" s="30" t="str">
        <x:v>BofA (GM)</x:v>
      </x:c>
      <x:c r="C1543" s="30" t="str">
        <x:v>Sales &amp; Trading</x:v>
      </x:c>
      <x:c r="D1543" s="31" t="str">
        <x:v>Any trading ideas now? Any market/asset class/single stock.</x:v>
      </x:c>
      <x:c r="E1543" s="31" t="str">
        <x:v>Any trading ideas now? Any market/asset class/single stock</x:v>
      </x:c>
      <x:c r="F1543" s="31" t="str">
        <x:v>Sales &amp; Trading</x:v>
      </x:c>
      <x:c r="G1543" s="30" t="str">
        <x:v>CL0127</x:v>
      </x:c>
      <x:c r="H1543" s="32" t="n">
        <x:f>COUNTIF($G$5:$G$1725,G1543)</x:f>
        <x:v>1</x:v>
      </x:c>
      <x:c r="I1543" s="30" t="str">
        <x:v>A32</x:v>
      </x:c>
      <x:c r="J1543" s="31" t="str">
        <x:v>27 with Gordon Lai – Director, Equities Sales | self-intro | Do you have your own investment account?</x:v>
      </x:c>
    </x:row>
    <x:row r="1544" ht="48" customHeight="1">
      <x:c r="A1544" s="30" t="str">
        <x:v>QB2655</x:v>
      </x:c>
      <x:c r="B1544" s="30" t="str">
        <x:v>BofA (GM)</x:v>
      </x:c>
      <x:c r="C1544" s="30" t="str">
        <x:v>Sales &amp; Trading</x:v>
      </x:c>
      <x:c r="D1544" s="31" t="str">
        <x:v>Where is your passion for finance and SnT come from?</x:v>
      </x:c>
      <x:c r="E1544" s="31" t="str">
        <x:v>Where is your passion for finance and SnT come from</x:v>
      </x:c>
      <x:c r="F1544" s="31" t="str">
        <x:v>Accounting &amp; Financial Statements</x:v>
      </x:c>
      <x:c r="G1544" s="30" t="str">
        <x:v>CL1089</x:v>
      </x:c>
      <x:c r="H1544" s="32" t="n">
        <x:f>COUNTIF($G$5:$G$1725,G1544)</x:f>
        <x:v>1</x:v>
      </x:c>
      <x:c r="I1544" s="30" t="str">
        <x:v>A34</x:v>
      </x:c>
      <x:c r="J1544" s="31" t="str">
        <x:v>Do you have your own investment account? | Any trading ideas now? Any market/asset class/single stock. | Follow up: What are the competitors of that stock?</x:v>
      </x:c>
    </x:row>
    <x:row r="1545" ht="68" customHeight="1">
      <x:c r="A1545" s="30" t="str">
        <x:v>QB2656</x:v>
      </x:c>
      <x:c r="B1545" s="30" t="str">
        <x:v>BofA (GM)</x:v>
      </x:c>
      <x:c r="C1545" s="30" t="str">
        <x:v>Sales &amp; Trading</x:v>
      </x:c>
      <x:c r="D1545" s="31" t="str">
        <x:v>Any preference for the particular asset class or roles?</x:v>
      </x:c>
      <x:c r="E1545" s="31" t="str">
        <x:v>Any preference for the particular asset class or roles</x:v>
      </x:c>
      <x:c r="F1545" s="31" t="str">
        <x:v>Other Question</x:v>
      </x:c>
      <x:c r="G1545" s="30" t="str">
        <x:v>CL0119</x:v>
      </x:c>
      <x:c r="H1545" s="32" t="n">
        <x:f>COUNTIF($G$5:$G$1725,G1545)</x:f>
        <x:v>1</x:v>
      </x:c>
      <x:c r="I1545" s="30" t="str">
        <x:v>A35</x:v>
      </x:c>
      <x:c r="J1545" s="31" t="str">
        <x:v>Any trading ideas now? Any market/asset class/single stock. | Follow up: What are the competitors of that stock? | Where is your passion for finance and SnT come from?</x:v>
      </x:c>
    </x:row>
    <x:row r="1546" ht="68" customHeight="1">
      <x:c r="A1546" s="30" t="str">
        <x:v>QB2657</x:v>
      </x:c>
      <x:c r="B1546" s="30" t="str">
        <x:v>BofA (GM)</x:v>
      </x:c>
      <x:c r="C1546" s="30" t="str">
        <x:v>Sales &amp; Trading</x:v>
      </x:c>
      <x:c r="D1546" s="31" t="str">
        <x:v>How do you deal with an ethical dillemma or "grey area"?</x:v>
      </x:c>
      <x:c r="E1546" s="31" t="str">
        <x:v>How do you deal with an ethical dillemma or "grey area"</x:v>
      </x:c>
      <x:c r="F1546" s="31" t="str">
        <x:v>Behavioral &amp; Situational</x:v>
      </x:c>
      <x:c r="G1546" s="30" t="str">
        <x:v>CL0403</x:v>
      </x:c>
      <x:c r="H1546" s="32" t="n">
        <x:f>COUNTIF($G$5:$G$1725,G1546)</x:f>
        <x:v>1</x:v>
      </x:c>
      <x:c r="I1546" s="30" t="str">
        <x:v>A36</x:v>
      </x:c>
      <x:c r="J1546" s="31" t="str">
        <x:v>Follow up: What are the competitors of that stock? | Where is your passion for finance and SnT come from? | Any preference for the particular asset class or roles?</x:v>
      </x:c>
    </x:row>
    <x:row r="1547" ht="68" customHeight="1">
      <x:c r="A1547" s="30" t="str">
        <x:v>QB2658</x:v>
      </x:c>
      <x:c r="B1547" s="30" t="str">
        <x:v>BofA (GM)</x:v>
      </x:c>
      <x:c r="C1547" s="30" t="str">
        <x:v>Sales &amp; Trading</x:v>
      </x:c>
      <x:c r="D1547" s="31" t="str">
        <x:v>Situational Q: if you expect a 20% in gold price rally in the future, what investment target will you choose: Gold; gold-mining companies - leading and big market player or small and just break-even one.</x:v>
      </x:c>
      <x:c r="E1547" s="31" t="str">
        <x:v>Situational Q: if you expect a 20% in gold price rally in the future, what investment target will you choose: Gold; gold-mining companies - leading and big market player or small and just break-even one</x:v>
      </x:c>
      <x:c r="F1547" s="31" t="str">
        <x:v>Markets &amp; Macro</x:v>
      </x:c>
      <x:c r="G1547" s="30" t="str">
        <x:v>CL0682</x:v>
      </x:c>
      <x:c r="H1547" s="32" t="n">
        <x:f>COUNTIF($G$5:$G$1725,G1547)</x:f>
        <x:v>1</x:v>
      </x:c>
      <x:c r="I1547" s="30" t="str">
        <x:v>A37</x:v>
      </x:c>
      <x:c r="J1547" s="31" t="str">
        <x:v>Where is your passion for finance and SnT come from? | Any preference for the particular asset class or roles? | How do you deal with an ethical dillemma or "grey area"?</x:v>
      </x:c>
    </x:row>
    <x:row r="1548" ht="92" customHeight="1">
      <x:c r="A1548" s="30" t="str">
        <x:v>QB2659</x:v>
      </x:c>
      <x:c r="B1548" s="30" t="str">
        <x:v>BofA (GM)</x:v>
      </x:c>
      <x:c r="C1548" s="30" t="str">
        <x:v>Sales &amp; Trading</x:v>
      </x:c>
      <x:c r="D1548" s="31" t="str">
        <x:v>What kinds of skill sets do you believe that you've been equipped with and make you suitable for a sales?</x:v>
      </x:c>
      <x:c r="E1548" s="31" t="str">
        <x:v>What kinds of skill sets do you believe that you've been equipped with and make you suitable for a sales</x:v>
      </x:c>
      <x:c r="F1548" s="31" t="str">
        <x:v>Other Question</x:v>
      </x:c>
      <x:c r="G1548" s="30" t="str">
        <x:v>CL1011</x:v>
      </x:c>
      <x:c r="H1548" s="32" t="n">
        <x:f>COUNTIF($G$5:$G$1725,G1548)</x:f>
        <x:v>1</x:v>
      </x:c>
      <x:c r="I1548" s="30" t="str">
        <x:v>A38</x:v>
      </x:c>
      <x:c r="J1548" s="31" t="str">
        <x:v>Any preference for the particular asset class or roles? | How do you deal with an ethical dillemma or "grey area"? | Situational Q: if you expect a 20% in gold price rally in the future, what investment target will you choose: Gold; gold...</x:v>
      </x:c>
    </x:row>
    <x:row r="1549" ht="68" customHeight="1">
      <x:c r="A1549" s="30" t="str">
        <x:v>QB2662</x:v>
      </x:c>
      <x:c r="B1549" s="30" t="str">
        <x:v>BofA (GM)</x:v>
      </x:c>
      <x:c r="C1549" s="30" t="str">
        <x:v>Sales &amp; Trading</x:v>
      </x:c>
      <x:c r="D1549" s="31" t="str">
        <x:v>self-intro</x:v>
      </x:c>
      <x:c r="E1549" s="31" t="str">
        <x:v>Tell me about yourself / walk me through your resume</x:v>
      </x:c>
      <x:c r="F1549" s="31" t="str">
        <x:v>Resume &amp; Experience</x:v>
      </x:c>
      <x:c r="G1549" s="30" t="str">
        <x:v>CL0001</x:v>
      </x:c>
      <x:c r="H1549" s="32" t="n">
        <x:f>COUNTIF($G$5:$G$1725,G1549)</x:f>
        <x:v>170</x:v>
      </x:c>
      <x:c r="I1549" s="30" t="str">
        <x:v>A42</x:v>
      </x:c>
      <x:c r="J1549" s="31" t="str">
        <x:v>What kinds of skill sets do you believe that you've been equipped with and make you suitable for a sales? | 反问 | 27 with David Sbarro – Managing Director, FICC Trading</x:v>
      </x:c>
    </x:row>
    <x:row r="1550" ht="32" customHeight="1">
      <x:c r="A1550" s="30" t="str">
        <x:v>QB2663</x:v>
      </x:c>
      <x:c r="B1550" s="30" t="str">
        <x:v>BofA (GM)</x:v>
      </x:c>
      <x:c r="C1550" s="30" t="str">
        <x:v>Sales &amp; Trading</x:v>
      </x:c>
      <x:c r="D1550" s="31" t="str">
        <x:v>You said you're passionate about SnT so where is this passion come from?</x:v>
      </x:c>
      <x:c r="E1550" s="31" t="str">
        <x:v>You said you're passionate about SnT so where is this passion come from</x:v>
      </x:c>
      <x:c r="F1550" s="31" t="str">
        <x:v>Accounting &amp; Financial Statements</x:v>
      </x:c>
      <x:c r="G1550" s="30" t="str">
        <x:v>CL1209</x:v>
      </x:c>
      <x:c r="H1550" s="32" t="n">
        <x:f>COUNTIF($G$5:$G$1725,G1550)</x:f>
        <x:v>1</x:v>
      </x:c>
      <x:c r="I1550" s="30" t="str">
        <x:v>A43</x:v>
      </x:c>
      <x:c r="J1550" s="31" t="str">
        <x:v>反问 | 27 with David Sbarro – Managing Director, FICC Trading | self-intro</x:v>
      </x:c>
    </x:row>
    <x:row r="1551" ht="48" customHeight="1">
      <x:c r="A1551" s="30" t="str">
        <x:v>QB2664</x:v>
      </x:c>
      <x:c r="B1551" s="30" t="str">
        <x:v>BofA (GM)</x:v>
      </x:c>
      <x:c r="C1551" s="30" t="str">
        <x:v>Sales &amp; Trading</x:v>
      </x:c>
      <x:c r="D1551" s="31" t="str">
        <x:v>Do you follow the market?</x:v>
      </x:c>
      <x:c r="E1551" s="31" t="str">
        <x:v>Do you follow the market</x:v>
      </x:c>
      <x:c r="F1551" s="31" t="str">
        <x:v>Other Question</x:v>
      </x:c>
      <x:c r="G1551" s="30" t="str">
        <x:v>CL0268</x:v>
      </x:c>
      <x:c r="H1551" s="32" t="n">
        <x:f>COUNTIF($G$5:$G$1725,G1551)</x:f>
        <x:v>1</x:v>
      </x:c>
      <x:c r="I1551" s="30" t="str">
        <x:v>A44</x:v>
      </x:c>
      <x:c r="J1551" s="31" t="str">
        <x:v>27 with David Sbarro – Managing Director, FICC Trading | self-intro | You said you're passionate about SnT so where is this passion come from?</x:v>
      </x:c>
    </x:row>
    <x:row r="1552" ht="48" customHeight="1">
      <x:c r="A1552" s="30" t="str">
        <x:v>QB2665</x:v>
      </x:c>
      <x:c r="B1552" s="30" t="str">
        <x:v>BofA (GM)</x:v>
      </x:c>
      <x:c r="C1552" s="30" t="str">
        <x:v>Sales &amp; Trading</x:v>
      </x:c>
      <x:c r="D1552" s="31" t="str">
        <x:v>What's the S&amp;P500 closing price yesterday?</x:v>
      </x:c>
      <x:c r="E1552" s="31" t="str">
        <x:v>What's the S&amp;P500 closing price yesterday</x:v>
      </x:c>
      <x:c r="F1552" s="31" t="str">
        <x:v>Other Question</x:v>
      </x:c>
      <x:c r="G1552" s="30" t="str">
        <x:v>CL1056</x:v>
      </x:c>
      <x:c r="H1552" s="32" t="n">
        <x:f>COUNTIF($G$5:$G$1725,G1552)</x:f>
        <x:v>1</x:v>
      </x:c>
      <x:c r="I1552" s="30" t="str">
        <x:v>A45</x:v>
      </x:c>
      <x:c r="J1552" s="31" t="str">
        <x:v>self-intro | You said you're passionate about SnT so where is this passion come from? | Do you follow the market?</x:v>
      </x:c>
    </x:row>
    <x:row r="1553" ht="48" customHeight="1">
      <x:c r="A1553" s="30" t="str">
        <x:v>QB2666</x:v>
      </x:c>
      <x:c r="B1553" s="30" t="str">
        <x:v>BofA (GM)</x:v>
      </x:c>
      <x:c r="C1553" s="30" t="str">
        <x:v>Sales &amp; Trading</x:v>
      </x:c>
      <x:c r="D1553" s="31" t="str">
        <x:v>Do you have your own investment account?</x:v>
      </x:c>
      <x:c r="E1553" s="31" t="str">
        <x:v>Do you have your own investment account</x:v>
      </x:c>
      <x:c r="F1553" s="31" t="str">
        <x:v>Other Question</x:v>
      </x:c>
      <x:c r="G1553" s="30" t="str">
        <x:v>CL0032</x:v>
      </x:c>
      <x:c r="H1553" s="32" t="n">
        <x:f>COUNTIF($G$5:$G$1725,G1553)</x:f>
        <x:v>2</x:v>
      </x:c>
      <x:c r="I1553" s="30" t="str">
        <x:v>A46</x:v>
      </x:c>
      <x:c r="J1553" s="31" t="str">
        <x:v>You said you're passionate about SnT so where is this passion come from? | Do you follow the market? | What's the S&amp;P500 closing price yesterday?</x:v>
      </x:c>
    </x:row>
    <x:row r="1554" ht="48" customHeight="1">
      <x:c r="A1554" s="30" t="str">
        <x:v>QB2667</x:v>
      </x:c>
      <x:c r="B1554" s="30" t="str">
        <x:v>BofA (GM)</x:v>
      </x:c>
      <x:c r="C1554" s="30" t="str">
        <x:v>Sales &amp; Trading</x:v>
      </x:c>
      <x:c r="D1554" s="31" t="str">
        <x:v>Any trading ideas about the market now?</x:v>
      </x:c>
      <x:c r="E1554" s="31" t="str">
        <x:v>Any trading ideas about the market now</x:v>
      </x:c>
      <x:c r="F1554" s="31" t="str">
        <x:v>Sales &amp; Trading</x:v>
      </x:c>
      <x:c r="G1554" s="30" t="str">
        <x:v>CL0126</x:v>
      </x:c>
      <x:c r="H1554" s="32" t="n">
        <x:f>COUNTIF($G$5:$G$1725,G1554)</x:f>
        <x:v>1</x:v>
      </x:c>
      <x:c r="I1554" s="30" t="str">
        <x:v>A47</x:v>
      </x:c>
      <x:c r="J1554" s="31" t="str">
        <x:v>Do you follow the market? | What's the S&amp;P500 closing price yesterday? | Do you have your own investment account?</x:v>
      </x:c>
    </x:row>
    <x:row r="1555" ht="48" customHeight="1">
      <x:c r="A1555" s="30" t="str">
        <x:v>QB2668</x:v>
      </x:c>
      <x:c r="B1555" s="30" t="str">
        <x:v>BofA (GM)</x:v>
      </x:c>
      <x:c r="C1555" s="30" t="str">
        <x:v>Sales &amp; Trading</x:v>
      </x:c>
      <x:c r="D1555" s="31" t="str">
        <x:v>Are you familiar with company valuation?</x:v>
      </x:c>
      <x:c r="E1555" s="31" t="str">
        <x:v>Are you familiar with company valuation</x:v>
      </x:c>
      <x:c r="F1555" s="31" t="str">
        <x:v>Valuation</x:v>
      </x:c>
      <x:c r="G1555" s="30" t="str">
        <x:v>CL0134</x:v>
      </x:c>
      <x:c r="H1555" s="32" t="n">
        <x:f>COUNTIF($G$5:$G$1725,G1555)</x:f>
        <x:v>1</x:v>
      </x:c>
      <x:c r="I1555" s="30" t="str">
        <x:v>A48</x:v>
      </x:c>
      <x:c r="J1555" s="31" t="str">
        <x:v>What's the S&amp;P500 closing price yesterday? | Do you have your own investment account? | Any trading ideas about the market now?</x:v>
      </x:c>
    </x:row>
    <x:row r="1556" ht="48" customHeight="1">
      <x:c r="A1556" s="30" t="str">
        <x:v>QB2669</x:v>
      </x:c>
      <x:c r="B1556" s="30" t="str">
        <x:v>BofA (GM)</x:v>
      </x:c>
      <x:c r="C1556" s="30" t="str">
        <x:v>Sales &amp; Trading</x:v>
      </x:c>
      <x:c r="D1556" s="31" t="str">
        <x:v>How is EBITDA derived?</x:v>
      </x:c>
      <x:c r="E1556" s="31" t="str">
        <x:v>How is EBITDA derived</x:v>
      </x:c>
      <x:c r="F1556" s="31" t="str">
        <x:v>Accounting &amp; Financial Statements</x:v>
      </x:c>
      <x:c r="G1556" s="30" t="str">
        <x:v>CL0445</x:v>
      </x:c>
      <x:c r="H1556" s="32" t="n">
        <x:f>COUNTIF($G$5:$G$1725,G1556)</x:f>
        <x:v>1</x:v>
      </x:c>
      <x:c r="I1556" s="30" t="str">
        <x:v>A49</x:v>
      </x:c>
      <x:c r="J1556" s="31" t="str">
        <x:v>Do you have your own investment account? | Any trading ideas about the market now? | Are you familiar with company valuation?</x:v>
      </x:c>
    </x:row>
    <x:row r="1557" ht="48" customHeight="1">
      <x:c r="A1557" s="30" t="str">
        <x:v>QB2670</x:v>
      </x:c>
      <x:c r="B1557" s="30" t="str">
        <x:v>BofA (GM)</x:v>
      </x:c>
      <x:c r="C1557" s="30" t="str">
        <x:v>Sales &amp; Trading</x:v>
      </x:c>
      <x:c r="D1557" s="31" t="str">
        <x:v>Is there any particularly project that you're doing and find interesting during the current internship?</x:v>
      </x:c>
      <x:c r="E1557" s="31" t="str">
        <x:v>Is there any particularly project that you're doing and find interesting during the current internship</x:v>
      </x:c>
      <x:c r="F1557" s="31" t="str">
        <x:v>Resume &amp; Experience</x:v>
      </x:c>
      <x:c r="G1557" s="30" t="str">
        <x:v>CL0561</x:v>
      </x:c>
      <x:c r="H1557" s="32" t="n">
        <x:f>COUNTIF($G$5:$G$1725,G1557)</x:f>
        <x:v>1</x:v>
      </x:c>
      <x:c r="I1557" s="30" t="str">
        <x:v>A50</x:v>
      </x:c>
      <x:c r="J1557" s="31" t="str">
        <x:v>Any trading ideas about the market now? | Are you familiar with company valuation? | How is EBITDA derived?</x:v>
      </x:c>
    </x:row>
    <x:row r="1558" ht="68" customHeight="1">
      <x:c r="A1558" s="30" t="str">
        <x:v>QB2671</x:v>
      </x:c>
      <x:c r="B1558" s="30" t="str">
        <x:v>BofA (GM)</x:v>
      </x:c>
      <x:c r="C1558" s="30" t="str">
        <x:v>Sales &amp; Trading</x:v>
      </x:c>
      <x:c r="D1558" s="31" t="str">
        <x:v>Anything you particularly want to highlight on your CV?</x:v>
      </x:c>
      <x:c r="E1558" s="31" t="str">
        <x:v>Anything you particularly want to highlight on your CV</x:v>
      </x:c>
      <x:c r="F1558" s="31" t="str">
        <x:v>Resume &amp; Experience</x:v>
      </x:c>
      <x:c r="G1558" s="30" t="str">
        <x:v>CL0130</x:v>
      </x:c>
      <x:c r="H1558" s="32" t="n">
        <x:f>COUNTIF($G$5:$G$1725,G1558)</x:f>
        <x:v>1</x:v>
      </x:c>
      <x:c r="I1558" s="30" t="str">
        <x:v>A51</x:v>
      </x:c>
      <x:c r="J1558" s="31" t="str">
        <x:v>Are you familiar with company valuation? | How is EBITDA derived? | Is there any particularly project that you're doing and find interesting during the current internship?</x:v>
      </x:c>
    </x:row>
    <x:row r="1559" ht="48" customHeight="1">
      <x:c r="A1559" s="30" t="str">
        <x:v>QB2674</x:v>
      </x:c>
      <x:c r="B1559" s="30" t="str">
        <x:v>BofA (GM)</x:v>
      </x:c>
      <x:c r="C1559" s="30" t="str">
        <x:v>Sales &amp; Trading</x:v>
      </x:c>
      <x:c r="D1559" s="31" t="str">
        <x:v>self-intro</x:v>
      </x:c>
      <x:c r="E1559" s="31" t="str">
        <x:v>Tell me about yourself / walk me through your resume</x:v>
      </x:c>
      <x:c r="F1559" s="31" t="str">
        <x:v>Resume &amp; Experience</x:v>
      </x:c>
      <x:c r="G1559" s="30" t="str">
        <x:v>CL0001</x:v>
      </x:c>
      <x:c r="H1559" s="32" t="n">
        <x:f>COUNTIF($G$5:$G$1725,G1559)</x:f>
        <x:v>170</x:v>
      </x:c>
      <x:c r="I1559" s="30" t="str">
        <x:v>A55</x:v>
      </x:c>
      <x:c r="J1559" s="31" t="str">
        <x:v>Anything you particularly want to highlight on your CV? | 反问 | 27 with Qilin Wei – Managing Director, FICC Trading</x:v>
      </x:c>
    </x:row>
    <x:row r="1560" ht="32" customHeight="1">
      <x:c r="A1560" s="30" t="str">
        <x:v>QB2675</x:v>
      </x:c>
      <x:c r="B1560" s="30" t="str">
        <x:v>BofA (GM)</x:v>
      </x:c>
      <x:c r="C1560" s="30" t="str">
        <x:v>Sales &amp; Trading</x:v>
      </x:c>
      <x:c r="D1560" s="31" t="str">
        <x:v>Are you from Shanghai?</x:v>
      </x:c>
      <x:c r="E1560" s="31" t="str">
        <x:v>Are you from Shanghai</x:v>
      </x:c>
      <x:c r="F1560" s="31" t="str">
        <x:v>Other Question</x:v>
      </x:c>
      <x:c r="G1560" s="30" t="str">
        <x:v>CL0135</x:v>
      </x:c>
      <x:c r="H1560" s="32" t="n">
        <x:f>COUNTIF($G$5:$G$1725,G1560)</x:f>
        <x:v>1</x:v>
      </x:c>
      <x:c r="I1560" s="30" t="str">
        <x:v>A56</x:v>
      </x:c>
      <x:c r="J1560" s="31" t="str">
        <x:v>反问 | 27 with Qilin Wei – Managing Director, FICC Trading | self-intro</x:v>
      </x:c>
    </x:row>
    <x:row r="1561" ht="32" customHeight="1">
      <x:c r="A1561" s="30" t="str">
        <x:v>QB2676</x:v>
      </x:c>
      <x:c r="B1561" s="30" t="str">
        <x:v>BofA (GM)</x:v>
      </x:c>
      <x:c r="C1561" s="30" t="str">
        <x:v>Sales &amp; Trading</x:v>
      </x:c>
      <x:c r="D1561" s="31" t="str">
        <x:v>Why come to HK for University?</x:v>
      </x:c>
      <x:c r="E1561" s="31" t="str">
        <x:v>Why come to HK for University</x:v>
      </x:c>
      <x:c r="F1561" s="31" t="str">
        <x:v>Fit &amp; Motivation</x:v>
      </x:c>
      <x:c r="G1561" s="30" t="str">
        <x:v>CL1116</x:v>
      </x:c>
      <x:c r="H1561" s="32" t="n">
        <x:f>COUNTIF($G$5:$G$1725,G1561)</x:f>
        <x:v>1</x:v>
      </x:c>
      <x:c r="I1561" s="30" t="str">
        <x:v>A57</x:v>
      </x:c>
      <x:c r="J1561" s="31" t="str">
        <x:v>27 with Qilin Wei – Managing Director, FICC Trading | self-intro | Are you from Shanghai?</x:v>
      </x:c>
    </x:row>
    <x:row r="1562" ht="32" customHeight="1">
      <x:c r="A1562" s="30" t="str">
        <x:v>QB2677</x:v>
      </x:c>
      <x:c r="B1562" s="30" t="str">
        <x:v>BofA (GM)</x:v>
      </x:c>
      <x:c r="C1562" s="30" t="str">
        <x:v>Sales &amp; Trading</x:v>
      </x:c>
      <x:c r="D1562" s="31" t="str">
        <x:v>What's your view on the Chinese macroeconomy? (I said neutral in the short run)</x:v>
      </x:c>
      <x:c r="E1562" s="31" t="str">
        <x:v>What's your view on the Chinese macroeconomy? (I said neutral in the short run)</x:v>
      </x:c>
      <x:c r="F1562" s="31" t="str">
        <x:v>Markets &amp; Macro</x:v>
      </x:c>
      <x:c r="G1562" s="30" t="str">
        <x:v>CL1071</x:v>
      </x:c>
      <x:c r="H1562" s="32" t="n">
        <x:f>COUNTIF($G$5:$G$1725,G1562)</x:f>
        <x:v>1</x:v>
      </x:c>
      <x:c r="I1562" s="30" t="str">
        <x:v>A58</x:v>
      </x:c>
      <x:c r="J1562" s="31" t="str">
        <x:v>self-intro | Are you from Shanghai? | Why come to HK for University?</x:v>
      </x:c>
    </x:row>
    <x:row r="1563" ht="48" customHeight="1">
      <x:c r="A1563" s="30" t="str">
        <x:v>QB2679</x:v>
      </x:c>
      <x:c r="B1563" s="30" t="str">
        <x:v>BofA (GM)</x:v>
      </x:c>
      <x:c r="C1563" s="30" t="str">
        <x:v>Sales &amp; Trading</x:v>
      </x:c>
      <x:c r="D1563" s="31" t="str">
        <x:v>Seems like you are more keen on the sales side. Why?</x:v>
      </x:c>
      <x:c r="E1563" s="31" t="str">
        <x:v>Seems like you are more keen on the sales side. Why</x:v>
      </x:c>
      <x:c r="F1563" s="31" t="str">
        <x:v>Other Question</x:v>
      </x:c>
      <x:c r="G1563" s="30" t="str">
        <x:v>CL0671</x:v>
      </x:c>
      <x:c r="H1563" s="32" t="n">
        <x:f>COUNTIF($G$5:$G$1725,G1563)</x:f>
        <x:v>1</x:v>
      </x:c>
      <x:c r="I1563" s="30" t="str">
        <x:v>A60</x:v>
      </x:c>
      <x:c r="J1563" s="31" t="str">
        <x:v>Why come to HK for University? | What's your view on the Chinese macroeconomy? (I said neutral in the short run) | Follow up: What about in the longer term?</x:v>
      </x:c>
    </x:row>
    <x:row r="1564" ht="32" customHeight="1">
      <x:c r="A1564" s="30" t="str">
        <x:v>QB2684</x:v>
      </x:c>
      <x:c r="B1564" s="30" t="str">
        <x:v>HSBC (GM)</x:v>
      </x:c>
      <x:c r="C1564" s="30" t="str">
        <x:v>Sales &amp; Trading</x:v>
      </x:c>
      <x:c r="D1564" s="31" t="str">
        <x:v>introduce urself</x:v>
      </x:c>
      <x:c r="E1564" s="31" t="str">
        <x:v>Introduce urself</x:v>
      </x:c>
      <x:c r="F1564" s="31" t="str">
        <x:v>Other Question</x:v>
      </x:c>
      <x:c r="G1564" s="30" t="str">
        <x:v>CL0035</x:v>
      </x:c>
      <x:c r="H1564" s="32" t="n">
        <x:f>COUNTIF($G$5:$G$1725,G1564)</x:f>
        <x:v>2</x:v>
      </x:c>
      <x:c r="I1564" s="30" t="str">
        <x:v>A3</x:v>
      </x:c>
      <x:c r="J1564" s="31" t="str">
        <x:v>2025 SA | Round 1 (Erik from High Touch Sales)</x:v>
      </x:c>
    </x:row>
    <x:row r="1565" ht="32" customHeight="1">
      <x:c r="A1565" s="30" t="str">
        <x:v>QB2685</x:v>
      </x:c>
      <x:c r="B1565" s="30" t="str">
        <x:v>HSBC (GM)</x:v>
      </x:c>
      <x:c r="C1565" s="30" t="str">
        <x:v>Sales &amp; Trading</x:v>
      </x:c>
      <x:c r="D1565" s="31" t="str">
        <x:v>self introduction</x:v>
      </x:c>
      <x:c r="E1565" s="31" t="str">
        <x:v>Tell me about yourself / walk me through your resume</x:v>
      </x:c>
      <x:c r="F1565" s="31" t="str">
        <x:v>Resume &amp; Experience</x:v>
      </x:c>
      <x:c r="G1565" s="30" t="str">
        <x:v>CL0001</x:v>
      </x:c>
      <x:c r="H1565" s="32" t="n">
        <x:f>COUNTIF($G$5:$G$1725,G1565)</x:f>
        <x:v>170</x:v>
      </x:c>
      <x:c r="I1565" s="30" t="str">
        <x:v>L3</x:v>
      </x:c>
      <x:c r="J1565" s="31" t="str">
        <x:v>Hazel - Round 1 (equity derivative trading)</x:v>
      </x:c>
    </x:row>
    <x:row r="1566" ht="32" customHeight="1">
      <x:c r="A1566" s="30" t="str">
        <x:v>QB2686</x:v>
      </x:c>
      <x:c r="B1566" s="30" t="str">
        <x:v>HSBC (GM)</x:v>
      </x:c>
      <x:c r="C1566" s="30" t="str">
        <x:v>Sales &amp; Trading</x:v>
      </x:c>
      <x:c r="D1566" s="31" t="str">
        <x:v>what is ur favourite subject in school</x:v>
      </x:c>
      <x:c r="E1566" s="31" t="str">
        <x:v>What is ur favourite subject in school</x:v>
      </x:c>
      <x:c r="F1566" s="31" t="str">
        <x:v>Resume &amp; Experience</x:v>
      </x:c>
      <x:c r="G1566" s="30" t="str">
        <x:v>CL0998</x:v>
      </x:c>
      <x:c r="H1566" s="32" t="n">
        <x:f>COUNTIF($G$5:$G$1725,G1566)</x:f>
        <x:v>1</x:v>
      </x:c>
      <x:c r="I1566" s="30" t="str">
        <x:v>A4</x:v>
      </x:c>
      <x:c r="J1566" s="31" t="str">
        <x:v>2025 SA | Round 1 (Erik from High Touch Sales) | introduce urself</x:v>
      </x:c>
    </x:row>
    <x:row r="1567" ht="32" customHeight="1">
      <x:c r="A1567" s="30" t="str">
        <x:v>QB2687</x:v>
      </x:c>
      <x:c r="B1567" s="30" t="str">
        <x:v>HSBC (GM)</x:v>
      </x:c>
      <x:c r="C1567" s="30" t="str">
        <x:v>Sales &amp; Trading</x:v>
      </x:c>
      <x:c r="D1567" s="31" t="str">
        <x:v>why HSBC?</x:v>
      </x:c>
      <x:c r="E1567" s="31" t="str">
        <x:v>Why this firm?</x:v>
      </x:c>
      <x:c r="F1567" s="31" t="str">
        <x:v>Fit &amp; Motivation</x:v>
      </x:c>
      <x:c r="G1567" s="30" t="str">
        <x:v>CL0002</x:v>
      </x:c>
      <x:c r="H1567" s="32" t="n">
        <x:f>COUNTIF($G$5:$G$1725,G1567)</x:f>
        <x:v>39</x:v>
      </x:c>
      <x:c r="I1567" s="30" t="str">
        <x:v>L4</x:v>
      </x:c>
      <x:c r="J1567" s="31" t="str">
        <x:v>Hazel - Round 1 (equity derivative trading) | self introduction</x:v>
      </x:c>
    </x:row>
    <x:row r="1568" ht="48" customHeight="1">
      <x:c r="A1568" s="30" t="str">
        <x:v>QB2688</x:v>
      </x:c>
      <x:c r="B1568" s="30" t="str">
        <x:v>HSBC (GM)</x:v>
      </x:c>
      <x:c r="C1568" s="30" t="str">
        <x:v>Sales &amp; Trading</x:v>
      </x:c>
      <x:c r="D1568" s="31" t="str">
        <x:v>what does gold mean as safe haven asset and what other assets are also safe haven</x:v>
      </x:c>
      <x:c r="E1568" s="31" t="str">
        <x:v>What does gold mean as safe haven asset and what other assets are also safe haven</x:v>
      </x:c>
      <x:c r="F1568" s="31" t="str">
        <x:v>Markets &amp; Macro</x:v>
      </x:c>
      <x:c r="G1568" s="30" t="str">
        <x:v>CL0940</x:v>
      </x:c>
      <x:c r="H1568" s="32" t="n">
        <x:f>COUNTIF($G$5:$G$1725,G1568)</x:f>
        <x:v>1</x:v>
      </x:c>
      <x:c r="I1568" s="30" t="str">
        <x:v>A5</x:v>
      </x:c>
      <x:c r="J1568" s="31" t="str">
        <x:v>Round 1 (Erik from High Touch Sales) | introduce urself | what is ur favourite subject in school</x:v>
      </x:c>
    </x:row>
    <x:row r="1569" ht="32" customHeight="1">
      <x:c r="A1569" s="30" t="str">
        <x:v>QB2689</x:v>
      </x:c>
      <x:c r="B1569" s="30" t="str">
        <x:v>HSBC (GM)</x:v>
      </x:c>
      <x:c r="C1569" s="30" t="str">
        <x:v>Sales &amp; Trading</x:v>
      </x:c>
      <x:c r="D1569" s="31" t="str">
        <x:v>Consider AMPB major, why u want to do SnT?</x:v>
      </x:c>
      <x:c r="E1569" s="31" t="str">
        <x:v>Consider AMPB major, why u want to do SnT</x:v>
      </x:c>
      <x:c r="F1569" s="31" t="str">
        <x:v>Fit &amp; Motivation</x:v>
      </x:c>
      <x:c r="G1569" s="30" t="str">
        <x:v>CL0205</x:v>
      </x:c>
      <x:c r="H1569" s="32" t="n">
        <x:f>COUNTIF($G$5:$G$1725,G1569)</x:f>
        <x:v>1</x:v>
      </x:c>
      <x:c r="I1569" s="30" t="str">
        <x:v>L5</x:v>
      </x:c>
      <x:c r="J1569" s="31" t="str">
        <x:v>Hazel - Round 1 (equity derivative trading) | self introduction | why HSBC?</x:v>
      </x:c>
    </x:row>
    <x:row r="1570" ht="48" customHeight="1">
      <x:c r="A1570" s="30" t="str">
        <x:v>QB2690</x:v>
      </x:c>
      <x:c r="B1570" s="30" t="str">
        <x:v>HSBC (GM)</x:v>
      </x:c>
      <x:c r="C1570" s="30" t="str">
        <x:v>Sales &amp; Trading</x:v>
      </x:c>
      <x:c r="D1570" s="31" t="str">
        <x:v>tell me 2 main drivers of the market recently and where do u see markets going in the future</x:v>
      </x:c>
      <x:c r="E1570" s="31" t="str">
        <x:v>What is your current market outlook?</x:v>
      </x:c>
      <x:c r="F1570" s="31" t="str">
        <x:v>Other Question</x:v>
      </x:c>
      <x:c r="G1570" s="30" t="str">
        <x:v>CL0018</x:v>
      </x:c>
      <x:c r="H1570" s="32" t="n">
        <x:f>COUNTIF($G$5:$G$1725,G1570)</x:f>
        <x:v>5</x:v>
      </x:c>
      <x:c r="I1570" s="30" t="str">
        <x:v>A6</x:v>
      </x:c>
      <x:c r="J1570" s="31" t="str">
        <x:v>introduce urself | what is ur favourite subject in school | what does gold mean as safe haven asset and what other assets are also safe haven</x:v>
      </x:c>
    </x:row>
    <x:row r="1571" ht="68" customHeight="1">
      <x:c r="A1571" s="30" t="str">
        <x:v>QB2692</x:v>
      </x:c>
      <x:c r="B1571" s="30" t="str">
        <x:v>HSBC (GM)</x:v>
      </x:c>
      <x:c r="C1571" s="30" t="str">
        <x:v>Sales &amp; Trading</x:v>
      </x:c>
      <x:c r="D1571" s="31" t="str">
        <x:v>behavourial on client asking u to do something illegal</x:v>
      </x:c>
      <x:c r="E1571" s="31" t="str">
        <x:v>Behavourial on client asking u to do something illegal</x:v>
      </x:c>
      <x:c r="F1571" s="31" t="str">
        <x:v>Other Question</x:v>
      </x:c>
      <x:c r="G1571" s="30" t="str">
        <x:v>CL0158</x:v>
      </x:c>
      <x:c r="H1571" s="32" t="n">
        <x:f>COUNTIF($G$5:$G$1725,G1571)</x:f>
        <x:v>1</x:v>
      </x:c>
      <x:c r="I1571" s="30" t="str">
        <x:v>A7</x:v>
      </x:c>
      <x:c r="J1571" s="31" t="str">
        <x:v>what is ur favourite subject in school | what does gold mean as safe haven asset and what other assets are also safe haven | tell me 2 main drivers of the market recently and where do u see markets going in the future</x:v>
      </x:c>
    </x:row>
    <x:row r="1572" ht="48" customHeight="1">
      <x:c r="A1572" s="30" t="str">
        <x:v>QB2693</x:v>
      </x:c>
      <x:c r="B1572" s="30" t="str">
        <x:v>HSBC (GM)</x:v>
      </x:c>
      <x:c r="C1572" s="30" t="str">
        <x:v>Sales &amp; Trading</x:v>
      </x:c>
      <x:c r="D1572" s="31" t="str">
        <x:v>what do you think drives the financial market in the last 6 months and what will be the drivers for the next 6 months</x:v>
      </x:c>
      <x:c r="E1572" s="31" t="str">
        <x:v>What do you think drives the financial market in the last 6 months and what will be the drivers for the next 6 months</x:v>
      </x:c>
      <x:c r="F1572" s="31" t="str">
        <x:v>Other Question</x:v>
      </x:c>
      <x:c r="G1572" s="30" t="str">
        <x:v>CL0929</x:v>
      </x:c>
      <x:c r="H1572" s="32" t="n">
        <x:f>COUNTIF($G$5:$G$1725,G1572)</x:f>
        <x:v>1</x:v>
      </x:c>
      <x:c r="I1572" s="30" t="str">
        <x:v>L7</x:v>
      </x:c>
      <x:c r="J1572" s="31" t="str">
        <x:v>why HSBC? | Consider AMPB major, why u want to do SnT? | 1.6 math calculation</x:v>
      </x:c>
    </x:row>
    <x:row r="1573" ht="68" customHeight="1">
      <x:c r="A1573" s="30" t="str">
        <x:v>QB2695</x:v>
      </x:c>
      <x:c r="B1573" s="30" t="str">
        <x:v>HSBC (GM)</x:v>
      </x:c>
      <x:c r="C1573" s="30" t="str">
        <x:v>Sales &amp; Trading</x:v>
      </x:c>
      <x:c r="D1573" s="31" t="str">
        <x:v>why is gold safe heaven asset and what are assets can be considered safe heaven</x:v>
      </x:c>
      <x:c r="E1573" s="31" t="str">
        <x:v>Why is gold safe heaven asset and what are assets can be considered safe heaven</x:v>
      </x:c>
      <x:c r="F1573" s="31" t="str">
        <x:v>Fit &amp; Motivation</x:v>
      </x:c>
      <x:c r="G1573" s="30" t="str">
        <x:v>CL1144</x:v>
      </x:c>
      <x:c r="H1573" s="32" t="n">
        <x:f>COUNTIF($G$5:$G$1725,G1573)</x:f>
        <x:v>1</x:v>
      </x:c>
      <x:c r="I1573" s="30" t="str">
        <x:v>L8</x:v>
      </x:c>
      <x:c r="J1573" s="31" t="str">
        <x:v>Consider AMPB major, why u want to do SnT? | 1.6 math calculation | what do you think drives the financial market in the last 6 months and what will be the drivers for the next 6 months</x:v>
      </x:c>
    </x:row>
    <x:row r="1574" ht="32" customHeight="1">
      <x:c r="A1574" s="30" t="str">
        <x:v>QB2705</x:v>
      </x:c>
      <x:c r="B1574" s="30" t="str">
        <x:v>HSBC (GM)</x:v>
      </x:c>
      <x:c r="C1574" s="30" t="str">
        <x:v>Sales &amp; Trading</x:v>
      </x:c>
      <x:c r="D1574" s="31" t="str">
        <x:v>self introduction</x:v>
      </x:c>
      <x:c r="E1574" s="31" t="str">
        <x:v>Tell me about yourself / walk me through your resume</x:v>
      </x:c>
      <x:c r="F1574" s="31" t="str">
        <x:v>Resume &amp; Experience</x:v>
      </x:c>
      <x:c r="G1574" s="30" t="str">
        <x:v>CL0001</x:v>
      </x:c>
      <x:c r="H1574" s="32" t="n">
        <x:f>COUNTIF($G$5:$G$1725,G1574)</x:f>
        <x:v>170</x:v>
      </x:c>
      <x:c r="I1574" s="30" t="str">
        <x:v>L14</x:v>
      </x:c>
      <x:c r="J1574" s="31" t="str">
        <x:v>ethical challenge | question for the interviewer | Round 2 (fx and rates trading)</x:v>
      </x:c>
    </x:row>
    <x:row r="1575" ht="32" customHeight="1">
      <x:c r="A1575" s="30" t="str">
        <x:v>QB2709</x:v>
      </x:c>
      <x:c r="B1575" s="30" t="str">
        <x:v>HSBC (GM)</x:v>
      </x:c>
      <x:c r="C1575" s="30" t="str">
        <x:v>Sales &amp; Trading</x:v>
      </x:c>
      <x:c r="D1575" s="31" t="str">
        <x:v>which subject do you like the most</x:v>
      </x:c>
      <x:c r="E1575" s="31" t="str">
        <x:v>Which subject do you like the most</x:v>
      </x:c>
      <x:c r="F1575" s="31" t="str">
        <x:v>Other Question</x:v>
      </x:c>
      <x:c r="G1575" s="30" t="str">
        <x:v>CL1103</x:v>
      </x:c>
      <x:c r="H1575" s="32" t="n">
        <x:f>COUNTIF($G$5:$G$1725,G1575)</x:f>
        <x:v>1</x:v>
      </x:c>
      <x:c r="I1575" s="30" t="str">
        <x:v>L16</x:v>
      </x:c>
      <x:c r="J1575" s="31" t="str">
        <x:v>Round 2 (fx and rates trading) | self introduction | interests &amp; student clubs in CV</x:v>
      </x:c>
    </x:row>
    <x:row r="1576" ht="32" customHeight="1">
      <x:c r="A1576" s="30" t="str">
        <x:v>QB2711</x:v>
      </x:c>
      <x:c r="B1576" s="30" t="str">
        <x:v>HSBC (GM)</x:v>
      </x:c>
      <x:c r="C1576" s="30" t="str">
        <x:v>Sales &amp; Trading</x:v>
      </x:c>
      <x:c r="D1576" s="31" t="str">
        <x:v>how do you think your major has benefited you</x:v>
      </x:c>
      <x:c r="E1576" s="31" t="str">
        <x:v>How do you think your major has benefited you</x:v>
      </x:c>
      <x:c r="F1576" s="31" t="str">
        <x:v>Fit &amp; Motivation</x:v>
      </x:c>
      <x:c r="G1576" s="30" t="str">
        <x:v>CL0428</x:v>
      </x:c>
      <x:c r="H1576" s="32" t="n">
        <x:f>COUNTIF($G$5:$G$1725,G1576)</x:f>
        <x:v>1</x:v>
      </x:c>
      <x:c r="I1576" s="30" t="str">
        <x:v>L17</x:v>
      </x:c>
      <x:c r="J1576" s="31" t="str">
        <x:v>self introduction | interests &amp; student clubs in CV | which subject do you like the most</x:v>
      </x:c>
    </x:row>
    <x:row r="1577" ht="48" customHeight="1">
      <x:c r="A1577" s="30" t="str">
        <x:v>QB2713</x:v>
      </x:c>
      <x:c r="B1577" s="30" t="str">
        <x:v>HSBC (GM)</x:v>
      </x:c>
      <x:c r="C1577" s="30" t="str">
        <x:v>Sales &amp; Trading</x:v>
      </x:c>
      <x:c r="D1577" s="31" t="str">
        <x:v>do you know why credit suisse failed</x:v>
      </x:c>
      <x:c r="E1577" s="31" t="str">
        <x:v>Do you know why credit suisse failed</x:v>
      </x:c>
      <x:c r="F1577" s="31" t="str">
        <x:v>Fit &amp; Motivation</x:v>
      </x:c>
      <x:c r="G1577" s="30" t="str">
        <x:v>CL0281</x:v>
      </x:c>
      <x:c r="H1577" s="32" t="n">
        <x:f>COUNTIF($G$5:$G$1725,G1577)</x:f>
        <x:v>1</x:v>
      </x:c>
      <x:c r="I1577" s="30" t="str">
        <x:v>L18</x:v>
      </x:c>
      <x:c r="J1577" s="31" t="str">
        <x:v>interests &amp; student clubs in CV | which subject do you like the most | how do you think your major has benefited you</x:v>
      </x:c>
    </x:row>
    <x:row r="1578" ht="68" customHeight="1">
      <x:c r="A1578" s="30" t="str">
        <x:v>QB2714</x:v>
      </x:c>
      <x:c r="B1578" s="30" t="str">
        <x:v>HSBC (GM)</x:v>
      </x:c>
      <x:c r="C1578" s="30" t="str">
        <x:v>Sales &amp; Trading</x:v>
      </x:c>
      <x:c r="D1578" s="31" t="str">
        <x:v>do you see the world trending towards globalization or deglobalization</x:v>
      </x:c>
      <x:c r="E1578" s="31" t="str">
        <x:v>Do you see the world trending towards globalization or deglobalization</x:v>
      </x:c>
      <x:c r="F1578" s="31" t="str">
        <x:v>Markets &amp; Macro</x:v>
      </x:c>
      <x:c r="G1578" s="30" t="str">
        <x:v>CL0288</x:v>
      </x:c>
      <x:c r="H1578" s="32" t="n">
        <x:f>COUNTIF($G$5:$G$1725,G1578)</x:f>
        <x:v>1</x:v>
      </x:c>
      <x:c r="I1578" s="30" t="str">
        <x:v>A19</x:v>
      </x:c>
      <x:c r="J1578" s="31" t="str">
        <x:v>some questions for warm up (wont be assessed) | if ECB were to tighten monetary policy now what is the effect on FX rates and equities | i said tighten rates then FX increase</x:v>
      </x:c>
    </x:row>
    <x:row r="1579" ht="48" customHeight="1">
      <x:c r="A1579" s="30" t="str">
        <x:v>QB2715</x:v>
      </x:c>
      <x:c r="B1579" s="30" t="str">
        <x:v>HSBC (GM)</x:v>
      </x:c>
      <x:c r="C1579" s="30" t="str">
        <x:v>Sales &amp; Trading</x:v>
      </x:c>
      <x:c r="D1579" s="31" t="str">
        <x:v>who is the new CEO of HSBC and what risks do you recommend this person to look at</x:v>
      </x:c>
      <x:c r="E1579" s="31" t="str">
        <x:v>Who is the new CEO of HSBC and what risks do you recommend this person to look at</x:v>
      </x:c>
      <x:c r="F1579" s="31" t="str">
        <x:v>Accounting &amp; Financial Statements</x:v>
      </x:c>
      <x:c r="G1579" s="30" t="str">
        <x:v>CL1108</x:v>
      </x:c>
      <x:c r="H1579" s="32" t="n">
        <x:f>COUNTIF($G$5:$G$1725,G1579)</x:f>
        <x:v>1</x:v>
      </x:c>
      <x:c r="I1579" s="30" t="str">
        <x:v>L19</x:v>
      </x:c>
      <x:c r="J1579" s="31" t="str">
        <x:v>which subject do you like the most | how do you think your major has benefited you | do you know why credit suisse failed</x:v>
      </x:c>
    </x:row>
    <x:row r="1580" ht="68" customHeight="1">
      <x:c r="A1580" s="30" t="str">
        <x:v>QB2716</x:v>
      </x:c>
      <x:c r="B1580" s="30" t="str">
        <x:v>HSBC (GM)</x:v>
      </x:c>
      <x:c r="C1580" s="30" t="str">
        <x:v>Sales &amp; Trading</x:v>
      </x:c>
      <x:c r="D1580" s="31" t="str">
        <x:v>what happens when countries get to show and utilize their comparative advantages against the others</x:v>
      </x:c>
      <x:c r="E1580" s="31" t="str">
        <x:v>What happens when countries get to show and utilize their comparative advantages against the others</x:v>
      </x:c>
      <x:c r="F1580" s="31" t="str">
        <x:v>Other Question</x:v>
      </x:c>
      <x:c r="G1580" s="30" t="str">
        <x:v>CL0949</x:v>
      </x:c>
      <x:c r="H1580" s="32" t="n">
        <x:f>COUNTIF($G$5:$G$1725,G1580)</x:f>
        <x:v>1</x:v>
      </x:c>
      <x:c r="I1580" s="30" t="str">
        <x:v>A20</x:v>
      </x:c>
      <x:c r="J1580" s="31" t="str">
        <x:v>if ECB were to tighten monetary policy now what is the effect on FX rates and equities | i said tighten rates then FX increase | do you see the world trending towards globalization or deglobalization</x:v>
      </x:c>
    </x:row>
    <x:row r="1581" ht="68" customHeight="1">
      <x:c r="A1581" s="30" t="str">
        <x:v>QB2718</x:v>
      </x:c>
      <x:c r="B1581" s="30" t="str">
        <x:v>HSBC (GM)</x:v>
      </x:c>
      <x:c r="C1581" s="30" t="str">
        <x:v>Sales &amp; Trading</x:v>
      </x:c>
      <x:c r="D1581" s="31" t="str">
        <x:v>brain teaser: Y1 revenue is 100, Y2 decrease 20% from Y3 increase 10%, how many years to get back to over 100</x:v>
      </x:c>
      <x:c r="E1581" s="31" t="str">
        <x:v>Brain teaser: Y1 revenue is 100, Y2 decrease 20% from Y3 increase 10%, how many years to get back to over 100</x:v>
      </x:c>
      <x:c r="F1581" s="31" t="str">
        <x:v>Accounting &amp; Financial Statements</x:v>
      </x:c>
      <x:c r="G1581" s="30" t="str">
        <x:v>CL0175</x:v>
      </x:c>
      <x:c r="H1581" s="32" t="n">
        <x:f>COUNTIF($G$5:$G$1725,G1581)</x:f>
        <x:v>1</x:v>
      </x:c>
      <x:c r="I1581" s="30" t="str">
        <x:v>A21</x:v>
      </x:c>
      <x:c r="J1581" s="31" t="str">
        <x:v>i said tighten rates then FX increase | do you see the world trending towards globalization or deglobalization | what happens when countries get to show and utilize their comparative advantages against the others</x:v>
      </x:c>
    </x:row>
    <x:row r="1582" ht="92" customHeight="1">
      <x:c r="A1582" s="30" t="str">
        <x:v>QB2720</x:v>
      </x:c>
      <x:c r="B1582" s="30" t="str">
        <x:v>HSBC (GM)</x:v>
      </x:c>
      <x:c r="C1582" s="30" t="str">
        <x:v>Sales &amp; Trading</x:v>
      </x:c>
      <x:c r="D1582" s="31" t="str">
        <x:v>brain teaser: roll a dice and payoff is whatever u roll, u have the option of rolling again if u dont like your payoff, how much would u pay me so u wont loose or earn</x:v>
      </x:c>
      <x:c r="E1582" s="31" t="str">
        <x:v>Brain teaser: roll a dice and payoff is whatever u roll, u have the option of rolling again if u dont like your payoff, how much would u pay me so u wont loose or earn</x:v>
      </x:c>
      <x:c r="F1582" s="31" t="str">
        <x:v>Accounting &amp; Financial Statements</x:v>
      </x:c>
      <x:c r="G1582" s="30" t="str">
        <x:v>CL0174</x:v>
      </x:c>
      <x:c r="H1582" s="32" t="n">
        <x:f>COUNTIF($G$5:$G$1725,G1582)</x:f>
        <x:v>1</x:v>
      </x:c>
      <x:c r="I1582" s="30" t="str">
        <x:v>A22</x:v>
      </x:c>
      <x:c r="J1582" s="31" t="str">
        <x:v>do you see the world trending towards globalization or deglobalization | what happens when countries get to show and utilize their comparative advantages against the others | brain teaser: Y1 revenue is 100, Y2 decrease 20% from Y3 incre...</x:v>
      </x:c>
    </x:row>
    <x:row r="1583" ht="118" customHeight="1">
      <x:c r="A1583" s="30" t="str">
        <x:v>QB2722</x:v>
      </x:c>
      <x:c r="B1583" s="30" t="str">
        <x:v>HSBC (GM)</x:v>
      </x:c>
      <x:c r="C1583" s="30" t="str">
        <x:v>Sales &amp; Trading</x:v>
      </x:c>
      <x:c r="D1583" s="31" t="str">
        <x:v>brain teaser: 5/8 100 sterling or 75% 100 dollars (forgot the actual number but key is to convert)</x:v>
      </x:c>
      <x:c r="E1583" s="31" t="str">
        <x:v>Brain teaser: 5/8 100 sterling or 75% 100 dollars (forgot the actual number but key is to convert)</x:v>
      </x:c>
      <x:c r="F1583" s="31" t="str">
        <x:v>Accounting &amp; Financial Statements</x:v>
      </x:c>
      <x:c r="G1583" s="30" t="str">
        <x:v>CL0172</x:v>
      </x:c>
      <x:c r="H1583" s="32" t="n">
        <x:f>COUNTIF($G$5:$G$1725,G1583)</x:f>
        <x:v>1</x:v>
      </x:c>
      <x:c r="I1583" s="30" t="str">
        <x:v>A23</x:v>
      </x:c>
      <x:c r="J1583" s="31" t="str">
        <x:v>what happens when countries get to show and utilize their comparative advantages against the others | brain teaser: Y1 revenue is 100, Y2 decrease 20% from Y3 increase 10%, how many years to get back to over 100 | brain teaser: roll a di...</x:v>
      </x:c>
    </x:row>
    <x:row r="1584" ht="92" customHeight="1">
      <x:c r="A1584" s="30" t="str">
        <x:v>QB2723</x:v>
      </x:c>
      <x:c r="B1584" s="30" t="str">
        <x:v>HSBC (GM)</x:v>
      </x:c>
      <x:c r="C1584" s="30" t="str">
        <x:v>Sales &amp; Trading</x:v>
      </x:c>
      <x:c r="D1584" s="31" t="str">
        <x:v>behavourial: is fairness importnt to you in a team setting and what would u do to ensure fairness if it is impt for u</x:v>
      </x:c>
      <x:c r="E1584" s="31" t="str">
        <x:v>Behavourial: is fairness importnt to you in a team setting and what would u do to ensure fairness if it is impt for u</x:v>
      </x:c>
      <x:c r="F1584" s="31" t="str">
        <x:v>Behavioral &amp; Situational</x:v>
      </x:c>
      <x:c r="G1584" s="30" t="str">
        <x:v>CL0160</x:v>
      </x:c>
      <x:c r="H1584" s="32" t="n">
        <x:f>COUNTIF($G$5:$G$1725,G1584)</x:f>
        <x:v>1</x:v>
      </x:c>
      <x:c r="I1584" s="30" t="str">
        <x:v>A24</x:v>
      </x:c>
      <x:c r="J1584" s="31" t="str">
        <x:v>brain teaser: Y1 revenue is 100, Y2 decrease 20% from Y3 increase 10%, how many years to get back to over 100 | brain teaser: roll a dice and payoff is whatever u roll, u have the option of rolling again if u dont like your payoff, how m...</x:v>
      </x:c>
    </x:row>
    <x:row r="1585" ht="48" customHeight="1">
      <x:c r="A1585" s="30" t="str">
        <x:v>QB2726</x:v>
      </x:c>
      <x:c r="B1585" s="30" t="str">
        <x:v>HSBC (GM)</x:v>
      </x:c>
      <x:c r="C1585" s="30" t="str">
        <x:v>Sales &amp; Trading</x:v>
      </x:c>
      <x:c r="D1585" s="31" t="str">
        <x:v>self intro</x:v>
      </x:c>
      <x:c r="E1585" s="31" t="str">
        <x:v>Tell me about yourself / walk me through your resume</x:v>
      </x:c>
      <x:c r="F1585" s="31" t="str">
        <x:v>Resume &amp; Experience</x:v>
      </x:c>
      <x:c r="G1585" s="30" t="str">
        <x:v>CL0001</x:v>
      </x:c>
      <x:c r="H1585" s="32" t="n">
        <x:f>COUNTIF($G$5:$G$1725,G1585)</x:f>
        <x:v>170</x:v>
      </x:c>
      <x:c r="I1585" s="30" t="str">
        <x:v>L25</x:v>
      </x:c>
      <x:c r="J1585" s="31" t="str">
        <x:v>another brainteaser (forget the question but need to know GBPUSD rate) | Something u do that makes you consider the long-term impact | Round3 (corporate sales)</x:v>
      </x:c>
    </x:row>
    <x:row r="1586" ht="68" customHeight="1">
      <x:c r="A1586" s="30" t="str">
        <x:v>QB2730</x:v>
      </x:c>
      <x:c r="B1586" s="30" t="str">
        <x:v>HSBC (GM)</x:v>
      </x:c>
      <x:c r="C1586" s="30" t="str">
        <x:v>Sales &amp; Trading</x:v>
      </x:c>
      <x:c r="D1586" s="31" t="str">
        <x:v>introduce urself</x:v>
      </x:c>
      <x:c r="E1586" s="31" t="str">
        <x:v>Introduce urself</x:v>
      </x:c>
      <x:c r="F1586" s="31" t="str">
        <x:v>Other Question</x:v>
      </x:c>
      <x:c r="G1586" s="30" t="str">
        <x:v>CL0035</x:v>
      </x:c>
      <x:c r="H1586" s="32" t="n">
        <x:f>COUNTIF($G$5:$G$1725,G1586)</x:f>
        <x:v>2</x:v>
      </x:c>
      <x:c r="I1586" s="30" t="str">
        <x:v>A28</x:v>
      </x:c>
      <x:c r="J1586" s="31" t="str">
        <x:v>behavourial: is fairness importnt to you in a team setting and what would u do to ensure fairness if it is impt for u | any questions for me? | Round 3 (Billy from Inst Sales)</x:v>
      </x:c>
    </x:row>
    <x:row r="1587" ht="32" customHeight="1">
      <x:c r="A1587" s="30" t="str">
        <x:v>QB2731</x:v>
      </x:c>
      <x:c r="B1587" s="30" t="str">
        <x:v>HSBC (GM)</x:v>
      </x:c>
      <x:c r="C1587" s="30" t="str">
        <x:v>Sales &amp; Trading</x:v>
      </x:c>
      <x:c r="D1587" s="31" t="str">
        <x:v>how interest rate affects the global markets and different assets</x:v>
      </x:c>
      <x:c r="E1587" s="31" t="str">
        <x:v>How interest rate affects the global markets and different assets</x:v>
      </x:c>
      <x:c r="F1587" s="31" t="str">
        <x:v>Markets &amp; Macro</x:v>
      </x:c>
      <x:c r="G1587" s="30" t="str">
        <x:v>CL0444</x:v>
      </x:c>
      <x:c r="H1587" s="32" t="n">
        <x:f>COUNTIF($G$5:$G$1725,G1587)</x:f>
        <x:v>1</x:v>
      </x:c>
      <x:c r="I1587" s="30" t="str">
        <x:v>L28</x:v>
      </x:c>
      <x:c r="J1587" s="31" t="str">
        <x:v>self intro | sales or trading | CV question</x:v>
      </x:c>
    </x:row>
    <x:row r="1588" ht="48" customHeight="1">
      <x:c r="A1588" s="30" t="str">
        <x:v>QB2733</x:v>
      </x:c>
      <x:c r="B1588" s="30" t="str">
        <x:v>HSBC (GM)</x:v>
      </x:c>
      <x:c r="C1588" s="30" t="str">
        <x:v>Sales &amp; Trading</x:v>
      </x:c>
      <x:c r="D1588" s="31" t="str">
        <x:v>1mil asset allocation</x:v>
      </x:c>
      <x:c r="E1588" s="31" t="str">
        <x:v>1mil asset allocation</x:v>
      </x:c>
      <x:c r="F1588" s="31" t="str">
        <x:v>Fit &amp; Motivation</x:v>
      </x:c>
      <x:c r="G1588" s="30" t="str">
        <x:v>CL0067</x:v>
      </x:c>
      <x:c r="H1588" s="32" t="n">
        <x:f>COUNTIF($G$5:$G$1725,G1588)</x:f>
        <x:v>1</x:v>
      </x:c>
      <x:c r="I1588" s="30" t="str">
        <x:v>L29</x:v>
      </x:c>
      <x:c r="J1588" s="31" t="str">
        <x:v>sales or trading | CV question | how interest rate affects the global markets and different assets</x:v>
      </x:c>
    </x:row>
    <x:row r="1589" ht="48" customHeight="1">
      <x:c r="A1589" s="30" t="str">
        <x:v>QB2734</x:v>
      </x:c>
      <x:c r="B1589" s="30" t="str">
        <x:v>HSBC (GM)</x:v>
      </x:c>
      <x:c r="C1589" s="30" t="str">
        <x:v>Sales &amp; Trading</x:v>
      </x:c>
      <x:c r="D1589" s="31" t="str">
        <x:v>whats ur view on oil in the medium term</x:v>
      </x:c>
      <x:c r="E1589" s="31" t="str">
        <x:v>Whats ur view on oil in the medium term</x:v>
      </x:c>
      <x:c r="F1589" s="31" t="str">
        <x:v>Other Question</x:v>
      </x:c>
      <x:c r="G1589" s="30" t="str">
        <x:v>CL1076</x:v>
      </x:c>
      <x:c r="H1589" s="32" t="n">
        <x:f>COUNTIF($G$5:$G$1725,G1589)</x:f>
        <x:v>1</x:v>
      </x:c>
      <x:c r="I1589" s="30" t="str">
        <x:v>A30</x:v>
      </x:c>
      <x:c r="J1589" s="31" t="str">
        <x:v>Round 3 (Billy from Inst Sales) | introduce urself | asked abit about hobby and why i liked film pohtograhy</x:v>
      </x:c>
    </x:row>
    <x:row r="1590" ht="48" customHeight="1">
      <x:c r="A1590" s="30" t="str">
        <x:v>QB2736</x:v>
      </x:c>
      <x:c r="B1590" s="30" t="str">
        <x:v>HSBC (GM)</x:v>
      </x:c>
      <x:c r="C1590" s="30" t="str">
        <x:v>Sales &amp; Trading</x:v>
      </x:c>
      <x:c r="D1590" s="31" t="str">
        <x:v>why HSBC</x:v>
      </x:c>
      <x:c r="E1590" s="31" t="str">
        <x:v>Why this firm?</x:v>
      </x:c>
      <x:c r="F1590" s="31" t="str">
        <x:v>Fit &amp; Motivation</x:v>
      </x:c>
      <x:c r="G1590" s="30" t="str">
        <x:v>CL0002</x:v>
      </x:c>
      <x:c r="H1590" s="32" t="n">
        <x:f>COUNTIF($G$5:$G$1725,G1590)</x:f>
        <x:v>39</x:v>
      </x:c>
      <x:c r="I1590" s="30" t="str">
        <x:v>A31</x:v>
      </x:c>
      <x:c r="J1590" s="31" t="str">
        <x:v>introduce urself | asked abit about hobby and why i liked film pohtograhy | whats ur view on oil in the medium term</x:v>
      </x:c>
    </x:row>
    <x:row r="1591" ht="48" customHeight="1">
      <x:c r="A1591" s="30" t="str">
        <x:v>QB2737</x:v>
      </x:c>
      <x:c r="B1591" s="30" t="str">
        <x:v>HSBC (GM)</x:v>
      </x:c>
      <x:c r="C1591" s="30" t="str">
        <x:v>Sales &amp; Trading</x:v>
      </x:c>
      <x:c r="D1591" s="31" t="str">
        <x:v>what do you want to take away from this internship experience</x:v>
      </x:c>
      <x:c r="E1591" s="31" t="str">
        <x:v>What do you want to take away from this internship experience</x:v>
      </x:c>
      <x:c r="F1591" s="31" t="str">
        <x:v>Resume &amp; Experience</x:v>
      </x:c>
      <x:c r="G1591" s="30" t="str">
        <x:v>CL0936</x:v>
      </x:c>
      <x:c r="H1591" s="32" t="n">
        <x:f>COUNTIF($G$5:$G$1725,G1591)</x:f>
        <x:v>1</x:v>
      </x:c>
      <x:c r="I1591" s="30" t="str">
        <x:v>L31</x:v>
      </x:c>
      <x:c r="J1591" s="31" t="str">
        <x:v>how interest rate affects the global markets and different assets | 1mil asset allocation | brainteaser (lily pound)</x:v>
      </x:c>
    </x:row>
    <x:row r="1592" ht="48" customHeight="1">
      <x:c r="A1592" s="30" t="str">
        <x:v>QB2738</x:v>
      </x:c>
      <x:c r="B1592" s="30" t="str">
        <x:v>HSBC (GM)</x:v>
      </x:c>
      <x:c r="C1592" s="30" t="str">
        <x:v>Sales &amp; Trading</x:v>
      </x:c>
      <x:c r="D1592" s="31" t="str">
        <x:v>discuss about how to optimize efficiency in an organization</x:v>
      </x:c>
      <x:c r="E1592" s="31" t="str">
        <x:v>Discuss about how to optimize efficiency in an organization</x:v>
      </x:c>
      <x:c r="F1592" s="31" t="str">
        <x:v>Other Question</x:v>
      </x:c>
      <x:c r="G1592" s="30" t="str">
        <x:v>CL0257</x:v>
      </x:c>
      <x:c r="H1592" s="32" t="n">
        <x:f>COUNTIF($G$5:$G$1725,G1592)</x:f>
        <x:v>1</x:v>
      </x:c>
      <x:c r="I1592" s="30" t="str">
        <x:v>A32</x:v>
      </x:c>
      <x:c r="J1592" s="31" t="str">
        <x:v>asked abit about hobby and why i liked film pohtograhy | whats ur view on oil in the medium term | why HSBC</x:v>
      </x:c>
    </x:row>
    <x:row r="1593" ht="48" customHeight="1">
      <x:c r="A1593" s="30" t="str">
        <x:v>QB2742</x:v>
      </x:c>
      <x:c r="B1593" s="30" t="str">
        <x:v>HSBC (GM)</x:v>
      </x:c>
      <x:c r="C1593" s="30" t="str">
        <x:v>Sales &amp; Trading</x:v>
      </x:c>
      <x:c r="D1593" s="31" t="str">
        <x:v>brain teaser: if u have 10*10*10 cube made up of 1*1*1 small cubes, and u paint the whole thing red how many small cubes are painted red</x:v>
      </x:c>
      <x:c r="E1593" s="31" t="str">
        <x:v>Brain teaser: if u have 10*10*10 cube made up of 1*1*1 small cubes, and u paint the whole thing red how many small cubes are painted red</x:v>
      </x:c>
      <x:c r="F1593" s="31" t="str">
        <x:v>Consulting &amp; Case</x:v>
      </x:c>
      <x:c r="G1593" s="30" t="str">
        <x:v>CL0173</x:v>
      </x:c>
      <x:c r="H1593" s="32" t="n">
        <x:f>COUNTIF($G$5:$G$1725,G1593)</x:f>
        <x:v>1</x:v>
      </x:c>
      <x:c r="I1593" s="30" t="str">
        <x:v>A34</x:v>
      </x:c>
      <x:c r="J1593" s="31" t="str">
        <x:v>why HSBC | discuss about how to optimize efficiency in an organization | use of AI in a bank</x:v>
      </x:c>
    </x:row>
    <x:row r="1594" ht="68" customHeight="1">
      <x:c r="A1594" s="30" t="str">
        <x:v>QB2747</x:v>
      </x:c>
      <x:c r="B1594" s="30" t="str">
        <x:v>JPM (GM)</x:v>
      </x:c>
      <x:c r="C1594" s="30" t="str">
        <x:v>Sales &amp; Trading</x:v>
      </x:c>
      <x:c r="D1594" s="31" t="str">
        <x:v>Self Intro</x:v>
      </x:c>
      <x:c r="E1594" s="31" t="str">
        <x:v>Tell me about yourself / walk me through your resume</x:v>
      </x:c>
      <x:c r="F1594" s="31" t="str">
        <x:v>Resume &amp; Experience</x:v>
      </x:c>
      <x:c r="G1594" s="30" t="str">
        <x:v>CL0001</x:v>
      </x:c>
      <x:c r="H1594" s="32" t="n">
        <x:f>COUNTIF($G$5:$G$1725,G1594)</x:f>
        <x:v>170</x:v>
      </x:c>
      <x:c r="I1594" s="30" t="str">
        <x:v>A6</x:v>
      </x:c>
      <x:c r="J1594" s="31" t="str">
        <x:v>Just Chat (But they prefer Candidates less aggresive &amp; from Mainland China schools) | US NYC Sales Superday (Michael, Asuka, Elliotte) | They have a Question List:</x:v>
      </x:c>
    </x:row>
    <x:row r="1595" ht="32" customHeight="1">
      <x:c r="A1595" s="30" t="str">
        <x:v>QB2749</x:v>
      </x:c>
      <x:c r="B1595" s="30" t="str">
        <x:v>JPM (GM)</x:v>
      </x:c>
      <x:c r="C1595" s="30" t="str">
        <x:v>Sales &amp; Trading</x:v>
      </x:c>
      <x:c r="D1595" s="31" t="str">
        <x:v>Walk through Market (with Elliotte - 20mins on this)</x:v>
      </x:c>
      <x:c r="E1595" s="31" t="str">
        <x:v>Walk through Market (with Elliotte - 20mins on this)</x:v>
      </x:c>
      <x:c r="F1595" s="31" t="str">
        <x:v>Other Question</x:v>
      </x:c>
      <x:c r="G1595" s="30" t="str">
        <x:v>CL0848</x:v>
      </x:c>
      <x:c r="H1595" s="32" t="n">
        <x:f>COUNTIF($G$5:$G$1725,G1595)</x:f>
        <x:v>1</x:v>
      </x:c>
      <x:c r="I1595" s="30" t="str">
        <x:v>A8</x:v>
      </x:c>
      <x:c r="J1595" s="31" t="str">
        <x:v>They have a Question List: | Self Intro | Most challenging project</x:v>
      </x:c>
    </x:row>
    <x:row r="1596" ht="48" customHeight="1">
      <x:c r="A1596" s="30" t="str">
        <x:v>QB2750</x:v>
      </x:c>
      <x:c r="B1596" s="30" t="str">
        <x:v>JPM (GM)</x:v>
      </x:c>
      <x:c r="C1596" s="30" t="str">
        <x:v>Sales &amp; Trading</x:v>
      </x:c>
      <x:c r="D1596" s="31" t="str">
        <x:v>Given Market situation, invest in fixed / floating rate now?</x:v>
      </x:c>
      <x:c r="E1596" s="31" t="str">
        <x:v>Given Market situation, invest in fixed / floating rate now</x:v>
      </x:c>
      <x:c r="F1596" s="31" t="str">
        <x:v>Other Question</x:v>
      </x:c>
      <x:c r="G1596" s="30" t="str">
        <x:v>CL0352</x:v>
      </x:c>
      <x:c r="H1596" s="32" t="n">
        <x:f>COUNTIF($G$5:$G$1725,G1596)</x:f>
        <x:v>1</x:v>
      </x:c>
      <x:c r="I1596" s="30" t="str">
        <x:v>A9</x:v>
      </x:c>
      <x:c r="J1596" s="31" t="str">
        <x:v>Self Intro | Most challenging project | Walk through Market (with Elliotte - 20mins on this)</x:v>
      </x:c>
    </x:row>
    <x:row r="1597" ht="68" customHeight="1">
      <x:c r="A1597" s="30" t="str">
        <x:v>QB2761</x:v>
      </x:c>
      <x:c r="B1597" s="30" t="str">
        <x:v>UBS(GM Off cycle)</x:v>
      </x:c>
      <x:c r="C1597" s="30" t="str">
        <x:v>Sales &amp; Trading</x:v>
      </x:c>
      <x:c r="D1597" s="31" t="str">
        <x:v>Coding proficiency, any project experience with python</x:v>
      </x:c>
      <x:c r="E1597" s="31" t="str">
        <x:v>Coding proficiency, any project experience with python</x:v>
      </x:c>
      <x:c r="F1597" s="31" t="str">
        <x:v>Resume &amp; Experience</x:v>
      </x:c>
      <x:c r="G1597" s="30" t="str">
        <x:v>CL0199</x:v>
      </x:c>
      <x:c r="H1597" s="32" t="n">
        <x:f>COUNTIF($G$5:$G$1725,G1597)</x:f>
        <x:v>1</x:v>
      </x:c>
      <x:c r="I1597" s="30" t="str">
        <x:v>A14</x:v>
      </x:c>
      <x:c r="J1597" s="31" t="str">
        <x:v>Also asked about UBS Sustainability Commitment, how do I think I would be a great fit for UBS Sustainability initiatives | 45 mins with Sandra | 30 mins CV grill</x:v>
      </x:c>
    </x:row>
    <x:row r="1598" ht="48" customHeight="1">
      <x:c r="A1598" s="30" t="str">
        <x:v>QB2764</x:v>
      </x:c>
      <x:c r="B1598" s="30" t="str">
        <x:v>UBS(GM Off cycle)</x:v>
      </x:c>
      <x:c r="C1598" s="30" t="str">
        <x:v>Sales &amp; Trading</x:v>
      </x:c>
      <x:c r="D1598" s="31" t="str">
        <x:v>Self intro</x:v>
      </x:c>
      <x:c r="E1598" s="31" t="str">
        <x:v>Tell me about yourself / walk me through your resume</x:v>
      </x:c>
      <x:c r="F1598" s="31" t="str">
        <x:v>Resume &amp; Experience</x:v>
      </x:c>
      <x:c r="G1598" s="30" t="str">
        <x:v>CL0001</x:v>
      </x:c>
      <x:c r="H1598" s="32" t="n">
        <x:f>COUNTIF($G$5:$G$1725,G1598)</x:f>
        <x:v>170</x:v>
      </x:c>
      <x:c r="I1598" s="30" t="str">
        <x:v>A18</x:v>
      </x:c>
      <x:c r="J1598" s="31" t="str">
        <x:v>Coding proficiency, any project experience with python | First Round (Derivatives and Solutions) | Claire Li and Mandy Ip</x:v>
      </x:c>
    </x:row>
    <x:row r="1599" ht="32" customHeight="1">
      <x:c r="A1599" s="30" t="str">
        <x:v>QB2770</x:v>
      </x:c>
      <x:c r="B1599" s="30" t="str">
        <x:v>UBS(GM Off cycle)</x:v>
      </x:c>
      <x:c r="C1599" s="30" t="str">
        <x:v>Sales &amp; Trading</x:v>
      </x:c>
      <x:c r="D1599" s="31" t="str">
        <x:v>Self intro</x:v>
      </x:c>
      <x:c r="E1599" s="31" t="str">
        <x:v>Tell me about yourself / walk me through your resume</x:v>
      </x:c>
      <x:c r="F1599" s="31" t="str">
        <x:v>Resume &amp; Experience</x:v>
      </x:c>
      <x:c r="G1599" s="30" t="str">
        <x:v>CL0001</x:v>
      </x:c>
      <x:c r="H1599" s="32" t="n">
        <x:f>COUNTIF($G$5:$G$1725,G1599)</x:f>
        <x:v>170</x:v>
      </x:c>
      <x:c r="I1599" s="30" t="str">
        <x:v>A25</x:v>
      </x:c>
      <x:c r="J1599" s="31" t="str">
        <x:v>CV grill | Super day (Derivatives and Solutions) | Thomas Wang &amp; Sheen Liu</x:v>
      </x:c>
    </x:row>
    <x:row r="1600" ht="32" customHeight="1">
      <x:c r="A1600" s="30" t="str">
        <x:v>QB2773</x:v>
      </x:c>
      <x:c r="B1600" s="30" t="str">
        <x:v>UBS(GM Off cycle)</x:v>
      </x:c>
      <x:c r="C1600" s="30" t="str">
        <x:v>Sales &amp; Trading</x:v>
      </x:c>
      <x:c r="D1600" s="31" t="str">
        <x:v>What risk metrics are most important when managing a portfolio</x:v>
      </x:c>
      <x:c r="E1600" s="31" t="str">
        <x:v>What risk metrics are most important when managing a portfolio</x:v>
      </x:c>
      <x:c r="F1600" s="31" t="str">
        <x:v>Wealth &amp; Asset Management</x:v>
      </x:c>
      <x:c r="G1600" s="30" t="str">
        <x:v>CL1026</x:v>
      </x:c>
      <x:c r="H1600" s="32" t="n">
        <x:f>COUNTIF($G$5:$G$1725,G1600)</x:f>
        <x:v>1</x:v>
      </x:c>
      <x:c r="I1600" s="30" t="str">
        <x:v>A28</x:v>
      </x:c>
      <x:c r="J1600" s="31" t="str">
        <x:v>Self intro | CV grill | Mechanism of hedging and delta one</x:v>
      </x:c>
    </x:row>
    <x:row r="1601" ht="48" customHeight="1">
      <x:c r="A1601" s="30" t="str">
        <x:v>QB2774</x:v>
      </x:c>
      <x:c r="B1601" s="30" t="str">
        <x:v>UBS(GM Off cycle)</x:v>
      </x:c>
      <x:c r="C1601" s="30" t="str">
        <x:v>Sales &amp; Trading</x:v>
      </x:c>
      <x:c r="D1601" s="31" t="str">
        <x:v>If the desk is managing a long short pair for client, what actions to take(TRS)</x:v>
      </x:c>
      <x:c r="E1601" s="31" t="str">
        <x:v>If the desk is managing a long short pair for client, what actions to take(TRS)</x:v>
      </x:c>
      <x:c r="F1601" s="31" t="str">
        <x:v>Accounting &amp; Financial Statements</x:v>
      </x:c>
      <x:c r="G1601" s="30" t="str">
        <x:v>CL0518</x:v>
      </x:c>
      <x:c r="H1601" s="32" t="n">
        <x:f>COUNTIF($G$5:$G$1725,G1601)</x:f>
        <x:v>1</x:v>
      </x:c>
      <x:c r="I1601" s="30" t="str">
        <x:v>A29</x:v>
      </x:c>
      <x:c r="J1601" s="31" t="str">
        <x:v>CV grill | Mechanism of hedging and delta one | What risk metrics are most important when managing a portfolio</x:v>
      </x:c>
    </x:row>
    <x:row r="1602" ht="68" customHeight="1">
      <x:c r="A1602" s="30" t="str">
        <x:v>QB2775</x:v>
      </x:c>
      <x:c r="B1602" s="30" t="str">
        <x:v>UBS(GM Off cycle)</x:v>
      </x:c>
      <x:c r="C1602" s="30" t="str">
        <x:v>Sales &amp; Trading</x:v>
      </x:c>
      <x:c r="D1602" s="31" t="str">
        <x:v>Brain Teaser: 1 dice, throw twice, if not satisfied with the result of first throw, can throw again, what is the Ev</x:v>
      </x:c>
      <x:c r="E1602" s="31" t="str">
        <x:v>Brain Teaser: 1 dice, throw twice, if not satisfied with the result of first throw, can throw again, what is the Ev</x:v>
      </x:c>
      <x:c r="F1602" s="31" t="str">
        <x:v>Accounting &amp; Financial Statements</x:v>
      </x:c>
      <x:c r="G1602" s="30" t="str">
        <x:v>CL0168</x:v>
      </x:c>
      <x:c r="H1602" s="32" t="n">
        <x:f>COUNTIF($G$5:$G$1725,G1602)</x:f>
        <x:v>1</x:v>
      </x:c>
      <x:c r="I1602" s="30" t="str">
        <x:v>A30</x:v>
      </x:c>
      <x:c r="J1602" s="31" t="str">
        <x:v>Mechanism of hedging and delta one | What risk metrics are most important when managing a portfolio | If the desk is managing a long short pair for client, what actions to take(TRS)</x:v>
      </x:c>
    </x:row>
    <x:row r="1603" ht="32" customHeight="1">
      <x:c r="A1603" s="30" t="str">
        <x:v>QB2793</x:v>
      </x:c>
      <x:c r="B1603" s="30" t="str">
        <x:v>Others (eg. PE, CB...)</x:v>
      </x:c>
      <x:c r="C1603" s="30" t="str">
        <x:v>PE / VC / Other</x:v>
      </x:c>
      <x:c r="D1603" s="31" t="str">
        <x:v>Self intro</x:v>
      </x:c>
      <x:c r="E1603" s="31" t="str">
        <x:v>Tell me about yourself / walk me through your resume</x:v>
      </x:c>
      <x:c r="F1603" s="31" t="str">
        <x:v>Resume &amp; Experience</x:v>
      </x:c>
      <x:c r="G1603" s="30" t="str">
        <x:v>CL0001</x:v>
      </x:c>
      <x:c r="H1603" s="32" t="n">
        <x:f>COUNTIF($G$5:$G$1725,G1603)</x:f>
        <x:v>170</x:v>
      </x:c>
      <x:c r="I1603" s="30" t="str">
        <x:v>A3</x:v>
      </x:c>
      <x:c r="J1603" s="31" t="str">
        <x:v>Hony Capital (Cindy) | 45742</x:v>
      </x:c>
    </x:row>
    <x:row r="1604" ht="32" customHeight="1">
      <x:c r="A1604" s="30" t="str">
        <x:v>QB2794</x:v>
      </x:c>
      <x:c r="B1604" s="30" t="str">
        <x:v>Others (eg. PE, CB...)</x:v>
      </x:c>
      <x:c r="C1604" s="30" t="str">
        <x:v>PE / VC / Other</x:v>
      </x:c>
      <x:c r="D1604" s="31" t="str">
        <x:v>Self intro</x:v>
      </x:c>
      <x:c r="E1604" s="31" t="str">
        <x:v>Tell me about yourself / walk me through your resume</x:v>
      </x:c>
      <x:c r="F1604" s="31" t="str">
        <x:v>Resume &amp; Experience</x:v>
      </x:c>
      <x:c r="G1604" s="30" t="str">
        <x:v>CL0001</x:v>
      </x:c>
      <x:c r="H1604" s="32" t="n">
        <x:f>COUNTIF($G$5:$G$1725,G1604)</x:f>
        <x:v>170</x:v>
      </x:c>
      <x:c r="I1604" s="30" t="str">
        <x:v>E3</x:v>
      </x:c>
      <x:c r="J1604" s="31" t="str">
        <x:v>Pamalican (Regina) | March 31st 2025</x:v>
      </x:c>
    </x:row>
    <x:row r="1605" ht="32" customHeight="1">
      <x:c r="A1605" s="30" t="str">
        <x:v>QB2795</x:v>
      </x:c>
      <x:c r="B1605" s="30" t="str">
        <x:v>Others (eg. PE, CB...)</x:v>
      </x:c>
      <x:c r="C1605" s="30" t="str">
        <x:v>PE / VC / Other</x:v>
      </x:c>
      <x:c r="D1605" s="31" t="str">
        <x:v>What did you do in Huatai Investment Banking, any deals</x:v>
      </x:c>
      <x:c r="E1605" s="31" t="str">
        <x:v>What did you do in Huatai Investment Banking, any deals</x:v>
      </x:c>
      <x:c r="F1605" s="31" t="str">
        <x:v>Resume &amp; Experience</x:v>
      </x:c>
      <x:c r="G1605" s="30" t="str">
        <x:v>CL0901</x:v>
      </x:c>
      <x:c r="H1605" s="32" t="n">
        <x:f>COUNTIF($G$5:$G$1725,G1605)</x:f>
        <x:v>1</x:v>
      </x:c>
      <x:c r="I1605" s="30" t="str">
        <x:v>A4</x:v>
      </x:c>
      <x:c r="J1605" s="31" t="str">
        <x:v>Hony Capital (Cindy) | 45742 | Self intro</x:v>
      </x:c>
    </x:row>
    <x:row r="1606" ht="32" customHeight="1">
      <x:c r="A1606" s="30" t="str">
        <x:v>QB2797</x:v>
      </x:c>
      <x:c r="B1606" s="30" t="str">
        <x:v>Others (eg. PE, CB...)</x:v>
      </x:c>
      <x:c r="C1606" s="30" t="str">
        <x:v>PE / VC / Other</x:v>
      </x:c>
      <x:c r="D1606" s="31" t="str">
        <x:v>what do you know about this industry the company is in</x:v>
      </x:c>
      <x:c r="E1606" s="31" t="str">
        <x:v>What do you know about this industry the company is in</x:v>
      </x:c>
      <x:c r="F1606" s="31" t="str">
        <x:v>Accounting &amp; Financial Statements</x:v>
      </x:c>
      <x:c r="G1606" s="30" t="str">
        <x:v>CL0924</x:v>
      </x:c>
      <x:c r="H1606" s="32" t="n">
        <x:f>COUNTIF($G$5:$G$1725,G1606)</x:f>
        <x:v>1</x:v>
      </x:c>
      <x:c r="I1606" s="30" t="str">
        <x:v>A5</x:v>
      </x:c>
      <x:c r="J1606" s="31" t="str">
        <x:v>45742 | Self intro | What did you do in Huatai Investment Banking, any deals</x:v>
      </x:c>
    </x:row>
    <x:row r="1607" ht="48" customHeight="1">
      <x:c r="A1607" s="30" t="str">
        <x:v>QB2799</x:v>
      </x:c>
      <x:c r="B1607" s="30" t="str">
        <x:v>Others (eg. PE, CB...)</x:v>
      </x:c>
      <x:c r="C1607" s="30" t="str">
        <x:v>PE / VC / Other</x:v>
      </x:c>
      <x:c r="D1607" s="31" t="str">
        <x:v>Tell me about how you value the company (DCF, PE)</x:v>
      </x:c>
      <x:c r="E1607" s="31" t="str">
        <x:v>Tell me about how you value the company (DCF, PE)</x:v>
      </x:c>
      <x:c r="F1607" s="31" t="str">
        <x:v>Valuation</x:v>
      </x:c>
      <x:c r="G1607" s="30" t="str">
        <x:v>CL0736</x:v>
      </x:c>
      <x:c r="H1607" s="32" t="n">
        <x:f>COUNTIF($G$5:$G$1725,G1607)</x:f>
        <x:v>1</x:v>
      </x:c>
      <x:c r="I1607" s="30" t="str">
        <x:v>A6</x:v>
      </x:c>
      <x:c r="J1607" s="31" t="str">
        <x:v>Self intro | What did you do in Huatai Investment Banking, any deals | what do you know about this industry the company is in</x:v>
      </x:c>
    </x:row>
    <x:row r="1608" ht="32" customHeight="1">
      <x:c r="A1608" s="30" t="str">
        <x:v>QB2800</x:v>
      </x:c>
      <x:c r="B1608" s="30" t="str">
        <x:v>Others (eg. PE, CB...)</x:v>
      </x:c>
      <x:c r="C1608" s="30" t="str">
        <x:v>PE / VC / Other</x:v>
      </x:c>
      <x:c r="D1608" s="31" t="str">
        <x:v>Hobbies outside work &amp; school</x:v>
      </x:c>
      <x:c r="E1608" s="31" t="str">
        <x:v>What are your interests outside work and school?</x:v>
      </x:c>
      <x:c r="F1608" s="31" t="str">
        <x:v>Resume &amp; Experience</x:v>
      </x:c>
      <x:c r="G1608" s="30" t="str">
        <x:v>CL0014</x:v>
      </x:c>
      <x:c r="H1608" s="32" t="n">
        <x:f>COUNTIF($G$5:$G$1725,G1608)</x:f>
        <x:v>10</x:v>
      </x:c>
      <x:c r="I1608" s="30" t="str">
        <x:v>E6</x:v>
      </x:c>
      <x:c r="J1608" s="31" t="str">
        <x:v>Self intro | CV questions (all related to what's on CV) | Recent deals</x:v>
      </x:c>
    </x:row>
    <x:row r="1609" ht="32" customHeight="1">
      <x:c r="A1609" s="30" t="str">
        <x:v>QB2806</x:v>
      </x:c>
      <x:c r="B1609" s="30" t="str">
        <x:v>Others (eg. PE, CB...)</x:v>
      </x:c>
      <x:c r="C1609" s="30" t="str">
        <x:v>PE / VC / Other</x:v>
      </x:c>
      <x:c r="D1609" s="31" t="str">
        <x:v>Recent stock pitch</x:v>
      </x:c>
      <x:c r="E1609" s="31" t="str">
        <x:v>Pitch me a stock</x:v>
      </x:c>
      <x:c r="F1609" s="31" t="str">
        <x:v>Investment Pitch</x:v>
      </x:c>
      <x:c r="G1609" s="30" t="str">
        <x:v>CL0006</x:v>
      </x:c>
      <x:c r="H1609" s="32" t="n">
        <x:f>COUNTIF($G$5:$G$1725,G1609)</x:f>
        <x:v>19</x:v>
      </x:c>
      <x:c r="I1609" s="30" t="str">
        <x:v>E9</x:v>
      </x:c>
      <x:c r="J1609" s="31" t="str">
        <x:v>Hobbies outside work &amp; school | Career plan | Questions for him</x:v>
      </x:c>
    </x:row>
    <x:row r="1610" ht="32" customHeight="1">
      <x:c r="A1610" s="30" t="str">
        <x:v>QB2812</x:v>
      </x:c>
      <x:c r="B1610" s="30" t="str">
        <x:v>Neuberger Berman</x:v>
      </x:c>
      <x:c r="C1610" s="30" t="str">
        <x:v>PWM / AM</x:v>
      </x:c>
      <x:c r="D1610" s="31" t="str">
        <x:v>Walk though current internships</x:v>
      </x:c>
      <x:c r="E1610" s="31" t="str">
        <x:v>Walk though current internships</x:v>
      </x:c>
      <x:c r="F1610" s="31" t="str">
        <x:v>Resume &amp; Experience</x:v>
      </x:c>
      <x:c r="G1610" s="30" t="str">
        <x:v>CL0845</x:v>
      </x:c>
      <x:c r="H1610" s="32" t="n">
        <x:f>COUNTIF($G$5:$G$1725,G1610)</x:f>
        <x:v>1</x:v>
      </x:c>
      <x:c r="I1610" s="30" t="str">
        <x:v>A5</x:v>
      </x:c>
      <x:c r="J1610" s="31" t="str">
        <x:v>2025 H2 Off-cycle Kate | First round was with Anna Wong, all CV qs and chat | 2nd round</x:v>
      </x:c>
    </x:row>
    <x:row r="1611" ht="48" customHeight="1">
      <x:c r="A1611" s="30" t="str">
        <x:v>QB2813</x:v>
      </x:c>
      <x:c r="B1611" s="30" t="str">
        <x:v>Neuberger Berman</x:v>
      </x:c>
      <x:c r="C1611" s="30" t="str">
        <x:v>PWM / AM</x:v>
      </x:c>
      <x:c r="D1611" s="31" t="str">
        <x:v>Ask what I do and the deals for each internship</x:v>
      </x:c>
      <x:c r="E1611" s="31" t="str">
        <x:v>Ask what I do and the deals for each internship</x:v>
      </x:c>
      <x:c r="F1611" s="31" t="str">
        <x:v>Resume &amp; Experience</x:v>
      </x:c>
      <x:c r="G1611" s="30" t="str">
        <x:v>CL0142</x:v>
      </x:c>
      <x:c r="H1611" s="32" t="n">
        <x:f>COUNTIF($G$5:$G$1725,G1611)</x:f>
        <x:v>1</x:v>
      </x:c>
      <x:c r="I1611" s="30" t="str">
        <x:v>A6</x:v>
      </x:c>
      <x:c r="J1611" s="31" t="str">
        <x:v>First round was with Anna Wong, all CV qs and chat | 2nd round | Walk though current internships</x:v>
      </x:c>
    </x:row>
    <x:row r="1612" ht="48" customHeight="1">
      <x:c r="A1612" s="30" t="str">
        <x:v>QB2814</x:v>
      </x:c>
      <x:c r="B1612" s="30" t="str">
        <x:v>Neuberger Berman</x:v>
      </x:c>
      <x:c r="C1612" s="30" t="str">
        <x:v>PWM / AM</x:v>
      </x:c>
      <x:c r="D1612" s="31" t="str">
        <x:v>What is a good target for PE</x:v>
      </x:c>
      <x:c r="E1612" s="31" t="str">
        <x:v>What is a good target for PE</x:v>
      </x:c>
      <x:c r="F1612" s="31" t="str">
        <x:v>Accounting &amp; Financial Statements</x:v>
      </x:c>
      <x:c r="G1612" s="30" t="str">
        <x:v>CL0962</x:v>
      </x:c>
      <x:c r="H1612" s="32" t="n">
        <x:f>COUNTIF($G$5:$G$1725,G1612)</x:f>
        <x:v>1</x:v>
      </x:c>
      <x:c r="I1612" s="30" t="str">
        <x:v>A7</x:v>
      </x:c>
      <x:c r="J1612" s="31" t="str">
        <x:v>2nd round | Walk though current internships | Ask what I do and the deals for each internship</x:v>
      </x:c>
    </x:row>
    <x:row r="1613" ht="48" customHeight="1">
      <x:c r="A1613" s="30" t="str">
        <x:v>QB2815</x:v>
      </x:c>
      <x:c r="B1613" s="30" t="str">
        <x:v>Neuberger Berman</x:v>
      </x:c>
      <x:c r="C1613" s="30" t="str">
        <x:v>PWM / AM</x:v>
      </x:c>
      <x:c r="D1613" s="31" t="str">
        <x:v>How US tariff would affect PE &amp; share a market event</x:v>
      </x:c>
      <x:c r="E1613" s="31" t="str">
        <x:v>How US tariff would affect PE &amp; share a market event</x:v>
      </x:c>
      <x:c r="F1613" s="31" t="str">
        <x:v>Markets &amp; Macro</x:v>
      </x:c>
      <x:c r="G1613" s="30" t="str">
        <x:v>CL0485</x:v>
      </x:c>
      <x:c r="H1613" s="32" t="n">
        <x:f>COUNTIF($G$5:$G$1725,G1613)</x:f>
        <x:v>1</x:v>
      </x:c>
      <x:c r="I1613" s="30" t="str">
        <x:v>A8</x:v>
      </x:c>
      <x:c r="J1613" s="31" t="str">
        <x:v>Walk though current internships | Ask what I do and the deals for each internship | What is a good target for PE</x:v>
      </x:c>
    </x:row>
    <x:row r="1614" ht="48" customHeight="1">
      <x:c r="A1614" s="30" t="str">
        <x:v>QB2816</x:v>
      </x:c>
      <x:c r="B1614" s="30" t="str">
        <x:v>Neuberger Berman</x:v>
      </x:c>
      <x:c r="C1614" s="30" t="str">
        <x:v>PWM / AM</x:v>
      </x:c>
      <x:c r="D1614" s="31" t="str">
        <x:v>What is a good IPO candidate</x:v>
      </x:c>
      <x:c r="E1614" s="31" t="str">
        <x:v>What is a good IPO candidate</x:v>
      </x:c>
      <x:c r="F1614" s="31" t="str">
        <x:v>Accounting &amp; Financial Statements</x:v>
      </x:c>
      <x:c r="G1614" s="30" t="str">
        <x:v>CL0961</x:v>
      </x:c>
      <x:c r="H1614" s="32" t="n">
        <x:f>COUNTIF($G$5:$G$1725,G1614)</x:f>
        <x:v>1</x:v>
      </x:c>
      <x:c r="I1614" s="30" t="str">
        <x:v>A9</x:v>
      </x:c>
      <x:c r="J1614" s="31" t="str">
        <x:v>Ask what I do and the deals for each internship | What is a good target for PE | How US tariff would affect PE &amp; share a market event</x:v>
      </x:c>
    </x:row>
    <x:row r="1615" ht="48" customHeight="1">
      <x:c r="A1615" s="30" t="str">
        <x:v>QB2818</x:v>
      </x:c>
      <x:c r="B1615" s="30" t="str">
        <x:v>Neuberger Berman</x:v>
      </x:c>
      <x:c r="C1615" s="30" t="str">
        <x:v>PWM / AM</x:v>
      </x:c>
      <x:c r="D1615" s="31" t="str">
        <x:v>What's you fav and least fav park of your current internship</x:v>
      </x:c>
      <x:c r="E1615" s="31" t="str">
        <x:v>What's you fav and least fav park of your current internship</x:v>
      </x:c>
      <x:c r="F1615" s="31" t="str">
        <x:v>Resume &amp; Experience</x:v>
      </x:c>
      <x:c r="G1615" s="30" t="str">
        <x:v>CL1062</x:v>
      </x:c>
      <x:c r="H1615" s="32" t="n">
        <x:f>COUNTIF($G$5:$G$1725,G1615)</x:f>
        <x:v>1</x:v>
      </x:c>
      <x:c r="I1615" s="30" t="str">
        <x:v>A11</x:v>
      </x:c>
      <x:c r="J1615" s="31" t="str">
        <x:v>How US tariff would affect PE &amp; share a market event | What is a good IPO candidate | Personal trait why pick you</x:v>
      </x:c>
    </x:row>
    <x:row r="1616" ht="48" customHeight="1">
      <x:c r="A1616" s="30" t="str">
        <x:v>QB2819</x:v>
      </x:c>
      <x:c r="B1616" s="30" t="str">
        <x:v>Neuberger Berman</x:v>
      </x:c>
      <x:c r="C1616" s="30" t="str">
        <x:v>PWM / AM</x:v>
      </x:c>
      <x:c r="D1616" s="31" t="str">
        <x:v>Why want to work here</x:v>
      </x:c>
      <x:c r="E1616" s="31" t="str">
        <x:v>Why want to work here</x:v>
      </x:c>
      <x:c r="F1616" s="31" t="str">
        <x:v>Fit &amp; Motivation</x:v>
      </x:c>
      <x:c r="G1616" s="30" t="str">
        <x:v>CL1173</x:v>
      </x:c>
      <x:c r="H1616" s="32" t="n">
        <x:f>COUNTIF($G$5:$G$1725,G1616)</x:f>
        <x:v>1</x:v>
      </x:c>
      <x:c r="I1616" s="30" t="str">
        <x:v>A12</x:v>
      </x:c>
      <x:c r="J1616" s="31" t="str">
        <x:v>What is a good IPO candidate | Personal trait why pick you | What's you fav and least fav park of your current internship</x:v>
      </x:c>
    </x:row>
    <x:row r="1617" ht="32" customHeight="1">
      <x:c r="A1617" s="30" t="str">
        <x:v>QB2824</x:v>
      </x:c>
      <x:c r="B1617" s="30" t="str">
        <x:v>UBS AM</x:v>
      </x:c>
      <x:c r="C1617" s="30" t="str">
        <x:v>PWM / AM</x:v>
      </x:c>
      <x:c r="D1617" s="31" t="str">
        <x:v>Self introduction</x:v>
      </x:c>
      <x:c r="E1617" s="31" t="str">
        <x:v>Tell me about yourself / walk me through your resume</x:v>
      </x:c>
      <x:c r="F1617" s="31" t="str">
        <x:v>Resume &amp; Experience</x:v>
      </x:c>
      <x:c r="G1617" s="30" t="str">
        <x:v>CL0001</x:v>
      </x:c>
      <x:c r="H1617" s="32" t="n">
        <x:f>COUNTIF($G$5:$G$1725,G1617)</x:f>
        <x:v>170</x:v>
      </x:c>
      <x:c r="I1617" s="30" t="str">
        <x:v>A4</x:v>
      </x:c>
      <x:c r="J1617" s="31" t="str">
        <x:v>2025 | UBS AM SPD | Behavioural</x:v>
      </x:c>
    </x:row>
    <x:row r="1618" ht="32" customHeight="1">
      <x:c r="A1618" s="30" t="str">
        <x:v>QB2825</x:v>
      </x:c>
      <x:c r="B1618" s="30" t="str">
        <x:v>UBS AM</x:v>
      </x:c>
      <x:c r="C1618" s="30" t="str">
        <x:v>PWM / AM</x:v>
      </x:c>
      <x:c r="D1618" s="31" t="str">
        <x:v>Why AM ?</x:v>
      </x:c>
      <x:c r="E1618" s="31" t="str">
        <x:v>Why asset management?</x:v>
      </x:c>
      <x:c r="F1618" s="31" t="str">
        <x:v>Fit &amp; Motivation</x:v>
      </x:c>
      <x:c r="G1618" s="30" t="str">
        <x:v>CL0029</x:v>
      </x:c>
      <x:c r="H1618" s="32" t="n">
        <x:f>COUNTIF($G$5:$G$1725,G1618)</x:f>
        <x:v>3</x:v>
      </x:c>
      <x:c r="I1618" s="30" t="str">
        <x:v>A5</x:v>
      </x:c>
      <x:c r="J1618" s="31" t="str">
        <x:v>UBS AM SPD | Behavioural | Self introduction</x:v>
      </x:c>
    </x:row>
    <x:row r="1619" ht="32" customHeight="1">
      <x:c r="A1619" s="30" t="str">
        <x:v>QB2826</x:v>
      </x:c>
      <x:c r="B1619" s="30" t="str">
        <x:v>UBS AM</x:v>
      </x:c>
      <x:c r="C1619" s="30" t="str">
        <x:v>PWM / AM</x:v>
      </x:c>
      <x:c r="D1619" s="31" t="str">
        <x:v>How was your experience in UBS?</x:v>
      </x:c>
      <x:c r="E1619" s="31" t="str">
        <x:v>How was your experience in UBS</x:v>
      </x:c>
      <x:c r="F1619" s="31" t="str">
        <x:v>Resume &amp; Experience</x:v>
      </x:c>
      <x:c r="G1619" s="30" t="str">
        <x:v>CL0486</x:v>
      </x:c>
      <x:c r="H1619" s="32" t="n">
        <x:f>COUNTIF($G$5:$G$1725,G1619)</x:f>
        <x:v>1</x:v>
      </x:c>
      <x:c r="I1619" s="30" t="str">
        <x:v>A6</x:v>
      </x:c>
      <x:c r="J1619" s="31" t="str">
        <x:v>Behavioural | Self introduction | Why AM ?</x:v>
      </x:c>
    </x:row>
    <x:row r="1620" ht="32" customHeight="1">
      <x:c r="A1620" s="30" t="str">
        <x:v>QB2827</x:v>
      </x:c>
      <x:c r="B1620" s="30" t="str">
        <x:v>UBS AM</x:v>
      </x:c>
      <x:c r="C1620" s="30" t="str">
        <x:v>PWM / AM</x:v>
      </x:c>
      <x:c r="D1620" s="31" t="str">
        <x:v>Tell me a time you have worked with different teams?</x:v>
      </x:c>
      <x:c r="E1620" s="31" t="str">
        <x:v>Tell me a time you have worked with different teams</x:v>
      </x:c>
      <x:c r="F1620" s="31" t="str">
        <x:v>Other Question</x:v>
      </x:c>
      <x:c r="G1620" s="30" t="str">
        <x:v>CL0715</x:v>
      </x:c>
      <x:c r="H1620" s="32" t="n">
        <x:f>COUNTIF($G$5:$G$1725,G1620)</x:f>
        <x:v>1</x:v>
      </x:c>
      <x:c r="I1620" s="30" t="str">
        <x:v>A7</x:v>
      </x:c>
      <x:c r="J1620" s="31" t="str">
        <x:v>Self introduction | Why AM ? | How was your experience in UBS?</x:v>
      </x:c>
    </x:row>
    <x:row r="1621" ht="48" customHeight="1">
      <x:c r="A1621" s="30" t="str">
        <x:v>QB2828</x:v>
      </x:c>
      <x:c r="B1621" s="30" t="str">
        <x:v>UBS AM</x:v>
      </x:c>
      <x:c r="C1621" s="30" t="str">
        <x:v>PWM / AM</x:v>
      </x:c>
      <x:c r="D1621" s="31" t="str">
        <x:v>Tell me a time you faced an issue at work and how you solved it?</x:v>
      </x:c>
      <x:c r="E1621" s="31" t="str">
        <x:v>Tell me a time you faced an issue at work and how you solved it</x:v>
      </x:c>
      <x:c r="F1621" s="31" t="str">
        <x:v>Other Question</x:v>
      </x:c>
      <x:c r="G1621" s="30" t="str">
        <x:v>CL0712</x:v>
      </x:c>
      <x:c r="H1621" s="32" t="n">
        <x:f>COUNTIF($G$5:$G$1725,G1621)</x:f>
        <x:v>1</x:v>
      </x:c>
      <x:c r="I1621" s="30" t="str">
        <x:v>A8</x:v>
      </x:c>
      <x:c r="J1621" s="31" t="str">
        <x:v>Why AM ? | How was your experience in UBS? | Tell me a time you have worked with different teams?</x:v>
      </x:c>
    </x:row>
    <x:row r="1622" ht="48" customHeight="1">
      <x:c r="A1622" s="30" t="str">
        <x:v>QB2829</x:v>
      </x:c>
      <x:c r="B1622" s="30" t="str">
        <x:v>UBS AM</x:v>
      </x:c>
      <x:c r="C1622" s="30" t="str">
        <x:v>PWM / AM</x:v>
      </x:c>
      <x:c r="D1622" s="31" t="str">
        <x:v>Tell me a time you have worked with difficult people?</x:v>
      </x:c>
      <x:c r="E1622" s="31" t="str">
        <x:v>Tell me a time you have worked with difficult people</x:v>
      </x:c>
      <x:c r="F1622" s="31" t="str">
        <x:v>Behavioral &amp; Situational</x:v>
      </x:c>
      <x:c r="G1622" s="30" t="str">
        <x:v>CL0716</x:v>
      </x:c>
      <x:c r="H1622" s="32" t="n">
        <x:f>COUNTIF($G$5:$G$1725,G1622)</x:f>
        <x:v>1</x:v>
      </x:c>
      <x:c r="I1622" s="30" t="str">
        <x:v>A9</x:v>
      </x:c>
      <x:c r="J1622" s="31" t="str">
        <x:v>How was your experience in UBS? | Tell me a time you have worked with different teams? | Tell me a time you faced an issue at work and how you solved it?</x:v>
      </x:c>
    </x:row>
    <x:row r="1623" ht="68" customHeight="1">
      <x:c r="A1623" s="30" t="str">
        <x:v>QB2830</x:v>
      </x:c>
      <x:c r="B1623" s="30" t="str">
        <x:v>UBS AM</x:v>
      </x:c>
      <x:c r="C1623" s="30" t="str">
        <x:v>PWM / AM</x:v>
      </x:c>
      <x:c r="D1623" s="31" t="str">
        <x:v>A feedback you received and how you dealt with it?</x:v>
      </x:c>
      <x:c r="E1623" s="31" t="str">
        <x:v>A feedback you received and how you dealt with it</x:v>
      </x:c>
      <x:c r="F1623" s="31" t="str">
        <x:v>Behavioral &amp; Situational</x:v>
      </x:c>
      <x:c r="G1623" s="30" t="str">
        <x:v>CL0090</x:v>
      </x:c>
      <x:c r="H1623" s="32" t="n">
        <x:f>COUNTIF($G$5:$G$1725,G1623)</x:f>
        <x:v>1</x:v>
      </x:c>
      <x:c r="I1623" s="30" t="str">
        <x:v>A10</x:v>
      </x:c>
      <x:c r="J1623" s="31" t="str">
        <x:v>Tell me a time you have worked with different teams? | Tell me a time you faced an issue at work and how you solved it? | Tell me a time you have worked with difficult people?</x:v>
      </x:c>
    </x:row>
    <x:row r="1624" ht="68" customHeight="1">
      <x:c r="A1624" s="30" t="str">
        <x:v>QB2831</x:v>
      </x:c>
      <x:c r="B1624" s="30" t="str">
        <x:v>UBS AM</x:v>
      </x:c>
      <x:c r="C1624" s="30" t="str">
        <x:v>PWM / AM</x:v>
      </x:c>
      <x:c r="D1624" s="31" t="str">
        <x:v>What do you do in IBC?</x:v>
      </x:c>
      <x:c r="E1624" s="31" t="str">
        <x:v>What do you do in IBC</x:v>
      </x:c>
      <x:c r="F1624" s="31" t="str">
        <x:v>Other Question</x:v>
      </x:c>
      <x:c r="G1624" s="30" t="str">
        <x:v>CL0915</x:v>
      </x:c>
      <x:c r="H1624" s="32" t="n">
        <x:f>COUNTIF($G$5:$G$1725,G1624)</x:f>
        <x:v>1</x:v>
      </x:c>
      <x:c r="I1624" s="30" t="str">
        <x:v>A11</x:v>
      </x:c>
      <x:c r="J1624" s="31" t="str">
        <x:v>Tell me a time you faced an issue at work and how you solved it? | Tell me a time you have worked with difficult people? | A feedback you received and how you dealt with it?</x:v>
      </x:c>
    </x:row>
    <x:row r="1625" ht="48" customHeight="1">
      <x:c r="A1625" s="30" t="str">
        <x:v>QB2832</x:v>
      </x:c>
      <x:c r="B1625" s="30" t="str">
        <x:v>UBS AM</x:v>
      </x:c>
      <x:c r="C1625" s="30" t="str">
        <x:v>PWM / AM</x:v>
      </x:c>
      <x:c r="D1625" s="31" t="str">
        <x:v>A time you made a risky decision?</x:v>
      </x:c>
      <x:c r="E1625" s="31" t="str">
        <x:v>A time you made a risky decision</x:v>
      </x:c>
      <x:c r="F1625" s="31" t="str">
        <x:v>Other Question</x:v>
      </x:c>
      <x:c r="G1625" s="30" t="str">
        <x:v>CL0093</x:v>
      </x:c>
      <x:c r="H1625" s="32" t="n">
        <x:f>COUNTIF($G$5:$G$1725,G1625)</x:f>
        <x:v>1</x:v>
      </x:c>
      <x:c r="I1625" s="30" t="str">
        <x:v>A12</x:v>
      </x:c>
      <x:c r="J1625" s="31" t="str">
        <x:v>Tell me a time you have worked with difficult people? | A feedback you received and how you dealt with it? | What do you do in IBC?</x:v>
      </x:c>
    </x:row>
    <x:row r="1626" ht="32" customHeight="1">
      <x:c r="A1626" s="30" t="str">
        <x:v>QB2834</x:v>
      </x:c>
      <x:c r="B1626" s="30" t="str">
        <x:v>UBS AM</x:v>
      </x:c>
      <x:c r="C1626" s="30" t="str">
        <x:v>PWM / AM</x:v>
      </x:c>
      <x:c r="D1626" s="31" t="str">
        <x:v>Self introduction</x:v>
      </x:c>
      <x:c r="E1626" s="31" t="str">
        <x:v>Tell me about yourself / walk me through your resume</x:v>
      </x:c>
      <x:c r="F1626" s="31" t="str">
        <x:v>Resume &amp; Experience</x:v>
      </x:c>
      <x:c r="G1626" s="30" t="str">
        <x:v>CL0001</x:v>
      </x:c>
      <x:c r="H1626" s="32" t="n">
        <x:f>COUNTIF($G$5:$G$1725,G1626)</x:f>
        <x:v>170</x:v>
      </x:c>
      <x:c r="I1626" s="30" t="str">
        <x:v>A15</x:v>
      </x:c>
      <x:c r="J1626" s="31" t="str">
        <x:v>What do you do in IBC? | A time you made a risky decision? | Technical</x:v>
      </x:c>
    </x:row>
    <x:row r="1627" ht="32" customHeight="1">
      <x:c r="A1627" s="30" t="str">
        <x:v>QB2835</x:v>
      </x:c>
      <x:c r="B1627" s="30" t="str">
        <x:v>UBS AM</x:v>
      </x:c>
      <x:c r="C1627" s="30" t="str">
        <x:v>PWM / AM</x:v>
      </x:c>
      <x:c r="D1627" s="31" t="str">
        <x:v>Why AM?</x:v>
      </x:c>
      <x:c r="E1627" s="31" t="str">
        <x:v>Why asset management?</x:v>
      </x:c>
      <x:c r="F1627" s="31" t="str">
        <x:v>Fit &amp; Motivation</x:v>
      </x:c>
      <x:c r="G1627" s="30" t="str">
        <x:v>CL0029</x:v>
      </x:c>
      <x:c r="H1627" s="32" t="n">
        <x:f>COUNTIF($G$5:$G$1725,G1627)</x:f>
        <x:v>3</x:v>
      </x:c>
      <x:c r="I1627" s="30" t="str">
        <x:v>A16</x:v>
      </x:c>
      <x:c r="J1627" s="31" t="str">
        <x:v>A time you made a risky decision? | Technical | Self introduction</x:v>
      </x:c>
    </x:row>
    <x:row r="1628" ht="32" customHeight="1">
      <x:c r="A1628" s="30" t="str">
        <x:v>QB2836</x:v>
      </x:c>
      <x:c r="B1628" s="30" t="str">
        <x:v>UBS AM</x:v>
      </x:c>
      <x:c r="C1628" s="30" t="str">
        <x:v>PWM / AM</x:v>
      </x:c>
      <x:c r="D1628" s="31" t="str">
        <x:v>Pitch me an investment idea</x:v>
      </x:c>
      <x:c r="E1628" s="31" t="str">
        <x:v>Pitch me an investment idea</x:v>
      </x:c>
      <x:c r="F1628" s="31" t="str">
        <x:v>Investment Pitch</x:v>
      </x:c>
      <x:c r="G1628" s="30" t="str">
        <x:v>CL0635</x:v>
      </x:c>
      <x:c r="H1628" s="32" t="n">
        <x:f>COUNTIF($G$5:$G$1725,G1628)</x:f>
        <x:v>1</x:v>
      </x:c>
      <x:c r="I1628" s="30" t="str">
        <x:v>A17</x:v>
      </x:c>
      <x:c r="J1628" s="31" t="str">
        <x:v>Technical | Self introduction | Why AM?</x:v>
      </x:c>
    </x:row>
    <x:row r="1629" ht="32" customHeight="1">
      <x:c r="A1629" s="30" t="str">
        <x:v>QB2837</x:v>
      </x:c>
      <x:c r="B1629" s="30" t="str">
        <x:v>UBS AM</x:v>
      </x:c>
      <x:c r="C1629" s="30" t="str">
        <x:v>PWM / AM</x:v>
      </x:c>
      <x:c r="D1629" s="31" t="str">
        <x:v>How is the company funded, and how is the leverage and ROA like?</x:v>
      </x:c>
      <x:c r="E1629" s="31" t="str">
        <x:v>How is the company funded, and how is the leverage and ROA like</x:v>
      </x:c>
      <x:c r="F1629" s="31" t="str">
        <x:v>Accounting &amp; Financial Statements</x:v>
      </x:c>
      <x:c r="G1629" s="30" t="str">
        <x:v>CL0446</x:v>
      </x:c>
      <x:c r="H1629" s="32" t="n">
        <x:f>COUNTIF($G$5:$G$1725,G1629)</x:f>
        <x:v>1</x:v>
      </x:c>
      <x:c r="I1629" s="30" t="str">
        <x:v>A18</x:v>
      </x:c>
      <x:c r="J1629" s="31" t="str">
        <x:v>Self introduction | Why AM? | Pitch me an investment idea</x:v>
      </x:c>
    </x:row>
    <x:row r="1630" ht="68" customHeight="1">
      <x:c r="A1630" s="30" t="str">
        <x:v>QB2839</x:v>
      </x:c>
      <x:c r="B1630" s="30" t="str">
        <x:v>UBS AM</x:v>
      </x:c>
      <x:c r="C1630" s="30" t="str">
        <x:v>PWM / AM</x:v>
      </x:c>
      <x:c r="D1630" s="31" t="str">
        <x:v>What is UBS AM known for?</x:v>
      </x:c>
      <x:c r="E1630" s="31" t="str">
        <x:v>What is UBS AM known for</x:v>
      </x:c>
      <x:c r="F1630" s="31" t="str">
        <x:v>Accounting &amp; Financial Statements</x:v>
      </x:c>
      <x:c r="G1630" s="30" t="str">
        <x:v>CL0997</x:v>
      </x:c>
      <x:c r="H1630" s="32" t="n">
        <x:f>COUNTIF($G$5:$G$1725,G1630)</x:f>
        <x:v>1</x:v>
      </x:c>
      <x:c r="I1630" s="30" t="str">
        <x:v>A20</x:v>
      </x:c>
      <x:c r="J1630" s="31" t="str">
        <x:v>Pitch me an investment idea | How is the company funded, and how is the leverage and ROA like? | (He mentioned it issued bonds in Oslo, not sure if it was a question)</x:v>
      </x:c>
    </x:row>
    <x:row r="1631" ht="68" customHeight="1">
      <x:c r="A1631" s="30" t="str">
        <x:v>QB2840</x:v>
      </x:c>
      <x:c r="B1631" s="30" t="str">
        <x:v>UBS AM</x:v>
      </x:c>
      <x:c r="C1631" s="30" t="str">
        <x:v>PWM / AM</x:v>
      </x:c>
      <x:c r="D1631" s="31" t="str">
        <x:v>What are other investment opportunities you are paying attention in the market?</x:v>
      </x:c>
      <x:c r="E1631" s="31" t="str">
        <x:v>What are other investment opportunities you are paying attention in the market</x:v>
      </x:c>
      <x:c r="F1631" s="31" t="str">
        <x:v>Other Question</x:v>
      </x:c>
      <x:c r="G1631" s="30" t="str">
        <x:v>CL0864</x:v>
      </x:c>
      <x:c r="H1631" s="32" t="n">
        <x:f>COUNTIF($G$5:$G$1725,G1631)</x:f>
        <x:v>1</x:v>
      </x:c>
      <x:c r="I1631" s="30" t="str">
        <x:v>A21</x:v>
      </x:c>
      <x:c r="J1631" s="31" t="str">
        <x:v>How is the company funded, and how is the leverage and ROA like? | (He mentioned it issued bonds in Oslo, not sure if it was a question) | What is UBS AM known for?</x:v>
      </x:c>
    </x:row>
    <x:row r="1632" ht="68" customHeight="1">
      <x:c r="A1632" s="30" t="str">
        <x:v>QB2841</x:v>
      </x:c>
      <x:c r="B1632" s="30" t="str">
        <x:v>UBS AM</x:v>
      </x:c>
      <x:c r="C1632" s="30" t="str">
        <x:v>PWM / AM</x:v>
      </x:c>
      <x:c r="D1632" s="31" t="str">
        <x:v>What are the risks in the China and US market?</x:v>
      </x:c>
      <x:c r="E1632" s="31" t="str">
        <x:v>What are the risks in the China and US market</x:v>
      </x:c>
      <x:c r="F1632" s="31" t="str">
        <x:v>Other Question</x:v>
      </x:c>
      <x:c r="G1632" s="30" t="str">
        <x:v>CL0884</x:v>
      </x:c>
      <x:c r="H1632" s="32" t="n">
        <x:f>COUNTIF($G$5:$G$1725,G1632)</x:f>
        <x:v>1</x:v>
      </x:c>
      <x:c r="I1632" s="30" t="str">
        <x:v>A22</x:v>
      </x:c>
      <x:c r="J1632" s="31" t="str">
        <x:v>(He mentioned it issued bonds in Oslo, not sure if it was a question) | What is UBS AM known for? | What are other investment opportunities you are paying attention in the market?</x:v>
      </x:c>
    </x:row>
    <x:row r="1633" ht="48" customHeight="1">
      <x:c r="A1633" s="30" t="str">
        <x:v>QB2842</x:v>
      </x:c>
      <x:c r="B1633" s="30" t="str">
        <x:v>UBS AM</x:v>
      </x:c>
      <x:c r="C1633" s="30" t="str">
        <x:v>PWM / AM</x:v>
      </x:c>
      <x:c r="D1633" s="31" t="str">
        <x:v>What is your expectation for the UBS AM GTP programme?</x:v>
      </x:c>
      <x:c r="E1633" s="31" t="str">
        <x:v>What is your expectation for the UBS AM GTP programme</x:v>
      </x:c>
      <x:c r="F1633" s="31" t="str">
        <x:v>Accounting &amp; Financial Statements</x:v>
      </x:c>
      <x:c r="G1633" s="30" t="str">
        <x:v>CL1002</x:v>
      </x:c>
      <x:c r="H1633" s="32" t="n">
        <x:f>COUNTIF($G$5:$G$1725,G1633)</x:f>
        <x:v>1</x:v>
      </x:c>
      <x:c r="I1633" s="30" t="str">
        <x:v>A23</x:v>
      </x:c>
      <x:c r="J1633" s="31" t="str">
        <x:v>What is UBS AM known for? | What are other investment opportunities you are paying attention in the market? | What are the risks in the China and US market?</x:v>
      </x:c>
    </x:row>
    <x:row r="1634" ht="68" customHeight="1">
      <x:c r="A1634" s="30" t="str">
        <x:v>QB2843</x:v>
      </x:c>
      <x:c r="B1634" s="30" t="str">
        <x:v>UBS AM</x:v>
      </x:c>
      <x:c r="C1634" s="30" t="str">
        <x:v>PWM / AM</x:v>
      </x:c>
      <x:c r="D1634" s="31" t="str">
        <x:v>How would you analyse new company/new investment opportunity?</x:v>
      </x:c>
      <x:c r="E1634" s="31" t="str">
        <x:v>How would you analyse new company/new investment opportunity</x:v>
      </x:c>
      <x:c r="F1634" s="31" t="str">
        <x:v>Company, Industry &amp; Deals</x:v>
      </x:c>
      <x:c r="G1634" s="30" t="str">
        <x:v>CL0494</x:v>
      </x:c>
      <x:c r="H1634" s="32" t="n">
        <x:f>COUNTIF($G$5:$G$1725,G1634)</x:f>
        <x:v>1</x:v>
      </x:c>
      <x:c r="I1634" s="30" t="str">
        <x:v>A24</x:v>
      </x:c>
      <x:c r="J1634" s="31" t="str">
        <x:v>What are other investment opportunities you are paying attention in the market? | What are the risks in the China and US market? | What is your expectation for the UBS AM GTP programme?</x:v>
      </x:c>
    </x:row>
    <x:row r="1635" ht="32" customHeight="1">
      <x:c r="A1635" s="30" t="str">
        <x:v>QB2847</x:v>
      </x:c>
      <x:c r="B1635" s="30" t="str">
        <x:v>Fountainvest</x:v>
      </x:c>
      <x:c r="C1635" s="30" t="str">
        <x:v>PE / VC / Other</x:v>
      </x:c>
      <x:c r="D1635" s="31" t="str">
        <x:v>Will Weng 12/9</x:v>
      </x:c>
      <x:c r="E1635" s="31" t="str">
        <x:v>Will Weng 12/9</x:v>
      </x:c>
      <x:c r="F1635" s="31" t="str">
        <x:v>Other Question</x:v>
      </x:c>
      <x:c r="G1635" s="30" t="str">
        <x:v>CL1183</x:v>
      </x:c>
      <x:c r="H1635" s="32" t="n">
        <x:f>COUNTIF($G$5:$G$1725,G1635)</x:f>
        <x:v>1</x:v>
      </x:c>
      <x:c r="I1635" s="30" t="str">
        <x:v>B2</x:v>
      </x:c>
      <x:c r="J1635" s="31" t="str">
        <x:v>2025 SH offcycle (Emily)</x:v>
      </x:c>
    </x:row>
    <x:row r="1636" ht="32" customHeight="1">
      <x:c r="A1636" s="30" t="str">
        <x:v>QB2849</x:v>
      </x:c>
      <x:c r="B1636" s="30" t="str">
        <x:v>Fountainvest</x:v>
      </x:c>
      <x:c r="C1636" s="30" t="str">
        <x:v>PE / VC / Other</x:v>
      </x:c>
      <x:c r="D1636" s="31" t="str">
        <x:v>Self Intro</x:v>
      </x:c>
      <x:c r="E1636" s="31" t="str">
        <x:v>Tell me about yourself / walk me through your resume</x:v>
      </x:c>
      <x:c r="F1636" s="31" t="str">
        <x:v>Resume &amp; Experience</x:v>
      </x:c>
      <x:c r="G1636" s="30" t="str">
        <x:v>CL0001</x:v>
      </x:c>
      <x:c r="H1636" s="32" t="n">
        <x:f>COUNTIF($G$5:$G$1725,G1636)</x:f>
        <x:v>170</x:v>
      </x:c>
      <x:c r="I1636" s="30" t="str">
        <x:v>B3</x:v>
      </x:c>
      <x:c r="J1636" s="31" t="str">
        <x:v>2025 SH offcycle (Emily) | Will Weng 12/9</x:v>
      </x:c>
    </x:row>
    <x:row r="1637" ht="32" customHeight="1">
      <x:c r="A1637" s="30" t="str">
        <x:v>QB2851</x:v>
      </x:c>
      <x:c r="B1637" s="30" t="str">
        <x:v>Fountainvest</x:v>
      </x:c>
      <x:c r="C1637" s="30" t="str">
        <x:v>PE / VC / Other</x:v>
      </x:c>
      <x:c r="D1637" s="31" t="str">
        <x:v>Tell me about a deal you worked on</x:v>
      </x:c>
      <x:c r="E1637" s="31" t="str">
        <x:v>Walk me through a deal you worked on</x:v>
      </x:c>
      <x:c r="F1637" s="31" t="str">
        <x:v>Resume &amp; Experience</x:v>
      </x:c>
      <x:c r="G1637" s="30" t="str">
        <x:v>CL0017</x:v>
      </x:c>
      <x:c r="H1637" s="32" t="n">
        <x:f>COUNTIF($G$5:$G$1725,G1637)</x:f>
        <x:v>8</x:v>
      </x:c>
      <x:c r="I1637" s="30" t="str">
        <x:v>B4</x:v>
      </x:c>
      <x:c r="J1637" s="31" t="str">
        <x:v>2025 SH offcycle (Emily) | Will Weng 12/9 | Self Intro</x:v>
      </x:c>
    </x:row>
    <x:row r="1638" ht="68" customHeight="1">
      <x:c r="A1638" s="30" t="str">
        <x:v>QB2852</x:v>
      </x:c>
      <x:c r="B1638" s="30" t="str">
        <x:v>Fountainvest</x:v>
      </x:c>
      <x:c r="C1638" s="30" t="str">
        <x:v>PE / VC / Other</x:v>
      </x:c>
      <x:c r="D1638" s="31" t="str">
        <x:v>Please complete a company analysis report for 乐歌股份 (300729). The analysis report should consist of industry analysis, business attractiveness, financials and valuation.</x:v>
      </x:c>
      <x:c r="E1638" s="31" t="str">
        <x:v>Please complete a company analysis report for 乐歌股份 (300729). The analysis report should consist of industry analysis, business attractiveness, financials and valuation</x:v>
      </x:c>
      <x:c r="F1638" s="31" t="str">
        <x:v>Valuation</x:v>
      </x:c>
      <x:c r="G1638" s="30" t="str">
        <x:v>CL0640</x:v>
      </x:c>
      <x:c r="H1638" s="32" t="n">
        <x:f>COUNTIF($G$5:$G$1725,G1638)</x:f>
        <x:v>1</x:v>
      </x:c>
      <x:c r="I1638" s="30" t="str">
        <x:v>A5</x:v>
      </x:c>
      <x:c r="J1638" s="31" t="str">
        <x:v>45607 | Written test | Test Overview:</x:v>
      </x:c>
    </x:row>
    <x:row r="1639" ht="68" customHeight="1">
      <x:c r="A1639" s="30" t="str">
        <x:v>QB2853</x:v>
      </x:c>
      <x:c r="B1639" s="30" t="str">
        <x:v>Fountainvest</x:v>
      </x:c>
      <x:c r="C1639" s="30" t="str">
        <x:v>PE / VC / Other</x:v>
      </x:c>
      <x:c r="D1639" s="31" t="str">
        <x:v>Industry: how is the growth rate being justified? What are the key growth drivers, what was the growth rate before COVID, grwoth rate for oil, what drives the demand for oil?</x:v>
      </x:c>
      <x:c r="E1639" s="31" t="str">
        <x:v>Industry: how is the growth rate being justified? What are the key growth drivers, what was the growth rate before COVID, grwoth rate for oil, what drives the demand for oil</x:v>
      </x:c>
      <x:c r="F1639" s="31" t="str">
        <x:v>Accounting &amp; Financial Statements</x:v>
      </x:c>
      <x:c r="G1639" s="30" t="str">
        <x:v>CL0545</x:v>
      </x:c>
      <x:c r="H1639" s="32" t="n">
        <x:f>COUNTIF($G$5:$G$1725,G1639)</x:f>
        <x:v>1</x:v>
      </x:c>
      <x:c r="I1639" s="30" t="str">
        <x:v>B5</x:v>
      </x:c>
      <x:c r="J1639" s="31" t="str">
        <x:v>Will Weng 12/9 | Self Intro | Tell me about a deal you worked on</x:v>
      </x:c>
    </x:row>
    <x:row r="1640" ht="68" customHeight="1">
      <x:c r="A1640" s="30" t="str">
        <x:v>QB2855</x:v>
      </x:c>
      <x:c r="B1640" s="30" t="str">
        <x:v>Fountainvest</x:v>
      </x:c>
      <x:c r="C1640" s="30" t="str">
        <x:v>PE / VC / Other</x:v>
      </x:c>
      <x:c r="D1640" s="31" t="str">
        <x:v>Give me an example of one vessel's (eg. capex, contract length, charter operating EPC rates, years of return etc)</x:v>
      </x:c>
      <x:c r="E1640" s="31" t="str">
        <x:v>Give me an example of one vessel's (eg. capex, contract length, charter operating EPC rates, years of return etc)</x:v>
      </x:c>
      <x:c r="F1640" s="31" t="str">
        <x:v>Other Question</x:v>
      </x:c>
      <x:c r="G1640" s="30" t="str">
        <x:v>CL0345</x:v>
      </x:c>
      <x:c r="H1640" s="32" t="n">
        <x:f>COUNTIF($G$5:$G$1725,G1640)</x:f>
        <x:v>1</x:v>
      </x:c>
      <x:c r="I1640" s="30" t="str">
        <x:v>B6</x:v>
      </x:c>
      <x:c r="J1640" s="31" t="str">
        <x:v>Self Intro | Tell me about a deal you worked on | Industry: how is the growth rate being justified? What are the key growth drivers, what was the growth rate before COVID, grwoth rate for oil, what drives the demand for oil?</x:v>
      </x:c>
    </x:row>
    <x:row r="1641" ht="92" customHeight="1">
      <x:c r="A1641" s="30" t="str">
        <x:v>QB2857</x:v>
      </x:c>
      <x:c r="B1641" s="30" t="str">
        <x:v>Fountainvest</x:v>
      </x:c>
      <x:c r="C1641" s="30" t="str">
        <x:v>PE / VC / Other</x:v>
      </x:c>
      <x:c r="D1641" s="31" t="str">
        <x:v>Revenue forecast of the company?</x:v>
      </x:c>
      <x:c r="E1641" s="31" t="str">
        <x:v>Revenue forecast of the company</x:v>
      </x:c>
      <x:c r="F1641" s="31" t="str">
        <x:v>Company, Industry &amp; Deals</x:v>
      </x:c>
      <x:c r="G1641" s="30" t="str">
        <x:v>CL0663</x:v>
      </x:c>
      <x:c r="H1641" s="32" t="n">
        <x:f>COUNTIF($G$5:$G$1725,G1641)</x:f>
        <x:v>1</x:v>
      </x:c>
      <x:c r="I1641" s="30" t="str">
        <x:v>B7</x:v>
      </x:c>
      <x:c r="J1641" s="31" t="str">
        <x:v>Tell me about a deal you worked on | Industry: how is the growth rate being justified? What are the key growth drivers, what was the growth rate before COVID, grwoth rate for oil, what drives the demand for oil? | Give me an example of o...</x:v>
      </x:c>
    </x:row>
    <x:row r="1642" ht="92" customHeight="1">
      <x:c r="A1642" s="30" t="str">
        <x:v>QB2859</x:v>
      </x:c>
      <x:c r="B1642" s="30" t="str">
        <x:v>Fountainvest</x:v>
      </x:c>
      <x:c r="C1642" s="30" t="str">
        <x:v>PE / VC / Other</x:v>
      </x:c>
      <x:c r="D1642" s="31" t="str">
        <x:v>Do you think this is an attractive investment opportunity? Why?</x:v>
      </x:c>
      <x:c r="E1642" s="31" t="str">
        <x:v>Do you think this is an attractive investment opportunity? Why</x:v>
      </x:c>
      <x:c r="F1642" s="31" t="str">
        <x:v>Accounting &amp; Financial Statements</x:v>
      </x:c>
      <x:c r="G1642" s="30" t="str">
        <x:v>CL0299</x:v>
      </x:c>
      <x:c r="H1642" s="32" t="n">
        <x:f>COUNTIF($G$5:$G$1725,G1642)</x:f>
        <x:v>1</x:v>
      </x:c>
      <x:c r="I1642" s="30" t="str">
        <x:v>B8</x:v>
      </x:c>
      <x:c r="J1642" s="31" t="str">
        <x:v>Industry: how is the growth rate being justified? What are the key growth drivers, what was the growth rate before COVID, grwoth rate for oil, what drives the demand for oil? | Give me an example of one vessel's (eg. capex, contract leng...</x:v>
      </x:c>
    </x:row>
    <x:row r="1643" ht="68" customHeight="1">
      <x:c r="A1643" s="30" t="str">
        <x:v>QB2861</x:v>
      </x:c>
      <x:c r="B1643" s="30" t="str">
        <x:v>Fountainvest</x:v>
      </x:c>
      <x:c r="C1643" s="30" t="str">
        <x:v>PE / VC / Other</x:v>
      </x:c>
      <x:c r="D1643" s="31" t="str">
        <x:v>What multiples would you use? Why use EV/EBIT? Why does the company have a lower EV/EBIT than others?</x:v>
      </x:c>
      <x:c r="E1643" s="31" t="str">
        <x:v>What multiples would you use? Why use EV/EBIT? Why does the company have a lower EV/EBIT than others</x:v>
      </x:c>
      <x:c r="F1643" s="31" t="str">
        <x:v>Fit &amp; Motivation</x:v>
      </x:c>
      <x:c r="G1643" s="30" t="str">
        <x:v>CL1018</x:v>
      </x:c>
      <x:c r="H1643" s="32" t="n">
        <x:f>COUNTIF($G$5:$G$1725,G1643)</x:f>
        <x:v>1</x:v>
      </x:c>
      <x:c r="I1643" s="30" t="str">
        <x:v>B9</x:v>
      </x:c>
      <x:c r="J1643" s="31" t="str">
        <x:v>Give me an example of one vessel's (eg. capex, contract length, charter operating EPC rates, years of return etc) | Revenue forecast of the company? | Do you think this is an attractive investment opportunity? Why?</x:v>
      </x:c>
    </x:row>
    <x:row r="1644" ht="68" customHeight="1">
      <x:c r="A1644" s="30" t="str">
        <x:v>QB2863</x:v>
      </x:c>
      <x:c r="B1644" s="30" t="str">
        <x:v>Fountainvest</x:v>
      </x:c>
      <x:c r="C1644" s="30" t="str">
        <x:v>PE / VC / Other</x:v>
      </x:c>
      <x:c r="D1644" s="31" t="str">
        <x:v>Background questions: where are you from? Where you grew up in?</x:v>
      </x:c>
      <x:c r="E1644" s="31" t="str">
        <x:v>Background questions: where are you from? Where you grew up in</x:v>
      </x:c>
      <x:c r="F1644" s="31" t="str">
        <x:v>Resume &amp; Experience</x:v>
      </x:c>
      <x:c r="G1644" s="30" t="str">
        <x:v>CL0153</x:v>
      </x:c>
      <x:c r="H1644" s="32" t="n">
        <x:f>COUNTIF($G$5:$G$1725,G1644)</x:f>
        <x:v>1</x:v>
      </x:c>
      <x:c r="I1644" s="30" t="str">
        <x:v>A12</x:v>
      </x:c>
      <x:c r="J1644" s="31" t="str">
        <x:v>Please complete the test in English. | Showcase your original thinking and unique perspective on the company's potential as an investment opportunity. | 1st round Michael Li (All putonghua)</x:v>
      </x:c>
    </x:row>
    <x:row r="1645" ht="68" customHeight="1">
      <x:c r="A1645" s="30" t="str">
        <x:v>QB2864</x:v>
      </x:c>
      <x:c r="B1645" s="30" t="str">
        <x:v>Fountainvest</x:v>
      </x:c>
      <x:c r="C1645" s="30" t="str">
        <x:v>PE / VC / Other</x:v>
      </x:c>
      <x:c r="D1645" s="31" t="str">
        <x:v>What is your career plan?</x:v>
      </x:c>
      <x:c r="E1645" s="31" t="str">
        <x:v>What is your career plan</x:v>
      </x:c>
      <x:c r="F1645" s="31" t="str">
        <x:v>Accounting &amp; Financial Statements</x:v>
      </x:c>
      <x:c r="G1645" s="30" t="str">
        <x:v>CL1001</x:v>
      </x:c>
      <x:c r="H1645" s="32" t="n">
        <x:f>COUNTIF($G$5:$G$1725,G1645)</x:f>
        <x:v>1</x:v>
      </x:c>
      <x:c r="I1645" s="30" t="str">
        <x:v>A13</x:v>
      </x:c>
      <x:c r="J1645" s="31" t="str">
        <x:v>Showcase your original thinking and unique perspective on the company's potential as an investment opportunity. | 1st round Michael Li (All putonghua) | Background questions: where are you from? Where you grew up in?</x:v>
      </x:c>
    </x:row>
    <x:row r="1646" ht="48" customHeight="1">
      <x:c r="A1646" s="30" t="str">
        <x:v>QB2865</x:v>
      </x:c>
      <x:c r="B1646" s="30" t="str">
        <x:v>Fountainvest</x:v>
      </x:c>
      <x:c r="C1646" s="30" t="str">
        <x:v>PE / VC / Other</x:v>
      </x:c>
      <x:c r="D1646" s="31" t="str">
        <x:v>Why didn't you get return from UBS?</x:v>
      </x:c>
      <x:c r="E1646" s="31" t="str">
        <x:v>Why didn't you get return from UBS</x:v>
      </x:c>
      <x:c r="F1646" s="31" t="str">
        <x:v>Fit &amp; Motivation</x:v>
      </x:c>
      <x:c r="G1646" s="30" t="str">
        <x:v>CL1123</x:v>
      </x:c>
      <x:c r="H1646" s="32" t="n">
        <x:f>COUNTIF($G$5:$G$1725,G1646)</x:f>
        <x:v>1</x:v>
      </x:c>
      <x:c r="I1646" s="30" t="str">
        <x:v>A14</x:v>
      </x:c>
      <x:c r="J1646" s="31" t="str">
        <x:v>1st round Michael Li (All putonghua) | Background questions: where are you from? Where you grew up in? | What is your career plan?</x:v>
      </x:c>
    </x:row>
    <x:row r="1647" ht="48" customHeight="1">
      <x:c r="A1647" s="30" t="str">
        <x:v>QB2866</x:v>
      </x:c>
      <x:c r="B1647" s="30" t="str">
        <x:v>Fountainvest</x:v>
      </x:c>
      <x:c r="C1647" s="30" t="str">
        <x:v>PE / VC / Other</x:v>
      </x:c>
      <x:c r="D1647" s="31" t="str">
        <x:v>What did you learn in UBS?</x:v>
      </x:c>
      <x:c r="E1647" s="31" t="str">
        <x:v>What did you learn in UBS</x:v>
      </x:c>
      <x:c r="F1647" s="31" t="str">
        <x:v>Other Question</x:v>
      </x:c>
      <x:c r="G1647" s="30" t="str">
        <x:v>CL0907</x:v>
      </x:c>
      <x:c r="H1647" s="32" t="n">
        <x:f>COUNTIF($G$5:$G$1725,G1647)</x:f>
        <x:v>1</x:v>
      </x:c>
      <x:c r="I1647" s="30" t="str">
        <x:v>A15</x:v>
      </x:c>
      <x:c r="J1647" s="31" t="str">
        <x:v>Background questions: where are you from? Where you grew up in? | What is your career plan? | Why didn't you get return from UBS?</x:v>
      </x:c>
    </x:row>
    <x:row r="1648" ht="48" customHeight="1">
      <x:c r="A1648" s="30" t="str">
        <x:v>QB2867</x:v>
      </x:c>
      <x:c r="B1648" s="30" t="str">
        <x:v>Fountainvest</x:v>
      </x:c>
      <x:c r="C1648" s="30" t="str">
        <x:v>PE / VC / Other</x:v>
      </x:c>
      <x:c r="D1648" s="31" t="str">
        <x:v>How do you dissect and understand an industry?</x:v>
      </x:c>
      <x:c r="E1648" s="31" t="str">
        <x:v>How do you dissect and understand an industry</x:v>
      </x:c>
      <x:c r="F1648" s="31" t="str">
        <x:v>Company, Industry &amp; Deals</x:v>
      </x:c>
      <x:c r="G1648" s="30" t="str">
        <x:v>CL0405</x:v>
      </x:c>
      <x:c r="H1648" s="32" t="n">
        <x:f>COUNTIF($G$5:$G$1725,G1648)</x:f>
        <x:v>1</x:v>
      </x:c>
      <x:c r="I1648" s="30" t="str">
        <x:v>A16</x:v>
      </x:c>
      <x:c r="J1648" s="31" t="str">
        <x:v>What is your career plan? | Why didn't you get return from UBS? | What did you learn in UBS?</x:v>
      </x:c>
    </x:row>
    <x:row r="1649" ht="48" customHeight="1">
      <x:c r="A1649" s="30" t="str">
        <x:v>QB2868</x:v>
      </x:c>
      <x:c r="B1649" s="30" t="str">
        <x:v>Fountainvest</x:v>
      </x:c>
      <x:c r="C1649" s="30" t="str">
        <x:v>PE / VC / Other</x:v>
      </x:c>
      <x:c r="D1649" s="31" t="str">
        <x:v>What did you do in the CPS deal? Tell me about the company, industry, drivers, model assumptions, oil field analysis</x:v>
      </x:c>
      <x:c r="E1649" s="31" t="str">
        <x:v>What did you do in the CPS deal? Tell me about the company, industry, drivers, model assumptions, oil field analysis</x:v>
      </x:c>
      <x:c r="F1649" s="31" t="str">
        <x:v>Resume &amp; Experience</x:v>
      </x:c>
      <x:c r="G1649" s="30" t="str">
        <x:v>CL0903</x:v>
      </x:c>
      <x:c r="H1649" s="32" t="n">
        <x:f>COUNTIF($G$5:$G$1725,G1649)</x:f>
        <x:v>1</x:v>
      </x:c>
      <x:c r="I1649" s="30" t="str">
        <x:v>A17</x:v>
      </x:c>
      <x:c r="J1649" s="31" t="str">
        <x:v>Why didn't you get return from UBS? | What did you learn in UBS? | How do you dissect and understand an industry?</x:v>
      </x:c>
    </x:row>
    <x:row r="1650" ht="68" customHeight="1">
      <x:c r="A1650" s="30" t="str">
        <x:v>QB2869</x:v>
      </x:c>
      <x:c r="B1650" s="30" t="str">
        <x:v>Fountainvest</x:v>
      </x:c>
      <x:c r="C1650" s="30" t="str">
        <x:v>PE / VC / Other</x:v>
      </x:c>
      <x:c r="D1650" s="31" t="str">
        <x:v>Q about intern: when can you start? How long can you work for?</x:v>
      </x:c>
      <x:c r="E1650" s="31" t="str">
        <x:v>Q about intern: when can you start? How long can you work for</x:v>
      </x:c>
      <x:c r="F1650" s="31" t="str">
        <x:v>Other Question</x:v>
      </x:c>
      <x:c r="G1650" s="30" t="str">
        <x:v>CL0656</x:v>
      </x:c>
      <x:c r="H1650" s="32" t="n">
        <x:f>COUNTIF($G$5:$G$1725,G1650)</x:f>
        <x:v>1</x:v>
      </x:c>
      <x:c r="I1650" s="30" t="str">
        <x:v>A18</x:v>
      </x:c>
      <x:c r="J1650" s="31" t="str">
        <x:v>What did you learn in UBS? | How do you dissect and understand an industry? | What did you do in the CPS deal? Tell me about the company, industry, drivers, model assumptions, oil field analysis</x:v>
      </x:c>
    </x:row>
    <x:row r="1651" ht="32" customHeight="1">
      <x:c r="A1651" s="30" t="str">
        <x:v>QB2872</x:v>
      </x:c>
      <x:c r="B1651" s="30" t="str">
        <x:v>Centrium</x:v>
      </x:c>
      <x:c r="C1651" s="30" t="str">
        <x:v>PE / VC / Other</x:v>
      </x:c>
      <x:c r="D1651" s="31" t="str">
        <x:v>Self intro, basic info (can work f2f? when can start?)</x:v>
      </x:c>
      <x:c r="E1651" s="31" t="str">
        <x:v>Tell me about yourself / walk me through your resume</x:v>
      </x:c>
      <x:c r="F1651" s="31" t="str">
        <x:v>Resume &amp; Experience</x:v>
      </x:c>
      <x:c r="G1651" s="30" t="str">
        <x:v>CL0001</x:v>
      </x:c>
      <x:c r="H1651" s="32" t="n">
        <x:f>COUNTIF($G$5:$G$1725,G1651)</x:f>
        <x:v>170</x:v>
      </x:c>
      <x:c r="I1651" s="30" t="str">
        <x:v>A3</x:v>
      </x:c>
      <x:c r="J1651" s="31" t="str">
        <x:v>2025 offcycle (Emily) | 45608</x:v>
      </x:c>
    </x:row>
    <x:row r="1652" ht="32" customHeight="1">
      <x:c r="A1652" s="30" t="str">
        <x:v>QB2873</x:v>
      </x:c>
      <x:c r="B1652" s="30" t="str">
        <x:v>Centrium</x:v>
      </x:c>
      <x:c r="C1652" s="30" t="str">
        <x:v>PE / VC / Other</x:v>
      </x:c>
      <x:c r="D1652" s="31" t="str">
        <x:v>Do you have any bio experiences? Why do you want to work in healthcare?</x:v>
      </x:c>
      <x:c r="E1652" s="31" t="str">
        <x:v>Do you have any bio experiences? Why do you want to work in healthcare</x:v>
      </x:c>
      <x:c r="F1652" s="31" t="str">
        <x:v>Fit &amp; Motivation</x:v>
      </x:c>
      <x:c r="G1652" s="30" t="str">
        <x:v>CL0270</x:v>
      </x:c>
      <x:c r="H1652" s="32" t="n">
        <x:f>COUNTIF($G$5:$G$1725,G1652)</x:f>
        <x:v>1</x:v>
      </x:c>
      <x:c r="I1652" s="30" t="str">
        <x:v>A4</x:v>
      </x:c>
      <x:c r="J1652" s="31" t="str">
        <x:v>2025 offcycle (Emily) | 45608 | Self intro, basic info (can work f2f? when can start?)</x:v>
      </x:c>
    </x:row>
    <x:row r="1653" ht="48" customHeight="1">
      <x:c r="A1653" s="30" t="str">
        <x:v>QB2874</x:v>
      </x:c>
      <x:c r="B1653" s="30" t="str">
        <x:v>Centrium</x:v>
      </x:c>
      <x:c r="C1653" s="30" t="str">
        <x:v>PE / VC / Other</x:v>
      </x:c>
      <x:c r="D1653" s="31" t="str">
        <x:v>Ask about all 3 deals in UBS (eg. industry, responsibilities, DCF revenue assumptions, multiples, operating metrics, geographical presence)</x:v>
      </x:c>
      <x:c r="E1653" s="31" t="str">
        <x:v>Discuss a recent deal completed by this firm</x:v>
      </x:c>
      <x:c r="F1653" s="31" t="str">
        <x:v>Resume &amp; Experience</x:v>
      </x:c>
      <x:c r="G1653" s="30" t="str">
        <x:v>CL0008</x:v>
      </x:c>
      <x:c r="H1653" s="32" t="n">
        <x:f>COUNTIF($G$5:$G$1725,G1653)</x:f>
        <x:v>14</x:v>
      </x:c>
      <x:c r="I1653" s="30" t="str">
        <x:v>A5</x:v>
      </x:c>
      <x:c r="J1653" s="31" t="str">
        <x:v>45608 | Self intro, basic info (can work f2f? when can start?) | Do you have any bio experiences? Why do you want to work in healthcare?</x:v>
      </x:c>
    </x:row>
    <x:row r="1654" ht="48" customHeight="1">
      <x:c r="A1654" s="30" t="str">
        <x:v>QB2878</x:v>
      </x:c>
      <x:c r="B1654" s="30" t="str">
        <x:v>MSPEA</x:v>
      </x:c>
      <x:c r="C1654" s="30" t="str">
        <x:v>PE / VC / Other</x:v>
      </x:c>
      <x:c r="D1654" s="31" t="str">
        <x:v>self introduction</x:v>
      </x:c>
      <x:c r="E1654" s="31" t="str">
        <x:v>Tell me about yourself / walk me through your resume</x:v>
      </x:c>
      <x:c r="F1654" s="31" t="str">
        <x:v>Resume &amp; Experience</x:v>
      </x:c>
      <x:c r="G1654" s="30" t="str">
        <x:v>CL0001</x:v>
      </x:c>
      <x:c r="H1654" s="32" t="n">
        <x:f>COUNTIF($G$5:$G$1725,G1654)</x:f>
        <x:v>170</x:v>
      </x:c>
      <x:c r="I1654" s="30" t="str">
        <x:v>A3</x:v>
      </x:c>
      <x:c r="J1654" s="31" t="str">
        <x:v>2025 offcycle (Emily): process: written test, 1st round interview with 2 analyst, final round with a VP/ED | 1st interviewer</x:v>
      </x:c>
    </x:row>
    <x:row r="1655" ht="32" customHeight="1">
      <x:c r="A1655" s="30" t="str">
        <x:v>QB2879</x:v>
      </x:c>
      <x:c r="B1655" s="30" t="str">
        <x:v>MSPEA</x:v>
      </x:c>
      <x:c r="C1655" s="30" t="str">
        <x:v>PE / VC / Other</x:v>
      </x:c>
      <x:c r="D1655" s="31" t="str">
        <x:v>Why are you interested in primary markets compared to secondary markets</x:v>
      </x:c>
      <x:c r="E1655" s="31" t="str">
        <x:v>Why are you interested in primary markets compared to secondary markets</x:v>
      </x:c>
      <x:c r="F1655" s="31" t="str">
        <x:v>Fit &amp; Motivation</x:v>
      </x:c>
      <x:c r="G1655" s="30" t="str">
        <x:v>CL1114</x:v>
      </x:c>
      <x:c r="H1655" s="32" t="n">
        <x:f>COUNTIF($G$5:$G$1725,G1655)</x:f>
        <x:v>1</x:v>
      </x:c>
      <x:c r="I1655" s="30" t="str">
        <x:v>B3</x:v>
      </x:c>
      <x:c r="J1655" s="31" t="str">
        <x:v>Final round</x:v>
      </x:c>
    </x:row>
    <x:row r="1656" ht="32" customHeight="1">
      <x:c r="A1656" s="30" t="str">
        <x:v>QB2881</x:v>
      </x:c>
      <x:c r="B1656" s="30" t="str">
        <x:v>MSPEA</x:v>
      </x:c>
      <x:c r="C1656" s="30" t="str">
        <x:v>PE / VC / Other</x:v>
      </x:c>
      <x:c r="D1656" s="31" t="str">
        <x:v>What are the differences in primary markets investment compared to secondary markets?</x:v>
      </x:c>
      <x:c r="E1656" s="31" t="str">
        <x:v>What are the differences in primary markets investment compared to secondary markets</x:v>
      </x:c>
      <x:c r="F1656" s="31" t="str">
        <x:v>Private Equity &amp; LBO</x:v>
      </x:c>
      <x:c r="G1656" s="30" t="str">
        <x:v>CL0879</x:v>
      </x:c>
      <x:c r="H1656" s="32" t="n">
        <x:f>COUNTIF($G$5:$G$1725,G1656)</x:f>
        <x:v>1</x:v>
      </x:c>
      <x:c r="I1656" s="30" t="str">
        <x:v>B4</x:v>
      </x:c>
      <x:c r="J1656" s="31" t="str">
        <x:v>Final round | Why are you interested in primary markets compared to secondary markets</x:v>
      </x:c>
    </x:row>
    <x:row r="1657" ht="32" customHeight="1">
      <x:c r="A1657" s="30" t="str">
        <x:v>QB2882</x:v>
      </x:c>
      <x:c r="B1657" s="30" t="str">
        <x:v>MSPEA</x:v>
      </x:c>
      <x:c r="C1657" s="30" t="str">
        <x:v>PE / VC / Other</x:v>
      </x:c>
      <x:c r="D1657" s="31" t="str">
        <x:v>EV/EBITDA vs EV/sales 分别？</x:v>
      </x:c>
      <x:c r="E1657" s="31" t="str">
        <x:v>EV/EBITDA vs EV/sales 分别</x:v>
      </x:c>
      <x:c r="F1657" s="31" t="str">
        <x:v>Other Question</x:v>
      </x:c>
      <x:c r="G1657" s="30" t="str">
        <x:v>CL0317</x:v>
      </x:c>
      <x:c r="H1657" s="32" t="n">
        <x:f>COUNTIF($G$5:$G$1725,G1657)</x:f>
        <x:v>1</x:v>
      </x:c>
      <x:c r="I1657" s="30" t="str">
        <x:v>A5</x:v>
      </x:c>
      <x:c r="J1657" s="31" t="str">
        <x:v>1st interviewer | self introduction | From here all Chinese</x:v>
      </x:c>
    </x:row>
    <x:row r="1658" ht="68" customHeight="1">
      <x:c r="A1658" s="30" t="str">
        <x:v>QB2883</x:v>
      </x:c>
      <x:c r="B1658" s="30" t="str">
        <x:v>MSPEA</x:v>
      </x:c>
      <x:c r="C1658" s="30" t="str">
        <x:v>PE / VC / Other</x:v>
      </x:c>
      <x:c r="D1658" s="31" t="str">
        <x:v>Tell me about a recent investment you made that you think is very attractive? Tell me about the industry and highlights</x:v>
      </x:c>
      <x:c r="E1658" s="31" t="str">
        <x:v>Tell me about a recent investment you made that you think is very attractive? Tell me about the industry and highlights</x:v>
      </x:c>
      <x:c r="F1658" s="31" t="str">
        <x:v>Accounting &amp; Financial Statements</x:v>
      </x:c>
      <x:c r="G1658" s="30" t="str">
        <x:v>CL0725</x:v>
      </x:c>
      <x:c r="H1658" s="32" t="n">
        <x:f>COUNTIF($G$5:$G$1725,G1658)</x:f>
        <x:v>1</x:v>
      </x:c>
      <x:c r="I1658" s="30" t="str">
        <x:v>B5</x:v>
      </x:c>
      <x:c r="J1658" s="31" t="str">
        <x:v>Final round | Why are you interested in primary markets compared to secondary markets | What are the differences in primary markets investment compared to secondary markets?</x:v>
      </x:c>
    </x:row>
    <x:row r="1659" ht="32" customHeight="1">
      <x:c r="A1659" s="30" t="str">
        <x:v>QB2884</x:v>
      </x:c>
      <x:c r="B1659" s="30" t="str">
        <x:v>MSPEA</x:v>
      </x:c>
      <x:c r="C1659" s="30" t="str">
        <x:v>PE / VC / Other</x:v>
      </x:c>
      <x:c r="D1659" s="31" t="str">
        <x:v>How to calculate EBITDA from top down?</x:v>
      </x:c>
      <x:c r="E1659" s="31" t="str">
        <x:v>How to calculate EBITDA from top down</x:v>
      </x:c>
      <x:c r="F1659" s="31" t="str">
        <x:v>Other Technical</x:v>
      </x:c>
      <x:c r="G1659" s="30" t="str">
        <x:v>CL0463</x:v>
      </x:c>
      <x:c r="H1659" s="32" t="n">
        <x:f>COUNTIF($G$5:$G$1725,G1659)</x:f>
        <x:v>1</x:v>
      </x:c>
      <x:c r="I1659" s="30" t="str">
        <x:v>A6</x:v>
      </x:c>
      <x:c r="J1659" s="31" t="str">
        <x:v>self introduction | From here all Chinese | EV/EBITDA vs EV/sales 分别？</x:v>
      </x:c>
    </x:row>
    <x:row r="1660" ht="92" customHeight="1">
      <x:c r="A1660" s="30" t="str">
        <x:v>QB2885</x:v>
      </x:c>
      <x:c r="B1660" s="30" t="str">
        <x:v>MSPEA</x:v>
      </x:c>
      <x:c r="C1660" s="30" t="str">
        <x:v>PE / VC / Other</x:v>
      </x:c>
      <x:c r="D1660" s="31" t="str">
        <x:v>What multiples would you look at? Why EV/EBIT but not other multiples?</x:v>
      </x:c>
      <x:c r="E1660" s="31" t="str">
        <x:v>What multiples would you look at? Why EV/EBIT but not other multiples</x:v>
      </x:c>
      <x:c r="F1660" s="31" t="str">
        <x:v>Fit &amp; Motivation</x:v>
      </x:c>
      <x:c r="G1660" s="30" t="str">
        <x:v>CL1017</x:v>
      </x:c>
      <x:c r="H1660" s="32" t="n">
        <x:f>COUNTIF($G$5:$G$1725,G1660)</x:f>
        <x:v>1</x:v>
      </x:c>
      <x:c r="I1660" s="30" t="str">
        <x:v>B6</x:v>
      </x:c>
      <x:c r="J1660" s="31" t="str">
        <x:v>Why are you interested in primary markets compared to secondary markets | What are the differences in primary markets investment compared to secondary markets? | Tell me about a recent investment you made that you think is very attractiv...</x:v>
      </x:c>
    </x:row>
    <x:row r="1661" ht="32" customHeight="1">
      <x:c r="A1661" s="30" t="str">
        <x:v>QB2886</x:v>
      </x:c>
      <x:c r="B1661" s="30" t="str">
        <x:v>MSPEA</x:v>
      </x:c>
      <x:c r="C1661" s="30" t="str">
        <x:v>PE / VC / Other</x:v>
      </x:c>
      <x:c r="D1661" s="31" t="str">
        <x:v>Effect of gain on sale of asset on EBITDA? (No change) Position on financial statement?</x:v>
      </x:c>
      <x:c r="E1661" s="31" t="str">
        <x:v>Effect of gain on sale of asset on EBITDA? (No change) Position on financial statement</x:v>
      </x:c>
      <x:c r="F1661" s="31" t="str">
        <x:v>Accounting &amp; Financial Statements</x:v>
      </x:c>
      <x:c r="G1661" s="30" t="str">
        <x:v>CL0307</x:v>
      </x:c>
      <x:c r="H1661" s="32" t="n">
        <x:f>COUNTIF($G$5:$G$1725,G1661)</x:f>
        <x:v>1</x:v>
      </x:c>
      <x:c r="I1661" s="30" t="str">
        <x:v>A7</x:v>
      </x:c>
      <x:c r="J1661" s="31" t="str">
        <x:v>From here all Chinese | EV/EBITDA vs EV/sales 分别？ | How to calculate EBITDA from top down?</x:v>
      </x:c>
    </x:row>
    <x:row r="1662" ht="92" customHeight="1">
      <x:c r="A1662" s="30" t="str">
        <x:v>QB2887</x:v>
      </x:c>
      <x:c r="B1662" s="30" t="str">
        <x:v>MSPEA</x:v>
      </x:c>
      <x:c r="C1662" s="30" t="str">
        <x:v>PE / VC / Other</x:v>
      </x:c>
      <x:c r="D1662" s="31" t="str">
        <x:v>For a company with high debt usage vs low debt, but similar EV/EBIT, which company will you invest in?</x:v>
      </x:c>
      <x:c r="E1662" s="31" t="str">
        <x:v>For a company with high debt usage vs low debt, but similar EV/EBIT, which company will you invest in</x:v>
      </x:c>
      <x:c r="F1662" s="31" t="str">
        <x:v>Company, Industry &amp; Deals</x:v>
      </x:c>
      <x:c r="G1662" s="30" t="str">
        <x:v>CL0325</x:v>
      </x:c>
      <x:c r="H1662" s="32" t="n">
        <x:f>COUNTIF($G$5:$G$1725,G1662)</x:f>
        <x:v>1</x:v>
      </x:c>
      <x:c r="I1662" s="30" t="str">
        <x:v>B7</x:v>
      </x:c>
      <x:c r="J1662" s="31" t="str">
        <x:v>What are the differences in primary markets investment compared to secondary markets? | Tell me about a recent investment you made that you think is very attractive? Tell me about the industry and highlights | What multiples would you lo...</x:v>
      </x:c>
    </x:row>
    <x:row r="1663" ht="48" customHeight="1">
      <x:c r="A1663" s="30" t="str">
        <x:v>QB2888</x:v>
      </x:c>
      <x:c r="B1663" s="30" t="str">
        <x:v>MSPEA</x:v>
      </x:c>
      <x:c r="C1663" s="30" t="str">
        <x:v>PE / VC / Other</x:v>
      </x:c>
      <x:c r="D1663" s="31" t="str">
        <x:v>For CPS, how does it affect the enterprise value? How much is pre money and post money valuation? (I said counted as preferred shares at first)</x:v>
      </x:c>
      <x:c r="E1663" s="31" t="str">
        <x:v>For CPS, how does it affect the enterprise value? How much is pre money and post money valuation? (I said counted as preferred shares at first)</x:v>
      </x:c>
      <x:c r="F1663" s="31" t="str">
        <x:v>Accounting &amp; Financial Statements</x:v>
      </x:c>
      <x:c r="G1663" s="30" t="str">
        <x:v>CL0329</x:v>
      </x:c>
      <x:c r="H1663" s="32" t="n">
        <x:f>COUNTIF($G$5:$G$1725,G1663)</x:f>
        <x:v>1</x:v>
      </x:c>
      <x:c r="I1663" s="30" t="str">
        <x:v>A8</x:v>
      </x:c>
      <x:c r="J1663" s="31" t="str">
        <x:v>EV/EBITDA vs EV/sales 分别？ | How to calculate EBITDA from top down? | Effect of gain on sale of asset on EBITDA? (No change) Position on financial statement?</x:v>
      </x:c>
    </x:row>
    <x:row r="1664" ht="92" customHeight="1">
      <x:c r="A1664" s="30" t="str">
        <x:v>QB2889</x:v>
      </x:c>
      <x:c r="B1664" s="30" t="str">
        <x:v>MSPEA</x:v>
      </x:c>
      <x:c r="C1664" s="30" t="str">
        <x:v>PE / VC / Other</x:v>
      </x:c>
      <x:c r="D1664" s="31" t="str">
        <x:v>What are some metrics you would look at to evaluate a debt ratio? Apart from these ratio, any qualitative measures?</x:v>
      </x:c>
      <x:c r="E1664" s="31" t="str">
        <x:v>What are some metrics you would look at to evaluate a debt ratio? Apart from these ratio, any qualitative measures</x:v>
      </x:c>
      <x:c r="F1664" s="31" t="str">
        <x:v>Company, Industry &amp; Deals</x:v>
      </x:c>
      <x:c r="G1664" s="30" t="str">
        <x:v>CL0871</x:v>
      </x:c>
      <x:c r="H1664" s="32" t="n">
        <x:f>COUNTIF($G$5:$G$1725,G1664)</x:f>
        <x:v>1</x:v>
      </x:c>
      <x:c r="I1664" s="30" t="str">
        <x:v>B8</x:v>
      </x:c>
      <x:c r="J1664" s="31" t="str">
        <x:v>Tell me about a recent investment you made that you think is very attractive? Tell me about the industry and highlights | What multiples would you look at? Why EV/EBIT but not other multiples? | For a company with high debt usage vs low ...</x:v>
      </x:c>
    </x:row>
    <x:row r="1665" ht="92" customHeight="1">
      <x:c r="A1665" s="30" t="str">
        <x:v>QB2890</x:v>
      </x:c>
      <x:c r="B1665" s="30" t="str">
        <x:v>MSPEA</x:v>
      </x:c>
      <x:c r="C1665" s="30" t="str">
        <x:v>PE / VC / Other</x:v>
      </x:c>
      <x:c r="D1665" s="31" t="str">
        <x:v>Pre money and post money valuation for cross border b2b platform?</x:v>
      </x:c>
      <x:c r="E1665" s="31" t="str">
        <x:v>Pre money and post money valuation for cross border b2b platform</x:v>
      </x:c>
      <x:c r="F1665" s="31" t="str">
        <x:v>Valuation</x:v>
      </x:c>
      <x:c r="G1665" s="30" t="str">
        <x:v>CL0645</x:v>
      </x:c>
      <x:c r="H1665" s="32" t="n">
        <x:f>COUNTIF($G$5:$G$1725,G1665)</x:f>
        <x:v>1</x:v>
      </x:c>
      <x:c r="I1665" s="30" t="str">
        <x:v>A9</x:v>
      </x:c>
      <x:c r="J1665" s="31" t="str">
        <x:v>How to calculate EBITDA from top down? | Effect of gain on sale of asset on EBITDA? (No change) Position on financial statement? | For CPS, how does it affect the enterprise value? How much is pre money and post money valuation? (I said ...</x:v>
      </x:c>
    </x:row>
    <x:row r="1666" ht="92" customHeight="1">
      <x:c r="A1666" s="30" t="str">
        <x:v>QB2891</x:v>
      </x:c>
      <x:c r="B1666" s="30" t="str">
        <x:v>MSPEA</x:v>
      </x:c>
      <x:c r="C1666" s="30" t="str">
        <x:v>PE / VC / Other</x:v>
      </x:c>
      <x:c r="D1666" s="31" t="str">
        <x:v>What are some factors that will affect oil price?</x:v>
      </x:c>
      <x:c r="E1666" s="31" t="str">
        <x:v>What are some factors that will affect oil price</x:v>
      </x:c>
      <x:c r="F1666" s="31" t="str">
        <x:v>Other Question</x:v>
      </x:c>
      <x:c r="G1666" s="30" t="str">
        <x:v>CL0868</x:v>
      </x:c>
      <x:c r="H1666" s="32" t="n">
        <x:f>COUNTIF($G$5:$G$1725,G1666)</x:f>
        <x:v>1</x:v>
      </x:c>
      <x:c r="I1666" s="30" t="str">
        <x:v>B9</x:v>
      </x:c>
      <x:c r="J1666" s="31" t="str">
        <x:v>What multiples would you look at? Why EV/EBIT but not other multiples? | For a company with high debt usage vs low debt, but similar EV/EBIT, which company will you invest in? | What are some metrics you would look at to evaluate a debt ...</x:v>
      </x:c>
    </x:row>
    <x:row r="1667" ht="92" customHeight="1">
      <x:c r="A1667" s="30" t="str">
        <x:v>QB2892</x:v>
      </x:c>
      <x:c r="B1667" s="30" t="str">
        <x:v>MSPEA</x:v>
      </x:c>
      <x:c r="C1667" s="30" t="str">
        <x:v>PE / VC / Other</x:v>
      </x:c>
      <x:c r="D1667" s="31" t="str">
        <x:v>15 billion market cap, we now investment 1bn half is buying old shares and half is buying new shares. What is the % of old shares bought,and % of new shares bought ? (I said old shares is 0.5/15, and new shares 0.5/15.5??)</x:v>
      </x:c>
      <x:c r="E1667" s="31" t="str">
        <x:v>15 billion market cap, we now investment 1bn half is buying old shares and half is buying new shares. What is the % of old shares bought,and % of new shares bought ? (I said old shares is 0.5/15, and new shares 0.5/15.5??)</x:v>
      </x:c>
      <x:c r="F1667" s="31" t="str">
        <x:v>Accounting &amp; Financial Statements</x:v>
      </x:c>
      <x:c r="G1667" s="30" t="str">
        <x:v>CL0065</x:v>
      </x:c>
      <x:c r="H1667" s="32" t="n">
        <x:f>COUNTIF($G$5:$G$1725,G1667)</x:f>
        <x:v>1</x:v>
      </x:c>
      <x:c r="I1667" s="30" t="str">
        <x:v>A10</x:v>
      </x:c>
      <x:c r="J1667" s="31" t="str">
        <x:v>Effect of gain on sale of asset on EBITDA? (No change) Position on financial statement? | For CPS, how does it affect the enterprise value? How much is pre money and post money valuation? (I said counted as preferred shares at first) | P...</x:v>
      </x:c>
    </x:row>
    <x:row r="1668" ht="92" customHeight="1">
      <x:c r="A1668" s="30" t="str">
        <x:v>QB2893</x:v>
      </x:c>
      <x:c r="B1668" s="30" t="str">
        <x:v>MSPEA</x:v>
      </x:c>
      <x:c r="C1668" s="30" t="str">
        <x:v>PE / VC / Other</x:v>
      </x:c>
      <x:c r="D1668" s="31" t="str">
        <x:v>What affects gross profit margin? (I said, price, cost, volume). She said the utilisation rate of the machines will also affect the volume. More volume means fixed cost can be spread over more items due to economies of scale</x:v>
      </x:c>
      <x:c r="E1668" s="31" t="str">
        <x:v>What affects gross profit margin? (I said, price, cost, volume). She said the utilisation rate of the machines will also affect the volume. More volume means fixed cost can be spread over more items due to economies of scale</x:v>
      </x:c>
      <x:c r="F1668" s="31" t="str">
        <x:v>Fit &amp; Motivation</x:v>
      </x:c>
      <x:c r="G1668" s="30" t="str">
        <x:v>CL0859</x:v>
      </x:c>
      <x:c r="H1668" s="32" t="n">
        <x:f>COUNTIF($G$5:$G$1725,G1668)</x:f>
        <x:v>1</x:v>
      </x:c>
      <x:c r="I1668" s="30" t="str">
        <x:v>B10</x:v>
      </x:c>
      <x:c r="J1668" s="31" t="str">
        <x:v>For a company with high debt usage vs low debt, but similar EV/EBIT, which company will you invest in? | What are some metrics you would look at to evaluate a debt ratio? Apart from these ratio, any qualitative measures? | What are some ...</x:v>
      </x:c>
    </x:row>
    <x:row r="1669" ht="118" customHeight="1">
      <x:c r="A1669" s="30" t="str">
        <x:v>QB2894</x:v>
      </x:c>
      <x:c r="B1669" s="30" t="str">
        <x:v>MSPEA</x:v>
      </x:c>
      <x:c r="C1669" s="30" t="str">
        <x:v>PE / VC / Other</x:v>
      </x:c>
      <x:c r="D1669" s="31" t="str">
        <x:v>Tell me about the energy storage company and industry dynamic.</x:v>
      </x:c>
      <x:c r="E1669" s="31" t="str">
        <x:v>Tell me about the energy storage company and industry dynamic</x:v>
      </x:c>
      <x:c r="F1669" s="31" t="str">
        <x:v>Company, Industry &amp; Deals</x:v>
      </x:c>
      <x:c r="G1669" s="30" t="str">
        <x:v>CL0741</x:v>
      </x:c>
      <x:c r="H1669" s="32" t="n">
        <x:f>COUNTIF($G$5:$G$1725,G1669)</x:f>
        <x:v>1</x:v>
      </x:c>
      <x:c r="I1669" s="30" t="str">
        <x:v>A11</x:v>
      </x:c>
      <x:c r="J1669" s="31" t="str">
        <x:v>For CPS, how does it affect the enterprise value? How much is pre money and post money valuation? (I said counted as preferred shares at first) | Pre money and post money valuation for cross border b2b platform? | 15 billion market cap, ...</x:v>
      </x:c>
    </x:row>
    <x:row r="1670" ht="118" customHeight="1">
      <x:c r="A1670" s="30" t="str">
        <x:v>QB2895</x:v>
      </x:c>
      <x:c r="B1670" s="30" t="str">
        <x:v>MSPEA</x:v>
      </x:c>
      <x:c r="C1670" s="30" t="str">
        <x:v>PE / VC / Other</x:v>
      </x:c>
      <x:c r="D1670" s="31" t="str">
        <x:v>Tell me another industry that you worked on before that you find attractive?</x:v>
      </x:c>
      <x:c r="E1670" s="31" t="str">
        <x:v>Tell me another industry that you worked on before that you find attractive</x:v>
      </x:c>
      <x:c r="F1670" s="31" t="str">
        <x:v>Company, Industry &amp; Deals</x:v>
      </x:c>
      <x:c r="G1670" s="30" t="str">
        <x:v>CL0759</x:v>
      </x:c>
      <x:c r="H1670" s="32" t="n">
        <x:f>COUNTIF($G$5:$G$1725,G1670)</x:f>
        <x:v>1</x:v>
      </x:c>
      <x:c r="I1670" s="30" t="str">
        <x:v>B11</x:v>
      </x:c>
      <x:c r="J1670" s="31" t="str">
        <x:v>What are some metrics you would look at to evaluate a debt ratio? Apart from these ratio, any qualitative measures? | What are some factors that will affect oil price? | What affects gross profit margin? (I said, price, cost, volume). Sh...</x:v>
      </x:c>
    </x:row>
    <x:row r="1671" ht="92" customHeight="1">
      <x:c r="A1671" s="30" t="str">
        <x:v>QB2896</x:v>
      </x:c>
      <x:c r="B1671" s="30" t="str">
        <x:v>MSPEA</x:v>
      </x:c>
      <x:c r="C1671" s="30" t="str">
        <x:v>PE / VC / Other</x:v>
      </x:c>
      <x:c r="D1671" s="31" t="str">
        <x:v>为什么用碳酸锂？最近价钱如何？</x:v>
      </x:c>
      <x:c r="E1671" s="31" t="str">
        <x:v>为什么用碳酸锂？最近价钱如何</x:v>
      </x:c>
      <x:c r="F1671" s="31" t="str">
        <x:v>Other Question</x:v>
      </x:c>
      <x:c r="G1671" s="30" t="str">
        <x:v>CL1223</x:v>
      </x:c>
      <x:c r="H1671" s="32" t="n">
        <x:f>COUNTIF($G$5:$G$1725,G1671)</x:f>
        <x:v>1</x:v>
      </x:c>
      <x:c r="I1671" s="30" t="str">
        <x:v>A12</x:v>
      </x:c>
      <x:c r="J1671" s="31" t="str">
        <x:v>Pre money and post money valuation for cross border b2b platform? | 15 billion market cap, we now investment 1bn half is buying old shares and half is buying new shares. What is the % of old shares bought,and % of new shares bought ? (I ...</x:v>
      </x:c>
    </x:row>
    <x:row r="1672" ht="92" customHeight="1">
      <x:c r="A1672" s="30" t="str">
        <x:v>QB2897</x:v>
      </x:c>
      <x:c r="B1672" s="30" t="str">
        <x:v>MSPEA</x:v>
      </x:c>
      <x:c r="C1672" s="30" t="str">
        <x:v>PE / VC / Other</x:v>
      </x:c>
      <x:c r="D1672" s="31" t="str">
        <x:v>What are your hobbies? Why did you get started with fencing and why did you continue?</x:v>
      </x:c>
      <x:c r="E1672" s="31" t="str">
        <x:v>What are your interests outside work and school?</x:v>
      </x:c>
      <x:c r="F1672" s="31" t="str">
        <x:v>Fit &amp; Motivation</x:v>
      </x:c>
      <x:c r="G1672" s="30" t="str">
        <x:v>CL0014</x:v>
      </x:c>
      <x:c r="H1672" s="32" t="n">
        <x:f>COUNTIF($G$5:$G$1725,G1672)</x:f>
        <x:v>10</x:v>
      </x:c>
      <x:c r="I1672" s="30" t="str">
        <x:v>B12</x:v>
      </x:c>
      <x:c r="J1672" s="31" t="str">
        <x:v>What are some factors that will affect oil price? | What affects gross profit margin? (I said, price, cost, volume). She said the utilisation rate of the machines will also affect the volume. More volume means fixed cost can be spread ov...</x:v>
      </x:c>
    </x:row>
    <x:row r="1673" ht="92" customHeight="1">
      <x:c r="A1673" s="30" t="str">
        <x:v>QB2898</x:v>
      </x:c>
      <x:c r="B1673" s="30" t="str">
        <x:v>MSPEA</x:v>
      </x:c>
      <x:c r="C1673" s="30" t="str">
        <x:v>PE / VC / Other</x:v>
      </x:c>
      <x:c r="D1673" s="31" t="str">
        <x:v>现在行业表现好吗？有什么变化？</x:v>
      </x:c>
      <x:c r="E1673" s="31" t="str">
        <x:v>现在行业表现好吗？有什么变化</x:v>
      </x:c>
      <x:c r="F1673" s="31" t="str">
        <x:v>Other Question</x:v>
      </x:c>
      <x:c r="G1673" s="30" t="str">
        <x:v>CL1252</x:v>
      </x:c>
      <x:c r="H1673" s="32" t="n">
        <x:f>COUNTIF($G$5:$G$1725,G1673)</x:f>
        <x:v>1</x:v>
      </x:c>
      <x:c r="I1673" s="30" t="str">
        <x:v>A13</x:v>
      </x:c>
      <x:c r="J1673" s="31" t="str">
        <x:v>15 billion market cap, we now investment 1bn half is buying old shares and half is buying new shares. What is the % of old shares bought,and % of new shares bought ? (I said old shares is 0.5/15, and new shares 0.5/15.5??) | Tell me abou...</x:v>
      </x:c>
    </x:row>
    <x:row r="1674" ht="118" customHeight="1">
      <x:c r="A1674" s="30" t="str">
        <x:v>QB2899</x:v>
      </x:c>
      <x:c r="B1674" s="30" t="str">
        <x:v>MSPEA</x:v>
      </x:c>
      <x:c r="C1674" s="30" t="str">
        <x:v>PE / VC / Other</x:v>
      </x:c>
      <x:c r="D1674" s="31" t="str">
        <x:v>What is a recent book you read</x:v>
      </x:c>
      <x:c r="E1674" s="31" t="str">
        <x:v>What is a recent book you read</x:v>
      </x:c>
      <x:c r="F1674" s="31" t="str">
        <x:v>Accounting &amp; Financial Statements</x:v>
      </x:c>
      <x:c r="G1674" s="30" t="str">
        <x:v>CL0963</x:v>
      </x:c>
      <x:c r="H1674" s="32" t="n">
        <x:f>COUNTIF($G$5:$G$1725,G1674)</x:f>
        <x:v>1</x:v>
      </x:c>
      <x:c r="I1674" s="30" t="str">
        <x:v>B13</x:v>
      </x:c>
      <x:c r="J1674" s="31" t="str">
        <x:v>What affects gross profit margin? (I said, price, cost, volume). She said the utilisation rate of the machines will also affect the volume. More volume means fixed cost can be spread over more items due to economies of scale | Tell me an...</x:v>
      </x:c>
    </x:row>
    <x:row r="1675" ht="48" customHeight="1">
      <x:c r="A1675" s="30" t="str">
        <x:v>QB2900</x:v>
      </x:c>
      <x:c r="B1675" s="30" t="str">
        <x:v>MSPEA</x:v>
      </x:c>
      <x:c r="C1675" s="30" t="str">
        <x:v>PE / VC / Other</x:v>
      </x:c>
      <x:c r="D1675" s="31" t="str">
        <x:v>有什么其他玩家，公司的市占率多少？排名是什么 (in terms of revenue) ? 最大的公司收入多少，公司自己收入多少？</x:v>
      </x:c>
      <x:c r="E1675" s="31" t="str">
        <x:v>有什么其他玩家，公司的市占率多少？排名是什么 (in terms of revenue) ? 最大的公司收入多少，公司自己收入多少</x:v>
      </x:c>
      <x:c r="F1675" s="31" t="str">
        <x:v>Company, Industry &amp; Deals</x:v>
      </x:c>
      <x:c r="G1675" s="30" t="str">
        <x:v>CL1249</x:v>
      </x:c>
      <x:c r="H1675" s="32" t="n">
        <x:f>COUNTIF($G$5:$G$1725,G1675)</x:f>
        <x:v>1</x:v>
      </x:c>
      <x:c r="I1675" s="30" t="str">
        <x:v>A14</x:v>
      </x:c>
      <x:c r="J1675" s="31" t="str">
        <x:v>Tell me about the energy storage company and industry dynamic. | 为什么用碳酸锂？最近价钱如何？ | 现在行业表现好吗？有什么变化？</x:v>
      </x:c>
    </x:row>
    <x:row r="1676" ht="48" customHeight="1">
      <x:c r="A1676" s="30" t="str">
        <x:v>QB2901</x:v>
      </x:c>
      <x:c r="B1676" s="30" t="str">
        <x:v>MSPEA</x:v>
      </x:c>
      <x:c r="C1676" s="30" t="str">
        <x:v>PE / VC / Other</x:v>
      </x:c>
      <x:c r="D1676" s="31" t="str">
        <x:v>收入差距是因为？</x:v>
      </x:c>
      <x:c r="E1676" s="31" t="str">
        <x:v>收入差距是因为</x:v>
      </x:c>
      <x:c r="F1676" s="31" t="str">
        <x:v>Other Question</x:v>
      </x:c>
      <x:c r="G1676" s="30" t="str">
        <x:v>CL1245</x:v>
      </x:c>
      <x:c r="H1676" s="32" t="n">
        <x:f>COUNTIF($G$5:$G$1725,G1676)</x:f>
        <x:v>1</x:v>
      </x:c>
      <x:c r="I1676" s="30" t="str">
        <x:v>A15</x:v>
      </x:c>
      <x:c r="J1676" s="31" t="str">
        <x:v>为什么用碳酸锂？最近价钱如何？ | 现在行业表现好吗？有什么变化？ | 有什么其他玩家，公司的市占率多少？排名是什么 (in terms of revenue) ? 最大的公司收入多少，公司自己收入多少？</x:v>
      </x:c>
    </x:row>
    <x:row r="1677" ht="48" customHeight="1">
      <x:c r="A1677" s="30" t="str">
        <x:v>QB2902</x:v>
      </x:c>
      <x:c r="B1677" s="30" t="str">
        <x:v>MSPEA</x:v>
      </x:c>
      <x:c r="C1677" s="30" t="str">
        <x:v>PE / VC / Other</x:v>
      </x:c>
      <x:c r="D1677" s="31" t="str">
        <x:v>油船公司有什么技术上的优势/方法？（I told him the diff is business model)</x:v>
      </x:c>
      <x:c r="E1677" s="31" t="str">
        <x:v>油船公司有什么技术上的优势/方法？（I told him the diff is business model)</x:v>
      </x:c>
      <x:c r="F1677" s="31" t="str">
        <x:v>Accounting &amp; Financial Statements</x:v>
      </x:c>
      <x:c r="G1677" s="30" t="str">
        <x:v>CL1251</x:v>
      </x:c>
      <x:c r="H1677" s="32" t="n">
        <x:f>COUNTIF($G$5:$G$1725,G1677)</x:f>
        <x:v>1</x:v>
      </x:c>
      <x:c r="I1677" s="30" t="str">
        <x:v>A16</x:v>
      </x:c>
      <x:c r="J1677" s="31" t="str">
        <x:v>现在行业表现好吗？有什么变化？ | 有什么其他玩家，公司的市占率多少？排名是什么 (in terms of revenue) ? 最大的公司收入多少，公司自己收入多少？ | 收入差距是因为？</x:v>
      </x:c>
    </x:row>
    <x:row r="1678" ht="48" customHeight="1">
      <x:c r="A1678" s="30" t="str">
        <x:v>QB2903</x:v>
      </x:c>
      <x:c r="B1678" s="30" t="str">
        <x:v>MSPEA</x:v>
      </x:c>
      <x:c r="C1678" s="30" t="str">
        <x:v>PE / VC / Other</x:v>
      </x:c>
      <x:c r="D1678" s="31" t="str">
        <x:v>国内国外公司？</x:v>
      </x:c>
      <x:c r="E1678" s="31" t="str">
        <x:v>国内国外公司</x:v>
      </x:c>
      <x:c r="F1678" s="31" t="str">
        <x:v>Other Question</x:v>
      </x:c>
      <x:c r="G1678" s="30" t="str">
        <x:v>CL1235</x:v>
      </x:c>
      <x:c r="H1678" s="32" t="n">
        <x:f>COUNTIF($G$5:$G$1725,G1678)</x:f>
        <x:v>1</x:v>
      </x:c>
      <x:c r="I1678" s="30" t="str">
        <x:v>A17</x:v>
      </x:c>
      <x:c r="J1678" s="31" t="str">
        <x:v>有什么其他玩家，公司的市占率多少？排名是什么 (in terms of revenue) ? 最大的公司收入多少，公司自己收入多少？ | 收入差距是因为？ | 油船公司有什么技术上的优势/方法？（I told him the diff is business model)</x:v>
      </x:c>
    </x:row>
    <x:row r="1679" ht="32" customHeight="1">
      <x:c r="A1679" s="30" t="str">
        <x:v>QB2905</x:v>
      </x:c>
      <x:c r="B1679" s="30" t="str">
        <x:v>MSPEA</x:v>
      </x:c>
      <x:c r="C1679" s="30" t="str">
        <x:v>PE / VC / Other</x:v>
      </x:c>
      <x:c r="D1679" s="31" t="str">
        <x:v>how to pull EV/EBITDA from capiq?</x:v>
      </x:c>
      <x:c r="E1679" s="31" t="str">
        <x:v>How to pull EV/EBITDA from capiq</x:v>
      </x:c>
      <x:c r="F1679" s="31" t="str">
        <x:v>Other Question</x:v>
      </x:c>
      <x:c r="G1679" s="30" t="str">
        <x:v>CL0481</x:v>
      </x:c>
      <x:c r="H1679" s="32" t="n">
        <x:f>COUNTIF($G$5:$G$1725,G1679)</x:f>
        <x:v>1</x:v>
      </x:c>
      <x:c r="I1679" s="30" t="str">
        <x:v>A19</x:v>
      </x:c>
      <x:c r="J1679" s="31" t="str">
        <x:v>油船公司有什么技术上的优势/方法？（I told him the diff is business model) | 国内国外公司？ | Interviewer 2:</x:v>
      </x:c>
    </x:row>
    <x:row r="1680" ht="32" customHeight="1">
      <x:c r="A1680" s="30" t="str">
        <x:v>QB2906</x:v>
      </x:c>
      <x:c r="B1680" s="30" t="str">
        <x:v>MSPEA</x:v>
      </x:c>
      <x:c r="C1680" s="30" t="str">
        <x:v>PE / VC / Other</x:v>
      </x:c>
      <x:c r="D1680" s="31" t="str">
        <x:v>EV: market cap use which one? Diluted market cap? Total market cap? Floating market caps</x:v>
      </x:c>
      <x:c r="E1680" s="31" t="str">
        <x:v>EV: market cap use which one? Diluted market cap? Total market cap? Floating market caps</x:v>
      </x:c>
      <x:c r="F1680" s="31" t="str">
        <x:v>Other Question</x:v>
      </x:c>
      <x:c r="G1680" s="30" t="str">
        <x:v>CL0316</x:v>
      </x:c>
      <x:c r="H1680" s="32" t="n">
        <x:f>COUNTIF($G$5:$G$1725,G1680)</x:f>
        <x:v>1</x:v>
      </x:c>
      <x:c r="I1680" s="30" t="str">
        <x:v>A20</x:v>
      </x:c>
      <x:c r="J1680" s="31" t="str">
        <x:v>国内国外公司？ | Interviewer 2: | how to pull EV/EBITDA from capiq?</x:v>
      </x:c>
    </x:row>
    <x:row r="1681" ht="48" customHeight="1">
      <x:c r="A1681" s="30" t="str">
        <x:v>QB2907</x:v>
      </x:c>
      <x:c r="B1681" s="30" t="str">
        <x:v>MSPEA</x:v>
      </x:c>
      <x:c r="C1681" s="30" t="str">
        <x:v>PE / VC / Other</x:v>
      </x:c>
      <x:c r="D1681" s="31" t="str">
        <x:v>Where to find each part of EV/ EBITDA breakdown from capiq</x:v>
      </x:c>
      <x:c r="E1681" s="31" t="str">
        <x:v>Where to find each part of EV/ EBITDA breakdown from capiq</x:v>
      </x:c>
      <x:c r="F1681" s="31" t="str">
        <x:v>Other Question</x:v>
      </x:c>
      <x:c r="G1681" s="30" t="str">
        <x:v>CL1090</x:v>
      </x:c>
      <x:c r="H1681" s="32" t="n">
        <x:f>COUNTIF($G$5:$G$1725,G1681)</x:f>
        <x:v>1</x:v>
      </x:c>
      <x:c r="I1681" s="30" t="str">
        <x:v>A21</x:v>
      </x:c>
      <x:c r="J1681" s="31" t="str">
        <x:v>Interviewer 2: | how to pull EV/EBITDA from capiq? | EV: market cap use which one? Diluted market cap? Total market cap? Floating market caps</x:v>
      </x:c>
    </x:row>
    <x:row r="1682" ht="68" customHeight="1">
      <x:c r="A1682" s="30" t="str">
        <x:v>QB2908</x:v>
      </x:c>
      <x:c r="B1682" s="30" t="str">
        <x:v>MSPEA</x:v>
      </x:c>
      <x:c r="C1682" s="30" t="str">
        <x:v>PE / VC / Other</x:v>
      </x:c>
      <x:c r="D1682" s="31" t="str">
        <x:v>If there’s no reports about this company, how would u find comps of this company?</x:v>
      </x:c>
      <x:c r="E1682" s="31" t="str">
        <x:v>How do you select comparable companies?</x:v>
      </x:c>
      <x:c r="F1682" s="31" t="str">
        <x:v>Valuation</x:v>
      </x:c>
      <x:c r="G1682" s="30" t="str">
        <x:v>CL0012</x:v>
      </x:c>
      <x:c r="H1682" s="32" t="n">
        <x:f>COUNTIF($G$5:$G$1725,G1682)</x:f>
        <x:v>12</x:v>
      </x:c>
      <x:c r="I1682" s="30" t="str">
        <x:v>A22</x:v>
      </x:c>
      <x:c r="J1682" s="31" t="str">
        <x:v>how to pull EV/EBITDA from capiq? | EV: market cap use which one? Diluted market cap? Total market cap? Floating market caps | Where to find each part of EV/ EBITDA breakdown from capiq</x:v>
      </x:c>
    </x:row>
    <x:row r="1683" ht="32" customHeight="1">
      <x:c r="A1683" s="30" t="str">
        <x:v>QB2911</x:v>
      </x:c>
      <x:c r="B1683" s="30" t="str">
        <x:v>Warburg Pincus</x:v>
      </x:c>
      <x:c r="C1683" s="30" t="str">
        <x:v>PE / VC / Other</x:v>
      </x:c>
      <x:c r="D1683" s="31" t="str">
        <x:v>Why no return from UBS?</x:v>
      </x:c>
      <x:c r="E1683" s="31" t="str">
        <x:v>Why no return from UBS</x:v>
      </x:c>
      <x:c r="F1683" s="31" t="str">
        <x:v>Fit &amp; Motivation</x:v>
      </x:c>
      <x:c r="G1683" s="30" t="str">
        <x:v>CL1153</x:v>
      </x:c>
      <x:c r="H1683" s="32" t="n">
        <x:f>COUNTIF($G$5:$G$1725,G1683)</x:f>
        <x:v>1</x:v>
      </x:c>
      <x:c r="I1683" s="30" t="str">
        <x:v>A2</x:v>
      </x:c>
      <x:c r="J1683" s="31" t="str">
        <x:v>2025 offcycle FIG</x:v>
      </x:c>
    </x:row>
    <x:row r="1684" ht="32" customHeight="1">
      <x:c r="A1684" s="30" t="str">
        <x:v>QB2912</x:v>
      </x:c>
      <x:c r="B1684" s="30" t="str">
        <x:v>Warburg Pincus</x:v>
      </x:c>
      <x:c r="C1684" s="30" t="str">
        <x:v>PE / VC / Other</x:v>
      </x:c>
      <x:c r="D1684" s="31" t="str">
        <x:v>What were people's background of intern batch mates in UBS?</x:v>
      </x:c>
      <x:c r="E1684" s="31" t="str">
        <x:v>What were people's background of intern batch mates in UBS</x:v>
      </x:c>
      <x:c r="F1684" s="31" t="str">
        <x:v>Resume &amp; Experience</x:v>
      </x:c>
      <x:c r="G1684" s="30" t="str">
        <x:v>CL1037</x:v>
      </x:c>
      <x:c r="H1684" s="32" t="n">
        <x:f>COUNTIF($G$5:$G$1725,G1684)</x:f>
        <x:v>1</x:v>
      </x:c>
      <x:c r="I1684" s="30" t="str">
        <x:v>A3</x:v>
      </x:c>
      <x:c r="J1684" s="31" t="str">
        <x:v>2025 offcycle FIG | Why no return from UBS?</x:v>
      </x:c>
    </x:row>
    <x:row r="1685" ht="48" customHeight="1">
      <x:c r="A1685" s="30" t="str">
        <x:v>QB2913</x:v>
      </x:c>
      <x:c r="B1685" s="30" t="str">
        <x:v>Warburg Pincus</x:v>
      </x:c>
      <x:c r="C1685" s="30" t="str">
        <x:v>PE / VC / Other</x:v>
      </x:c>
      <x:c r="D1685" s="31" t="str">
        <x:v>Describe responsibilities of the FIG deal, investment highlights, valuation multiples</x:v>
      </x:c>
      <x:c r="E1685" s="31" t="str">
        <x:v>Describe responsibilities of the FIG deal, investment highlights, valuation multiples</x:v>
      </x:c>
      <x:c r="F1685" s="31" t="str">
        <x:v>Resume &amp; Experience</x:v>
      </x:c>
      <x:c r="G1685" s="30" t="str">
        <x:v>CL0232</x:v>
      </x:c>
      <x:c r="H1685" s="32" t="n">
        <x:f>COUNTIF($G$5:$G$1725,G1685)</x:f>
        <x:v>1</x:v>
      </x:c>
      <x:c r="I1685" s="30" t="str">
        <x:v>A4</x:v>
      </x:c>
      <x:c r="J1685" s="31" t="str">
        <x:v>2025 offcycle FIG | Why no return from UBS? | What were people's background of intern batch mates in UBS?</x:v>
      </x:c>
    </x:row>
    <x:row r="1686" ht="68" customHeight="1">
      <x:c r="A1686" s="30" t="str">
        <x:v>QB2914</x:v>
      </x:c>
      <x:c r="B1686" s="30" t="str">
        <x:v>Warburg Pincus</x:v>
      </x:c>
      <x:c r="C1686" s="30" t="str">
        <x:v>PE / VC / Other</x:v>
      </x:c>
      <x:c r="D1686" s="31" t="str">
        <x:v>Is there anything you think you have done well in UBS but not recognized?</x:v>
      </x:c>
      <x:c r="E1686" s="31" t="str">
        <x:v>Is there anything you think you have done well in UBS but not recognized</x:v>
      </x:c>
      <x:c r="F1686" s="31" t="str">
        <x:v>Accounting &amp; Financial Statements</x:v>
      </x:c>
      <x:c r="G1686" s="30" t="str">
        <x:v>CL0562</x:v>
      </x:c>
      <x:c r="H1686" s="32" t="n">
        <x:f>COUNTIF($G$5:$G$1725,G1686)</x:f>
        <x:v>1</x:v>
      </x:c>
      <x:c r="I1686" s="30" t="str">
        <x:v>A5</x:v>
      </x:c>
      <x:c r="J1686" s="31" t="str">
        <x:v>Why no return from UBS? | What were people's background of intern batch mates in UBS? | Describe responsibilities of the FIG deal, investment highlights, valuation multiples</x:v>
      </x:c>
    </x:row>
    <x:row r="1687" ht="68" customHeight="1">
      <x:c r="A1687" s="30" t="str">
        <x:v>QB2915</x:v>
      </x:c>
      <x:c r="B1687" s="30" t="str">
        <x:v>Warburg Pincus</x:v>
      </x:c>
      <x:c r="C1687" s="30" t="str">
        <x:v>PE / VC / Other</x:v>
      </x:c>
      <x:c r="D1687" s="31" t="str">
        <x:v>What kind of technical skills you think you lack in UBS?</x:v>
      </x:c>
      <x:c r="E1687" s="31" t="str">
        <x:v>What kind of technical skills you think you lack in UBS</x:v>
      </x:c>
      <x:c r="F1687" s="31" t="str">
        <x:v>Other Technical</x:v>
      </x:c>
      <x:c r="G1687" s="30" t="str">
        <x:v>CL1008</x:v>
      </x:c>
      <x:c r="H1687" s="32" t="n">
        <x:f>COUNTIF($G$5:$G$1725,G1687)</x:f>
        <x:v>1</x:v>
      </x:c>
      <x:c r="I1687" s="30" t="str">
        <x:v>A6</x:v>
      </x:c>
      <x:c r="J1687" s="31" t="str">
        <x:v>What were people's background of intern batch mates in UBS? | Describe responsibilities of the FIG deal, investment highlights, valuation multiples | Is there anything you think you have done well in UBS but not recognized?</x:v>
      </x:c>
    </x:row>
    <x:row r="1688" ht="68" customHeight="1">
      <x:c r="A1688" s="30" t="str">
        <x:v>QB2916</x:v>
      </x:c>
      <x:c r="B1688" s="30" t="str">
        <x:v>Warburg Pincus</x:v>
      </x:c>
      <x:c r="C1688" s="30" t="str">
        <x:v>PE / VC / Other</x:v>
      </x:c>
      <x:c r="D1688" s="31" t="str">
        <x:v>Did you network in UBS? How?</x:v>
      </x:c>
      <x:c r="E1688" s="31" t="str">
        <x:v>Did you network in UBS? How</x:v>
      </x:c>
      <x:c r="F1688" s="31" t="str">
        <x:v>Other Question</x:v>
      </x:c>
      <x:c r="G1688" s="30" t="str">
        <x:v>CL0248</x:v>
      </x:c>
      <x:c r="H1688" s="32" t="n">
        <x:f>COUNTIF($G$5:$G$1725,G1688)</x:f>
        <x:v>1</x:v>
      </x:c>
      <x:c r="I1688" s="30" t="str">
        <x:v>A7</x:v>
      </x:c>
      <x:c r="J1688" s="31" t="str">
        <x:v>Describe responsibilities of the FIG deal, investment highlights, valuation multiples | Is there anything you think you have done well in UBS but not recognized? | What kind of technical skills you think you lack in UBS?</x:v>
      </x:c>
    </x:row>
    <x:row r="1689" ht="32" customHeight="1">
      <x:c r="A1689" s="30" t="str">
        <x:v>QB2918</x:v>
      </x:c>
      <x:c r="B1689" s="30" t="str">
        <x:v>IDG Capital</x:v>
      </x:c>
      <x:c r="C1689" s="30" t="str">
        <x:v>PE / VC / Other</x:v>
      </x:c>
      <x:c r="D1689" s="31" t="str">
        <x:v>100 sales, impact on 3 statement</x:v>
      </x:c>
      <x:c r="E1689" s="31" t="str">
        <x:v>100 sales, impact on 3 statement</x:v>
      </x:c>
      <x:c r="F1689" s="31" t="str">
        <x:v>Accounting &amp; Financial Statements</x:v>
      </x:c>
      <x:c r="G1689" s="30" t="str">
        <x:v>CL0064</x:v>
      </x:c>
      <x:c r="H1689" s="32" t="n">
        <x:f>COUNTIF($G$5:$G$1725,G1689)</x:f>
        <x:v>1</x:v>
      </x:c>
      <x:c r="I1689" s="30" t="str">
        <x:v>A2</x:v>
      </x:c>
      <x:c r="J1689" s="31" t="str">
        <x:v>2025 offcycle (Emily)</x:v>
      </x:c>
    </x:row>
    <x:row r="1690" ht="32" customHeight="1">
      <x:c r="A1690" s="30" t="str">
        <x:v>QB2919</x:v>
      </x:c>
      <x:c r="B1690" s="30" t="str">
        <x:v>IDG Capital</x:v>
      </x:c>
      <x:c r="C1690" s="30" t="str">
        <x:v>PE / VC / Other</x:v>
      </x:c>
      <x:c r="D1690" s="31" t="str">
        <x:v>Use which year multiple for exit multiple</x:v>
      </x:c>
      <x:c r="E1690" s="31" t="str">
        <x:v>Use which year multiple for exit multiple</x:v>
      </x:c>
      <x:c r="F1690" s="31" t="str">
        <x:v>Valuation</x:v>
      </x:c>
      <x:c r="G1690" s="30" t="str">
        <x:v>CL0811</x:v>
      </x:c>
      <x:c r="H1690" s="32" t="n">
        <x:f>COUNTIF($G$5:$G$1725,G1690)</x:f>
        <x:v>1</x:v>
      </x:c>
      <x:c r="I1690" s="30" t="str">
        <x:v>A3</x:v>
      </x:c>
      <x:c r="J1690" s="31" t="str">
        <x:v>2025 offcycle (Emily) | 100 sales, impact on 3 statement</x:v>
      </x:c>
    </x:row>
    <x:row r="1691" ht="48" customHeight="1">
      <x:c r="A1691" s="30" t="str">
        <x:v>QB2920</x:v>
      </x:c>
      <x:c r="B1691" s="30" t="str">
        <x:v>IDG Capital</x:v>
      </x:c>
      <x:c r="C1691" s="30" t="str">
        <x:v>PE / VC / Other</x:v>
      </x:c>
      <x:c r="D1691" s="31" t="str">
        <x:v>Source and use table for LBO and M&amp;A</x:v>
      </x:c>
      <x:c r="E1691" s="31" t="str">
        <x:v>Source and use table for LBO and M&amp;A</x:v>
      </x:c>
      <x:c r="F1691" s="31" t="str">
        <x:v>Private Equity &amp; LBO</x:v>
      </x:c>
      <x:c r="G1691" s="30" t="str">
        <x:v>CL0690</x:v>
      </x:c>
      <x:c r="H1691" s="32" t="n">
        <x:f>COUNTIF($G$5:$G$1725,G1691)</x:f>
        <x:v>1</x:v>
      </x:c>
      <x:c r="I1691" s="30" t="str">
        <x:v>A4</x:v>
      </x:c>
      <x:c r="J1691" s="31" t="str">
        <x:v>2025 offcycle (Emily) | 100 sales, impact on 3 statement | Use which year multiple for exit multiple</x:v>
      </x:c>
    </x:row>
    <x:row r="1692" ht="32" customHeight="1">
      <x:c r="A1692" s="30" t="str">
        <x:v>QB2924</x:v>
      </x:c>
      <x:c r="B1692" s="30" t="str">
        <x:v>CDH</x:v>
      </x:c>
      <x:c r="C1692" s="30" t="str">
        <x:v>PE / VC / Other</x:v>
      </x:c>
      <x:c r="D1692" s="31" t="str">
        <x:v>Timeline and planning?</x:v>
      </x:c>
      <x:c r="E1692" s="31" t="str">
        <x:v>Timeline and planning</x:v>
      </x:c>
      <x:c r="F1692" s="31" t="str">
        <x:v>Other Question</x:v>
      </x:c>
      <x:c r="G1692" s="30" t="str">
        <x:v>CL0795</x:v>
      </x:c>
      <x:c r="H1692" s="32" t="n">
        <x:f>COUNTIF($G$5:$G$1725,G1692)</x:f>
        <x:v>1</x:v>
      </x:c>
      <x:c r="I1692" s="30" t="str">
        <x:v>A4</x:v>
      </x:c>
      <x:c r="J1692" s="31" t="str">
        <x:v>2025 Off cycle | 1st round | 3 mins self intro and career goals and why buyside</x:v>
      </x:c>
    </x:row>
    <x:row r="1693" ht="32" customHeight="1">
      <x:c r="A1693" s="30" t="str">
        <x:v>QB2925</x:v>
      </x:c>
      <x:c r="B1693" s="30" t="str">
        <x:v>CDH</x:v>
      </x:c>
      <x:c r="C1693" s="30" t="str">
        <x:v>PE / VC / Other</x:v>
      </x:c>
      <x:c r="D1693" s="31" t="str">
        <x:v>Introduce the UBS deal and what you have done?</x:v>
      </x:c>
      <x:c r="E1693" s="31" t="str">
        <x:v>Introduce the UBS deal and what you have done</x:v>
      </x:c>
      <x:c r="F1693" s="31" t="str">
        <x:v>Company, Industry &amp; Deals</x:v>
      </x:c>
      <x:c r="G1693" s="30" t="str">
        <x:v>CL0551</x:v>
      </x:c>
      <x:c r="H1693" s="32" t="n">
        <x:f>COUNTIF($G$5:$G$1725,G1693)</x:f>
        <x:v>1</x:v>
      </x:c>
      <x:c r="I1693" s="30" t="str">
        <x:v>A5</x:v>
      </x:c>
      <x:c r="J1693" s="31" t="str">
        <x:v>1st round | 3 mins self intro and career goals and why buyside | Timeline and planning?</x:v>
      </x:c>
    </x:row>
    <x:row r="1694" ht="48" customHeight="1">
      <x:c r="A1694" s="30" t="str">
        <x:v>QB2926</x:v>
      </x:c>
      <x:c r="B1694" s="30" t="str">
        <x:v>CDH</x:v>
      </x:c>
      <x:c r="C1694" s="30" t="str">
        <x:v>PE / VC / Other</x:v>
      </x:c>
      <x:c r="D1694" s="31" t="str">
        <x:v>Tell me about the industry</x:v>
      </x:c>
      <x:c r="E1694" s="31" t="str">
        <x:v>Tell me about the industry</x:v>
      </x:c>
      <x:c r="F1694" s="31" t="str">
        <x:v>Company, Industry &amp; Deals</x:v>
      </x:c>
      <x:c r="G1694" s="30" t="str">
        <x:v>CL0742</x:v>
      </x:c>
      <x:c r="H1694" s="32" t="n">
        <x:f>COUNTIF($G$5:$G$1725,G1694)</x:f>
        <x:v>1</x:v>
      </x:c>
      <x:c r="I1694" s="30" t="str">
        <x:v>A6</x:v>
      </x:c>
      <x:c r="J1694" s="31" t="str">
        <x:v>3 mins self intro and career goals and why buyside | Timeline and planning? | Introduce the UBS deal and what you have done?</x:v>
      </x:c>
    </x:row>
    <x:row r="1695" ht="48" customHeight="1">
      <x:c r="A1695" s="30" t="str">
        <x:v>QB2927</x:v>
      </x:c>
      <x:c r="B1695" s="30" t="str">
        <x:v>CDH</x:v>
      </x:c>
      <x:c r="C1695" s="30" t="str">
        <x:v>PE / VC / Other</x:v>
      </x:c>
      <x:c r="D1695" s="31" t="str">
        <x:v>25bn market size, how do you get it?</x:v>
      </x:c>
      <x:c r="E1695" s="31" t="str">
        <x:v>25bn market size, how do you get it</x:v>
      </x:c>
      <x:c r="F1695" s="31" t="str">
        <x:v>Consulting &amp; Case</x:v>
      </x:c>
      <x:c r="G1695" s="30" t="str">
        <x:v>CL0071</x:v>
      </x:c>
      <x:c r="H1695" s="32" t="n">
        <x:f>COUNTIF($G$5:$G$1725,G1695)</x:f>
        <x:v>1</x:v>
      </x:c>
      <x:c r="I1695" s="30" t="str">
        <x:v>A7</x:v>
      </x:c>
      <x:c r="J1695" s="31" t="str">
        <x:v>Timeline and planning? | Introduce the UBS deal and what you have done? | Tell me about the industry</x:v>
      </x:c>
    </x:row>
    <x:row r="1696" ht="48" customHeight="1">
      <x:c r="A1696" s="30" t="str">
        <x:v>QB2928</x:v>
      </x:c>
      <x:c r="B1696" s="30" t="str">
        <x:v>CDH</x:v>
      </x:c>
      <x:c r="C1696" s="30" t="str">
        <x:v>PE / VC / Other</x:v>
      </x:c>
      <x:c r="D1696" s="31" t="str">
        <x:v>How do you forecast revenue of the company? What is the revenue?</x:v>
      </x:c>
      <x:c r="E1696" s="31" t="str">
        <x:v>How do you forecast revenue of the company? What is the revenue</x:v>
      </x:c>
      <x:c r="F1696" s="31" t="str">
        <x:v>Accounting &amp; Financial Statements</x:v>
      </x:c>
      <x:c r="G1696" s="30" t="str">
        <x:v>CL0413</x:v>
      </x:c>
      <x:c r="H1696" s="32" t="n">
        <x:f>COUNTIF($G$5:$G$1725,G1696)</x:f>
        <x:v>1</x:v>
      </x:c>
      <x:c r="I1696" s="30" t="str">
        <x:v>A8</x:v>
      </x:c>
      <x:c r="J1696" s="31" t="str">
        <x:v>Introduce the UBS deal and what you have done? | Tell me about the industry | 25bn market size, how do you get it?</x:v>
      </x:c>
    </x:row>
    <x:row r="1697" ht="48" customHeight="1">
      <x:c r="A1697" s="30" t="str">
        <x:v>QB2929</x:v>
      </x:c>
      <x:c r="B1697" s="30" t="str">
        <x:v>CDH</x:v>
      </x:c>
      <x:c r="C1697" s="30" t="str">
        <x:v>PE / VC / Other</x:v>
      </x:c>
      <x:c r="D1697" s="31" t="str">
        <x:v>What is the company's market position in the industry? (he calculated if 25bn market size in 5 years, now around 10bn, company 1bn revenue, so 10% share wow)</x:v>
      </x:c>
      <x:c r="E1697" s="31" t="str">
        <x:v>What is the company's market position in the industry? (he calculated if 25bn market size in 5 years, now around 10bn, company 1bn revenue, so 10% share wow)</x:v>
      </x:c>
      <x:c r="F1697" s="31" t="str">
        <x:v>Accounting &amp; Financial Statements</x:v>
      </x:c>
      <x:c r="G1697" s="30" t="str">
        <x:v>CL0974</x:v>
      </x:c>
      <x:c r="H1697" s="32" t="n">
        <x:f>COUNTIF($G$5:$G$1725,G1697)</x:f>
        <x:v>1</x:v>
      </x:c>
      <x:c r="I1697" s="30" t="str">
        <x:v>A9</x:v>
      </x:c>
      <x:c r="J1697" s="31" t="str">
        <x:v>Tell me about the industry | 25bn market size, how do you get it? | How do you forecast revenue of the company? What is the revenue?</x:v>
      </x:c>
    </x:row>
    <x:row r="1698" ht="92" customHeight="1">
      <x:c r="A1698" s="30" t="str">
        <x:v>QB2930</x:v>
      </x:c>
      <x:c r="B1698" s="30" t="str">
        <x:v>CDH</x:v>
      </x:c>
      <x:c r="C1698" s="30" t="str">
        <x:v>PE / VC / Other</x:v>
      </x:c>
      <x:c r="D1698" s="31" t="str">
        <x:v>What the key competitive advantage of the company?</x:v>
      </x:c>
      <x:c r="E1698" s="31" t="str">
        <x:v>What the key competitive advantage of the company</x:v>
      </x:c>
      <x:c r="F1698" s="31" t="str">
        <x:v>Company, Industry &amp; Deals</x:v>
      </x:c>
      <x:c r="G1698" s="30" t="str">
        <x:v>CL1032</x:v>
      </x:c>
      <x:c r="H1698" s="32" t="n">
        <x:f>COUNTIF($G$5:$G$1725,G1698)</x:f>
        <x:v>1</x:v>
      </x:c>
      <x:c r="I1698" s="30" t="str">
        <x:v>A10</x:v>
      </x:c>
      <x:c r="J1698" s="31" t="str">
        <x:v>25bn market size, how do you get it? | How do you forecast revenue of the company? What is the revenue? | What is the company's market position in the industry? (he calculated if 25bn market size in 5 years, now around 10bn, company 1bn ...</x:v>
      </x:c>
    </x:row>
    <x:row r="1699" ht="92" customHeight="1">
      <x:c r="A1699" s="30" t="str">
        <x:v>QB2931</x:v>
      </x:c>
      <x:c r="B1699" s="30" t="str">
        <x:v>CDH</x:v>
      </x:c>
      <x:c r="C1699" s="30" t="str">
        <x:v>PE / VC / Other</x:v>
      </x:c>
      <x:c r="D1699" s="31" t="str">
        <x:v>Accounting: $10 deferred interest expense, 3 statement? (not under CFF, but under CFO just non-cash expense add back)</x:v>
      </x:c>
      <x:c r="E1699" s="31" t="str">
        <x:v>Accounting: $10 deferred interest expense, 3 statement? (not under CFF, but under CFO just non-cash expense add back)</x:v>
      </x:c>
      <x:c r="F1699" s="31" t="str">
        <x:v>Accounting &amp; Financial Statements</x:v>
      </x:c>
      <x:c r="G1699" s="30" t="str">
        <x:v>CL0099</x:v>
      </x:c>
      <x:c r="H1699" s="32" t="n">
        <x:f>COUNTIF($G$5:$G$1725,G1699)</x:f>
        <x:v>1</x:v>
      </x:c>
      <x:c r="I1699" s="30" t="str">
        <x:v>A11</x:v>
      </x:c>
      <x:c r="J1699" s="31" t="str">
        <x:v>How do you forecast revenue of the company? What is the revenue? | What is the company's market position in the industry? (he calculated if 25bn market size in 5 years, now around 10bn, company 1bn revenue, so 10% share wow) | What the k...</x:v>
      </x:c>
    </x:row>
    <x:row r="1700" ht="92" customHeight="1">
      <x:c r="A1700" s="30" t="str">
        <x:v>QB2932</x:v>
      </x:c>
      <x:c r="B1700" s="30" t="str">
        <x:v>CDH</x:v>
      </x:c>
      <x:c r="C1700" s="30" t="str">
        <x:v>PE / VC / Other</x:v>
      </x:c>
      <x:c r="D1700" s="31" t="str">
        <x:v>How do you know the person who referred you?</x:v>
      </x:c>
      <x:c r="E1700" s="31" t="str">
        <x:v>How do you know the person who referred you</x:v>
      </x:c>
      <x:c r="F1700" s="31" t="str">
        <x:v>Other Question</x:v>
      </x:c>
      <x:c r="G1700" s="30" t="str">
        <x:v>CL0416</x:v>
      </x:c>
      <x:c r="H1700" s="32" t="n">
        <x:f>COUNTIF($G$5:$G$1725,G1700)</x:f>
        <x:v>1</x:v>
      </x:c>
      <x:c r="I1700" s="30" t="str">
        <x:v>A12</x:v>
      </x:c>
      <x:c r="J1700" s="31" t="str">
        <x:v>What is the company's market position in the industry? (he calculated if 25bn market size in 5 years, now around 10bn, company 1bn revenue, so 10% share wow) | What the key competitive advantage of the company? | Accounting: $10 deferred...</x:v>
      </x:c>
    </x:row>
    <x:row r="1701" ht="32" customHeight="1">
      <x:c r="A1701" s="30" t="str">
        <x:v>QB2935</x:v>
      </x:c>
      <x:c r="B1701" s="30" t="str">
        <x:v>HKEX</x:v>
      </x:c>
      <x:c r="C1701" s="30" t="str">
        <x:v>PE / VC / Other</x:v>
      </x:c>
      <x:c r="D1701" s="31" t="str">
        <x:v>Why HKEX, what are the major income sources of HKEX?</x:v>
      </x:c>
      <x:c r="E1701" s="31" t="str">
        <x:v>Why this firm?</x:v>
      </x:c>
      <x:c r="F1701" s="31" t="str">
        <x:v>Fit &amp; Motivation</x:v>
      </x:c>
      <x:c r="G1701" s="30" t="str">
        <x:v>CL0002</x:v>
      </x:c>
      <x:c r="H1701" s="32" t="n">
        <x:f>COUNTIF($G$5:$G$1725,G1701)</x:f>
        <x:v>39</x:v>
      </x:c>
      <x:c r="I1701" s="30" t="str">
        <x:v>A3</x:v>
      </x:c>
      <x:c r="J1701" s="31" t="str">
        <x:v>2025 HKEX group strategy | 1st round (2 interviewers):</x:v>
      </x:c>
    </x:row>
    <x:row r="1702" ht="48" customHeight="1">
      <x:c r="A1702" s="30" t="str">
        <x:v>QB2936</x:v>
      </x:c>
      <x:c r="B1702" s="30" t="str">
        <x:v>HKEX</x:v>
      </x:c>
      <x:c r="C1702" s="30" t="str">
        <x:v>PE / VC / Other</x:v>
      </x:c>
      <x:c r="D1702" s="31" t="str">
        <x:v>Tell me your understanding of our department, what does group strategy do?</x:v>
      </x:c>
      <x:c r="E1702" s="31" t="str">
        <x:v>Tell me your understanding of our department, what does group strategy do</x:v>
      </x:c>
      <x:c r="F1702" s="31" t="str">
        <x:v>Other Question</x:v>
      </x:c>
      <x:c r="G1702" s="30" t="str">
        <x:v>CL0777</x:v>
      </x:c>
      <x:c r="H1702" s="32" t="n">
        <x:f>COUNTIF($G$5:$G$1725,G1702)</x:f>
        <x:v>1</x:v>
      </x:c>
      <x:c r="I1702" s="30" t="str">
        <x:v>A4</x:v>
      </x:c>
      <x:c r="J1702" s="31" t="str">
        <x:v>2025 HKEX group strategy | 1st round (2 interviewers): | Why HKEX, what are the major income sources of HKEX?</x:v>
      </x:c>
    </x:row>
    <x:row r="1703" ht="68" customHeight="1">
      <x:c r="A1703" s="30" t="str">
        <x:v>QB2938</x:v>
      </x:c>
      <x:c r="B1703" s="30" t="str">
        <x:v>HKEX</x:v>
      </x:c>
      <x:c r="C1703" s="30" t="str">
        <x:v>PE / VC / Other</x:v>
      </x:c>
      <x:c r="D1703" s="31" t="str">
        <x:v>What is the comparative advantage of HKEX?</x:v>
      </x:c>
      <x:c r="E1703" s="31" t="str">
        <x:v>What is the comparative advantage of HKEX</x:v>
      </x:c>
      <x:c r="F1703" s="31" t="str">
        <x:v>Accounting &amp; Financial Statements</x:v>
      </x:c>
      <x:c r="G1703" s="30" t="str">
        <x:v>CL0975</x:v>
      </x:c>
      <x:c r="H1703" s="32" t="n">
        <x:f>COUNTIF($G$5:$G$1725,G1703)</x:f>
        <x:v>1</x:v>
      </x:c>
      <x:c r="I1703" s="30" t="str">
        <x:v>A6</x:v>
      </x:c>
      <x:c r="J1703" s="31" t="str">
        <x:v>Why HKEX, what are the major income sources of HKEX? | Tell me your understanding of our department, what does group strategy do? | CV questions (mainly about your contribution, instead of modeling kind of stuff)</x:v>
      </x:c>
    </x:row>
    <x:row r="1704" ht="92" customHeight="1">
      <x:c r="A1704" s="30" t="str">
        <x:v>QB2942</x:v>
      </x:c>
      <x:c r="B1704" s="30" t="str">
        <x:v>HKEX</x:v>
      </x:c>
      <x:c r="C1704" s="30" t="str">
        <x:v>PE / VC / Other</x:v>
      </x:c>
      <x:c r="D1704" s="31" t="str">
        <x:v>How well do you know about HKEX and this department?</x:v>
      </x:c>
      <x:c r="E1704" s="31" t="str">
        <x:v>How well do you know about HKEX and this department</x:v>
      </x:c>
      <x:c r="F1704" s="31" t="str">
        <x:v>Company, Industry &amp; Deals</x:v>
      </x:c>
      <x:c r="G1704" s="30" t="str">
        <x:v>CL0488</x:v>
      </x:c>
      <x:c r="H1704" s="32" t="n">
        <x:f>COUNTIF($G$5:$G$1725,G1704)</x:f>
        <x:v>1</x:v>
      </x:c>
      <x:c r="I1704" s="30" t="str">
        <x:v>A11</x:v>
      </x:c>
      <x:c r="J1704" s="31" t="str">
        <x:v>Propose a strategy for HKEX, give a 1min presentation to illustrate your idea, what are the critical components in a thorough strategy (you may consider background information, macroeconomics… and don’t forget risks) | 2nd round (1 manag...</x:v>
      </x:c>
    </x:row>
    <x:row r="1705" ht="48" customHeight="1">
      <x:c r="A1705" s="30" t="str">
        <x:v>QB2943</x:v>
      </x:c>
      <x:c r="B1705" s="30" t="str">
        <x:v>HKEX</x:v>
      </x:c>
      <x:c r="C1705" s="30" t="str">
        <x:v>PE / VC / Other</x:v>
      </x:c>
      <x:c r="D1705" s="31" t="str">
        <x:v>What is the recent development of HKEX?</x:v>
      </x:c>
      <x:c r="E1705" s="31" t="str">
        <x:v>What is the recent development of HKEX</x:v>
      </x:c>
      <x:c r="F1705" s="31" t="str">
        <x:v>Accounting &amp; Financial Statements</x:v>
      </x:c>
      <x:c r="G1705" s="30" t="str">
        <x:v>CL0992</x:v>
      </x:c>
      <x:c r="H1705" s="32" t="n">
        <x:f>COUNTIF($G$5:$G$1725,G1705)</x:f>
        <x:v>1</x:v>
      </x:c>
      <x:c r="I1705" s="30" t="str">
        <x:v>A12</x:v>
      </x:c>
      <x:c r="J1705" s="31" t="str">
        <x:v>2nd round (1 manager): | One of the heads of group strategy is English, so be prepared for English accent | How well do you know about HKEX and this department?</x:v>
      </x:c>
    </x:row>
    <x:row r="1706" ht="68" customHeight="1">
      <x:c r="A1706" s="30" t="str">
        <x:v>QB2944</x:v>
      </x:c>
      <x:c r="B1706" s="30" t="str">
        <x:v>HKEX</x:v>
      </x:c>
      <x:c r="C1706" s="30" t="str">
        <x:v>PE / VC / Other</x:v>
      </x:c>
      <x:c r="D1706" s="31" t="str">
        <x:v>What would you recommend HKEX to do in the future (you may consider policies, fintech integration, Southeast Asian market etc.)</x:v>
      </x:c>
      <x:c r="E1706" s="31" t="str">
        <x:v>What would you recommend HKEX to do in the future (you may consider policies, fintech integration, Southeast Asian market etc.)</x:v>
      </x:c>
      <x:c r="F1706" s="31" t="str">
        <x:v>Company, Industry &amp; Deals</x:v>
      </x:c>
      <x:c r="G1706" s="30" t="str">
        <x:v>CL1040</x:v>
      </x:c>
      <x:c r="H1706" s="32" t="n">
        <x:f>COUNTIF($G$5:$G$1725,G1706)</x:f>
        <x:v>1</x:v>
      </x:c>
      <x:c r="I1706" s="30" t="str">
        <x:v>A13</x:v>
      </x:c>
      <x:c r="J1706" s="31" t="str">
        <x:v>One of the heads of group strategy is English, so be prepared for English accent | How well do you know about HKEX and this department? | What is the recent development of HKEX?</x:v>
      </x:c>
    </x:row>
    <x:row r="1707" ht="68" customHeight="1">
      <x:c r="A1707" s="30" t="str">
        <x:v>QB2945</x:v>
      </x:c>
      <x:c r="B1707" s="30" t="str">
        <x:v>HKEX</x:v>
      </x:c>
      <x:c r="C1707" s="30" t="str">
        <x:v>PE / VC / Other</x:v>
      </x:c>
      <x:c r="D1707" s="31" t="str">
        <x:v>What are the differences between HKEX, SSE, SZSE, NASDAQ, NYSE in terms of their scope of business, pros and cons. Why would a company choose HKEX? (consider not only listing, but also the derivative market, preferences of different industries)</x:v>
      </x:c>
      <x:c r="E1707" s="31" t="str">
        <x:v>What are the differences between HKEX, SSE, SZSE, NASDAQ, NYSE in terms of their scope of business, pros and cons. Why would a company choose HKEX? (consider not only listing, but also the derivative market, preferences of different industries)</x:v>
      </x:c>
      <x:c r="F1707" s="31" t="str">
        <x:v>Fit &amp; Motivation</x:v>
      </x:c>
      <x:c r="G1707" s="30" t="str">
        <x:v>CL0878</x:v>
      </x:c>
      <x:c r="H1707" s="32" t="n">
        <x:f>COUNTIF($G$5:$G$1725,G1707)</x:f>
        <x:v>1</x:v>
      </x:c>
      <x:c r="I1707" s="30" t="str">
        <x:v>A14</x:v>
      </x:c>
      <x:c r="J1707" s="31" t="str">
        <x:v>How well do you know about HKEX and this department? | What is the recent development of HKEX? | What would you recommend HKEX to do in the future (you may consider policies, fintech integration, Southeast Asian market etc.)</x:v>
      </x:c>
    </x:row>
    <x:row r="1708" ht="118" customHeight="1">
      <x:c r="A1708" s="30" t="str">
        <x:v>QB2946</x:v>
      </x:c>
      <x:c r="B1708" s="30" t="str">
        <x:v>HKEX</x:v>
      </x:c>
      <x:c r="C1708" s="30" t="str">
        <x:v>PE / VC / Other</x:v>
      </x:c>
      <x:c r="D1708" s="31" t="str">
        <x:v>Tell me about a recent news event and your understanding of its impact on HKEX.</x:v>
      </x:c>
      <x:c r="E1708" s="31" t="str">
        <x:v>Tell me about a recent news event and your understanding of its impact on HKEX</x:v>
      </x:c>
      <x:c r="F1708" s="31" t="str">
        <x:v>Company, Industry &amp; Deals</x:v>
      </x:c>
      <x:c r="G1708" s="30" t="str">
        <x:v>CL0726</x:v>
      </x:c>
      <x:c r="H1708" s="32" t="n">
        <x:f>COUNTIF($G$5:$G$1725,G1708)</x:f>
        <x:v>1</x:v>
      </x:c>
      <x:c r="I1708" s="30" t="str">
        <x:v>A15</x:v>
      </x:c>
      <x:c r="J1708" s="31" t="str">
        <x:v>What is the recent development of HKEX? | What would you recommend HKEX to do in the future (you may consider policies, fintech integration, Southeast Asian market etc.) | What are the differences between HKEX, SSE, SZSE, NASDAQ, NYSE in...</x:v>
      </x:c>
    </x:row>
    <x:row r="1709" ht="118" customHeight="1">
      <x:c r="A1709" s="30" t="str">
        <x:v>QB2947</x:v>
      </x:c>
      <x:c r="B1709" s="30" t="str">
        <x:v>HKEX</x:v>
      </x:c>
      <x:c r="C1709" s="30" t="str">
        <x:v>PE / VC / Other</x:v>
      </x:c>
      <x:c r="D1709" s="31" t="str">
        <x:v>Notes: HKEX’s website is very informative, look up as much information as you can before the interview, show your familiarity with the company to the interviewers</x:v>
      </x:c>
      <x:c r="E1709" s="31" t="str">
        <x:v>Notes: HKEX’s website is very informative, look up as much information as you can before the interview, show your familiarity with the company to the interviewers</x:v>
      </x:c>
      <x:c r="F1709" s="31" t="str">
        <x:v>Accounting &amp; Financial Statements</x:v>
      </x:c>
      <x:c r="G1709" s="30" t="str">
        <x:v>CL0621</x:v>
      </x:c>
      <x:c r="H1709" s="32" t="n">
        <x:f>COUNTIF($G$5:$G$1725,G1709)</x:f>
        <x:v>1</x:v>
      </x:c>
      <x:c r="I1709" s="30" t="str">
        <x:v>A17</x:v>
      </x:c>
      <x:c r="J1709" s="31" t="str">
        <x:v>What would you recommend HKEX to do in the future (you may consider policies, fintech integration, Southeast Asian market etc.) | What are the differences between HKEX, SSE, SZSE, NASDAQ, NYSE in terms of their scope of business, pros an...</x:v>
      </x:c>
    </x:row>
    <x:row r="1710" ht="92" customHeight="1">
      <x:c r="A1710" s="30" t="str">
        <x:v>QB2950</x:v>
      </x:c>
      <x:c r="B1710" s="30" t="str">
        <x:v>HKEX</x:v>
      </x:c>
      <x:c r="C1710" s="30" t="str">
        <x:v>PE / VC / Other</x:v>
      </x:c>
      <x:c r="D1710" s="31" t="str">
        <x:v>Asked about my view on HK IPOs, as I wrote about A1 filings in my current experience</x:v>
      </x:c>
      <x:c r="E1710" s="31" t="str">
        <x:v>Asked about my view on HK IPOs, as I wrote about A1 filings in my current experience</x:v>
      </x:c>
      <x:c r="F1710" s="31" t="str">
        <x:v>Resume &amp; Experience</x:v>
      </x:c>
      <x:c r="G1710" s="30" t="str">
        <x:v>CL0144</x:v>
      </x:c>
      <x:c r="H1710" s="32" t="n">
        <x:f>COUNTIF($G$5:$G$1725,G1710)</x:f>
        <x:v>1</x:v>
      </x:c>
      <x:c r="I1710" s="30" t="str">
        <x:v>A22</x:v>
      </x:c>
      <x:c r="J1710" s="31" t="str">
        <x:v>Notes: HKEX’s website is very informative, look up as much information as you can before the interview, show your familiarity with the company to the interviewers | 2026 HKEX global client development - Anna | Had only one round intervie...</x:v>
      </x:c>
    </x:row>
    <x:row r="1711" ht="68" customHeight="1">
      <x:c r="A1711" s="30" t="str">
        <x:v>QB2956</x:v>
      </x:c>
      <x:c r="B1711" s="30" t="str">
        <x:v>JPM Payment</x:v>
      </x:c>
      <x:c r="C1711" s="30" t="str">
        <x:v>PE / VC / Other</x:v>
      </x:c>
      <x:c r="D1711" s="31" t="str">
        <x:v>Motivation Qs: why payment?</x:v>
      </x:c>
      <x:c r="E1711" s="31" t="str">
        <x:v>Motivation Qs: why payment</x:v>
      </x:c>
      <x:c r="F1711" s="31" t="str">
        <x:v>Fit &amp; Motivation</x:v>
      </x:c>
      <x:c r="G1711" s="30" t="str">
        <x:v>CL0610</x:v>
      </x:c>
      <x:c r="H1711" s="32" t="n">
        <x:f>COUNTIF($G$5:$G$1725,G1711)</x:f>
        <x:v>1</x:v>
      </x:c>
      <x:c r="I1711" s="30" t="str">
        <x:v>A4</x:v>
      </x:c>
      <x:c r="J1711" s="31" t="str">
        <x:v>2026 SA JPM Payment (Veronica) | First Round with 2 VPs | Several behaviroual Qs with follow-ups (Complex task, group work quality not good, something against your value, working styles with different ppl)</x:v>
      </x:c>
    </x:row>
    <x:row r="1712" ht="68" customHeight="1">
      <x:c r="A1712" s="30" t="str">
        <x:v>QB2962</x:v>
      </x:c>
      <x:c r="B1712" s="30" t="str">
        <x:v>JPM Payment</x:v>
      </x:c>
      <x:c r="C1712" s="30" t="str">
        <x:v>PE / VC / Other</x:v>
      </x:c>
      <x:c r="D1712" s="31" t="str">
        <x:v>can pm me for more details if interested</x:v>
      </x:c>
      <x:c r="E1712" s="31" t="str">
        <x:v>Can pm me for more details if interested</x:v>
      </x:c>
      <x:c r="F1712" s="31" t="str">
        <x:v>Other Question</x:v>
      </x:c>
      <x:c r="G1712" s="30" t="str">
        <x:v>CL0184</x:v>
      </x:c>
      <x:c r="H1712" s="32" t="n">
        <x:f>COUNTIF($G$5:$G$1725,G1712)</x:f>
        <x:v>1</x:v>
      </x:c>
      <x:c r="I1712" s="30" t="str">
        <x:v>A11</x:v>
      </x:c>
      <x:c r="J1712" s="31" t="str">
        <x:v>onsite half-day superday with case study, group discussion, individual interviews with Directors, networking lunch session | 10 candidates in total, split into 2 groups | case study: knowledge on payment &amp; payment products, fintech</x:v>
      </x:c>
    </x:row>
    <x:row r="1713" ht="32" customHeight="1">
      <x:c r="A1713" s="30" t="str">
        <x:v>QB2965</x:v>
      </x:c>
      <x:c r="B1713" s="30" t="str">
        <x:v>HSBC CMB</x:v>
      </x:c>
      <x:c r="C1713" s="30" t="str">
        <x:v>PE / VC / Other</x:v>
      </x:c>
      <x:c r="D1713" s="31" t="str">
        <x:v>Do you speak catonese</x:v>
      </x:c>
      <x:c r="E1713" s="31" t="str">
        <x:v>Do you speak catonese</x:v>
      </x:c>
      <x:c r="F1713" s="31" t="str">
        <x:v>Other Question</x:v>
      </x:c>
      <x:c r="G1713" s="30" t="str">
        <x:v>CL0289</x:v>
      </x:c>
      <x:c r="H1713" s="32" t="n">
        <x:f>COUNTIF($G$5:$G$1725,G1713)</x:f>
        <x:v>1</x:v>
      </x:c>
      <x:c r="I1713" s="30" t="str">
        <x:v>A3</x:v>
      </x:c>
      <x:c r="J1713" s="31" t="str">
        <x:v>HSBC CMB large coporate client coverage team | Jim</x:v>
      </x:c>
    </x:row>
    <x:row r="1714" ht="32" customHeight="1">
      <x:c r="A1714" s="30" t="str">
        <x:v>QB2968</x:v>
      </x:c>
      <x:c r="B1714" s="30" t="str">
        <x:v>HSBC CMB</x:v>
      </x:c>
      <x:c r="C1714" s="30" t="str">
        <x:v>PE / VC / Other</x:v>
      </x:c>
      <x:c r="D1714" s="31" t="str">
        <x:v>What advantage could you bring to our team</x:v>
      </x:c>
      <x:c r="E1714" s="31" t="str">
        <x:v>What advantage could you bring to our team</x:v>
      </x:c>
      <x:c r="F1714" s="31" t="str">
        <x:v>Other Question</x:v>
      </x:c>
      <x:c r="G1714" s="30" t="str">
        <x:v>CL0858</x:v>
      </x:c>
      <x:c r="H1714" s="32" t="n">
        <x:f>COUNTIF($G$5:$G$1725,G1714)</x:f>
        <x:v>1</x:v>
      </x:c>
      <x:c r="I1714" s="30" t="str">
        <x:v>A5</x:v>
      </x:c>
      <x:c r="J1714" s="31" t="str">
        <x:v>Jim | Do you speak catonese | Specific products of HSBC CMB</x:v>
      </x:c>
    </x:row>
    <x:row r="1715" ht="32" customHeight="1">
      <x:c r="A1715" s="30" t="str">
        <x:v>QB2969</x:v>
      </x:c>
      <x:c r="B1715" s="30" t="str">
        <x:v>HSBC CMB</x:v>
      </x:c>
      <x:c r="C1715" s="30" t="str">
        <x:v>PE / VC / Other</x:v>
      </x:c>
      <x:c r="D1715" s="31" t="str">
        <x:v>Soft quality like team work is prefered, rather than some hard skills</x:v>
      </x:c>
      <x:c r="E1715" s="31" t="str">
        <x:v>Soft quality like team work is prefered, rather than some hard skills</x:v>
      </x:c>
      <x:c r="F1715" s="31" t="str">
        <x:v>Fit &amp; Motivation</x:v>
      </x:c>
      <x:c r="G1715" s="30" t="str">
        <x:v>CL0687</x:v>
      </x:c>
      <x:c r="H1715" s="32" t="n">
        <x:f>COUNTIF($G$5:$G$1725,G1715)</x:f>
        <x:v>1</x:v>
      </x:c>
      <x:c r="I1715" s="30" t="str">
        <x:v>D5</x:v>
      </x:c>
      <x:c r="J1715" s="31" t="str"/>
    </x:row>
    <x:row r="1716" ht="48" customHeight="1">
      <x:c r="A1716" s="30" t="str">
        <x:v>QB2973</x:v>
      </x:c>
      <x:c r="B1716" s="30" t="str">
        <x:v>HSBC CMB</x:v>
      </x:c>
      <x:c r="C1716" s="30" t="str">
        <x:v>PE / VC / Other</x:v>
      </x:c>
      <x:c r="D1716" s="31" t="str">
        <x:v>How to use AI</x:v>
      </x:c>
      <x:c r="E1716" s="31" t="str">
        <x:v>How to use AI</x:v>
      </x:c>
      <x:c r="F1716" s="31" t="str">
        <x:v>Other Question</x:v>
      </x:c>
      <x:c r="G1716" s="30" t="str">
        <x:v>CL0483</x:v>
      </x:c>
      <x:c r="H1716" s="32" t="n">
        <x:f>COUNTIF($G$5:$G$1725,G1716)</x:f>
        <x:v>1</x:v>
      </x:c>
      <x:c r="I1716" s="30" t="str">
        <x:v>A9</x:v>
      </x:c>
      <x:c r="J1716" s="31" t="str">
        <x:v>You are an AMPB student but why do u want to work in CMB | market news | Methodology of Market Research</x:v>
      </x:c>
    </x:row>
    <x:row r="1717" ht="32" customHeight="1">
      <x:c r="A1717" s="30" t="str">
        <x:v>QB2981</x:v>
      </x:c>
      <x:c r="B1717" s="30" t="str">
        <x:v>Mindworks Capital</x:v>
      </x:c>
      <x:c r="C1717" s="30" t="str">
        <x:v>PE / VC / Other</x:v>
      </x:c>
      <x:c r="D1717" s="31" t="str">
        <x:v>Why Mindworks</x:v>
      </x:c>
      <x:c r="E1717" s="31" t="str">
        <x:v>Why this firm?</x:v>
      </x:c>
      <x:c r="F1717" s="31" t="str">
        <x:v>Fit &amp; Motivation</x:v>
      </x:c>
      <x:c r="G1717" s="30" t="str">
        <x:v>CL0002</x:v>
      </x:c>
      <x:c r="H1717" s="32" t="n">
        <x:f>COUNTIF($G$5:$G$1725,G1717)</x:f>
        <x:v>39</x:v>
      </x:c>
      <x:c r="I1717" s="30" t="str">
        <x:v>A4</x:v>
      </x:c>
      <x:c r="J1717" s="31" t="str">
        <x:v>Jim | 千万不要轻敌 | 学院面试</x:v>
      </x:c>
    </x:row>
    <x:row r="1718" ht="32" customHeight="1">
      <x:c r="A1718" s="30" t="str">
        <x:v>QB2982</x:v>
      </x:c>
      <x:c r="B1718" s="30" t="str">
        <x:v>Mindworks Capital</x:v>
      </x:c>
      <x:c r="C1718" s="30" t="str">
        <x:v>PE / VC / Other</x:v>
      </x:c>
      <x:c r="D1718" s="31" t="str">
        <x:v>Pitch me a company</x:v>
      </x:c>
      <x:c r="E1718" s="31" t="str">
        <x:v>Pitch me a company</x:v>
      </x:c>
      <x:c r="F1718" s="31" t="str">
        <x:v>Investment Pitch</x:v>
      </x:c>
      <x:c r="G1718" s="30" t="str">
        <x:v>CL0633</x:v>
      </x:c>
      <x:c r="H1718" s="32" t="n">
        <x:f>COUNTIF($G$5:$G$1725,G1718)</x:f>
        <x:v>1</x:v>
      </x:c>
      <x:c r="I1718" s="30" t="str">
        <x:v>C4</x:v>
      </x:c>
      <x:c r="J1718" s="31" t="str">
        <x:v>Analyst interview</x:v>
      </x:c>
    </x:row>
    <x:row r="1719" ht="48" customHeight="1">
      <x:c r="A1719" s="30" t="str">
        <x:v>QB2983</x:v>
      </x:c>
      <x:c r="B1719" s="30" t="str">
        <x:v>Mindworks Capital</x:v>
      </x:c>
      <x:c r="C1719" s="30" t="str">
        <x:v>PE / VC / Other</x:v>
      </x:c>
      <x:c r="D1719" s="31" t="str">
        <x:v>Two super long market sizing questions, 5 minutes for thinking and calculation and then present it</x:v>
      </x:c>
      <x:c r="E1719" s="31" t="str">
        <x:v>Two super long market sizing questions, 5 minutes for thinking and calculation and then present it</x:v>
      </x:c>
      <x:c r="F1719" s="31" t="str">
        <x:v>Consulting &amp; Case</x:v>
      </x:c>
      <x:c r="G1719" s="30" t="str">
        <x:v>CL0806</x:v>
      </x:c>
      <x:c r="H1719" s="32" t="n">
        <x:f>COUNTIF($G$5:$G$1725,G1719)</x:f>
        <x:v>1</x:v>
      </x:c>
      <x:c r="I1719" s="30" t="str">
        <x:v>E4</x:v>
      </x:c>
      <x:c r="J1719" s="31" t="str">
        <x:v>Really hard | Technical interview</x:v>
      </x:c>
    </x:row>
    <x:row r="1720" ht="32" customHeight="1">
      <x:c r="A1720" s="30" t="str">
        <x:v>QB2985</x:v>
      </x:c>
      <x:c r="B1720" s="30" t="str">
        <x:v>Mindworks Capital</x:v>
      </x:c>
      <x:c r="C1720" s="30" t="str">
        <x:v>PE / VC / Other</x:v>
      </x:c>
      <x:c r="D1720" s="31" t="str">
        <x:v>some basic market sizing questions</x:v>
      </x:c>
      <x:c r="E1720" s="31" t="str">
        <x:v>Some basic market sizing questions</x:v>
      </x:c>
      <x:c r="F1720" s="31" t="str">
        <x:v>Consulting &amp; Case</x:v>
      </x:c>
      <x:c r="G1720" s="30" t="str">
        <x:v>CL0688</x:v>
      </x:c>
      <x:c r="H1720" s="32" t="n">
        <x:f>COUNTIF($G$5:$G$1725,G1720)</x:f>
        <x:v>1</x:v>
      </x:c>
      <x:c r="I1720" s="30" t="str">
        <x:v>C5</x:v>
      </x:c>
      <x:c r="J1720" s="31" t="str">
        <x:v>Analyst interview | Pitch me a company</x:v>
      </x:c>
    </x:row>
    <x:row r="1721" ht="68" customHeight="1">
      <x:c r="A1721" s="30" t="str">
        <x:v>QB2986</x:v>
      </x:c>
      <x:c r="B1721" s="30" t="str">
        <x:v>Mindworks Capital</x:v>
      </x:c>
      <x:c r="C1721" s="30" t="str">
        <x:v>PE / VC / Other</x:v>
      </x:c>
      <x:c r="D1721" s="31" t="str">
        <x:v>A super super long company pitch material for u to read, use 15 minutes to analyze this company, and calculate some unit economies and VC-focus accouting. Use 15 minutes to present your investment thesis.</x:v>
      </x:c>
      <x:c r="E1721" s="31" t="str">
        <x:v>A super super long company pitch material for u to read, use 15 minutes to analyze this company, and calculate some unit economies and VC-focus accouting. Use 15 minutes to present your investment thesis</x:v>
      </x:c>
      <x:c r="F1721" s="31" t="str">
        <x:v>Investment Pitch</x:v>
      </x:c>
      <x:c r="G1721" s="30" t="str">
        <x:v>CL0092</x:v>
      </x:c>
      <x:c r="H1721" s="32" t="n">
        <x:f>COUNTIF($G$5:$G$1725,G1721)</x:f>
        <x:v>1</x:v>
      </x:c>
      <x:c r="I1721" s="30" t="str">
        <x:v>E5</x:v>
      </x:c>
      <x:c r="J1721" s="31" t="str">
        <x:v>Really hard | Technical interview | Two super long market sizing questions, 5 minutes for thinking and calculation and then present it</x:v>
      </x:c>
    </x:row>
    <x:row r="1722" ht="32" customHeight="1">
      <x:c r="A1722" s="30" t="str">
        <x:v>QB2987</x:v>
      </x:c>
      <x:c r="B1722" s="30" t="str">
        <x:v>Mindworks Capital</x:v>
      </x:c>
      <x:c r="C1722" s="30" t="str">
        <x:v>PE / VC / Other</x:v>
      </x:c>
      <x:c r="D1722" s="31" t="str">
        <x:v>What did u do in previous internship</x:v>
      </x:c>
      <x:c r="E1722" s="31" t="str">
        <x:v>What did u do in previous internship</x:v>
      </x:c>
      <x:c r="F1722" s="31" t="str">
        <x:v>Resume &amp; Experience</x:v>
      </x:c>
      <x:c r="G1722" s="30" t="str">
        <x:v>CL0894</x:v>
      </x:c>
      <x:c r="H1722" s="32" t="n">
        <x:f>COUNTIF($G$5:$G$1725,G1722)</x:f>
        <x:v>1</x:v>
      </x:c>
      <x:c r="I1722" s="30" t="str">
        <x:v>A6</x:v>
      </x:c>
      <x:c r="J1722" s="31" t="str">
        <x:v>学院面试 | Why Mindworks | Understanding of VC</x:v>
      </x:c>
    </x:row>
    <x:row r="1723" ht="32" customHeight="1">
      <x:c r="A1723" s="30" t="str">
        <x:v>QB2996</x:v>
      </x:c>
      <x:c r="B1723" s="30" t="str">
        <x:v>Mindworks Capital</x:v>
      </x:c>
      <x:c r="C1723" s="30" t="str">
        <x:v>PE / VC / Other</x:v>
      </x:c>
      <x:c r="D1723" s="31" t="str">
        <x:v>如何看某个行业</x:v>
      </x:c>
      <x:c r="E1723" s="31" t="str">
        <x:v>如何看某个行业</x:v>
      </x:c>
      <x:c r="F1723" s="31" t="str">
        <x:v>Other Question</x:v>
      </x:c>
      <x:c r="G1723" s="30" t="str">
        <x:v>CL1237</x:v>
      </x:c>
      <x:c r="H1723" s="32" t="n">
        <x:f>COUNTIF($G$5:$G$1725,G1723)</x:f>
        <x:v>1</x:v>
      </x:c>
      <x:c r="I1723" s="30" t="str">
        <x:v>A14</x:v>
      </x:c>
      <x:c r="J1723" s="31" t="str">
        <x:v>要特别了解他们的portfolio，你最感兴趣哪一个，最差的是哪一个，最好的是哪一个，为什么 | 给你1000万美元要如何投资 | 会问你之前研究过的公司，投资逻辑是什么</x:v>
      </x:c>
    </x:row>
    <x:row r="1724" ht="32" customHeight="1">
      <x:c r="A1724" s="30" t="str">
        <x:v>QB3002</x:v>
      </x:c>
      <x:c r="B1724" s="30" t="str">
        <x:v>Mindworks Capital</x:v>
      </x:c>
      <x:c r="C1724" s="30" t="str">
        <x:v>PE / VC / Other</x:v>
      </x:c>
      <x:c r="D1724" s="31" t="str">
        <x:v>如何看待AI对行业的影响</x:v>
      </x:c>
      <x:c r="E1724" s="31" t="str">
        <x:v>如何看待AI对行业的影响</x:v>
      </x:c>
      <x:c r="F1724" s="31" t="str">
        <x:v>Other Question</x:v>
      </x:c>
      <x:c r="G1724" s="30" t="str">
        <x:v>CL1236</x:v>
      </x:c>
      <x:c r="H1724" s="32" t="n">
        <x:f>COUNTIF($G$5:$G$1725,G1724)</x:f>
        <x:v>1</x:v>
      </x:c>
      <x:c r="I1724" s="30" t="str">
        <x:v>A17</x:v>
      </x:c>
      <x:c r="J1724" s="31" t="str">
        <x:v>如何看某个行业 | 如果你之前答出了具体的portfolio company，有概率进行追问 | 未来的职业发展</x:v>
      </x:c>
    </x:row>
    <x:row r="1725" ht="32" customHeight="1">
      <x:c r="A1725" s="30" t="str">
        <x:v>QB3004</x:v>
      </x:c>
      <x:c r="B1725" s="30" t="str">
        <x:v>Mindworks Capital</x:v>
      </x:c>
      <x:c r="C1725" s="30" t="str">
        <x:v>PE / VC / Other</x:v>
      </x:c>
      <x:c r="D1725" s="31" t="str">
        <x:v>为什么VC，为什么MW</x:v>
      </x:c>
      <x:c r="E1725" s="31" t="str">
        <x:v>为什么VC，为什么MW</x:v>
      </x:c>
      <x:c r="F1725" s="31" t="str">
        <x:v>Other Question</x:v>
      </x:c>
      <x:c r="G1725" s="30" t="str">
        <x:v>CL1219</x:v>
      </x:c>
      <x:c r="H1725" s="32" t="n">
        <x:f>COUNTIF($G$5:$G$1725,G1725)</x:f>
        <x:v>1</x:v>
      </x:c>
      <x:c r="I1725" s="30" t="str">
        <x:v>A19</x:v>
      </x:c>
      <x:c r="J1725" s="31" t="str">
        <x:v>未来的职业发展 | 如何看待AI对行业的影响 | 其他的其实更多是闲聊，但一定要know the company</x:v>
      </x:c>
    </x:row>
  </x:sheetData>
  <x:mergeCells>
    <x:mergeCell ref="A1:J1"/>
    <x:mergeCell ref="A2:J2"/>
  </x:mergeCells>
  <x:conditionalFormatting sqref="H5:H1725">
    <x:cfRule type="cellIs" dxfId="8" priority="1" operator="greaterThan">
      <x:formula>1</x:formula>
    </x:cfRule>
  </x:conditionalFormatting>
  <x:pageMargins left="0.7" right="0.7" top="0.75" bottom="0.75" header="0.3" footer="0.3"/>
  <x:tableParts count="1">
    <x:tablePart xmlns:r="http://schemas.openxmlformats.org/officeDocument/2006/relationships" r:id="R0f5911b11cf345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58" hidden="0" customWidth="1"/>
    <x:col min="4" max="4" width="12" hidden="0" customWidth="1"/>
    <x:col min="5" max="5" width="76" hidden="0" customWidth="1"/>
    <x:col min="6" max="6" width="17" hidden="0" customWidth="1"/>
    <x:col min="7" max="7" width="15" hidden="0" customWidth="1"/>
    <x:col min="8" max="8" width="16" hidden="0" customWidth="1"/>
    <x:col min="9" max="9" width="42" hidden="0" customWidth="1"/>
  </x:cols>
  <x:sheetData>
    <x:row r="1" ht="34" customHeight="1">
      <x:c r="A1" s="3" t="str">
        <x:v>Answer Bank</x:v>
      </x:c>
      <x:c r="B1" s="3"/>
      <x:c r="C1" s="3"/>
      <x:c r="D1" s="3"/>
      <x:c r="E1" s="3"/>
      <x:c r="F1" s="3"/>
      <x:c r="G1" s="3"/>
      <x:c r="H1" s="3"/>
      <x:c r="I1" s="3"/>
    </x:row>
    <x:row r="2" ht="30" customHeight="1">
      <x:c r="A2" s="7" t="str">
        <x:v>Single source of truth for your responses and the future website import. Edit the yellow input columns only.</x:v>
      </x:c>
      <x:c r="B2" s="7"/>
      <x:c r="C2" s="7"/>
      <x:c r="D2" s="7"/>
      <x:c r="E2" s="7"/>
      <x:c r="F2" s="7"/>
      <x:c r="G2" s="7"/>
      <x:c r="H2" s="7"/>
      <x:c r="I2" s="7"/>
    </x:row>
    <x:row r="4" ht="28" customHeight="1">
      <x:c r="A4" s="27" t="str">
        <x:v>Cluster ID</x:v>
      </x:c>
      <x:c r="B4" s="28" t="str">
        <x:v>Primary Type</x:v>
      </x:c>
      <x:c r="C4" s="28" t="str">
        <x:v>Canonical Question</x:v>
      </x:c>
      <x:c r="D4" s="28" t="str">
        <x:v>Occurrences</x:v>
      </x:c>
      <x:c r="E4" s="28" t="str">
        <x:v>My Answer</x:v>
      </x:c>
      <x:c r="F4" s="28" t="str">
        <x:v>Answer Status</x:v>
      </x:c>
      <x:c r="G4" s="28" t="str">
        <x:v>Last Updated</x:v>
      </x:c>
      <x:c r="H4" s="28" t="str">
        <x:v>Website Ready</x:v>
      </x:c>
      <x:c r="I4" s="29" t="str">
        <x:v>Answer Notes</x:v>
      </x:c>
    </x:row>
    <x:row r="5" ht="38" customHeight="1">
      <x:c r="A5" s="30" t="str">
        <x:v>CL0001</x:v>
      </x:c>
      <x:c r="B5" s="30" t="str">
        <x:v>Resume &amp; Experience</x:v>
      </x:c>
      <x:c r="C5" s="31" t="str">
        <x:v>Tell me about yourself / walk me through your resume</x:v>
      </x:c>
      <x:c r="D5" s="32" t="n">
        <x:f>COUNTIF('All Questions'!$G$5:$G$1725,A5)</x:f>
        <x:v>170</x:v>
      </x:c>
      <x:c r="E5" s="11"/>
      <x:c r="F5" s="12" t="str">
        <x:v>Not Started</x:v>
      </x:c>
      <x:c r="G5" s="13"/>
      <x:c r="H5" s="30" t="str">
        <x:f>IF(AND(E5&lt;&gt;"",F5="Ready"),"Yes","No")</x:f>
        <x:v>No</x:v>
      </x:c>
      <x:c r="I5" s="11"/>
    </x:row>
    <x:row r="6" ht="38" customHeight="1">
      <x:c r="A6" s="30" t="str">
        <x:v>CL0002</x:v>
      </x:c>
      <x:c r="B6" s="30" t="str">
        <x:v>Fit &amp; Motivation</x:v>
      </x:c>
      <x:c r="C6" s="31" t="str">
        <x:v>Why this firm?</x:v>
      </x:c>
      <x:c r="D6" s="32" t="n">
        <x:f>COUNTIF('All Questions'!$G$5:$G$1725,A6)</x:f>
        <x:v>39</x:v>
      </x:c>
      <x:c r="E6" s="11"/>
      <x:c r="F6" s="12" t="str">
        <x:v>Not Started</x:v>
      </x:c>
      <x:c r="G6" s="13"/>
      <x:c r="H6" s="30" t="str">
        <x:f>IF(AND(E6&lt;&gt;"",F6="Ready"),"Yes","No")</x:f>
        <x:v>No</x:v>
      </x:c>
      <x:c r="I6" s="11"/>
    </x:row>
    <x:row r="7" ht="38" customHeight="1">
      <x:c r="A7" s="30" t="str">
        <x:v>CL0003</x:v>
      </x:c>
      <x:c r="B7" s="30" t="str">
        <x:v>Fit &amp; Motivation</x:v>
      </x:c>
      <x:c r="C7" s="31" t="str">
        <x:v>Why investment banking?</x:v>
      </x:c>
      <x:c r="D7" s="32" t="n">
        <x:f>COUNTIF('All Questions'!$G$5:$G$1725,A7)</x:f>
        <x:v>34</x:v>
      </x:c>
      <x:c r="E7" s="11"/>
      <x:c r="F7" s="12" t="str">
        <x:v>Not Started</x:v>
      </x:c>
      <x:c r="G7" s="13"/>
      <x:c r="H7" s="30" t="str">
        <x:f>IF(AND(E7&lt;&gt;"",F7="Ready"),"Yes","No")</x:f>
        <x:v>No</x:v>
      </x:c>
      <x:c r="I7" s="11"/>
    </x:row>
    <x:row r="8" ht="38" customHeight="1">
      <x:c r="A8" s="30" t="str">
        <x:v>CL0004</x:v>
      </x:c>
      <x:c r="B8" s="30" t="str">
        <x:v>Accounting &amp; Financial Statements</x:v>
      </x:c>
      <x:c r="C8" s="31" t="str">
        <x:v>How does a transaction flow through the three financial statements?</x:v>
      </x:c>
      <x:c r="D8" s="32" t="n">
        <x:f>COUNTIF('All Questions'!$G$5:$G$1725,A8)</x:f>
        <x:v>21</x:v>
      </x:c>
      <x:c r="E8" s="11"/>
      <x:c r="F8" s="12" t="str">
        <x:v>Not Started</x:v>
      </x:c>
      <x:c r="G8" s="13"/>
      <x:c r="H8" s="30" t="str">
        <x:f>IF(AND(E8&lt;&gt;"",F8="Ready"),"Yes","No")</x:f>
        <x:v>No</x:v>
      </x:c>
      <x:c r="I8" s="11"/>
    </x:row>
    <x:row r="9" ht="38" customHeight="1">
      <x:c r="A9" s="30" t="str">
        <x:v>CL0005</x:v>
      </x:c>
      <x:c r="B9" s="30" t="str">
        <x:v>Capital Markets &amp; Financing</x:v>
      </x:c>
      <x:c r="C9" s="31" t="str">
        <x:v>How should a company choose between debt and equity financing?</x:v>
      </x:c>
      <x:c r="D9" s="32" t="n">
        <x:f>COUNTIF('All Questions'!$G$5:$G$1725,A9)</x:f>
        <x:v>21</x:v>
      </x:c>
      <x:c r="E9" s="11"/>
      <x:c r="F9" s="12" t="str">
        <x:v>Not Started</x:v>
      </x:c>
      <x:c r="G9" s="13"/>
      <x:c r="H9" s="30" t="str">
        <x:f>IF(AND(E9&lt;&gt;"",F9="Ready"),"Yes","No")</x:f>
        <x:v>No</x:v>
      </x:c>
      <x:c r="I9" s="11"/>
    </x:row>
    <x:row r="10" ht="38" customHeight="1">
      <x:c r="A10" s="30" t="str">
        <x:v>CL0006</x:v>
      </x:c>
      <x:c r="B10" s="30" t="str">
        <x:v>Investment Pitch</x:v>
      </x:c>
      <x:c r="C10" s="31" t="str">
        <x:v>Pitch me a stock</x:v>
      </x:c>
      <x:c r="D10" s="32" t="n">
        <x:f>COUNTIF('All Questions'!$G$5:$G$1725,A10)</x:f>
        <x:v>19</x:v>
      </x:c>
      <x:c r="E10" s="11"/>
      <x:c r="F10" s="12" t="str">
        <x:v>Not Started</x:v>
      </x:c>
      <x:c r="G10" s="13"/>
      <x:c r="H10" s="30" t="str">
        <x:f>IF(AND(E10&lt;&gt;"",F10="Ready"),"Yes","No")</x:f>
        <x:v>No</x:v>
      </x:c>
      <x:c r="I10" s="11"/>
    </x:row>
    <x:row r="11" ht="38" customHeight="1">
      <x:c r="A11" s="30" t="str">
        <x:v>CL0007</x:v>
      </x:c>
      <x:c r="B11" s="30" t="str">
        <x:v>Behavioral &amp; Situational</x:v>
      </x:c>
      <x:c r="C11" s="31" t="str">
        <x:v>Tell me about a challenge, setback, or failure</x:v>
      </x:c>
      <x:c r="D11" s="32" t="n">
        <x:f>COUNTIF('All Questions'!$G$5:$G$1725,A11)</x:f>
        <x:v>16</x:v>
      </x:c>
      <x:c r="E11" s="11"/>
      <x:c r="F11" s="12" t="str">
        <x:v>Not Started</x:v>
      </x:c>
      <x:c r="G11" s="13"/>
      <x:c r="H11" s="30" t="str">
        <x:f>IF(AND(E11&lt;&gt;"",F11="Ready"),"Yes","No")</x:f>
        <x:v>No</x:v>
      </x:c>
      <x:c r="I11" s="11"/>
    </x:row>
    <x:row r="12" ht="38" customHeight="1">
      <x:c r="A12" s="30" t="str">
        <x:v>CL0008</x:v>
      </x:c>
      <x:c r="B12" s="30" t="str">
        <x:v>Company, Industry &amp; Deals</x:v>
      </x:c>
      <x:c r="C12" s="31" t="str">
        <x:v>Discuss a recent deal completed by this firm</x:v>
      </x:c>
      <x:c r="D12" s="32" t="n">
        <x:f>COUNTIF('All Questions'!$G$5:$G$1725,A12)</x:f>
        <x:v>14</x:v>
      </x:c>
      <x:c r="E12" s="11"/>
      <x:c r="F12" s="12" t="str">
        <x:v>Not Started</x:v>
      </x:c>
      <x:c r="G12" s="13"/>
      <x:c r="H12" s="30" t="str">
        <x:f>IF(AND(E12&lt;&gt;"",F12="Ready"),"Yes","No")</x:f>
        <x:v>No</x:v>
      </x:c>
      <x:c r="I12" s="11"/>
    </x:row>
    <x:row r="13" ht="38" customHeight="1">
      <x:c r="A13" s="30" t="str">
        <x:v>CL0009</x:v>
      </x:c>
      <x:c r="B13" s="30" t="str">
        <x:v>Fit &amp; Motivation</x:v>
      </x:c>
      <x:c r="C13" s="31" t="str">
        <x:v>Why global capital markets?</x:v>
      </x:c>
      <x:c r="D13" s="32" t="n">
        <x:f>COUNTIF('All Questions'!$G$5:$G$1725,A13)</x:f>
        <x:v>14</x:v>
      </x:c>
      <x:c r="E13" s="11"/>
      <x:c r="F13" s="12" t="str">
        <x:v>Not Started</x:v>
      </x:c>
      <x:c r="G13" s="13"/>
      <x:c r="H13" s="30" t="str">
        <x:f>IF(AND(E13&lt;&gt;"",F13="Ready"),"Yes","No")</x:f>
        <x:v>No</x:v>
      </x:c>
      <x:c r="I13" s="11"/>
    </x:row>
    <x:row r="14" ht="38" customHeight="1">
      <x:c r="A14" s="30" t="str">
        <x:v>CL0010</x:v>
      </x:c>
      <x:c r="B14" s="30" t="str">
        <x:v>Valuation</x:v>
      </x:c>
      <x:c r="C14" s="31" t="str">
        <x:v>What are the main valuation methodologies?</x:v>
      </x:c>
      <x:c r="D14" s="32" t="n">
        <x:f>COUNTIF('All Questions'!$G$5:$G$1725,A14)</x:f>
        <x:v>13</x:v>
      </x:c>
      <x:c r="E14" s="11"/>
      <x:c r="F14" s="12" t="str">
        <x:v>Not Started</x:v>
      </x:c>
      <x:c r="G14" s="13"/>
      <x:c r="H14" s="30" t="str">
        <x:f>IF(AND(E14&lt;&gt;"",F14="Ready"),"Yes","No")</x:f>
        <x:v>No</x:v>
      </x:c>
      <x:c r="I14" s="11"/>
    </x:row>
    <x:row r="15" ht="38" customHeight="1">
      <x:c r="A15" s="30" t="str">
        <x:v>CL0011</x:v>
      </x:c>
      <x:c r="B15" s="30" t="str">
        <x:v>Valuation</x:v>
      </x:c>
      <x:c r="C15" s="31" t="str">
        <x:v>How do you calculate WACC?</x:v>
      </x:c>
      <x:c r="D15" s="32" t="n">
        <x:f>COUNTIF('All Questions'!$G$5:$G$1725,A15)</x:f>
        <x:v>12</x:v>
      </x:c>
      <x:c r="E15" s="11"/>
      <x:c r="F15" s="12" t="str">
        <x:v>Not Started</x:v>
      </x:c>
      <x:c r="G15" s="13"/>
      <x:c r="H15" s="30" t="str">
        <x:f>IF(AND(E15&lt;&gt;"",F15="Ready"),"Yes","No")</x:f>
        <x:v>No</x:v>
      </x:c>
      <x:c r="I15" s="11"/>
    </x:row>
    <x:row r="16" ht="38" customHeight="1">
      <x:c r="A16" s="30" t="str">
        <x:v>CL0012</x:v>
      </x:c>
      <x:c r="B16" s="30" t="str">
        <x:v>Valuation</x:v>
      </x:c>
      <x:c r="C16" s="31" t="str">
        <x:v>How do you select comparable companies?</x:v>
      </x:c>
      <x:c r="D16" s="32" t="n">
        <x:f>COUNTIF('All Questions'!$G$5:$G$1725,A16)</x:f>
        <x:v>12</x:v>
      </x:c>
      <x:c r="E16" s="11"/>
      <x:c r="F16" s="12" t="str">
        <x:v>Not Started</x:v>
      </x:c>
      <x:c r="G16" s="13"/>
      <x:c r="H16" s="30" t="str">
        <x:f>IF(AND(E16&lt;&gt;"",F16="Ready"),"Yes","No")</x:f>
        <x:v>No</x:v>
      </x:c>
      <x:c r="I16" s="11"/>
    </x:row>
    <x:row r="17" ht="38" customHeight="1">
      <x:c r="A17" s="30" t="str">
        <x:v>CL0013</x:v>
      </x:c>
      <x:c r="B17" s="30" t="str">
        <x:v>Valuation</x:v>
      </x:c>
      <x:c r="C17" s="31" t="str">
        <x:v>Walk me through a DCF</x:v>
      </x:c>
      <x:c r="D17" s="32" t="n">
        <x:f>COUNTIF('All Questions'!$G$5:$G$1725,A17)</x:f>
        <x:v>10</x:v>
      </x:c>
      <x:c r="E17" s="11"/>
      <x:c r="F17" s="12" t="str">
        <x:v>Not Started</x:v>
      </x:c>
      <x:c r="G17" s="13"/>
      <x:c r="H17" s="30" t="str">
        <x:f>IF(AND(E17&lt;&gt;"",F17="Ready"),"Yes","No")</x:f>
        <x:v>No</x:v>
      </x:c>
      <x:c r="I17" s="11"/>
    </x:row>
    <x:row r="18" ht="38" customHeight="1">
      <x:c r="A18" s="30" t="str">
        <x:v>CL0014</x:v>
      </x:c>
      <x:c r="B18" s="30" t="str">
        <x:v>Other Question</x:v>
      </x:c>
      <x:c r="C18" s="31" t="str">
        <x:v>What are your interests outside work and school?</x:v>
      </x:c>
      <x:c r="D18" s="32" t="n">
        <x:f>COUNTIF('All Questions'!$G$5:$G$1725,A18)</x:f>
        <x:v>10</x:v>
      </x:c>
      <x:c r="E18" s="11"/>
      <x:c r="F18" s="12" t="str">
        <x:v>Not Started</x:v>
      </x:c>
      <x:c r="G18" s="13"/>
      <x:c r="H18" s="30" t="str">
        <x:f>IF(AND(E18&lt;&gt;"",F18="Ready"),"Yes","No")</x:f>
        <x:v>No</x:v>
      </x:c>
      <x:c r="I18" s="11"/>
    </x:row>
    <x:row r="19" ht="38" customHeight="1">
      <x:c r="A19" s="30" t="str">
        <x:v>CL0015</x:v>
      </x:c>
      <x:c r="B19" s="30" t="str">
        <x:v>Valuation</x:v>
      </x:c>
      <x:c r="C19" s="31" t="str">
        <x:v>Bridge equity value to enterprise value</x:v>
      </x:c>
      <x:c r="D19" s="32" t="n">
        <x:f>COUNTIF('All Questions'!$G$5:$G$1725,A19)</x:f>
        <x:v>8</x:v>
      </x:c>
      <x:c r="E19" s="11"/>
      <x:c r="F19" s="12" t="str">
        <x:v>Not Started</x:v>
      </x:c>
      <x:c r="G19" s="13"/>
      <x:c r="H19" s="30" t="str">
        <x:f>IF(AND(E19&lt;&gt;"",F19="Ready"),"Yes","No")</x:f>
        <x:v>No</x:v>
      </x:c>
      <x:c r="I19" s="11"/>
    </x:row>
    <x:row r="20" ht="38" customHeight="1">
      <x:c r="A20" s="30" t="str">
        <x:v>CL0016</x:v>
      </x:c>
      <x:c r="B20" s="30" t="str">
        <x:v>Accounting &amp; Financial Statements</x:v>
      </x:c>
      <x:c r="C20" s="31" t="str">
        <x:v>Explain convertible bonds and why an issuer might use them</x:v>
      </x:c>
      <x:c r="D20" s="32" t="n">
        <x:f>COUNTIF('All Questions'!$G$5:$G$1725,A20)</x:f>
        <x:v>8</x:v>
      </x:c>
      <x:c r="E20" s="11"/>
      <x:c r="F20" s="12" t="str">
        <x:v>Not Started</x:v>
      </x:c>
      <x:c r="G20" s="13"/>
      <x:c r="H20" s="30" t="str">
        <x:f>IF(AND(E20&lt;&gt;"",F20="Ready"),"Yes","No")</x:f>
        <x:v>No</x:v>
      </x:c>
      <x:c r="I20" s="11"/>
    </x:row>
    <x:row r="21" ht="38" customHeight="1">
      <x:c r="A21" s="30" t="str">
        <x:v>CL0017</x:v>
      </x:c>
      <x:c r="B21" s="30" t="str">
        <x:v>Resume &amp; Experience</x:v>
      </x:c>
      <x:c r="C21" s="31" t="str">
        <x:v>Walk me through a deal you worked on</x:v>
      </x:c>
      <x:c r="D21" s="32" t="n">
        <x:f>COUNTIF('All Questions'!$G$5:$G$1725,A21)</x:f>
        <x:v>8</x:v>
      </x:c>
      <x:c r="E21" s="11"/>
      <x:c r="F21" s="12" t="str">
        <x:v>Not Started</x:v>
      </x:c>
      <x:c r="G21" s="13"/>
      <x:c r="H21" s="30" t="str">
        <x:f>IF(AND(E21&lt;&gt;"",F21="Ready"),"Yes","No")</x:f>
        <x:v>No</x:v>
      </x:c>
      <x:c r="I21" s="11"/>
    </x:row>
    <x:row r="22" ht="38" customHeight="1">
      <x:c r="A22" s="30" t="str">
        <x:v>CL0018</x:v>
      </x:c>
      <x:c r="B22" s="30" t="str">
        <x:v>Markets &amp; Macro</x:v>
      </x:c>
      <x:c r="C22" s="31" t="str">
        <x:v>What is your current market outlook?</x:v>
      </x:c>
      <x:c r="D22" s="32" t="n">
        <x:f>COUNTIF('All Questions'!$G$5:$G$1725,A22)</x:f>
        <x:v>5</x:v>
      </x:c>
      <x:c r="E22" s="11"/>
      <x:c r="F22" s="12" t="str">
        <x:v>Not Started</x:v>
      </x:c>
      <x:c r="G22" s="13"/>
      <x:c r="H22" s="30" t="str">
        <x:f>IF(AND(E22&lt;&gt;"",F22="Ready"),"Yes","No")</x:f>
        <x:v>No</x:v>
      </x:c>
      <x:c r="I22" s="11"/>
    </x:row>
    <x:row r="23" ht="38" customHeight="1">
      <x:c r="A23" s="30" t="str">
        <x:v>CL0019</x:v>
      </x:c>
      <x:c r="B23" s="30" t="str">
        <x:v>Other Question</x:v>
      </x:c>
      <x:c r="C23" s="31" t="str">
        <x:v>Return</x:v>
      </x:c>
      <x:c r="D23" s="32" t="n">
        <x:f>COUNTIF('All Questions'!$G$5:$G$1725,A23)</x:f>
        <x:v>4</x:v>
      </x:c>
      <x:c r="E23" s="11"/>
      <x:c r="F23" s="12" t="str">
        <x:v>Not Started</x:v>
      </x:c>
      <x:c r="G23" s="13"/>
      <x:c r="H23" s="30" t="str">
        <x:f>IF(AND(E23&lt;&gt;"",F23="Ready"),"Yes","No")</x:f>
        <x:v>No</x:v>
      </x:c>
      <x:c r="I23" s="11"/>
    </x:row>
    <x:row r="24" ht="38" customHeight="1">
      <x:c r="A24" s="30" t="str">
        <x:v>CL0020</x:v>
      </x:c>
      <x:c r="B24" s="30" t="str">
        <x:v>Fit &amp; Motivation</x:v>
      </x:c>
      <x:c r="C24" s="31" t="str">
        <x:v>Why this role instead of another career path?</x:v>
      </x:c>
      <x:c r="D24" s="32" t="n">
        <x:f>COUNTIF('All Questions'!$G$5:$G$1725,A24)</x:f>
        <x:v>4</x:v>
      </x:c>
      <x:c r="E24" s="11"/>
      <x:c r="F24" s="12" t="str">
        <x:v>Not Started</x:v>
      </x:c>
      <x:c r="G24" s="13"/>
      <x:c r="H24" s="30" t="str">
        <x:f>IF(AND(E24&lt;&gt;"",F24="Ready"),"Yes","No")</x:f>
        <x:v>No</x:v>
      </x:c>
      <x:c r="I24" s="11"/>
    </x:row>
    <x:row r="25" ht="38" customHeight="1">
      <x:c r="A25" s="30" t="str">
        <x:v>CL0021</x:v>
      </x:c>
      <x:c r="B25" s="30" t="str">
        <x:v>Valuation</x:v>
      </x:c>
      <x:c r="C25" s="31" t="str">
        <x:v>DCF</x:v>
      </x:c>
      <x:c r="D25" s="32" t="n">
        <x:f>COUNTIF('All Questions'!$G$5:$G$1725,A25)</x:f>
        <x:v>3</x:v>
      </x:c>
      <x:c r="E25" s="11"/>
      <x:c r="F25" s="12" t="str">
        <x:v>Not Started</x:v>
      </x:c>
      <x:c r="G25" s="13"/>
      <x:c r="H25" s="30" t="str">
        <x:f>IF(AND(E25&lt;&gt;"",F25="Ready"),"Yes","No")</x:f>
        <x:v>No</x:v>
      </x:c>
      <x:c r="I25" s="11"/>
    </x:row>
    <x:row r="26" ht="38" customHeight="1">
      <x:c r="A26" s="30" t="str">
        <x:v>CL0022</x:v>
      </x:c>
      <x:c r="B26" s="30" t="str">
        <x:v>Other Question</x:v>
      </x:c>
      <x:c r="C26" s="31" t="str">
        <x:v>How to pronounce your name</x:v>
      </x:c>
      <x:c r="D26" s="32" t="n">
        <x:f>COUNTIF('All Questions'!$G$5:$G$1725,A26)</x:f>
        <x:v>3</x:v>
      </x:c>
      <x:c r="E26" s="11"/>
      <x:c r="F26" s="12" t="str">
        <x:v>Not Started</x:v>
      </x:c>
      <x:c r="G26" s="13"/>
      <x:c r="H26" s="30" t="str">
        <x:f>IF(AND(E26&lt;&gt;"",F26="Ready"),"Yes","No")</x:f>
        <x:v>No</x:v>
      </x:c>
      <x:c r="I26" s="11"/>
    </x:row>
    <x:row r="27" ht="38" customHeight="1">
      <x:c r="A27" s="30" t="str">
        <x:v>CL0023</x:v>
      </x:c>
      <x:c r="B27" s="30" t="str">
        <x:v>Valuation</x:v>
      </x:c>
      <x:c r="C27" s="31" t="str">
        <x:v>Tell me about a team conflict and how you handled it</x:v>
      </x:c>
      <x:c r="D27" s="32" t="n">
        <x:f>COUNTIF('All Questions'!$G$5:$G$1725,A27)</x:f>
        <x:v>3</x:v>
      </x:c>
      <x:c r="E27" s="11"/>
      <x:c r="F27" s="12" t="str">
        <x:v>Not Started</x:v>
      </x:c>
      <x:c r="G27" s="13"/>
      <x:c r="H27" s="30" t="str">
        <x:f>IF(AND(E27&lt;&gt;"",F27="Ready"),"Yes","No")</x:f>
        <x:v>No</x:v>
      </x:c>
      <x:c r="I27" s="11"/>
    </x:row>
    <x:row r="28" ht="38" customHeight="1">
      <x:c r="A28" s="30" t="str">
        <x:v>CL0024</x:v>
      </x:c>
      <x:c r="B28" s="30" t="str">
        <x:v>Resume &amp; Experience</x:v>
      </x:c>
      <x:c r="C28" s="31" t="str">
        <x:v>Walk me through a deal</x:v>
      </x:c>
      <x:c r="D28" s="32" t="n">
        <x:f>COUNTIF('All Questions'!$G$5:$G$1725,A28)</x:f>
        <x:v>3</x:v>
      </x:c>
      <x:c r="E28" s="11"/>
      <x:c r="F28" s="12" t="str">
        <x:v>Not Started</x:v>
      </x:c>
      <x:c r="G28" s="13"/>
      <x:c r="H28" s="30" t="str">
        <x:f>IF(AND(E28&lt;&gt;"",F28="Ready"),"Yes","No")</x:f>
        <x:v>No</x:v>
      </x:c>
      <x:c r="I28" s="11"/>
    </x:row>
    <x:row r="29" ht="38" customHeight="1">
      <x:c r="A29" s="30" t="str">
        <x:v>CL0025</x:v>
      </x:c>
      <x:c r="B29" s="30" t="str">
        <x:v>Behavioral &amp; Situational</x:v>
      </x:c>
      <x:c r="C29" s="31" t="str">
        <x:v>What are your greatest strengths and weaknesses?</x:v>
      </x:c>
      <x:c r="D29" s="32" t="n">
        <x:f>COUNTIF('All Questions'!$G$5:$G$1725,A29)</x:f>
        <x:v>3</x:v>
      </x:c>
      <x:c r="E29" s="11"/>
      <x:c r="F29" s="12" t="str">
        <x:v>Not Started</x:v>
      </x:c>
      <x:c r="G29" s="13"/>
      <x:c r="H29" s="30" t="str">
        <x:f>IF(AND(E29&lt;&gt;"",F29="Ready"),"Yes","No")</x:f>
        <x:v>No</x:v>
      </x:c>
      <x:c r="I29" s="11"/>
    </x:row>
    <x:row r="30" ht="38" customHeight="1">
      <x:c r="A30" s="30" t="str">
        <x:v>CL0026</x:v>
      </x:c>
      <x:c r="B30" s="30" t="str">
        <x:v>Resume &amp; Experience</x:v>
      </x:c>
      <x:c r="C30" s="31" t="str">
        <x:v>What did you do in BNP</x:v>
      </x:c>
      <x:c r="D30" s="32" t="n">
        <x:f>COUNTIF('All Questions'!$G$5:$G$1725,A30)</x:f>
        <x:v>3</x:v>
      </x:c>
      <x:c r="E30" s="11"/>
      <x:c r="F30" s="12" t="str">
        <x:v>Not Started</x:v>
      </x:c>
      <x:c r="G30" s="13"/>
      <x:c r="H30" s="30" t="str">
        <x:f>IF(AND(E30&lt;&gt;"",F30="Ready"),"Yes","No")</x:f>
        <x:v>No</x:v>
      </x:c>
      <x:c r="I30" s="11"/>
    </x:row>
    <x:row r="31" ht="38" customHeight="1">
      <x:c r="A31" s="30" t="str">
        <x:v>CL0027</x:v>
      </x:c>
      <x:c r="B31" s="30" t="str">
        <x:v>Behavioral &amp; Situational</x:v>
      </x:c>
      <x:c r="C31" s="31" t="str">
        <x:v>What is your biggest strength / weakness?</x:v>
      </x:c>
      <x:c r="D31" s="32" t="n">
        <x:f>COUNTIF('All Questions'!$G$5:$G$1725,A31)</x:f>
        <x:v>3</x:v>
      </x:c>
      <x:c r="E31" s="11"/>
      <x:c r="F31" s="12" t="str">
        <x:v>Not Started</x:v>
      </x:c>
      <x:c r="G31" s="13"/>
      <x:c r="H31" s="30" t="str">
        <x:f>IF(AND(E31&lt;&gt;"",F31="Ready"),"Yes","No")</x:f>
        <x:v>No</x:v>
      </x:c>
      <x:c r="I31" s="11"/>
    </x:row>
    <x:row r="32" ht="38" customHeight="1">
      <x:c r="A32" s="30" t="str">
        <x:v>CL0028</x:v>
      </x:c>
      <x:c r="B32" s="30" t="str">
        <x:v>Markets &amp; Macro</x:v>
      </x:c>
      <x:c r="C32" s="31" t="str">
        <x:v>What is your outlook for interest rates?</x:v>
      </x:c>
      <x:c r="D32" s="32" t="n">
        <x:f>COUNTIF('All Questions'!$G$5:$G$1725,A32)</x:f>
        <x:v>3</x:v>
      </x:c>
      <x:c r="E32" s="11"/>
      <x:c r="F32" s="12" t="str">
        <x:v>Not Started</x:v>
      </x:c>
      <x:c r="G32" s="13"/>
      <x:c r="H32" s="30" t="str">
        <x:f>IF(AND(E32&lt;&gt;"",F32="Ready"),"Yes","No")</x:f>
        <x:v>No</x:v>
      </x:c>
      <x:c r="I32" s="11"/>
    </x:row>
    <x:row r="33" ht="38" customHeight="1">
      <x:c r="A33" s="30" t="str">
        <x:v>CL0029</x:v>
      </x:c>
      <x:c r="B33" s="30" t="str">
        <x:v>Fit &amp; Motivation</x:v>
      </x:c>
      <x:c r="C33" s="31" t="str">
        <x:v>Why asset management?</x:v>
      </x:c>
      <x:c r="D33" s="32" t="n">
        <x:f>COUNTIF('All Questions'!$G$5:$G$1725,A33)</x:f>
        <x:v>3</x:v>
      </x:c>
      <x:c r="E33" s="11"/>
      <x:c r="F33" s="12" t="str">
        <x:v>Not Started</x:v>
      </x:c>
      <x:c r="G33" s="13"/>
      <x:c r="H33" s="30" t="str">
        <x:f>IF(AND(E33&lt;&gt;"",F33="Ready"),"Yes","No")</x:f>
        <x:v>No</x:v>
      </x:c>
      <x:c r="I33" s="11"/>
    </x:row>
    <x:row r="34" ht="38" customHeight="1">
      <x:c r="A34" s="30" t="str">
        <x:v>CL0030</x:v>
      </x:c>
      <x:c r="B34" s="30" t="str">
        <x:v>Accounting &amp; Financial Statements</x:v>
      </x:c>
      <x:c r="C34" s="31" t="str">
        <x:v>10 D&amp;A, impact on 3 statement, 40% Tax rate</x:v>
      </x:c>
      <x:c r="D34" s="32" t="n">
        <x:f>COUNTIF('All Questions'!$G$5:$G$1725,A34)</x:f>
        <x:v>2</x:v>
      </x:c>
      <x:c r="E34" s="11"/>
      <x:c r="F34" s="12" t="str">
        <x:v>Not Started</x:v>
      </x:c>
      <x:c r="G34" s="13"/>
      <x:c r="H34" s="30" t="str">
        <x:f>IF(AND(E34&lt;&gt;"",F34="Ready"),"Yes","No")</x:f>
        <x:v>No</x:v>
      </x:c>
      <x:c r="I34" s="11"/>
    </x:row>
    <x:row r="35" ht="38" customHeight="1">
      <x:c r="A35" s="30" t="str">
        <x:v>CL0031</x:v>
      </x:c>
      <x:c r="B35" s="30" t="str">
        <x:v>Accounting &amp; Financial Statements</x:v>
      </x:c>
      <x:c r="C35" s="31" t="str">
        <x:v>100 CAPEX, impact on 3 statement</x:v>
      </x:c>
      <x:c r="D35" s="32" t="n">
        <x:f>COUNTIF('All Questions'!$G$5:$G$1725,A35)</x:f>
        <x:v>2</x:v>
      </x:c>
      <x:c r="E35" s="11"/>
      <x:c r="F35" s="12" t="str">
        <x:v>Not Started</x:v>
      </x:c>
      <x:c r="G35" s="13"/>
      <x:c r="H35" s="30" t="str">
        <x:f>IF(AND(E35&lt;&gt;"",F35="Ready"),"Yes","No")</x:f>
        <x:v>No</x:v>
      </x:c>
      <x:c r="I35" s="11"/>
    </x:row>
    <x:row r="36" ht="38" customHeight="1">
      <x:c r="A36" s="30" t="str">
        <x:v>CL0032</x:v>
      </x:c>
      <x:c r="B36" s="30" t="str">
        <x:v>Other Question</x:v>
      </x:c>
      <x:c r="C36" s="31" t="str">
        <x:v>Do you have your own investment account</x:v>
      </x:c>
      <x:c r="D36" s="32" t="n">
        <x:f>COUNTIF('All Questions'!$G$5:$G$1725,A36)</x:f>
        <x:v>2</x:v>
      </x:c>
      <x:c r="E36" s="11"/>
      <x:c r="F36" s="12" t="str">
        <x:v>Not Started</x:v>
      </x:c>
      <x:c r="G36" s="13"/>
      <x:c r="H36" s="30" t="str">
        <x:f>IF(AND(E36&lt;&gt;"",F36="Ready"),"Yes","No")</x:f>
        <x:v>No</x:v>
      </x:c>
      <x:c r="I36" s="11"/>
    </x:row>
    <x:row r="37" ht="38" customHeight="1">
      <x:c r="A37" s="30" t="str">
        <x:v>CL0033</x:v>
      </x:c>
      <x:c r="B37" s="30" t="str">
        <x:v>Valuation</x:v>
      </x:c>
      <x:c r="C37" s="31" t="str">
        <x:v>How to find beta</x:v>
      </x:c>
      <x:c r="D37" s="32" t="n">
        <x:f>COUNTIF('All Questions'!$G$5:$G$1725,A37)</x:f>
        <x:v>2</x:v>
      </x:c>
      <x:c r="E37" s="11"/>
      <x:c r="F37" s="12" t="str">
        <x:v>Not Started</x:v>
      </x:c>
      <x:c r="G37" s="13"/>
      <x:c r="H37" s="30" t="str">
        <x:f>IF(AND(E37&lt;&gt;"",F37="Ready"),"Yes","No")</x:f>
        <x:v>No</x:v>
      </x:c>
      <x:c r="I37" s="11"/>
    </x:row>
    <x:row r="38" ht="38" customHeight="1">
      <x:c r="A38" s="30" t="str">
        <x:v>CL0034</x:v>
      </x:c>
      <x:c r="B38" s="30" t="str">
        <x:v>Valuation</x:v>
      </x:c>
      <x:c r="C38" s="31" t="str">
        <x:v>How to get from Equity Value to EV</x:v>
      </x:c>
      <x:c r="D38" s="32" t="n">
        <x:f>COUNTIF('All Questions'!$G$5:$G$1725,A38)</x:f>
        <x:v>2</x:v>
      </x:c>
      <x:c r="E38" s="11"/>
      <x:c r="F38" s="12" t="str">
        <x:v>Not Started</x:v>
      </x:c>
      <x:c r="G38" s="13"/>
      <x:c r="H38" s="30" t="str">
        <x:f>IF(AND(E38&lt;&gt;"",F38="Ready"),"Yes","No")</x:f>
        <x:v>No</x:v>
      </x:c>
      <x:c r="I38" s="11"/>
    </x:row>
    <x:row r="39" ht="38" customHeight="1">
      <x:c r="A39" s="30" t="str">
        <x:v>CL0035</x:v>
      </x:c>
      <x:c r="B39" s="30" t="str">
        <x:v>Other Question</x:v>
      </x:c>
      <x:c r="C39" s="31" t="str">
        <x:v>Introduce urself</x:v>
      </x:c>
      <x:c r="D39" s="32" t="n">
        <x:f>COUNTIF('All Questions'!$G$5:$G$1725,A39)</x:f>
        <x:v>2</x:v>
      </x:c>
      <x:c r="E39" s="11"/>
      <x:c r="F39" s="12" t="str">
        <x:v>Not Started</x:v>
      </x:c>
      <x:c r="G39" s="13"/>
      <x:c r="H39" s="30" t="str">
        <x:f>IF(AND(E39&lt;&gt;"",F39="Ready"),"Yes","No")</x:f>
        <x:v>No</x:v>
      </x:c>
      <x:c r="I39" s="11"/>
    </x:row>
    <x:row r="40" ht="38" customHeight="1">
      <x:c r="A40" s="30" t="str">
        <x:v>CL0036</x:v>
      </x:c>
      <x:c r="B40" s="30" t="str">
        <x:v>Other Question</x:v>
      </x:c>
      <x:c r="C40" s="31" t="str">
        <x:v>L Does BNP have return</x:v>
      </x:c>
      <x:c r="D40" s="32" t="n">
        <x:f>COUNTIF('All Questions'!$G$5:$G$1725,A40)</x:f>
        <x:v>2</x:v>
      </x:c>
      <x:c r="E40" s="11"/>
      <x:c r="F40" s="12" t="str">
        <x:v>Not Started</x:v>
      </x:c>
      <x:c r="G40" s="13"/>
      <x:c r="H40" s="30" t="str">
        <x:f>IF(AND(E40&lt;&gt;"",F40="Ready"),"Yes","No")</x:f>
        <x:v>No</x:v>
      </x:c>
      <x:c r="I40" s="11"/>
    </x:row>
    <x:row r="41" ht="38" customHeight="1">
      <x:c r="A41" s="30" t="str">
        <x:v>CL0037</x:v>
      </x:c>
      <x:c r="B41" s="30" t="str">
        <x:v>Resume &amp; Experience</x:v>
      </x:c>
      <x:c r="C41" s="31" t="str">
        <x:v>Major responsibilities in deal, company and industry overview</x:v>
      </x:c>
      <x:c r="D41" s="32" t="n">
        <x:f>COUNTIF('All Questions'!$G$5:$G$1725,A41)</x:f>
        <x:v>2</x:v>
      </x:c>
      <x:c r="E41" s="11"/>
      <x:c r="F41" s="12" t="str">
        <x:v>Not Started</x:v>
      </x:c>
      <x:c r="G41" s="13"/>
      <x:c r="H41" s="30" t="str">
        <x:f>IF(AND(E41&lt;&gt;"",F41="Ready"),"Yes","No")</x:f>
        <x:v>No</x:v>
      </x:c>
      <x:c r="I41" s="11"/>
    </x:row>
    <x:row r="42" ht="38" customHeight="1">
      <x:c r="A42" s="30" t="str">
        <x:v>CL0038</x:v>
      </x:c>
      <x:c r="B42" s="30" t="str">
        <x:v>Fit &amp; Motivation</x:v>
      </x:c>
      <x:c r="C42" s="31" t="str">
        <x:v>Motivational questioning, because I haven't done an IBD internship</x:v>
      </x:c>
      <x:c r="D42" s="32" t="n">
        <x:f>COUNTIF('All Questions'!$G$5:$G$1725,A42)</x:f>
        <x:v>2</x:v>
      </x:c>
      <x:c r="E42" s="11"/>
      <x:c r="F42" s="12" t="str">
        <x:v>Not Started</x:v>
      </x:c>
      <x:c r="G42" s="13"/>
      <x:c r="H42" s="30" t="str">
        <x:f>IF(AND(E42&lt;&gt;"",F42="Ready"),"Yes","No")</x:f>
        <x:v>No</x:v>
      </x:c>
      <x:c r="I42" s="11"/>
    </x:row>
    <x:row r="43" ht="58" customHeight="1">
      <x:c r="A43" s="30" t="str">
        <x:v>CL0039</x:v>
      </x:c>
      <x:c r="B43" s="30" t="str">
        <x:v>Fit &amp; Motivation</x:v>
      </x:c>
      <x:c r="C43" s="31" t="str">
        <x:v>My insights into the TMT industry and why I chose TMT (I originally worked primarily in pharmaceuticals)</x:v>
      </x:c>
      <x:c r="D43" s="32" t="n">
        <x:f>COUNTIF('All Questions'!$G$5:$G$1725,A43)</x:f>
        <x:v>2</x:v>
      </x:c>
      <x:c r="E43" s="11"/>
      <x:c r="F43" s="12" t="str">
        <x:v>Not Started</x:v>
      </x:c>
      <x:c r="G43" s="13"/>
      <x:c r="H43" s="30" t="str">
        <x:f>IF(AND(E43&lt;&gt;"",F43="Ready"),"Yes","No")</x:f>
        <x:v>No</x:v>
      </x:c>
      <x:c r="I43" s="11"/>
    </x:row>
    <x:row r="44" ht="58" customHeight="1">
      <x:c r="A44" s="30" t="str">
        <x:v>CL0040</x:v>
      </x:c>
      <x:c r="B44" s="30" t="str">
        <x:v>Valuation</x:v>
      </x:c>
      <x:c r="C44" s="31" t="str">
        <x:v>Tell me about an intation you did (Company overview, investment thesis, industry, valuation)</x:v>
      </x:c>
      <x:c r="D44" s="32" t="n">
        <x:f>COUNTIF('All Questions'!$G$5:$G$1725,A44)</x:f>
        <x:v>2</x:v>
      </x:c>
      <x:c r="E44" s="11"/>
      <x:c r="F44" s="12" t="str">
        <x:v>Not Started</x:v>
      </x:c>
      <x:c r="G44" s="13"/>
      <x:c r="H44" s="30" t="str">
        <x:f>IF(AND(E44&lt;&gt;"",F44="Ready"),"Yes","No")</x:f>
        <x:v>No</x:v>
      </x:c>
      <x:c r="I44" s="11"/>
    </x:row>
    <x:row r="45" ht="38" customHeight="1">
      <x:c r="A45" s="30" t="str">
        <x:v>CL0041</x:v>
      </x:c>
      <x:c r="B45" s="30" t="str">
        <x:v>Private Equity &amp; LBO</x:v>
      </x:c>
      <x:c r="C45" s="31" t="str">
        <x:v>Walk me through a LBO</x:v>
      </x:c>
      <x:c r="D45" s="32" t="n">
        <x:f>COUNTIF('All Questions'!$G$5:$G$1725,A45)</x:f>
        <x:v>2</x:v>
      </x:c>
      <x:c r="E45" s="11"/>
      <x:c r="F45" s="12" t="str">
        <x:v>Not Started</x:v>
      </x:c>
      <x:c r="G45" s="13"/>
      <x:c r="H45" s="30" t="str">
        <x:f>IF(AND(E45&lt;&gt;"",F45="Ready"),"Yes","No")</x:f>
        <x:v>No</x:v>
      </x:c>
      <x:c r="I45" s="11"/>
    </x:row>
    <x:row r="46" ht="38" customHeight="1">
      <x:c r="A46" s="30" t="str">
        <x:v>CL0042</x:v>
      </x:c>
      <x:c r="B46" s="30" t="str">
        <x:v>Valuation</x:v>
      </x:c>
      <x:c r="C46" s="31" t="str">
        <x:v>Walk me through how you do DCF</x:v>
      </x:c>
      <x:c r="D46" s="32" t="n">
        <x:f>COUNTIF('All Questions'!$G$5:$G$1725,A46)</x:f>
        <x:v>2</x:v>
      </x:c>
      <x:c r="E46" s="11"/>
      <x:c r="F46" s="12" t="str">
        <x:v>Not Started</x:v>
      </x:c>
      <x:c r="G46" s="13"/>
      <x:c r="H46" s="30" t="str">
        <x:f>IF(AND(E46&lt;&gt;"",F46="Ready"),"Yes","No")</x:f>
        <x:v>No</x:v>
      </x:c>
      <x:c r="I46" s="11"/>
    </x:row>
    <x:row r="47" ht="38" customHeight="1">
      <x:c r="A47" s="30" t="str">
        <x:v>CL0043</x:v>
      </x:c>
      <x:c r="B47" s="30" t="str">
        <x:v>Resume &amp; Experience</x:v>
      </x:c>
      <x:c r="C47" s="31" t="str">
        <x:v>What did you do at BLK</x:v>
      </x:c>
      <x:c r="D47" s="32" t="n">
        <x:f>COUNTIF('All Questions'!$G$5:$G$1725,A47)</x:f>
        <x:v>2</x:v>
      </x:c>
      <x:c r="E47" s="11"/>
      <x:c r="F47" s="12" t="str">
        <x:v>Not Started</x:v>
      </x:c>
      <x:c r="G47" s="13"/>
      <x:c r="H47" s="30" t="str">
        <x:f>IF(AND(E47&lt;&gt;"",F47="Ready"),"Yes","No")</x:f>
        <x:v>No</x:v>
      </x:c>
      <x:c r="I47" s="11"/>
    </x:row>
    <x:row r="48" ht="58" customHeight="1">
      <x:c r="A48" s="30" t="str">
        <x:v>CL0044</x:v>
      </x:c>
      <x:c r="B48" s="30" t="str">
        <x:v>Fit &amp; Motivation</x:v>
      </x:c>
      <x:c r="C48" s="31" t="str">
        <x:v>What do you think will be the quality required for IBD roles, any story to support you have this quality</x:v>
      </x:c>
      <x:c r="D48" s="32" t="n">
        <x:f>COUNTIF('All Questions'!$G$5:$G$1725,A48)</x:f>
        <x:v>2</x:v>
      </x:c>
      <x:c r="E48" s="11"/>
      <x:c r="F48" s="12" t="str">
        <x:v>Not Started</x:v>
      </x:c>
      <x:c r="G48" s="13"/>
      <x:c r="H48" s="30" t="str">
        <x:f>IF(AND(E48&lt;&gt;"",F48="Ready"),"Yes","No")</x:f>
        <x:v>No</x:v>
      </x:c>
      <x:c r="I48" s="11"/>
    </x:row>
    <x:row r="49" ht="38" customHeight="1">
      <x:c r="A49" s="30" t="str">
        <x:v>CL0045</x:v>
      </x:c>
      <x:c r="B49" s="30" t="str">
        <x:v>Accounting &amp; Financial Statements</x:v>
      </x:c>
      <x:c r="C49" s="31" t="str">
        <x:v>What is cost of equity</x:v>
      </x:c>
      <x:c r="D49" s="32" t="n">
        <x:f>COUNTIF('All Questions'!$G$5:$G$1725,A49)</x:f>
        <x:v>2</x:v>
      </x:c>
      <x:c r="E49" s="11"/>
      <x:c r="F49" s="12" t="str">
        <x:v>Not Started</x:v>
      </x:c>
      <x:c r="G49" s="13"/>
      <x:c r="H49" s="30" t="str">
        <x:f>IF(AND(E49&lt;&gt;"",F49="Ready"),"Yes","No")</x:f>
        <x:v>No</x:v>
      </x:c>
      <x:c r="I49" s="11"/>
    </x:row>
    <x:row r="50" ht="38" customHeight="1">
      <x:c r="A50" s="30" t="str">
        <x:v>CL0046</x:v>
      </x:c>
      <x:c r="B50" s="30" t="str">
        <x:v>Accounting &amp; Financial Statements</x:v>
      </x:c>
      <x:c r="C50" s="31" t="str">
        <x:v>What is goodwill</x:v>
      </x:c>
      <x:c r="D50" s="32" t="n">
        <x:f>COUNTIF('All Questions'!$G$5:$G$1725,A50)</x:f>
        <x:v>2</x:v>
      </x:c>
      <x:c r="E50" s="11"/>
      <x:c r="F50" s="12" t="str">
        <x:v>Not Started</x:v>
      </x:c>
      <x:c r="G50" s="13"/>
      <x:c r="H50" s="30" t="str">
        <x:f>IF(AND(E50&lt;&gt;"",F50="Ready"),"Yes","No")</x:f>
        <x:v>No</x:v>
      </x:c>
      <x:c r="I50" s="11"/>
    </x:row>
    <x:row r="51" ht="38" customHeight="1">
      <x:c r="A51" s="30" t="str">
        <x:v>CL0047</x:v>
      </x:c>
      <x:c r="B51" s="30" t="str">
        <x:v>Accounting &amp; Financial Statements</x:v>
      </x:c>
      <x:c r="C51" s="31" t="str">
        <x:v>What is the equation for UFCF</x:v>
      </x:c>
      <x:c r="D51" s="32" t="n">
        <x:f>COUNTIF('All Questions'!$G$5:$G$1725,A51)</x:f>
        <x:v>2</x:v>
      </x:c>
      <x:c r="E51" s="11"/>
      <x:c r="F51" s="12" t="str">
        <x:v>Not Started</x:v>
      </x:c>
      <x:c r="G51" s="13"/>
      <x:c r="H51" s="30" t="str">
        <x:f>IF(AND(E51&lt;&gt;"",F51="Ready"),"Yes","No")</x:f>
        <x:v>No</x:v>
      </x:c>
      <x:c r="I51" s="11"/>
    </x:row>
    <x:row r="52" ht="38" customHeight="1">
      <x:c r="A52" s="30" t="str">
        <x:v>CL0048</x:v>
      </x:c>
      <x:c r="B52" s="30" t="str">
        <x:v>M&amp;A</x:v>
      </x:c>
      <x:c r="C52" s="31" t="str">
        <x:v>What makes an M&amp;A deal accretive or dilutive?</x:v>
      </x:c>
      <x:c r="D52" s="32" t="n">
        <x:f>COUNTIF('All Questions'!$G$5:$G$1725,A52)</x:f>
        <x:v>2</x:v>
      </x:c>
      <x:c r="E52" s="11"/>
      <x:c r="F52" s="12" t="str">
        <x:v>Not Started</x:v>
      </x:c>
      <x:c r="G52" s="13"/>
      <x:c r="H52" s="30" t="str">
        <x:f>IF(AND(E52&lt;&gt;"",F52="Ready"),"Yes","No")</x:f>
        <x:v>No</x:v>
      </x:c>
      <x:c r="I52" s="11"/>
    </x:row>
    <x:row r="53" ht="38" customHeight="1">
      <x:c r="A53" s="30" t="str">
        <x:v>CL0049</x:v>
      </x:c>
      <x:c r="B53" s="30" t="str">
        <x:v>Other Question</x:v>
      </x:c>
      <x:c r="C53" s="31" t="str">
        <x:v>What roles are you interested within the JPMAM</x:v>
      </x:c>
      <x:c r="D53" s="32" t="n">
        <x:f>COUNTIF('All Questions'!$G$5:$G$1725,A53)</x:f>
        <x:v>2</x:v>
      </x:c>
      <x:c r="E53" s="11"/>
      <x:c r="F53" s="12" t="str">
        <x:v>Not Started</x:v>
      </x:c>
      <x:c r="G53" s="13"/>
      <x:c r="H53" s="30" t="str">
        <x:f>IF(AND(E53&lt;&gt;"",F53="Ready"),"Yes","No")</x:f>
        <x:v>No</x:v>
      </x:c>
      <x:c r="I53" s="11"/>
    </x:row>
    <x:row r="54" ht="38" customHeight="1">
      <x:c r="A54" s="30" t="str">
        <x:v>CL0050</x:v>
      </x:c>
      <x:c r="B54" s="30" t="str">
        <x:v>Fit &amp; Motivation</x:v>
      </x:c>
      <x:c r="C54" s="31" t="str">
        <x:v>Which team do you prefer</x:v>
      </x:c>
      <x:c r="D54" s="32" t="n">
        <x:f>COUNTIF('All Questions'!$G$5:$G$1725,A54)</x:f>
        <x:v>2</x:v>
      </x:c>
      <x:c r="E54" s="11"/>
      <x:c r="F54" s="12" t="str">
        <x:v>Not Started</x:v>
      </x:c>
      <x:c r="G54" s="13"/>
      <x:c r="H54" s="30" t="str">
        <x:f>IF(AND(E54&lt;&gt;"",F54="Ready"),"Yes","No")</x:f>
        <x:v>No</x:v>
      </x:c>
      <x:c r="I54" s="11"/>
    </x:row>
    <x:row r="55" ht="38" customHeight="1">
      <x:c r="A55" s="30" t="str">
        <x:v>CL0051</x:v>
      </x:c>
      <x:c r="B55" s="30" t="str">
        <x:v>Fit &amp; Motivation</x:v>
      </x:c>
      <x:c r="C55" s="31" t="str">
        <x:v>Why M&amp;A</x:v>
      </x:c>
      <x:c r="D55" s="32" t="n">
        <x:f>COUNTIF('All Questions'!$G$5:$G$1725,A55)</x:f>
        <x:v>2</x:v>
      </x:c>
      <x:c r="E55" s="11"/>
      <x:c r="F55" s="12" t="str">
        <x:v>Not Started</x:v>
      </x:c>
      <x:c r="G55" s="13"/>
      <x:c r="H55" s="30" t="str">
        <x:f>IF(AND(E55&lt;&gt;"",F55="Ready"),"Yes","No")</x:f>
        <x:v>No</x:v>
      </x:c>
      <x:c r="I55" s="11"/>
    </x:row>
    <x:row r="56" ht="38" customHeight="1">
      <x:c r="A56" s="30" t="str">
        <x:v>CL0052</x:v>
      </x:c>
      <x:c r="B56" s="30" t="str">
        <x:v>Fit &amp; Motivation</x:v>
      </x:c>
      <x:c r="C56" s="31" t="str">
        <x:v>Why not law</x:v>
      </x:c>
      <x:c r="D56" s="32" t="n">
        <x:f>COUNTIF('All Questions'!$G$5:$G$1725,A56)</x:f>
        <x:v>2</x:v>
      </x:c>
      <x:c r="E56" s="11"/>
      <x:c r="F56" s="12" t="str">
        <x:v>Not Started</x:v>
      </x:c>
      <x:c r="G56" s="13"/>
      <x:c r="H56" s="30" t="str">
        <x:f>IF(AND(E56&lt;&gt;"",F56="Ready"),"Yes","No")</x:f>
        <x:v>No</x:v>
      </x:c>
      <x:c r="I56" s="11"/>
    </x:row>
    <x:row r="57" ht="80" customHeight="1">
      <x:c r="A57" s="30" t="str">
        <x:v>CL0053</x:v>
      </x:c>
      <x:c r="B57" s="30" t="str">
        <x:v>Accounting &amp; Financial Statements</x:v>
      </x:c>
      <x:c r="C57"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D57" s="32" t="n">
        <x:f>COUNTIF('All Questions'!$G$5:$G$1725,A57)</x:f>
        <x:v>1</x:v>
      </x:c>
      <x:c r="E57" s="11"/>
      <x:c r="F57" s="12" t="str">
        <x:v>Not Started</x:v>
      </x:c>
      <x:c r="G57" s="13"/>
      <x:c r="H57" s="30" t="str">
        <x:f>IF(AND(E57&lt;&gt;"",F57="Ready"),"Yes","No")</x:f>
        <x:v>No</x:v>
      </x:c>
      <x:c r="I57" s="11"/>
    </x:row>
    <x:row r="58" ht="38" customHeight="1">
      <x:c r="A58" s="30" t="str">
        <x:v>CL0054</x:v>
      </x:c>
      <x:c r="B58" s="30" t="str">
        <x:v>Behavioral &amp; Situational</x:v>
      </x:c>
      <x:c r="C58" s="31" t="str">
        <x:v>(During the written test round they said it's for Capital Markets Team though)</x:v>
      </x:c>
      <x:c r="D58" s="32" t="n">
        <x:f>COUNTIF('All Questions'!$G$5:$G$1725,A58)</x:f>
        <x:v>1</x:v>
      </x:c>
      <x:c r="E58" s="11"/>
      <x:c r="F58" s="12" t="str">
        <x:v>Not Started</x:v>
      </x:c>
      <x:c r="G58" s="13"/>
      <x:c r="H58" s="30" t="str">
        <x:f>IF(AND(E58&lt;&gt;"",F58="Ready"),"Yes","No")</x:f>
        <x:v>No</x:v>
      </x:c>
      <x:c r="I58" s="11"/>
    </x:row>
    <x:row r="59" ht="38" customHeight="1">
      <x:c r="A59" s="30" t="str">
        <x:v>CL0055</x:v>
      </x:c>
      <x:c r="B59" s="30" t="str">
        <x:v>Resume &amp; Experience</x:v>
      </x:c>
      <x:c r="C59" s="31" t="str">
        <x:v>(he asked me to elaborate a lot more almost cover every experience in details)</x:v>
      </x:c>
      <x:c r="D59" s="32" t="n">
        <x:f>COUNTIF('All Questions'!$G$5:$G$1725,A59)</x:f>
        <x:v>1</x:v>
      </x:c>
      <x:c r="E59" s="11"/>
      <x:c r="F59" s="12" t="str">
        <x:v>Not Started</x:v>
      </x:c>
      <x:c r="G59" s="13"/>
      <x:c r="H59" s="30" t="str">
        <x:f>IF(AND(E59&lt;&gt;"",F59="Ready"),"Yes","No")</x:f>
        <x:v>No</x:v>
      </x:c>
      <x:c r="I59" s="11"/>
    </x:row>
    <x:row r="60" ht="80" customHeight="1">
      <x:c r="A60" s="30" t="str">
        <x:v>CL0056</x:v>
      </x:c>
      <x:c r="B60" s="30" t="str">
        <x:v>Behavioral &amp; Situational</x:v>
      </x:c>
      <x:c r="C60" s="31" t="str">
        <x:v>(I acc didnt quite get the answer, but she said its the most common mistake - that we should use the projected EBITDA as well - like use 2029's EBITDA to arrive at the exit multiple)</x:v>
      </x:c>
      <x:c r="D60" s="32" t="n">
        <x:f>COUNTIF('All Questions'!$G$5:$G$1725,A60)</x:f>
        <x:v>1</x:v>
      </x:c>
      <x:c r="E60" s="11"/>
      <x:c r="F60" s="12" t="str">
        <x:v>Not Started</x:v>
      </x:c>
      <x:c r="G60" s="13"/>
      <x:c r="H60" s="30" t="str">
        <x:f>IF(AND(E60&lt;&gt;"",F60="Ready"),"Yes","No")</x:f>
        <x:v>No</x:v>
      </x:c>
      <x:c r="I60" s="11"/>
    </x:row>
    <x:row r="61" ht="38" customHeight="1">
      <x:c r="A61" s="30" t="str">
        <x:v>CL0057</x:v>
      </x:c>
      <x:c r="B61" s="30" t="str">
        <x:v>Accounting &amp; Financial Statements</x:v>
      </x:c>
      <x:c r="C61" s="31" t="str">
        <x:v>(I asked him is it global or just chinese market, he said global)</x:v>
      </x:c>
      <x:c r="D61" s="32" t="n">
        <x:f>COUNTIF('All Questions'!$G$5:$G$1725,A61)</x:f>
        <x:v>1</x:v>
      </x:c>
      <x:c r="E61" s="11"/>
      <x:c r="F61" s="12" t="str">
        <x:v>Not Started</x:v>
      </x:c>
      <x:c r="G61" s="13"/>
      <x:c r="H61" s="30" t="str">
        <x:f>IF(AND(E61&lt;&gt;"",F61="Ready"),"Yes","No")</x:f>
        <x:v>No</x:v>
      </x:c>
      <x:c r="I61" s="11"/>
    </x:row>
    <x:row r="62" ht="38" customHeight="1">
      <x:c r="A62" s="30" t="str">
        <x:v>CL0058</x:v>
      </x:c>
      <x:c r="B62" s="30" t="str">
        <x:v>Company, Industry &amp; Deals</x:v>
      </x:c>
      <x:c r="C62" s="31" t="str">
        <x:v>(I said I only know 1 deal so she changed to all technical)</x:v>
      </x:c>
      <x:c r="D62" s="32" t="n">
        <x:f>COUNTIF('All Questions'!$G$5:$G$1725,A62)</x:f>
        <x:v>1</x:v>
      </x:c>
      <x:c r="E62" s="11"/>
      <x:c r="F62" s="12" t="str">
        <x:v>Not Started</x:v>
      </x:c>
      <x:c r="G62" s="13"/>
      <x:c r="H62" s="30" t="str">
        <x:f>IF(AND(E62&lt;&gt;"",F62="Ready"),"Yes","No")</x:f>
        <x:v>No</x:v>
      </x:c>
      <x:c r="I62" s="11"/>
    </x:row>
    <x:row r="63" ht="38" customHeight="1">
      <x:c r="A63" s="30" t="str">
        <x:v>CL0059</x:v>
      </x:c>
      <x:c r="B63" s="30" t="str">
        <x:v>Behavioral &amp; Situational</x:v>
      </x:c>
      <x:c r="C63" s="31" t="str">
        <x:v>(i said i was the only intern so no team) then tell me a time when you work INDEPENDENTLY</x:v>
      </x:c>
      <x:c r="D63" s="32" t="n">
        <x:f>COUNTIF('All Questions'!$G$5:$G$1725,A63)</x:f>
        <x:v>1</x:v>
      </x:c>
      <x:c r="E63" s="11"/>
      <x:c r="F63" s="12" t="str">
        <x:v>Not Started</x:v>
      </x:c>
      <x:c r="G63" s="13"/>
      <x:c r="H63" s="30" t="str">
        <x:f>IF(AND(E63&lt;&gt;"",F63="Ready"),"Yes","No")</x:f>
        <x:v>No</x:v>
      </x:c>
      <x:c r="I63" s="11"/>
    </x:row>
    <x:row r="64" ht="38" customHeight="1">
      <x:c r="A64" s="30" t="str">
        <x:v>CL0060</x:v>
      </x:c>
      <x:c r="B64" s="30" t="str">
        <x:v>Valuation</x:v>
      </x:c>
      <x:c r="C64" s="31" t="str">
        <x:v>(I walked him through the DCF as well bc he wasn’t asking any technical questions…)</x:v>
      </x:c>
      <x:c r="D64" s="32" t="n">
        <x:f>COUNTIF('All Questions'!$G$5:$G$1725,A64)</x:f>
        <x:v>1</x:v>
      </x:c>
      <x:c r="E64" s="11"/>
      <x:c r="F64" s="12" t="str">
        <x:v>Not Started</x:v>
      </x:c>
      <x:c r="G64" s="13"/>
      <x:c r="H64" s="30" t="str">
        <x:f>IF(AND(E64&lt;&gt;"",F64="Ready"),"Yes","No")</x:f>
        <x:v>No</x:v>
      </x:c>
      <x:c r="I64" s="11"/>
    </x:row>
    <x:row r="65" ht="38" customHeight="1">
      <x:c r="A65" s="30" t="str">
        <x:v>CL0061</x:v>
      </x:c>
      <x:c r="B65" s="30" t="str">
        <x:v>Sales &amp; Trading</x:v>
      </x:c>
      <x:c r="C65" s="31" t="str">
        <x:v>#remark: they only looks for trading role within the Cash EQ Team</x:v>
      </x:c>
      <x:c r="D65" s="32" t="n">
        <x:f>COUNTIF('All Questions'!$G$5:$G$1725,A65)</x:f>
        <x:v>1</x:v>
      </x:c>
      <x:c r="E65" s="11"/>
      <x:c r="F65" s="12" t="str">
        <x:v>Not Started</x:v>
      </x:c>
      <x:c r="G65" s="13"/>
      <x:c r="H65" s="30" t="str">
        <x:f>IF(AND(E65&lt;&gt;"",F65="Ready"),"Yes","No")</x:f>
        <x:v>No</x:v>
      </x:c>
      <x:c r="I65" s="11"/>
    </x:row>
    <x:row r="66" ht="58" customHeight="1">
      <x:c r="A66" s="30" t="str">
        <x:v>CL0062</x:v>
      </x:c>
      <x:c r="B66" s="30" t="str">
        <x:v>Sales &amp; Trading</x:v>
      </x:c>
      <x:c r="C66" s="31" t="str">
        <x:v>&gt; in real life, earnout model, divide into phase to unlock, add put option, get liquidity much easier</x:v>
      </x:c>
      <x:c r="D66" s="32" t="n">
        <x:f>COUNTIF('All Questions'!$G$5:$G$1725,A66)</x:f>
        <x:v>1</x:v>
      </x:c>
      <x:c r="E66" s="11"/>
      <x:c r="F66" s="12" t="str">
        <x:v>Not Started</x:v>
      </x:c>
      <x:c r="G66" s="13"/>
      <x:c r="H66" s="30" t="str">
        <x:f>IF(AND(E66&lt;&gt;"",F66="Ready"),"Yes","No")</x:f>
        <x:v>No</x:v>
      </x:c>
      <x:c r="I66" s="11"/>
    </x:row>
    <x:row r="67" ht="38" customHeight="1">
      <x:c r="A67" s="30" t="str">
        <x:v>CL0063</x:v>
      </x:c>
      <x:c r="B67" s="30" t="str">
        <x:v>Resume &amp; Experience</x:v>
      </x:c>
      <x:c r="C67" s="31" t="str">
        <x:v>1 Case did in previous internship - what did you do</x:v>
      </x:c>
      <x:c r="D67" s="32" t="n">
        <x:f>COUNTIF('All Questions'!$G$5:$G$1725,A67)</x:f>
        <x:v>1</x:v>
      </x:c>
      <x:c r="E67" s="11"/>
      <x:c r="F67" s="12" t="str">
        <x:v>Not Started</x:v>
      </x:c>
      <x:c r="G67" s="13"/>
      <x:c r="H67" s="30" t="str">
        <x:f>IF(AND(E67&lt;&gt;"",F67="Ready"),"Yes","No")</x:f>
        <x:v>No</x:v>
      </x:c>
      <x:c r="I67" s="11"/>
    </x:row>
    <x:row r="68" ht="38" customHeight="1">
      <x:c r="A68" s="30" t="str">
        <x:v>CL0064</x:v>
      </x:c>
      <x:c r="B68" s="30" t="str">
        <x:v>Accounting &amp; Financial Statements</x:v>
      </x:c>
      <x:c r="C68" s="31" t="str">
        <x:v>100 sales, impact on 3 statement</x:v>
      </x:c>
      <x:c r="D68" s="32" t="n">
        <x:f>COUNTIF('All Questions'!$G$5:$G$1725,A68)</x:f>
        <x:v>1</x:v>
      </x:c>
      <x:c r="E68" s="11"/>
      <x:c r="F68" s="12" t="str">
        <x:v>Not Started</x:v>
      </x:c>
      <x:c r="G68" s="13"/>
      <x:c r="H68" s="30" t="str">
        <x:f>IF(AND(E68&lt;&gt;"",F68="Ready"),"Yes","No")</x:f>
        <x:v>No</x:v>
      </x:c>
      <x:c r="I68" s="11"/>
    </x:row>
    <x:row r="69" ht="80" customHeight="1">
      <x:c r="A69" s="30" t="str">
        <x:v>CL0065</x:v>
      </x:c>
      <x:c r="B69" s="30" t="str">
        <x:v>Accounting &amp; Financial Statements</x:v>
      </x:c>
      <x:c r="C69" s="31" t="str">
        <x:v>15 billion market cap, we now investment 1bn half is buying old shares and half is buying new shares. What is the % of old shares bought,and % of new shares bought ? (I said old shares is 0.5/15, and new shares 0.5/15.5??)</x:v>
      </x:c>
      <x:c r="D69" s="32" t="n">
        <x:f>COUNTIF('All Questions'!$G$5:$G$1725,A69)</x:f>
        <x:v>1</x:v>
      </x:c>
      <x:c r="E69" s="11"/>
      <x:c r="F69" s="12" t="str">
        <x:v>Not Started</x:v>
      </x:c>
      <x:c r="G69" s="13"/>
      <x:c r="H69" s="30" t="str">
        <x:f>IF(AND(E69&lt;&gt;"",F69="Ready"),"Yes","No")</x:f>
        <x:v>No</x:v>
      </x:c>
      <x:c r="I69" s="11"/>
    </x:row>
    <x:row r="70" ht="38" customHeight="1">
      <x:c r="A70" s="30" t="str">
        <x:v>CL0066</x:v>
      </x:c>
      <x:c r="B70" s="30" t="str">
        <x:v>Behavioral &amp; Situational</x:v>
      </x:c>
      <x:c r="C70" s="31" t="str">
        <x:v>16 2nd Round Yining, ED China Team &amp; Chelsy(?) TMT</x:v>
      </x:c>
      <x:c r="D70" s="32" t="n">
        <x:f>COUNTIF('All Questions'!$G$5:$G$1725,A70)</x:f>
        <x:v>1</x:v>
      </x:c>
      <x:c r="E70" s="11"/>
      <x:c r="F70" s="12" t="str">
        <x:v>Not Started</x:v>
      </x:c>
      <x:c r="G70" s="13"/>
      <x:c r="H70" s="30" t="str">
        <x:f>IF(AND(E70&lt;&gt;"",F70="Ready"),"Yes","No")</x:f>
        <x:v>No</x:v>
      </x:c>
      <x:c r="I70" s="11"/>
    </x:row>
    <x:row r="71" ht="38" customHeight="1">
      <x:c r="A71" s="30" t="str">
        <x:v>CL0067</x:v>
      </x:c>
      <x:c r="B71" s="30" t="str">
        <x:v>Fit &amp; Motivation</x:v>
      </x:c>
      <x:c r="C71" s="31" t="str">
        <x:v>1mil asset allocation</x:v>
      </x:c>
      <x:c r="D71" s="32" t="n">
        <x:f>COUNTIF('All Questions'!$G$5:$G$1725,A71)</x:f>
        <x:v>1</x:v>
      </x:c>
      <x:c r="E71" s="11"/>
      <x:c r="F71" s="12" t="str">
        <x:v>Not Started</x:v>
      </x:c>
      <x:c r="G71" s="13"/>
      <x:c r="H71" s="30" t="str">
        <x:f>IF(AND(E71&lt;&gt;"",F71="Ready"),"Yes","No")</x:f>
        <x:v>No</x:v>
      </x:c>
      <x:c r="I71" s="11"/>
    </x:row>
    <x:row r="72" ht="38" customHeight="1">
      <x:c r="A72" s="30" t="str">
        <x:v>CL0068</x:v>
      </x:c>
      <x:c r="B72" s="30" t="str">
        <x:v>Other Question</x:v>
      </x:c>
      <x:c r="C72" s="31" t="str">
        <x:v>1st Interviewer: Jim Chen, Private Capital Advisory</x:v>
      </x:c>
      <x:c r="D72" s="32" t="n">
        <x:f>COUNTIF('All Questions'!$G$5:$G$1725,A72)</x:f>
        <x:v>1</x:v>
      </x:c>
      <x:c r="E72" s="11"/>
      <x:c r="F72" s="12" t="str">
        <x:v>Not Started</x:v>
      </x:c>
      <x:c r="G72" s="13"/>
      <x:c r="H72" s="30" t="str">
        <x:f>IF(AND(E72&lt;&gt;"",F72="Ready"),"Yes","No")</x:f>
        <x:v>No</x:v>
      </x:c>
      <x:c r="I72" s="11"/>
    </x:row>
    <x:row r="73" ht="38" customHeight="1">
      <x:c r="A73" s="30" t="str">
        <x:v>CL0069</x:v>
      </x:c>
      <x:c r="B73" s="30" t="str">
        <x:v>Fit &amp; Motivation</x:v>
      </x:c>
      <x:c r="C73" s="31" t="str">
        <x:v>1st part: Business sense (asset allocation)</x:v>
      </x:c>
      <x:c r="D73" s="32" t="n">
        <x:f>COUNTIF('All Questions'!$G$5:$G$1725,A73)</x:f>
        <x:v>1</x:v>
      </x:c>
      <x:c r="E73" s="11"/>
      <x:c r="F73" s="12" t="str">
        <x:v>Not Started</x:v>
      </x:c>
      <x:c r="G73" s="13"/>
      <x:c r="H73" s="30" t="str">
        <x:f>IF(AND(E73&lt;&gt;"",F73="Ready"),"Yes","No")</x:f>
        <x:v>No</x:v>
      </x:c>
      <x:c r="I73" s="11"/>
    </x:row>
    <x:row r="74" ht="38" customHeight="1">
      <x:c r="A74" s="30" t="str">
        <x:v>CL0070</x:v>
      </x:c>
      <x:c r="B74" s="30" t="str">
        <x:v>Resume &amp; Experience</x:v>
      </x:c>
      <x:c r="C74" s="31" t="str">
        <x:v>2 Cases did in PEI - what did you do?, valuation, multiples</x:v>
      </x:c>
      <x:c r="D74" s="32" t="n">
        <x:f>COUNTIF('All Questions'!$G$5:$G$1725,A74)</x:f>
        <x:v>1</x:v>
      </x:c>
      <x:c r="E74" s="11"/>
      <x:c r="F74" s="12" t="str">
        <x:v>Not Started</x:v>
      </x:c>
      <x:c r="G74" s="13"/>
      <x:c r="H74" s="30" t="str">
        <x:f>IF(AND(E74&lt;&gt;"",F74="Ready"),"Yes","No")</x:f>
        <x:v>No</x:v>
      </x:c>
      <x:c r="I74" s="11"/>
    </x:row>
    <x:row r="75" ht="38" customHeight="1">
      <x:c r="A75" s="30" t="str">
        <x:v>CL0071</x:v>
      </x:c>
      <x:c r="B75" s="30" t="str">
        <x:v>Consulting &amp; Case</x:v>
      </x:c>
      <x:c r="C75" s="31" t="str">
        <x:v>25bn market size, how do you get it</x:v>
      </x:c>
      <x:c r="D75" s="32" t="n">
        <x:f>COUNTIF('All Questions'!$G$5:$G$1725,A75)</x:f>
        <x:v>1</x:v>
      </x:c>
      <x:c r="E75" s="11"/>
      <x:c r="F75" s="12" t="str">
        <x:v>Not Started</x:v>
      </x:c>
      <x:c r="G75" s="13"/>
      <x:c r="H75" s="30" t="str">
        <x:f>IF(AND(E75&lt;&gt;"",F75="Ready"),"Yes","No")</x:f>
        <x:v>No</x:v>
      </x:c>
      <x:c r="I75" s="11"/>
    </x:row>
    <x:row r="76" ht="38" customHeight="1">
      <x:c r="A76" s="30" t="str">
        <x:v>CL0072</x:v>
      </x:c>
      <x:c r="B76" s="30" t="str">
        <x:v>Wealth &amp; Asset Management</x:v>
      </x:c>
      <x:c r="C76" s="31" t="str">
        <x:v>2nd part: Market (give a news, asking the impact on PB Clients)</x:v>
      </x:c>
      <x:c r="D76" s="32" t="n">
        <x:f>COUNTIF('All Questions'!$G$5:$G$1725,A76)</x:f>
        <x:v>1</x:v>
      </x:c>
      <x:c r="E76" s="11"/>
      <x:c r="F76" s="12" t="str">
        <x:v>Not Started</x:v>
      </x:c>
      <x:c r="G76" s="13"/>
      <x:c r="H76" s="30" t="str">
        <x:f>IF(AND(E76&lt;&gt;"",F76="Ready"),"Yes","No")</x:f>
        <x:v>No</x:v>
      </x:c>
      <x:c r="I76" s="11"/>
    </x:row>
    <x:row r="77" ht="38" customHeight="1">
      <x:c r="A77" s="30" t="str">
        <x:v>CL0073</x:v>
      </x:c>
      <x:c r="B77" s="30" t="str">
        <x:v>Accounting &amp; Financial Statements</x:v>
      </x:c>
      <x:c r="C77" s="31" t="str">
        <x:v>3 financial statements</x:v>
      </x:c>
      <x:c r="D77" s="32" t="n">
        <x:f>COUNTIF('All Questions'!$G$5:$G$1725,A77)</x:f>
        <x:v>1</x:v>
      </x:c>
      <x:c r="E77" s="11"/>
      <x:c r="F77" s="12" t="str">
        <x:v>Not Started</x:v>
      </x:c>
      <x:c r="G77" s="13"/>
      <x:c r="H77" s="30" t="str">
        <x:f>IF(AND(E77&lt;&gt;"",F77="Ready"),"Yes","No")</x:f>
        <x:v>No</x:v>
      </x:c>
      <x:c r="I77" s="11"/>
    </x:row>
    <x:row r="78" ht="38" customHeight="1">
      <x:c r="A78" s="30" t="str">
        <x:v>CL0074</x:v>
      </x:c>
      <x:c r="B78" s="30" t="str">
        <x:v>Investment Pitch</x:v>
      </x:c>
      <x:c r="C78" s="31" t="str">
        <x:v>3 Investment thesis for the logistic/freight forwarding business</x:v>
      </x:c>
      <x:c r="D78" s="32" t="n">
        <x:f>COUNTIF('All Questions'!$G$5:$G$1725,A78)</x:f>
        <x:v>1</x:v>
      </x:c>
      <x:c r="E78" s="11"/>
      <x:c r="F78" s="12" t="str">
        <x:v>Not Started</x:v>
      </x:c>
      <x:c r="G78" s="13"/>
      <x:c r="H78" s="30" t="str">
        <x:f>IF(AND(E78&lt;&gt;"",F78="Ready"),"Yes","No")</x:f>
        <x:v>No</x:v>
      </x:c>
      <x:c r="I78" s="11"/>
    </x:row>
    <x:row r="79" ht="38" customHeight="1">
      <x:c r="A79" s="30" t="str">
        <x:v>CL0075</x:v>
      </x:c>
      <x:c r="B79" s="30" t="str">
        <x:v>Accounting &amp; Financial Statements</x:v>
      </x:c>
      <x:c r="C79" s="31" t="str">
        <x:v>3 statement question (seems like, but I don't remember)</x:v>
      </x:c>
      <x:c r="D79" s="32" t="n">
        <x:f>COUNTIF('All Questions'!$G$5:$G$1725,A79)</x:f>
        <x:v>1</x:v>
      </x:c>
      <x:c r="E79" s="11"/>
      <x:c r="F79" s="12" t="str">
        <x:v>Not Started</x:v>
      </x:c>
      <x:c r="G79" s="13"/>
      <x:c r="H79" s="30" t="str">
        <x:f>IF(AND(E79&lt;&gt;"",F79="Ready"),"Yes","No")</x:f>
        <x:v>No</x:v>
      </x:c>
      <x:c r="I79" s="11"/>
    </x:row>
    <x:row r="80" ht="38" customHeight="1">
      <x:c r="A80" s="30" t="str">
        <x:v>CL0076</x:v>
      </x:c>
      <x:c r="B80" s="30" t="str">
        <x:v>Accounting &amp; Financial Statements</x:v>
      </x:c>
      <x:c r="C80" s="31" t="str">
        <x:v>3 statement tech without pen and paper</x:v>
      </x:c>
      <x:c r="D80" s="32" t="n">
        <x:f>COUNTIF('All Questions'!$G$5:$G$1725,A80)</x:f>
        <x:v>1</x:v>
      </x:c>
      <x:c r="E80" s="11"/>
      <x:c r="F80" s="12" t="str">
        <x:v>Not Started</x:v>
      </x:c>
      <x:c r="G80" s="13"/>
      <x:c r="H80" s="30" t="str">
        <x:f>IF(AND(E80&lt;&gt;"",F80="Ready"),"Yes","No")</x:f>
        <x:v>No</x:v>
      </x:c>
      <x:c r="I80" s="11"/>
    </x:row>
    <x:row r="81" ht="58" customHeight="1">
      <x:c r="A81" s="30" t="str">
        <x:v>CL0077</x:v>
      </x:c>
      <x:c r="B81" s="30" t="str">
        <x:v>Accounting &amp; Financial Statements</x:v>
      </x:c>
      <x:c r="C81" s="31" t="str">
        <x:v>3 statement year 1 start 100M loan buy fixed asset; year 1 end 10M repayment, 5% interest, 10 year straight line depreciation, 30% tax rate</x:v>
      </x:c>
      <x:c r="D81" s="32" t="n">
        <x:f>COUNTIF('All Questions'!$G$5:$G$1725,A81)</x:f>
        <x:v>1</x:v>
      </x:c>
      <x:c r="E81" s="11"/>
      <x:c r="F81" s="12" t="str">
        <x:v>Not Started</x:v>
      </x:c>
      <x:c r="G81" s="13"/>
      <x:c r="H81" s="30" t="str">
        <x:f>IF(AND(E81&lt;&gt;"",F81="Ready"),"Yes","No")</x:f>
        <x:v>No</x:v>
      </x:c>
      <x:c r="I81" s="11"/>
    </x:row>
    <x:row r="82" ht="38" customHeight="1">
      <x:c r="A82" s="30" t="str">
        <x:v>CL0078</x:v>
      </x:c>
      <x:c r="B82" s="30" t="str">
        <x:v>Company, Industry &amp; Deals</x:v>
      </x:c>
      <x:c r="C82" s="31" t="str">
        <x:v>3any preference sector for choosing to work? (i said industrials)</x:v>
      </x:c>
      <x:c r="D82" s="32" t="n">
        <x:f>COUNTIF('All Questions'!$G$5:$G$1725,A82)</x:f>
        <x:v>1</x:v>
      </x:c>
      <x:c r="E82" s="11"/>
      <x:c r="F82" s="12" t="str">
        <x:v>Not Started</x:v>
      </x:c>
      <x:c r="G82" s="13"/>
      <x:c r="H82" s="30" t="str">
        <x:f>IF(AND(E82&lt;&gt;"",F82="Ready"),"Yes","No")</x:f>
        <x:v>No</x:v>
      </x:c>
      <x:c r="I82" s="11"/>
    </x:row>
    <x:row r="83" ht="38" customHeight="1">
      <x:c r="A83" s="30" t="str">
        <x:v>CL0079</x:v>
      </x:c>
      <x:c r="B83" s="30" t="str">
        <x:v>Wealth &amp; Asset Management</x:v>
      </x:c>
      <x:c r="C83" s="31" t="str">
        <x:v>3rd and 4th interviewer (two from private bank distribution)</x:v>
      </x:c>
      <x:c r="D83" s="32" t="n">
        <x:f>COUNTIF('All Questions'!$G$5:$G$1725,A83)</x:f>
        <x:v>1</x:v>
      </x:c>
      <x:c r="E83" s="11"/>
      <x:c r="F83" s="12" t="str">
        <x:v>Not Started</x:v>
      </x:c>
      <x:c r="G83" s="13"/>
      <x:c r="H83" s="30" t="str">
        <x:f>IF(AND(E83&lt;&gt;"",F83="Ready"),"Yes","No")</x:f>
        <x:v>No</x:v>
      </x:c>
      <x:c r="I83" s="11"/>
    </x:row>
    <x:row r="84" ht="80" customHeight="1">
      <x:c r="A84" s="30" t="str">
        <x:v>CL0080</x:v>
      </x:c>
      <x:c r="B84" s="30" t="str">
        <x:v>Resume &amp; Experience</x:v>
      </x:c>
      <x:c r="C84" s="31" t="str">
        <x:v>4any experience in electronic vehicles(get exposed to some, but could share another rragrding different industry in my internship, but she said not really interested😂)</x:v>
      </x:c>
      <x:c r="D84" s="32" t="n">
        <x:f>COUNTIF('All Questions'!$G$5:$G$1725,A84)</x:f>
        <x:v>1</x:v>
      </x:c>
      <x:c r="E84" s="11"/>
      <x:c r="F84" s="12" t="str">
        <x:v>Not Started</x:v>
      </x:c>
      <x:c r="G84" s="13"/>
      <x:c r="H84" s="30" t="str">
        <x:f>IF(AND(E84&lt;&gt;"",F84="Ready"),"Yes","No")</x:f>
        <x:v>No</x:v>
      </x:c>
      <x:c r="I84" s="11"/>
    </x:row>
    <x:row r="85" ht="38" customHeight="1">
      <x:c r="A85" s="30" t="str">
        <x:v>CL0081</x:v>
      </x:c>
      <x:c r="B85" s="30" t="str">
        <x:v>Other Question</x:v>
      </x:c>
      <x:c r="C85" s="31" t="str">
        <x:v>5 Pages of JPM Funds details : with stats like CAGR, market trends</x:v>
      </x:c>
      <x:c r="D85" s="32" t="n">
        <x:f>COUNTIF('All Questions'!$G$5:$G$1725,A85)</x:f>
        <x:v>1</x:v>
      </x:c>
      <x:c r="E85" s="11"/>
      <x:c r="F85" s="12" t="str">
        <x:v>Not Started</x:v>
      </x:c>
      <x:c r="G85" s="13"/>
      <x:c r="H85" s="30" t="str">
        <x:f>IF(AND(E85&lt;&gt;"",F85="Ready"),"Yes","No")</x:f>
        <x:v>No</x:v>
      </x:c>
      <x:c r="I85" s="11"/>
    </x:row>
    <x:row r="86" ht="38" customHeight="1">
      <x:c r="A86" s="30" t="str">
        <x:v>CL0082</x:v>
      </x:c>
      <x:c r="B86" s="30" t="str">
        <x:v>Other Question</x:v>
      </x:c>
      <x:c r="C86" s="31" t="str">
        <x:v>5for bain, any research in tmt? (yes), tell me about the semiconductor</x:v>
      </x:c>
      <x:c r="D86" s="32" t="n">
        <x:f>COUNTIF('All Questions'!$G$5:$G$1725,A86)</x:f>
        <x:v>1</x:v>
      </x:c>
      <x:c r="E86" s="11"/>
      <x:c r="F86" s="12" t="str">
        <x:v>Not Started</x:v>
      </x:c>
      <x:c r="G86" s="13"/>
      <x:c r="H86" s="30" t="str">
        <x:f>IF(AND(E86&lt;&gt;"",F86="Ready"),"Yes","No")</x:f>
        <x:v>No</x:v>
      </x:c>
      <x:c r="I86" s="11"/>
    </x:row>
    <x:row r="87" ht="58" customHeight="1">
      <x:c r="A87" s="30" t="str">
        <x:v>CL0083</x:v>
      </x:c>
      <x:c r="B87" s="30" t="str">
        <x:v>Valuation</x:v>
      </x:c>
      <x:c r="C87" s="31" t="str">
        <x:v>6any valuation job before? tell me difference between different valuation mathod, (basically pros and cons)</x:v>
      </x:c>
      <x:c r="D87" s="32" t="n">
        <x:f>COUNTIF('All Questions'!$G$5:$G$1725,A87)</x:f>
        <x:v>1</x:v>
      </x:c>
      <x:c r="E87" s="11"/>
      <x:c r="F87" s="12" t="str">
        <x:v>Not Started</x:v>
      </x:c>
      <x:c r="G87" s="13"/>
      <x:c r="H87" s="30" t="str">
        <x:f>IF(AND(E87&lt;&gt;"",F87="Ready"),"Yes","No")</x:f>
        <x:v>No</x:v>
      </x:c>
      <x:c r="I87" s="11"/>
    </x:row>
    <x:row r="88" ht="38" customHeight="1">
      <x:c r="A88" s="30" t="str">
        <x:v>CL0084</x:v>
      </x:c>
      <x:c r="B88" s="30" t="str">
        <x:v>Accounting &amp; Financial Statements</x:v>
      </x:c>
      <x:c r="C88" s="31" t="str">
        <x:v>7how 3 statement changed if there will be minority interest</x:v>
      </x:c>
      <x:c r="D88" s="32" t="n">
        <x:f>COUNTIF('All Questions'!$G$5:$G$1725,A88)</x:f>
        <x:v>1</x:v>
      </x:c>
      <x:c r="E88" s="11"/>
      <x:c r="F88" s="12" t="str">
        <x:v>Not Started</x:v>
      </x:c>
      <x:c r="G88" s="13"/>
      <x:c r="H88" s="30" t="str">
        <x:f>IF(AND(E88&lt;&gt;"",F88="Ready"),"Yes","No")</x:f>
        <x:v>No</x:v>
      </x:c>
      <x:c r="I88" s="11"/>
    </x:row>
    <x:row r="89" ht="58" customHeight="1">
      <x:c r="A89" s="30" t="str">
        <x:v>CL0085</x:v>
      </x:c>
      <x:c r="B89" s="30" t="str">
        <x:v>Valuation</x:v>
      </x:c>
      <x:c r="C89" s="31" t="str">
        <x:v>8 ev question, can equity value be negative? difference between book value and market value for equity value</x:v>
      </x:c>
      <x:c r="D89" s="32" t="n">
        <x:f>COUNTIF('All Questions'!$G$5:$G$1725,A89)</x:f>
        <x:v>1</x:v>
      </x:c>
      <x:c r="E89" s="11"/>
      <x:c r="F89" s="12" t="str">
        <x:v>Not Started</x:v>
      </x:c>
      <x:c r="G89" s="13"/>
      <x:c r="H89" s="30" t="str">
        <x:f>IF(AND(E89&lt;&gt;"",F89="Ready"),"Yes","No")</x:f>
        <x:v>No</x:v>
      </x:c>
      <x:c r="I89" s="11"/>
    </x:row>
    <x:row r="90" ht="38" customHeight="1">
      <x:c r="A90" s="30" t="str">
        <x:v>CL0086</x:v>
      </x:c>
      <x:c r="B90" s="30" t="str">
        <x:v>Markets &amp; Macro</x:v>
      </x:c>
      <x:c r="C90" s="31" t="str">
        <x:v>8 EV/EBITDA, 5 interest coverage ratio, 5% interest rate on debt, Loan to value? (0.5)</x:v>
      </x:c>
      <x:c r="D90" s="32" t="n">
        <x:f>COUNTIF('All Questions'!$G$5:$G$1725,A90)</x:f>
        <x:v>1</x:v>
      </x:c>
      <x:c r="E90" s="11"/>
      <x:c r="F90" s="12" t="str">
        <x:v>Not Started</x:v>
      </x:c>
      <x:c r="G90" s="13"/>
      <x:c r="H90" s="30" t="str">
        <x:f>IF(AND(E90&lt;&gt;"",F90="Ready"),"Yes","No")</x:f>
        <x:v>No</x:v>
      </x:c>
      <x:c r="I90" s="11"/>
    </x:row>
    <x:row r="91" ht="80" customHeight="1">
      <x:c r="A91" s="30" t="str">
        <x:v>CL0087</x:v>
      </x:c>
      <x:c r="B91" s="30" t="str">
        <x:v>Behavioral &amp; Situational</x:v>
      </x:c>
      <x:c r="C91" s="31" t="str">
        <x:v>8 jsa question, team 1 gave u a job, needa finish 12am. when working till 9pm, team b md gave you another project to do. also needa finish 12am. what would you do</x:v>
      </x:c>
      <x:c r="D91" s="32" t="n">
        <x:f>COUNTIF('All Questions'!$G$5:$G$1725,A91)</x:f>
        <x:v>1</x:v>
      </x:c>
      <x:c r="E91" s="11"/>
      <x:c r="F91" s="12" t="str">
        <x:v>Not Started</x:v>
      </x:c>
      <x:c r="G91" s="13"/>
      <x:c r="H91" s="30" t="str">
        <x:f>IF(AND(E91&lt;&gt;"",F91="Ready"),"Yes","No")</x:f>
        <x:v>No</x:v>
      </x:c>
      <x:c r="I91" s="11"/>
    </x:row>
    <x:row r="92" ht="58" customHeight="1">
      <x:c r="A92" s="30" t="str">
        <x:v>CL0088</x:v>
      </x:c>
      <x:c r="B92" s="30" t="str">
        <x:v>Valuation</x:v>
      </x:c>
      <x:c r="C92" s="31" t="str">
        <x:v>A (100M market cap) buys B (50M market cap, 30M equity BV) for 50M, by 100% changes to equity value</x:v>
      </x:c>
      <x:c r="D92" s="32" t="n">
        <x:f>COUNTIF('All Questions'!$G$5:$G$1725,A92)</x:f>
        <x:v>1</x:v>
      </x:c>
      <x:c r="E92" s="11"/>
      <x:c r="F92" s="12" t="str">
        <x:v>Not Started</x:v>
      </x:c>
      <x:c r="G92" s="13"/>
      <x:c r="H92" s="30" t="str">
        <x:f>IF(AND(E92&lt;&gt;"",F92="Ready"),"Yes","No")</x:f>
        <x:v>No</x:v>
      </x:c>
      <x:c r="I92" s="11"/>
    </x:row>
    <x:row r="93" ht="38" customHeight="1">
      <x:c r="A93" s="30" t="str">
        <x:v>CL0089</x:v>
      </x:c>
      <x:c r="B93" s="30" t="str">
        <x:v>Accounting &amp; Financial Statements</x:v>
      </x:c>
      <x:c r="C93" s="31" t="str">
        <x:v>A detailed breakdown of WACC, down to how beta is determined</x:v>
      </x:c>
      <x:c r="D93" s="32" t="n">
        <x:f>COUNTIF('All Questions'!$G$5:$G$1725,A93)</x:f>
        <x:v>1</x:v>
      </x:c>
      <x:c r="E93" s="11"/>
      <x:c r="F93" s="12" t="str">
        <x:v>Not Started</x:v>
      </x:c>
      <x:c r="G93" s="13"/>
      <x:c r="H93" s="30" t="str">
        <x:f>IF(AND(E93&lt;&gt;"",F93="Ready"),"Yes","No")</x:f>
        <x:v>No</x:v>
      </x:c>
      <x:c r="I93" s="11"/>
    </x:row>
    <x:row r="94" ht="38" customHeight="1">
      <x:c r="A94" s="30" t="str">
        <x:v>CL0090</x:v>
      </x:c>
      <x:c r="B94" s="30" t="str">
        <x:v>Behavioral &amp; Situational</x:v>
      </x:c>
      <x:c r="C94" s="31" t="str">
        <x:v>A feedback you received and how you dealt with it</x:v>
      </x:c>
      <x:c r="D94" s="32" t="n">
        <x:f>COUNTIF('All Questions'!$G$5:$G$1725,A94)</x:f>
        <x:v>1</x:v>
      </x:c>
      <x:c r="E94" s="11"/>
      <x:c r="F94" s="12" t="str">
        <x:v>Not Started</x:v>
      </x:c>
      <x:c r="G94" s="13"/>
      <x:c r="H94" s="30" t="str">
        <x:f>IF(AND(E94&lt;&gt;"",F94="Ready"),"Yes","No")</x:f>
        <x:v>No</x:v>
      </x:c>
      <x:c r="I94" s="11"/>
    </x:row>
    <x:row r="95" ht="38" customHeight="1">
      <x:c r="A95" s="30" t="str">
        <x:v>CL0091</x:v>
      </x:c>
      <x:c r="B95" s="30" t="str">
        <x:v>Accounting &amp; Financial Statements</x:v>
      </x:c>
      <x:c r="C95" s="31" t="str">
        <x:v>A owns 30% of B, how does A's three statement changes after B issued $10 dividends</x:v>
      </x:c>
      <x:c r="D95" s="32" t="n">
        <x:f>COUNTIF('All Questions'!$G$5:$G$1725,A95)</x:f>
        <x:v>1</x:v>
      </x:c>
      <x:c r="E95" s="11"/>
      <x:c r="F95" s="12" t="str">
        <x:v>Not Started</x:v>
      </x:c>
      <x:c r="G95" s="13"/>
      <x:c r="H95" s="30" t="str">
        <x:f>IF(AND(E95&lt;&gt;"",F95="Ready"),"Yes","No")</x:f>
        <x:v>No</x:v>
      </x:c>
      <x:c r="I95" s="11"/>
    </x:row>
    <x:row r="96" ht="80" customHeight="1">
      <x:c r="A96" s="30" t="str">
        <x:v>CL0092</x:v>
      </x:c>
      <x:c r="B96" s="30" t="str">
        <x:v>Investment Pitch</x:v>
      </x:c>
      <x:c r="C96" s="31" t="str">
        <x:v>A super super long company pitch material for u to read, use 15 minutes to analyze this company, and calculate some unit economies and VC-focus accouting. Use 15 minutes to present your investment thesis</x:v>
      </x:c>
      <x:c r="D96" s="32" t="n">
        <x:f>COUNTIF('All Questions'!$G$5:$G$1725,A96)</x:f>
        <x:v>1</x:v>
      </x:c>
      <x:c r="E96" s="11"/>
      <x:c r="F96" s="12" t="str">
        <x:v>Not Started</x:v>
      </x:c>
      <x:c r="G96" s="13"/>
      <x:c r="H96" s="30" t="str">
        <x:f>IF(AND(E96&lt;&gt;"",F96="Ready"),"Yes","No")</x:f>
        <x:v>No</x:v>
      </x:c>
      <x:c r="I96" s="11"/>
    </x:row>
    <x:row r="97" ht="38" customHeight="1">
      <x:c r="A97" s="30" t="str">
        <x:v>CL0093</x:v>
      </x:c>
      <x:c r="B97" s="30" t="str">
        <x:v>Other Question</x:v>
      </x:c>
      <x:c r="C97" s="31" t="str">
        <x:v>A time you made a risky decision</x:v>
      </x:c>
      <x:c r="D97" s="32" t="n">
        <x:f>COUNTIF('All Questions'!$G$5:$G$1725,A97)</x:f>
        <x:v>1</x:v>
      </x:c>
      <x:c r="E97" s="11"/>
      <x:c r="F97" s="12" t="str">
        <x:v>Not Started</x:v>
      </x:c>
      <x:c r="G97" s="13"/>
      <x:c r="H97" s="30" t="str">
        <x:f>IF(AND(E97&lt;&gt;"",F97="Ready"),"Yes","No")</x:f>
        <x:v>No</x:v>
      </x:c>
      <x:c r="I97" s="11"/>
    </x:row>
    <x:row r="98" ht="38" customHeight="1">
      <x:c r="A98" s="30" t="str">
        <x:v>CL0094</x:v>
      </x:c>
      <x:c r="B98" s="30" t="str">
        <x:v>Capital Markets &amp; Financing</x:v>
      </x:c>
      <x:c r="C98" s="31" t="str">
        <x:v>ABOUT AN EQUITY SEASONED OFFERING SOLUTION TO A COMPANY</x:v>
      </x:c>
      <x:c r="D98" s="32" t="n">
        <x:f>COUNTIF('All Questions'!$G$5:$G$1725,A98)</x:f>
        <x:v>1</x:v>
      </x:c>
      <x:c r="E98" s="11"/>
      <x:c r="F98" s="12" t="str">
        <x:v>Not Started</x:v>
      </x:c>
      <x:c r="G98" s="13"/>
      <x:c r="H98" s="30" t="str">
        <x:f>IF(AND(E98&lt;&gt;"",F98="Ready"),"Yes","No")</x:f>
        <x:v>No</x:v>
      </x:c>
      <x:c r="I98" s="11"/>
    </x:row>
    <x:row r="99" ht="58" customHeight="1">
      <x:c r="A99" s="30" t="str">
        <x:v>CL0095</x:v>
      </x:c>
      <x:c r="B99" s="30" t="str">
        <x:v>Other Technical</x:v>
      </x:c>
      <x:c r="C99" s="31" t="str">
        <x:v>About biz model: so only installation? Do they manufacture these products themselves? Do they build factory</x:v>
      </x:c>
      <x:c r="D99" s="32" t="n">
        <x:f>COUNTIF('All Questions'!$G$5:$G$1725,A99)</x:f>
        <x:v>1</x:v>
      </x:c>
      <x:c r="E99" s="11"/>
      <x:c r="F99" s="12" t="str">
        <x:v>Not Started</x:v>
      </x:c>
      <x:c r="G99" s="13"/>
      <x:c r="H99" s="30" t="str">
        <x:f>IF(AND(E99&lt;&gt;"",F99="Ready"),"Yes","No")</x:f>
        <x:v>No</x:v>
      </x:c>
      <x:c r="I99" s="11"/>
    </x:row>
    <x:row r="100" ht="38" customHeight="1">
      <x:c r="A100" s="30" t="str">
        <x:v>CL0096</x:v>
      </x:c>
      <x:c r="B100" s="30" t="str">
        <x:v>Resume &amp; Experience</x:v>
      </x:c>
      <x:c r="C100" s="31" t="str">
        <x:v>About last internship: prospectus, your role, solvency ratios, DSCR, protective covenants</x:v>
      </x:c>
      <x:c r="D100" s="32" t="n">
        <x:f>COUNTIF('All Questions'!$G$5:$G$1725,A100)</x:f>
        <x:v>1</x:v>
      </x:c>
      <x:c r="E100" s="11"/>
      <x:c r="F100" s="12" t="str">
        <x:v>Not Started</x:v>
      </x:c>
      <x:c r="G100" s="13"/>
      <x:c r="H100" s="30" t="str">
        <x:f>IF(AND(E100&lt;&gt;"",F100="Ready"),"Yes","No")</x:f>
        <x:v>No</x:v>
      </x:c>
      <x:c r="I100" s="11"/>
    </x:row>
    <x:row r="101" ht="38" customHeight="1">
      <x:c r="A101" s="30" t="str">
        <x:v>CL0097</x:v>
      </x:c>
      <x:c r="B101" s="30" t="str">
        <x:v>Other Question</x:v>
      </x:c>
      <x:c r="C101" s="31" t="str">
        <x:v>About my investment memo — what were the key investment highlights</x:v>
      </x:c>
      <x:c r="D101" s="32" t="n">
        <x:f>COUNTIF('All Questions'!$G$5:$G$1725,A101)</x:f>
        <x:v>1</x:v>
      </x:c>
      <x:c r="E101" s="11"/>
      <x:c r="F101" s="12" t="str">
        <x:v>Not Started</x:v>
      </x:c>
      <x:c r="G101" s="13"/>
      <x:c r="H101" s="30" t="str">
        <x:f>IF(AND(E101&lt;&gt;"",F101="Ready"),"Yes","No")</x:f>
        <x:v>No</x:v>
      </x:c>
      <x:c r="I101" s="11"/>
    </x:row>
    <x:row r="102" ht="38" customHeight="1">
      <x:c r="A102" s="30" t="str">
        <x:v>CL0098</x:v>
      </x:c>
      <x:c r="B102" s="30" t="str">
        <x:v>Accounting &amp; Financial Statements</x:v>
      </x:c>
      <x:c r="C102" s="31" t="str">
        <x:v>Accounting question: Revenue 100, impact on 3 statement, make your own assumptuons</x:v>
      </x:c>
      <x:c r="D102" s="32" t="n">
        <x:f>COUNTIF('All Questions'!$G$5:$G$1725,A102)</x:f>
        <x:v>1</x:v>
      </x:c>
      <x:c r="E102" s="11"/>
      <x:c r="F102" s="12" t="str">
        <x:v>Not Started</x:v>
      </x:c>
      <x:c r="G102" s="13"/>
      <x:c r="H102" s="30" t="str">
        <x:f>IF(AND(E102&lt;&gt;"",F102="Ready"),"Yes","No")</x:f>
        <x:v>No</x:v>
      </x:c>
      <x:c r="I102" s="11"/>
    </x:row>
    <x:row r="103" ht="58" customHeight="1">
      <x:c r="A103" s="30" t="str">
        <x:v>CL0099</x:v>
      </x:c>
      <x:c r="B103" s="30" t="str">
        <x:v>Accounting &amp; Financial Statements</x:v>
      </x:c>
      <x:c r="C103" s="31" t="str">
        <x:v>Accounting: $10 deferred interest expense, 3 statement? (not under CFF, but under CFO just non-cash expense add back)</x:v>
      </x:c>
      <x:c r="D103" s="32" t="n">
        <x:f>COUNTIF('All Questions'!$G$5:$G$1725,A103)</x:f>
        <x:v>1</x:v>
      </x:c>
      <x:c r="E103" s="11"/>
      <x:c r="F103" s="12" t="str">
        <x:v>Not Started</x:v>
      </x:c>
      <x:c r="G103" s="13"/>
      <x:c r="H103" s="30" t="str">
        <x:f>IF(AND(E103&lt;&gt;"",F103="Ready"),"Yes","No")</x:f>
        <x:v>No</x:v>
      </x:c>
      <x:c r="I103" s="11"/>
    </x:row>
    <x:row r="104" ht="38" customHeight="1">
      <x:c r="A104" s="30" t="str">
        <x:v>CL0100</x:v>
      </x:c>
      <x:c r="B104" s="30" t="str">
        <x:v>Valuation</x:v>
      </x:c>
      <x:c r="C104" s="31" t="str">
        <x:v>Additional ways to look at valuation. I mentioned historical cost</x:v>
      </x:c>
      <x:c r="D104" s="32" t="n">
        <x:f>COUNTIF('All Questions'!$G$5:$G$1725,A104)</x:f>
        <x:v>1</x:v>
      </x:c>
      <x:c r="E104" s="11"/>
      <x:c r="F104" s="12" t="str">
        <x:v>Not Started</x:v>
      </x:c>
      <x:c r="G104" s="13"/>
      <x:c r="H104" s="30" t="str">
        <x:f>IF(AND(E104&lt;&gt;"",F104="Ready"),"Yes","No")</x:f>
        <x:v>No</x:v>
      </x:c>
      <x:c r="I104" s="11"/>
    </x:row>
    <x:row r="105" ht="38" customHeight="1">
      <x:c r="A105" s="30" t="str">
        <x:v>CL0101</x:v>
      </x:c>
      <x:c r="B105" s="30" t="str">
        <x:v>Other Question</x:v>
      </x:c>
      <x:c r="C105" s="31" t="str">
        <x:v>Adjustments to EBITDA to find adjusted EBITDA</x:v>
      </x:c>
      <x:c r="D105" s="32" t="n">
        <x:f>COUNTIF('All Questions'!$G$5:$G$1725,A105)</x:f>
        <x:v>1</x:v>
      </x:c>
      <x:c r="E105" s="11"/>
      <x:c r="F105" s="12" t="str">
        <x:v>Not Started</x:v>
      </x:c>
      <x:c r="G105" s="13"/>
      <x:c r="H105" s="30" t="str">
        <x:f>IF(AND(E105&lt;&gt;"",F105="Ready"),"Yes","No")</x:f>
        <x:v>No</x:v>
      </x:c>
      <x:c r="I105" s="11"/>
    </x:row>
    <x:row r="106" ht="58" customHeight="1">
      <x:c r="A106" s="30" t="str">
        <x:v>CL0102</x:v>
      </x:c>
      <x:c r="B106" s="30" t="str">
        <x:v>Capital Markets &amp; Financing</x:v>
      </x:c>
      <x:c r="C106" s="31" t="str">
        <x:v>Advise on bond issuance - terms (coupon rate, maturity) , market condition (assuming high-rate), steel industry</x:v>
      </x:c>
      <x:c r="D106" s="32" t="n">
        <x:f>COUNTIF('All Questions'!$G$5:$G$1725,A106)</x:f>
        <x:v>1</x:v>
      </x:c>
      <x:c r="E106" s="11"/>
      <x:c r="F106" s="12" t="str">
        <x:v>Not Started</x:v>
      </x:c>
      <x:c r="G106" s="13"/>
      <x:c r="H106" s="30" t="str">
        <x:f>IF(AND(E106&lt;&gt;"",F106="Ready"),"Yes","No")</x:f>
        <x:v>No</x:v>
      </x:c>
      <x:c r="I106" s="11"/>
    </x:row>
    <x:row r="107" ht="38" customHeight="1">
      <x:c r="A107" s="30" t="str">
        <x:v>CL0103</x:v>
      </x:c>
      <x:c r="B107" s="30" t="str">
        <x:v>Other Question</x:v>
      </x:c>
      <x:c r="C107" s="31" t="str">
        <x:v>Affiliate vs subsidiary and how are they reflected differently on FS</x:v>
      </x:c>
      <x:c r="D107" s="32" t="n">
        <x:f>COUNTIF('All Questions'!$G$5:$G$1725,A107)</x:f>
        <x:v>1</x:v>
      </x:c>
      <x:c r="E107" s="11"/>
      <x:c r="F107" s="12" t="str">
        <x:v>Not Started</x:v>
      </x:c>
      <x:c r="G107" s="13"/>
      <x:c r="H107" s="30" t="str">
        <x:f>IF(AND(E107&lt;&gt;"",F107="Ready"),"Yes","No")</x:f>
        <x:v>No</x:v>
      </x:c>
      <x:c r="I107" s="11"/>
    </x:row>
    <x:row r="108" ht="38" customHeight="1">
      <x:c r="A108" s="30" t="str">
        <x:v>CL0104</x:v>
      </x:c>
      <x:c r="B108" s="30" t="str">
        <x:v>Other Question</x:v>
      </x:c>
      <x:c r="C108" s="31" t="str">
        <x:v>After 1 year, what happens? Feel free to ask assumption (Tax: 20%)</x:v>
      </x:c>
      <x:c r="D108" s="32" t="n">
        <x:f>COUNTIF('All Questions'!$G$5:$G$1725,A108)</x:f>
        <x:v>1</x:v>
      </x:c>
      <x:c r="E108" s="11"/>
      <x:c r="F108" s="12" t="str">
        <x:v>Not Started</x:v>
      </x:c>
      <x:c r="G108" s="13"/>
      <x:c r="H108" s="30" t="str">
        <x:f>IF(AND(E108&lt;&gt;"",F108="Ready"),"Yes","No")</x:f>
        <x:v>No</x:v>
      </x:c>
      <x:c r="I108" s="11"/>
    </x:row>
    <x:row r="109" ht="58" customHeight="1">
      <x:c r="A109" s="30" t="str">
        <x:v>CL0105</x:v>
      </x:c>
      <x:c r="B109" s="30" t="str">
        <x:v>Accounting &amp; Financial Statements</x:v>
      </x:c>
      <x:c r="C109" s="31" t="str">
        <x:v>After 4 years, no residual value, straight-line depreciation for 10 years, tax rate 40%, 3 statement</x:v>
      </x:c>
      <x:c r="D109" s="32" t="n">
        <x:f>COUNTIF('All Questions'!$G$5:$G$1725,A109)</x:f>
        <x:v>1</x:v>
      </x:c>
      <x:c r="E109" s="11"/>
      <x:c r="F109" s="12" t="str">
        <x:v>Not Started</x:v>
      </x:c>
      <x:c r="G109" s="13"/>
      <x:c r="H109" s="30" t="str">
        <x:f>IF(AND(E109&lt;&gt;"",F109="Ready"),"Yes","No")</x:f>
        <x:v>No</x:v>
      </x:c>
      <x:c r="I109" s="11"/>
    </x:row>
    <x:row r="110" ht="58" customHeight="1">
      <x:c r="A110" s="30" t="str">
        <x:v>CL0106</x:v>
      </x:c>
      <x:c r="B110" s="30" t="str">
        <x:v>Company, Industry &amp; Deals</x:v>
      </x:c>
      <x:c r="C110" s="31" t="str">
        <x:v>AI semiconductor industry - overview, trends, opportunities, risks, competitor analysis, competitive edge</x:v>
      </x:c>
      <x:c r="D110" s="32" t="n">
        <x:f>COUNTIF('All Questions'!$G$5:$G$1725,A110)</x:f>
        <x:v>1</x:v>
      </x:c>
      <x:c r="E110" s="11"/>
      <x:c r="F110" s="12" t="str">
        <x:v>Not Started</x:v>
      </x:c>
      <x:c r="G110" s="13"/>
      <x:c r="H110" s="30" t="str">
        <x:f>IF(AND(E110&lt;&gt;"",F110="Ready"),"Yes","No")</x:f>
        <x:v>No</x:v>
      </x:c>
      <x:c r="I110" s="11"/>
    </x:row>
    <x:row r="111" ht="38" customHeight="1">
      <x:c r="A111" s="30" t="str">
        <x:v>CL0107</x:v>
      </x:c>
      <x:c r="B111" s="30" t="str">
        <x:v>Resume &amp; Experience</x:v>
      </x:c>
      <x:c r="C111" s="31" t="str">
        <x:v>Also asked me about a case competition experience on my cv</x:v>
      </x:c>
      <x:c r="D111" s="32" t="n">
        <x:f>COUNTIF('All Questions'!$G$5:$G$1725,A111)</x:f>
        <x:v>1</x:v>
      </x:c>
      <x:c r="E111" s="11"/>
      <x:c r="F111" s="12" t="str">
        <x:v>Not Started</x:v>
      </x:c>
      <x:c r="G111" s="13"/>
      <x:c r="H111" s="30" t="str">
        <x:f>IF(AND(E111&lt;&gt;"",F111="Ready"),"Yes","No")</x:f>
        <x:v>No</x:v>
      </x:c>
      <x:c r="I111" s="11"/>
    </x:row>
    <x:row r="112" ht="80" customHeight="1">
      <x:c r="A112" s="30" t="str">
        <x:v>CL0108</x:v>
      </x:c>
      <x:c r="B112" s="30" t="str">
        <x:v>Valuation</x:v>
      </x:c>
      <x:c r="C112" s="31" t="str">
        <x:v>Also, please remember the company's specific valuation figure; he will check its accuracy on his phone on the spot. Furthermore, you must have a clear understanding of your role, such as in which specific detail the investment value analysis report will be used</x:v>
      </x:c>
      <x:c r="D112" s="32" t="n">
        <x:f>COUNTIF('All Questions'!$G$5:$G$1725,A112)</x:f>
        <x:v>1</x:v>
      </x:c>
      <x:c r="E112" s="11"/>
      <x:c r="F112" s="12" t="str">
        <x:v>Not Started</x:v>
      </x:c>
      <x:c r="G112" s="13"/>
      <x:c r="H112" s="30" t="str">
        <x:f>IF(AND(E112&lt;&gt;"",F112="Ready"),"Yes","No")</x:f>
        <x:v>No</x:v>
      </x:c>
      <x:c r="I112" s="11"/>
    </x:row>
    <x:row r="113" ht="80" customHeight="1">
      <x:c r="A113" s="30" t="str">
        <x:v>CL0109</x:v>
      </x:c>
      <x:c r="B113" s="30" t="str">
        <x:v>Accounting &amp; Financial Statements</x:v>
      </x:c>
      <x:c r="C113" s="31" t="str">
        <x:v>Although the company's valuation is relatively cheap compared to its sector peers, but its current 24x PE is almost two times high of the KOSPI. And the stock price's YTD is 70%. Where is your confidence to believe there will be even more potential</x:v>
      </x:c>
      <x:c r="D113" s="32" t="n">
        <x:f>COUNTIF('All Questions'!$G$5:$G$1725,A113)</x:f>
        <x:v>1</x:v>
      </x:c>
      <x:c r="E113" s="11"/>
      <x:c r="F113" s="12" t="str">
        <x:v>Not Started</x:v>
      </x:c>
      <x:c r="G113" s="13"/>
      <x:c r="H113" s="30" t="str">
        <x:f>IF(AND(E113&lt;&gt;"",F113="Ready"),"Yes","No")</x:f>
        <x:v>No</x:v>
      </x:c>
      <x:c r="I113" s="11"/>
    </x:row>
    <x:row r="114" ht="58" customHeight="1">
      <x:c r="A114" s="30" t="str">
        <x:v>CL0110</x:v>
      </x:c>
      <x:c r="B114" s="30" t="str">
        <x:v>Other Technical</x:v>
      </x:c>
      <x:c r="C114" s="31" t="str">
        <x:v>An excel file and other equity research reports are given, as well as Weilong's annual reports</x:v>
      </x:c>
      <x:c r="D114" s="32" t="n">
        <x:f>COUNTIF('All Questions'!$G$5:$G$1725,A114)</x:f>
        <x:v>1</x:v>
      </x:c>
      <x:c r="E114" s="11"/>
      <x:c r="F114" s="12" t="str">
        <x:v>Not Started</x:v>
      </x:c>
      <x:c r="G114" s="13"/>
      <x:c r="H114" s="30" t="str">
        <x:f>IF(AND(E114&lt;&gt;"",F114="Ready"),"Yes","No")</x:f>
        <x:v>No</x:v>
      </x:c>
      <x:c r="I114" s="11"/>
    </x:row>
    <x:row r="115" ht="38" customHeight="1">
      <x:c r="A115" s="30" t="str">
        <x:v>CL0111</x:v>
      </x:c>
      <x:c r="B115" s="30" t="str">
        <x:v>Other Question</x:v>
      </x:c>
      <x:c r="C115" s="31" t="str">
        <x:v>Any account to be created and why</x:v>
      </x:c>
      <x:c r="D115" s="32" t="n">
        <x:f>COUNTIF('All Questions'!$G$5:$G$1725,A115)</x:f>
        <x:v>1</x:v>
      </x:c>
      <x:c r="E115" s="11"/>
      <x:c r="F115" s="12" t="str">
        <x:v>Not Started</x:v>
      </x:c>
      <x:c r="G115" s="13"/>
      <x:c r="H115" s="30" t="str">
        <x:f>IF(AND(E115&lt;&gt;"",F115="Ready"),"Yes","No")</x:f>
        <x:v>No</x:v>
      </x:c>
      <x:c r="I115" s="11"/>
    </x:row>
    <x:row r="116" ht="38" customHeight="1">
      <x:c r="A116" s="30" t="str">
        <x:v>CL0112</x:v>
      </x:c>
      <x:c r="B116" s="30" t="str">
        <x:v>Valuation</x:v>
      </x:c>
      <x:c r="C116" s="31" t="str">
        <x:v>Any DCF work</x:v>
      </x:c>
      <x:c r="D116" s="32" t="n">
        <x:f>COUNTIF('All Questions'!$G$5:$G$1725,A116)</x:f>
        <x:v>1</x:v>
      </x:c>
      <x:c r="E116" s="11"/>
      <x:c r="F116" s="12" t="str">
        <x:v>Not Started</x:v>
      </x:c>
      <x:c r="G116" s="13"/>
      <x:c r="H116" s="30" t="str">
        <x:f>IF(AND(E116&lt;&gt;"",F116="Ready"),"Yes","No")</x:f>
        <x:v>No</x:v>
      </x:c>
      <x:c r="I116" s="11"/>
    </x:row>
    <x:row r="117" ht="38" customHeight="1">
      <x:c r="A117" s="30" t="str">
        <x:v>CL0113</x:v>
      </x:c>
      <x:c r="B117" s="30" t="str">
        <x:v>Resume &amp; Experience</x:v>
      </x:c>
      <x:c r="C117" s="31" t="str">
        <x:v>Any deal experiences</x:v>
      </x:c>
      <x:c r="D117" s="32" t="n">
        <x:f>COUNTIF('All Questions'!$G$5:$G$1725,A117)</x:f>
        <x:v>1</x:v>
      </x:c>
      <x:c r="E117" s="11"/>
      <x:c r="F117" s="12" t="str">
        <x:v>Not Started</x:v>
      </x:c>
      <x:c r="G117" s="13"/>
      <x:c r="H117" s="30" t="str">
        <x:f>IF(AND(E117&lt;&gt;"",F117="Ready"),"Yes","No")</x:f>
        <x:v>No</x:v>
      </x:c>
      <x:c r="I117" s="11"/>
    </x:row>
    <x:row r="118" ht="38" customHeight="1">
      <x:c r="A118" s="30" t="str">
        <x:v>CL0114</x:v>
      </x:c>
      <x:c r="B118" s="30" t="str">
        <x:v>Other Question</x:v>
      </x:c>
      <x:c r="C118" s="31" t="str">
        <x:v>Any example for working under stress</x:v>
      </x:c>
      <x:c r="D118" s="32" t="n">
        <x:f>COUNTIF('All Questions'!$G$5:$G$1725,A118)</x:f>
        <x:v>1</x:v>
      </x:c>
      <x:c r="E118" s="11"/>
      <x:c r="F118" s="12" t="str">
        <x:v>Not Started</x:v>
      </x:c>
      <x:c r="G118" s="13"/>
      <x:c r="H118" s="30" t="str">
        <x:f>IF(AND(E118&lt;&gt;"",F118="Ready"),"Yes","No")</x:f>
        <x:v>No</x:v>
      </x:c>
      <x:c r="I118" s="11"/>
    </x:row>
    <x:row r="119" ht="38" customHeight="1">
      <x:c r="A119" s="30" t="str">
        <x:v>CL0115</x:v>
      </x:c>
      <x:c r="B119" s="30" t="str">
        <x:v>Markets &amp; Macro</x:v>
      </x:c>
      <x:c r="C119" s="31" t="str">
        <x:v>Any exposure to china market</x:v>
      </x:c>
      <x:c r="D119" s="32" t="n">
        <x:f>COUNTIF('All Questions'!$G$5:$G$1725,A119)</x:f>
        <x:v>1</x:v>
      </x:c>
      <x:c r="E119" s="11"/>
      <x:c r="F119" s="12" t="str">
        <x:v>Not Started</x:v>
      </x:c>
      <x:c r="G119" s="13"/>
      <x:c r="H119" s="30" t="str">
        <x:f>IF(AND(E119&lt;&gt;"",F119="Ready"),"Yes","No")</x:f>
        <x:v>No</x:v>
      </x:c>
      <x:c r="I119" s="11"/>
    </x:row>
    <x:row r="120" ht="58" customHeight="1">
      <x:c r="A120" s="30" t="str">
        <x:v>CL0116</x:v>
      </x:c>
      <x:c r="B120" s="30" t="str">
        <x:v>Resume &amp; Experience</x:v>
      </x:c>
      <x:c r="C120" s="31" t="str">
        <x:v>Any IPO project experiences? Do you know anything about the HK IPO process? Like what documents to be submitted</x:v>
      </x:c>
      <x:c r="D120" s="32" t="n">
        <x:f>COUNTIF('All Questions'!$G$5:$G$1725,A120)</x:f>
        <x:v>1</x:v>
      </x:c>
      <x:c r="E120" s="11"/>
      <x:c r="F120" s="12" t="str">
        <x:v>Not Started</x:v>
      </x:c>
      <x:c r="G120" s="13"/>
      <x:c r="H120" s="30" t="str">
        <x:f>IF(AND(E120&lt;&gt;"",F120="Ready"),"Yes","No")</x:f>
        <x:v>No</x:v>
      </x:c>
      <x:c r="I120" s="11"/>
    </x:row>
    <x:row r="121" ht="38" customHeight="1">
      <x:c r="A121" s="30" t="str">
        <x:v>CL0117</x:v>
      </x:c>
      <x:c r="B121" s="30" t="str">
        <x:v>Company, Industry &amp; Deals</x:v>
      </x:c>
      <x:c r="C121" s="31" t="str">
        <x:v>Any other thesis to support this (industry trend)</x:v>
      </x:c>
      <x:c r="D121" s="32" t="n">
        <x:f>COUNTIF('All Questions'!$G$5:$G$1725,A121)</x:f>
        <x:v>1</x:v>
      </x:c>
      <x:c r="E121" s="11"/>
      <x:c r="F121" s="12" t="str">
        <x:v>Not Started</x:v>
      </x:c>
      <x:c r="G121" s="13"/>
      <x:c r="H121" s="30" t="str">
        <x:f>IF(AND(E121&lt;&gt;"",F121="Ready"),"Yes","No")</x:f>
        <x:v>No</x:v>
      </x:c>
      <x:c r="I121" s="11"/>
    </x:row>
    <x:row r="122" ht="38" customHeight="1">
      <x:c r="A122" s="30" t="str">
        <x:v>CL0118</x:v>
      </x:c>
      <x:c r="B122" s="30" t="str">
        <x:v>Valuation</x:v>
      </x:c>
      <x:c r="C122" s="31" t="str">
        <x:v>Any other valuation method aside dcf</x:v>
      </x:c>
      <x:c r="D122" s="32" t="n">
        <x:f>COUNTIF('All Questions'!$G$5:$G$1725,A122)</x:f>
        <x:v>1</x:v>
      </x:c>
      <x:c r="E122" s="11"/>
      <x:c r="F122" s="12" t="str">
        <x:v>Not Started</x:v>
      </x:c>
      <x:c r="G122" s="13"/>
      <x:c r="H122" s="30" t="str">
        <x:f>IF(AND(E122&lt;&gt;"",F122="Ready"),"Yes","No")</x:f>
        <x:v>No</x:v>
      </x:c>
      <x:c r="I122" s="11"/>
    </x:row>
    <x:row r="123" ht="38" customHeight="1">
      <x:c r="A123" s="30" t="str">
        <x:v>CL0119</x:v>
      </x:c>
      <x:c r="B123" s="30" t="str">
        <x:v>Other Question</x:v>
      </x:c>
      <x:c r="C123" s="31" t="str">
        <x:v>Any preference for the particular asset class or roles</x:v>
      </x:c>
      <x:c r="D123" s="32" t="n">
        <x:f>COUNTIF('All Questions'!$G$5:$G$1725,A123)</x:f>
        <x:v>1</x:v>
      </x:c>
      <x:c r="E123" s="11"/>
      <x:c r="F123" s="12" t="str">
        <x:v>Not Started</x:v>
      </x:c>
      <x:c r="G123" s="13"/>
      <x:c r="H123" s="30" t="str">
        <x:f>IF(AND(E123&lt;&gt;"",F123="Ready"),"Yes","No")</x:f>
        <x:v>No</x:v>
      </x:c>
      <x:c r="I123" s="11"/>
    </x:row>
    <x:row r="124" ht="58" customHeight="1">
      <x:c r="A124" s="30" t="str">
        <x:v>CL0120</x:v>
      </x:c>
      <x:c r="B124" s="30" t="str">
        <x:v>Valuation</x:v>
      </x:c>
      <x:c r="C124" s="31" t="str">
        <x:v>Any protection if indian premium collapse in the future, how would you plan to save the valuation</x:v>
      </x:c>
      <x:c r="D124" s="32" t="n">
        <x:f>COUNTIF('All Questions'!$G$5:$G$1725,A124)</x:f>
        <x:v>1</x:v>
      </x:c>
      <x:c r="E124" s="11"/>
      <x:c r="F124" s="12" t="str">
        <x:v>Not Started</x:v>
      </x:c>
      <x:c r="G124" s="13"/>
      <x:c r="H124" s="30" t="str">
        <x:f>IF(AND(E124&lt;&gt;"",F124="Ready"),"Yes","No")</x:f>
        <x:v>No</x:v>
      </x:c>
      <x:c r="I124" s="11"/>
    </x:row>
    <x:row r="125" ht="38" customHeight="1">
      <x:c r="A125" s="30" t="str">
        <x:v>CL0121</x:v>
      </x:c>
      <x:c r="B125" s="30" t="str">
        <x:v>Other Question</x:v>
      </x:c>
      <x:c r="C125" s="31" t="str">
        <x:v>Any recent market trends that catch your attention</x:v>
      </x:c>
      <x:c r="D125" s="32" t="n">
        <x:f>COUNTIF('All Questions'!$G$5:$G$1725,A125)</x:f>
        <x:v>1</x:v>
      </x:c>
      <x:c r="E125" s="11"/>
      <x:c r="F125" s="12" t="str">
        <x:v>Not Started</x:v>
      </x:c>
      <x:c r="G125" s="13"/>
      <x:c r="H125" s="30" t="str">
        <x:f>IF(AND(E125&lt;&gt;"",F125="Ready"),"Yes","No")</x:f>
        <x:v>No</x:v>
      </x:c>
      <x:c r="I125" s="11"/>
    </x:row>
    <x:row r="126" ht="38" customHeight="1">
      <x:c r="A126" s="30" t="str">
        <x:v>CL0122</x:v>
      </x:c>
      <x:c r="B126" s="30" t="str">
        <x:v>Valuation</x:v>
      </x:c>
      <x:c r="C126" s="31" t="str">
        <x:v>Any sanity check after comps</x:v>
      </x:c>
      <x:c r="D126" s="32" t="n">
        <x:f>COUNTIF('All Questions'!$G$5:$G$1725,A126)</x:f>
        <x:v>1</x:v>
      </x:c>
      <x:c r="E126" s="11"/>
      <x:c r="F126" s="12" t="str">
        <x:v>Not Started</x:v>
      </x:c>
      <x:c r="G126" s="13"/>
      <x:c r="H126" s="30" t="str">
        <x:f>IF(AND(E126&lt;&gt;"",F126="Ready"),"Yes","No")</x:f>
        <x:v>No</x:v>
      </x:c>
      <x:c r="I126" s="11"/>
    </x:row>
    <x:row r="127" ht="38" customHeight="1">
      <x:c r="A127" s="30" t="str">
        <x:v>CL0123</x:v>
      </x:c>
      <x:c r="B127" s="30" t="str">
        <x:v>Company, Industry &amp; Deals</x:v>
      </x:c>
      <x:c r="C127" s="31" t="str">
        <x:v>Any sectors with opportunities</x:v>
      </x:c>
      <x:c r="D127" s="32" t="n">
        <x:f>COUNTIF('All Questions'!$G$5:$G$1725,A127)</x:f>
        <x:v>1</x:v>
      </x:c>
      <x:c r="E127" s="11"/>
      <x:c r="F127" s="12" t="str">
        <x:v>Not Started</x:v>
      </x:c>
      <x:c r="G127" s="13"/>
      <x:c r="H127" s="30" t="str">
        <x:f>IF(AND(E127&lt;&gt;"",F127="Ready"),"Yes","No")</x:f>
        <x:v>No</x:v>
      </x:c>
      <x:c r="I127" s="11"/>
    </x:row>
    <x:row r="128" ht="80" customHeight="1">
      <x:c r="A128" s="30" t="str">
        <x:v>CL0124</x:v>
      </x:c>
      <x:c r="B128" s="30" t="str">
        <x:v>Accounting &amp; Financial Statements</x:v>
      </x:c>
      <x:c r="C128" s="31" t="str">
        <x:v>Any special considerations shen acquiring a hk-listed company (i bs about premium, she said shes looking into the more practical legal regulations for takeover in hk)</x:v>
      </x:c>
      <x:c r="D128" s="32" t="n">
        <x:f>COUNTIF('All Questions'!$G$5:$G$1725,A128)</x:f>
        <x:v>1</x:v>
      </x:c>
      <x:c r="E128" s="11"/>
      <x:c r="F128" s="12" t="str">
        <x:v>Not Started</x:v>
      </x:c>
      <x:c r="G128" s="13"/>
      <x:c r="H128" s="30" t="str">
        <x:f>IF(AND(E128&lt;&gt;"",F128="Ready"),"Yes","No")</x:f>
        <x:v>No</x:v>
      </x:c>
      <x:c r="I128" s="11"/>
    </x:row>
    <x:row r="129" ht="38" customHeight="1">
      <x:c r="A129" s="30" t="str">
        <x:v>CL0125</x:v>
      </x:c>
      <x:c r="B129" s="30" t="str">
        <x:v>Fit &amp; Motivation</x:v>
      </x:c>
      <x:c r="C129" s="31" t="str">
        <x:v>Any team preference, why</x:v>
      </x:c>
      <x:c r="D129" s="32" t="n">
        <x:f>COUNTIF('All Questions'!$G$5:$G$1725,A129)</x:f>
        <x:v>1</x:v>
      </x:c>
      <x:c r="E129" s="11"/>
      <x:c r="F129" s="12" t="str">
        <x:v>Not Started</x:v>
      </x:c>
      <x:c r="G129" s="13"/>
      <x:c r="H129" s="30" t="str">
        <x:f>IF(AND(E129&lt;&gt;"",F129="Ready"),"Yes","No")</x:f>
        <x:v>No</x:v>
      </x:c>
      <x:c r="I129" s="11"/>
    </x:row>
    <x:row r="130" ht="38" customHeight="1">
      <x:c r="A130" s="30" t="str">
        <x:v>CL0126</x:v>
      </x:c>
      <x:c r="B130" s="30" t="str">
        <x:v>Sales &amp; Trading</x:v>
      </x:c>
      <x:c r="C130" s="31" t="str">
        <x:v>Any trading ideas about the market now</x:v>
      </x:c>
      <x:c r="D130" s="32" t="n">
        <x:f>COUNTIF('All Questions'!$G$5:$G$1725,A130)</x:f>
        <x:v>1</x:v>
      </x:c>
      <x:c r="E130" s="11"/>
      <x:c r="F130" s="12" t="str">
        <x:v>Not Started</x:v>
      </x:c>
      <x:c r="G130" s="13"/>
      <x:c r="H130" s="30" t="str">
        <x:f>IF(AND(E130&lt;&gt;"",F130="Ready"),"Yes","No")</x:f>
        <x:v>No</x:v>
      </x:c>
      <x:c r="I130" s="11"/>
    </x:row>
    <x:row r="131" ht="38" customHeight="1">
      <x:c r="A131" s="30" t="str">
        <x:v>CL0127</x:v>
      </x:c>
      <x:c r="B131" s="30" t="str">
        <x:v>Sales &amp; Trading</x:v>
      </x:c>
      <x:c r="C131" s="31" t="str">
        <x:v>Any trading ideas now? Any market/asset class/single stock</x:v>
      </x:c>
      <x:c r="D131" s="32" t="n">
        <x:f>COUNTIF('All Questions'!$G$5:$G$1725,A131)</x:f>
        <x:v>1</x:v>
      </x:c>
      <x:c r="E131" s="11"/>
      <x:c r="F131" s="12" t="str">
        <x:v>Not Started</x:v>
      </x:c>
      <x:c r="G131" s="13"/>
      <x:c r="H131" s="30" t="str">
        <x:f>IF(AND(E131&lt;&gt;"",F131="Ready"),"Yes","No")</x:f>
        <x:v>No</x:v>
      </x:c>
      <x:c r="I131" s="11"/>
    </x:row>
    <x:row r="132" ht="38" customHeight="1">
      <x:c r="A132" s="30" t="str">
        <x:v>CL0128</x:v>
      </x:c>
      <x:c r="B132" s="30" t="str">
        <x:v>Resume &amp; Experience</x:v>
      </x:c>
      <x:c r="C132" s="31" t="str">
        <x:v>Any valuation experience</x:v>
      </x:c>
      <x:c r="D132" s="32" t="n">
        <x:f>COUNTIF('All Questions'!$G$5:$G$1725,A132)</x:f>
        <x:v>1</x:v>
      </x:c>
      <x:c r="E132" s="11"/>
      <x:c r="F132" s="12" t="str">
        <x:v>Not Started</x:v>
      </x:c>
      <x:c r="G132" s="13"/>
      <x:c r="H132" s="30" t="str">
        <x:f>IF(AND(E132&lt;&gt;"",F132="Ready"),"Yes","No")</x:f>
        <x:v>No</x:v>
      </x:c>
      <x:c r="I132" s="11"/>
    </x:row>
    <x:row r="133" ht="38" customHeight="1">
      <x:c r="A133" s="30" t="str">
        <x:v>CL0129</x:v>
      </x:c>
      <x:c r="B133" s="30" t="str">
        <x:v>Resume &amp; Experience</x:v>
      </x:c>
      <x:c r="C133" s="31" t="str">
        <x:v>Anything you could have done better in your Nomura internship</x:v>
      </x:c>
      <x:c r="D133" s="32" t="n">
        <x:f>COUNTIF('All Questions'!$G$5:$G$1725,A133)</x:f>
        <x:v>1</x:v>
      </x:c>
      <x:c r="E133" s="11"/>
      <x:c r="F133" s="12" t="str">
        <x:v>Not Started</x:v>
      </x:c>
      <x:c r="G133" s="13"/>
      <x:c r="H133" s="30" t="str">
        <x:f>IF(AND(E133&lt;&gt;"",F133="Ready"),"Yes","No")</x:f>
        <x:v>No</x:v>
      </x:c>
      <x:c r="I133" s="11"/>
    </x:row>
    <x:row r="134" ht="38" customHeight="1">
      <x:c r="A134" s="30" t="str">
        <x:v>CL0130</x:v>
      </x:c>
      <x:c r="B134" s="30" t="str">
        <x:v>Resume &amp; Experience</x:v>
      </x:c>
      <x:c r="C134" s="31" t="str">
        <x:v>Anything you particularly want to highlight on your CV</x:v>
      </x:c>
      <x:c r="D134" s="32" t="n">
        <x:f>COUNTIF('All Questions'!$G$5:$G$1725,A134)</x:f>
        <x:v>1</x:v>
      </x:c>
      <x:c r="E134" s="11"/>
      <x:c r="F134" s="12" t="str">
        <x:v>Not Started</x:v>
      </x:c>
      <x:c r="G134" s="13"/>
      <x:c r="H134" s="30" t="str">
        <x:f>IF(AND(E134&lt;&gt;"",F134="Ready"),"Yes","No")</x:f>
        <x:v>No</x:v>
      </x:c>
      <x:c r="I134" s="11"/>
    </x:row>
    <x:row r="135" ht="38" customHeight="1">
      <x:c r="A135" s="30" t="str">
        <x:v>CL0131</x:v>
      </x:c>
      <x:c r="B135" s="30" t="str">
        <x:v>Resume &amp; Experience</x:v>
      </x:c>
      <x:c r="C135" s="31" t="str">
        <x:v>Anything you would like to tell me thats not on your CV</x:v>
      </x:c>
      <x:c r="D135" s="32" t="n">
        <x:f>COUNTIF('All Questions'!$G$5:$G$1725,A135)</x:f>
        <x:v>1</x:v>
      </x:c>
      <x:c r="E135" s="11"/>
      <x:c r="F135" s="12" t="str">
        <x:v>Not Started</x:v>
      </x:c>
      <x:c r="G135" s="13"/>
      <x:c r="H135" s="30" t="str">
        <x:f>IF(AND(E135&lt;&gt;"",F135="Ready"),"Yes","No")</x:f>
        <x:v>No</x:v>
      </x:c>
      <x:c r="I135" s="11"/>
    </x:row>
    <x:row r="136" ht="38" customHeight="1">
      <x:c r="A136" s="30" t="str">
        <x:v>CL0132</x:v>
      </x:c>
      <x:c r="B136" s="30" t="str">
        <x:v>Fit &amp; Motivation</x:v>
      </x:c>
      <x:c r="C136" s="31" t="str">
        <x:v>Are u native mainland Chinese</x:v>
      </x:c>
      <x:c r="D136" s="32" t="n">
        <x:f>COUNTIF('All Questions'!$G$5:$G$1725,A136)</x:f>
        <x:v>1</x:v>
      </x:c>
      <x:c r="E136" s="11"/>
      <x:c r="F136" s="12" t="str">
        <x:v>Not Started</x:v>
      </x:c>
      <x:c r="G136" s="13"/>
      <x:c r="H136" s="30" t="str">
        <x:f>IF(AND(E136&lt;&gt;"",F136="Ready"),"Yes","No")</x:f>
        <x:v>No</x:v>
      </x:c>
      <x:c r="I136" s="11"/>
    </x:row>
    <x:row r="137" ht="38" customHeight="1">
      <x:c r="A137" s="30" t="str">
        <x:v>CL0133</x:v>
      </x:c>
      <x:c r="B137" s="30" t="str">
        <x:v>Other Question</x:v>
      </x:c>
      <x:c r="C137" s="31" t="str">
        <x:v>Are you born and raised in hk</x:v>
      </x:c>
      <x:c r="D137" s="32" t="n">
        <x:f>COUNTIF('All Questions'!$G$5:$G$1725,A137)</x:f>
        <x:v>1</x:v>
      </x:c>
      <x:c r="E137" s="11"/>
      <x:c r="F137" s="12" t="str">
        <x:v>Not Started</x:v>
      </x:c>
      <x:c r="G137" s="13"/>
      <x:c r="H137" s="30" t="str">
        <x:f>IF(AND(E137&lt;&gt;"",F137="Ready"),"Yes","No")</x:f>
        <x:v>No</x:v>
      </x:c>
      <x:c r="I137" s="11"/>
    </x:row>
    <x:row r="138" ht="38" customHeight="1">
      <x:c r="A138" s="30" t="str">
        <x:v>CL0134</x:v>
      </x:c>
      <x:c r="B138" s="30" t="str">
        <x:v>Valuation</x:v>
      </x:c>
      <x:c r="C138" s="31" t="str">
        <x:v>Are you familiar with company valuation</x:v>
      </x:c>
      <x:c r="D138" s="32" t="n">
        <x:f>COUNTIF('All Questions'!$G$5:$G$1725,A138)</x:f>
        <x:v>1</x:v>
      </x:c>
      <x:c r="E138" s="11"/>
      <x:c r="F138" s="12" t="str">
        <x:v>Not Started</x:v>
      </x:c>
      <x:c r="G138" s="13"/>
      <x:c r="H138" s="30" t="str">
        <x:f>IF(AND(E138&lt;&gt;"",F138="Ready"),"Yes","No")</x:f>
        <x:v>No</x:v>
      </x:c>
      <x:c r="I138" s="11"/>
    </x:row>
    <x:row r="139" ht="38" customHeight="1">
      <x:c r="A139" s="30" t="str">
        <x:v>CL0135</x:v>
      </x:c>
      <x:c r="B139" s="30" t="str">
        <x:v>Other Question</x:v>
      </x:c>
      <x:c r="C139" s="31" t="str">
        <x:v>Are you from Shanghai</x:v>
      </x:c>
      <x:c r="D139" s="32" t="n">
        <x:f>COUNTIF('All Questions'!$G$5:$G$1725,A139)</x:f>
        <x:v>1</x:v>
      </x:c>
      <x:c r="E139" s="11"/>
      <x:c r="F139" s="12" t="str">
        <x:v>Not Started</x:v>
      </x:c>
      <x:c r="G139" s="13"/>
      <x:c r="H139" s="30" t="str">
        <x:f>IF(AND(E139&lt;&gt;"",F139="Ready"),"Yes","No")</x:f>
        <x:v>No</x:v>
      </x:c>
      <x:c r="I139" s="11"/>
    </x:row>
    <x:row r="140" ht="38" customHeight="1">
      <x:c r="A140" s="30" t="str">
        <x:v>CL0136</x:v>
      </x:c>
      <x:c r="B140" s="30" t="str">
        <x:v>Other Technical</x:v>
      </x:c>
      <x:c r="C140" s="31" t="str">
        <x:v>Are you good at math &amp; coding</x:v>
      </x:c>
      <x:c r="D140" s="32" t="n">
        <x:f>COUNTIF('All Questions'!$G$5:$G$1725,A140)</x:f>
        <x:v>1</x:v>
      </x:c>
      <x:c r="E140" s="11"/>
      <x:c r="F140" s="12" t="str">
        <x:v>Not Started</x:v>
      </x:c>
      <x:c r="G140" s="13"/>
      <x:c r="H140" s="30" t="str">
        <x:f>IF(AND(E140&lt;&gt;"",F140="Ready"),"Yes","No")</x:f>
        <x:v>No</x:v>
      </x:c>
      <x:c r="I140" s="11"/>
    </x:row>
    <x:row r="141" ht="38" customHeight="1">
      <x:c r="A141" s="30" t="str">
        <x:v>CL0137</x:v>
      </x:c>
      <x:c r="B141" s="30" t="str">
        <x:v>Accounting &amp; Financial Statements</x:v>
      </x:c>
      <x:c r="C141" s="31" t="str">
        <x:v>Are you sure NI is positive</x:v>
      </x:c>
      <x:c r="D141" s="32" t="n">
        <x:f>COUNTIF('All Questions'!$G$5:$G$1725,A141)</x:f>
        <x:v>1</x:v>
      </x:c>
      <x:c r="E141" s="11"/>
      <x:c r="F141" s="12" t="str">
        <x:v>Not Started</x:v>
      </x:c>
      <x:c r="G141" s="13"/>
      <x:c r="H141" s="30" t="str">
        <x:f>IF(AND(E141&lt;&gt;"",F141="Ready"),"Yes","No")</x:f>
        <x:v>No</x:v>
      </x:c>
      <x:c r="I141" s="11"/>
    </x:row>
    <x:row r="142" ht="58" customHeight="1">
      <x:c r="A142" s="30" t="str">
        <x:v>CL0138</x:v>
      </x:c>
      <x:c r="B142" s="30" t="str">
        <x:v>Fit &amp; Motivation</x:v>
      </x:c>
      <x:c r="C142" s="31" t="str">
        <x:v>Around 7 minutes of conversation afterwards on her M&amp;A experience and I said I also wanna do M&amp;A and she asked why and stuff</x:v>
      </x:c>
      <x:c r="D142" s="32" t="n">
        <x:f>COUNTIF('All Questions'!$G$5:$G$1725,A142)</x:f>
        <x:v>1</x:v>
      </x:c>
      <x:c r="E142" s="11"/>
      <x:c r="F142" s="12" t="str">
        <x:v>Not Started</x:v>
      </x:c>
      <x:c r="G142" s="13"/>
      <x:c r="H142" s="30" t="str">
        <x:f>IF(AND(E142&lt;&gt;"",F142="Ready"),"Yes","No")</x:f>
        <x:v>No</x:v>
      </x:c>
      <x:c r="I142" s="11"/>
    </x:row>
    <x:row r="143" ht="58" customHeight="1">
      <x:c r="A143" s="30" t="str">
        <x:v>CL0139</x:v>
      </x:c>
      <x:c r="B143" s="30" t="str">
        <x:v>Capital Markets &amp; Financing</x:v>
      </x:c>
      <x:c r="C143" s="31" t="str">
        <x:v>As for last question I all talked about M&amp;A stuff so he asked me to talk about the IPO market as well</x:v>
      </x:c>
      <x:c r="D143" s="32" t="n">
        <x:f>COUNTIF('All Questions'!$G$5:$G$1725,A143)</x:f>
        <x:v>1</x:v>
      </x:c>
      <x:c r="E143" s="11"/>
      <x:c r="F143" s="12" t="str">
        <x:v>Not Started</x:v>
      </x:c>
      <x:c r="G143" s="13"/>
      <x:c r="H143" s="30" t="str">
        <x:f>IF(AND(E143&lt;&gt;"",F143="Ready"),"Yes","No")</x:f>
        <x:v>No</x:v>
      </x:c>
      <x:c r="I143" s="11"/>
    </x:row>
    <x:row r="144" ht="58" customHeight="1">
      <x:c r="A144" s="30" t="str">
        <x:v>CL0140</x:v>
      </x:c>
      <x:c r="B144" s="30" t="str">
        <x:v>Resume &amp; Experience</x:v>
      </x:c>
      <x:c r="C144" s="31" t="str">
        <x:v>As most of the technical Qs are covered by the 1st round, this part didn’t involve pure tech, but very experience-driven</x:v>
      </x:c>
      <x:c r="D144" s="32" t="n">
        <x:f>COUNTIF('All Questions'!$G$5:$G$1725,A144)</x:f>
        <x:v>1</x:v>
      </x:c>
      <x:c r="E144" s="11"/>
      <x:c r="F144" s="12" t="str">
        <x:v>Not Started</x:v>
      </x:c>
      <x:c r="G144" s="13"/>
      <x:c r="H144" s="30" t="str">
        <x:f>IF(AND(E144&lt;&gt;"",F144="Ready"),"Yes","No")</x:f>
        <x:v>No</x:v>
      </x:c>
      <x:c r="I144" s="11"/>
    </x:row>
    <x:row r="145" ht="80" customHeight="1">
      <x:c r="A145" s="30" t="str">
        <x:v>CL0141</x:v>
      </x:c>
      <x:c r="B145" s="30" t="str">
        <x:v>Fit &amp; Motivation</x:v>
      </x:c>
      <x:c r="C145" s="31" t="str">
        <x:v>As you can see, you are in the same round as two Masters student, and usually the superday applicant pool is full of people with direct ibd experience already but you don't have a lot, why should MS pick you</x:v>
      </x:c>
      <x:c r="D145" s="32" t="n">
        <x:f>COUNTIF('All Questions'!$G$5:$G$1725,A145)</x:f>
        <x:v>1</x:v>
      </x:c>
      <x:c r="E145" s="11"/>
      <x:c r="F145" s="12" t="str">
        <x:v>Not Started</x:v>
      </x:c>
      <x:c r="G145" s="13"/>
      <x:c r="H145" s="30" t="str">
        <x:f>IF(AND(E145&lt;&gt;"",F145="Ready"),"Yes","No")</x:f>
        <x:v>No</x:v>
      </x:c>
      <x:c r="I145" s="11"/>
    </x:row>
    <x:row r="146" ht="38" customHeight="1">
      <x:c r="A146" s="30" t="str">
        <x:v>CL0142</x:v>
      </x:c>
      <x:c r="B146" s="30" t="str">
        <x:v>Resume &amp; Experience</x:v>
      </x:c>
      <x:c r="C146" s="31" t="str">
        <x:v>Ask what I do and the deals for each internship</x:v>
      </x:c>
      <x:c r="D146" s="32" t="n">
        <x:f>COUNTIF('All Questions'!$G$5:$G$1725,A146)</x:f>
        <x:v>1</x:v>
      </x:c>
      <x:c r="E146" s="11"/>
      <x:c r="F146" s="12" t="str">
        <x:v>Not Started</x:v>
      </x:c>
      <x:c r="G146" s="13"/>
      <x:c r="H146" s="30" t="str">
        <x:f>IF(AND(E146&lt;&gt;"",F146="Ready"),"Yes","No")</x:f>
        <x:v>No</x:v>
      </x:c>
      <x:c r="I146" s="11"/>
    </x:row>
    <x:row r="147" ht="58" customHeight="1">
      <x:c r="A147" s="30" t="str">
        <x:v>CL0143</x:v>
      </x:c>
      <x:c r="B147" s="30" t="str">
        <x:v>Resume &amp; Experience</x:v>
      </x:c>
      <x:c r="C147" s="31" t="str">
        <x:v>Asked a lot about CV, especially the mainland security firm experience (cuz of her background from mainland)</x:v>
      </x:c>
      <x:c r="D147" s="32" t="n">
        <x:f>COUNTIF('All Questions'!$G$5:$G$1725,A147)</x:f>
        <x:v>1</x:v>
      </x:c>
      <x:c r="E147" s="11"/>
      <x:c r="F147" s="12" t="str">
        <x:v>Not Started</x:v>
      </x:c>
      <x:c r="G147" s="13"/>
      <x:c r="H147" s="30" t="str">
        <x:f>IF(AND(E147&lt;&gt;"",F147="Ready"),"Yes","No")</x:f>
        <x:v>No</x:v>
      </x:c>
      <x:c r="I147" s="11"/>
    </x:row>
    <x:row r="148" ht="38" customHeight="1">
      <x:c r="A148" s="30" t="str">
        <x:v>CL0144</x:v>
      </x:c>
      <x:c r="B148" s="30" t="str">
        <x:v>Resume &amp; Experience</x:v>
      </x:c>
      <x:c r="C148" s="31" t="str">
        <x:v>Asked about my view on HK IPOs, as I wrote about A1 filings in my current experience</x:v>
      </x:c>
      <x:c r="D148" s="32" t="n">
        <x:f>COUNTIF('All Questions'!$G$5:$G$1725,A148)</x:f>
        <x:v>1</x:v>
      </x:c>
      <x:c r="E148" s="11"/>
      <x:c r="F148" s="12" t="str">
        <x:v>Not Started</x:v>
      </x:c>
      <x:c r="G148" s="13"/>
      <x:c r="H148" s="30" t="str">
        <x:f>IF(AND(E148&lt;&gt;"",F148="Ready"),"Yes","No")</x:f>
        <x:v>No</x:v>
      </x:c>
      <x:c r="I148" s="11"/>
    </x:row>
    <x:row r="149" ht="38" customHeight="1">
      <x:c r="A149" s="30" t="str">
        <x:v>CL0145</x:v>
      </x:c>
      <x:c r="B149" s="30" t="str">
        <x:v>Other Question</x:v>
      </x:c>
      <x:c r="C149" s="31" t="str">
        <x:v>Asked about something related to AMPB??? dont remember if she did</x:v>
      </x:c>
      <x:c r="D149" s="32" t="n">
        <x:f>COUNTIF('All Questions'!$G$5:$G$1725,A149)</x:f>
        <x:v>1</x:v>
      </x:c>
      <x:c r="E149" s="11"/>
      <x:c r="F149" s="12" t="str">
        <x:v>Not Started</x:v>
      </x:c>
      <x:c r="G149" s="13"/>
      <x:c r="H149" s="30" t="str">
        <x:f>IF(AND(E149&lt;&gt;"",F149="Ready"),"Yes","No")</x:f>
        <x:v>No</x:v>
      </x:c>
      <x:c r="I149" s="11"/>
    </x:row>
    <x:row r="150" ht="58" customHeight="1">
      <x:c r="A150" s="30" t="str">
        <x:v>CL0146</x:v>
      </x:c>
      <x:c r="B150" s="30" t="str">
        <x:v>Resume &amp; Experience</x:v>
      </x:c>
      <x:c r="C150" s="31" t="str">
        <x:v>Asked about 我CV最底部的一個社團經驗 問我當時比亞迪的DCF build了啥 還有我target price跟driver之類的 太久了我一點也不記得 and asked about how's BYD currently doing</x:v>
      </x:c>
      <x:c r="D150" s="32" t="n">
        <x:f>COUNTIF('All Questions'!$G$5:$G$1725,A150)</x:f>
        <x:v>1</x:v>
      </x:c>
      <x:c r="E150" s="11"/>
      <x:c r="F150" s="12" t="str">
        <x:v>Not Started</x:v>
      </x:c>
      <x:c r="G150" s="13"/>
      <x:c r="H150" s="30" t="str">
        <x:f>IF(AND(E150&lt;&gt;"",F150="Ready"),"Yes","No")</x:f>
        <x:v>No</x:v>
      </x:c>
      <x:c r="I150" s="11"/>
    </x:row>
    <x:row r="151" ht="58" customHeight="1">
      <x:c r="A151" s="30" t="str">
        <x:v>CL0147</x:v>
      </x:c>
      <x:c r="B151" s="30" t="str">
        <x:v>Resume &amp; Experience</x:v>
      </x:c>
      <x:c r="C151" s="31" t="str">
        <x:v>Asked back what kind of skill sets / characters are required for DCM, compared to my previous internships // compare the Debt market with PEVCIBD</x:v>
      </x:c>
      <x:c r="D151" s="32" t="n">
        <x:f>COUNTIF('All Questions'!$G$5:$G$1725,A151)</x:f>
        <x:v>1</x:v>
      </x:c>
      <x:c r="E151" s="11"/>
      <x:c r="F151" s="12" t="str">
        <x:v>Not Started</x:v>
      </x:c>
      <x:c r="G151" s="13"/>
      <x:c r="H151" s="30" t="str">
        <x:f>IF(AND(E151&lt;&gt;"",F151="Ready"),"Yes","No")</x:f>
        <x:v>No</x:v>
      </x:c>
      <x:c r="I151" s="11"/>
    </x:row>
    <x:row r="152" ht="38" customHeight="1">
      <x:c r="A152" s="30" t="str">
        <x:v>CL0148</x:v>
      </x:c>
      <x:c r="B152" s="30" t="str">
        <x:v>Fit &amp; Motivation</x:v>
      </x:c>
      <x:c r="C152" s="31" t="str">
        <x:v>Asset allocation (client profile is the interviewer himself)</x:v>
      </x:c>
      <x:c r="D152" s="32" t="n">
        <x:f>COUNTIF('All Questions'!$G$5:$G$1725,A152)</x:f>
        <x:v>1</x:v>
      </x:c>
      <x:c r="E152" s="11"/>
      <x:c r="F152" s="12" t="str">
        <x:v>Not Started</x:v>
      </x:c>
      <x:c r="G152" s="13"/>
      <x:c r="H152" s="30" t="str">
        <x:f>IF(AND(E152&lt;&gt;"",F152="Ready"),"Yes","No")</x:f>
        <x:v>No</x:v>
      </x:c>
      <x:c r="I152" s="11"/>
    </x:row>
    <x:row r="153" ht="38" customHeight="1">
      <x:c r="A153" s="30" t="str">
        <x:v>CL0149</x:v>
      </x:c>
      <x:c r="B153" s="30" t="str">
        <x:v>Fit &amp; Motivation</x:v>
      </x:c>
      <x:c r="C153" s="31" t="str">
        <x:v>Asset allocation question</x:v>
      </x:c>
      <x:c r="D153" s="32" t="n">
        <x:f>COUNTIF('All Questions'!$G$5:$G$1725,A153)</x:f>
        <x:v>1</x:v>
      </x:c>
      <x:c r="E153" s="11"/>
      <x:c r="F153" s="12" t="str">
        <x:v>Not Started</x:v>
      </x:c>
      <x:c r="G153" s="13"/>
      <x:c r="H153" s="30" t="str">
        <x:f>IF(AND(E153&lt;&gt;"",F153="Ready"),"Yes","No")</x:f>
        <x:v>No</x:v>
      </x:c>
      <x:c r="I153" s="11"/>
    </x:row>
    <x:row r="154" ht="38" customHeight="1">
      <x:c r="A154" s="30" t="str">
        <x:v>CL0150</x:v>
      </x:c>
      <x:c r="B154" s="30" t="str">
        <x:v>Accounting &amp; Financial Statements</x:v>
      </x:c>
      <x:c r="C154" s="31" t="str">
        <x:v>Asset writedown 100, 3 statement</x:v>
      </x:c>
      <x:c r="D154" s="32" t="n">
        <x:f>COUNTIF('All Questions'!$G$5:$G$1725,A154)</x:f>
        <x:v>1</x:v>
      </x:c>
      <x:c r="E154" s="11"/>
      <x:c r="F154" s="12" t="str">
        <x:v>Not Started</x:v>
      </x:c>
      <x:c r="G154" s="13"/>
      <x:c r="H154" s="30" t="str">
        <x:f>IF(AND(E154&lt;&gt;"",F154="Ready"),"Yes","No")</x:f>
        <x:v>No</x:v>
      </x:c>
      <x:c r="I154" s="11"/>
    </x:row>
    <x:row r="155" ht="58" customHeight="1">
      <x:c r="A155" s="30" t="str">
        <x:v>CL0151</x:v>
      </x:c>
      <x:c r="B155" s="30" t="str">
        <x:v>Company, Industry &amp; Deals</x:v>
      </x:c>
      <x:c r="C155" s="31" t="str">
        <x:v>Assume I'm comparing two companies - one of them has a lot of D&amp;A while another doesn't - should I use EV/EBITDA or EV/EBIT</x:v>
      </x:c>
      <x:c r="D155" s="32" t="n">
        <x:f>COUNTIF('All Questions'!$G$5:$G$1725,A155)</x:f>
        <x:v>1</x:v>
      </x:c>
      <x:c r="E155" s="11"/>
      <x:c r="F155" s="12" t="str">
        <x:v>Not Started</x:v>
      </x:c>
      <x:c r="G155" s="13"/>
      <x:c r="H155" s="30" t="str">
        <x:f>IF(AND(E155&lt;&gt;"",F155="Ready"),"Yes","No")</x:f>
        <x:v>No</x:v>
      </x:c>
      <x:c r="I155" s="11"/>
    </x:row>
    <x:row r="156" ht="58" customHeight="1">
      <x:c r="A156" s="30" t="str">
        <x:v>CL0152</x:v>
      </x:c>
      <x:c r="B156" s="30" t="str">
        <x:v>Valuation</x:v>
      </x:c>
      <x:c r="C156" s="31" t="str">
        <x:v>B2B payment pre ipo: Tell me about industry, investment highlights, how you did trading comps, what are the competitors you chose</x:v>
      </x:c>
      <x:c r="D156" s="32" t="n">
        <x:f>COUNTIF('All Questions'!$G$5:$G$1725,A156)</x:f>
        <x:v>1</x:v>
      </x:c>
      <x:c r="E156" s="11"/>
      <x:c r="F156" s="12" t="str">
        <x:v>Not Started</x:v>
      </x:c>
      <x:c r="G156" s="13"/>
      <x:c r="H156" s="30" t="str">
        <x:f>IF(AND(E156&lt;&gt;"",F156="Ready"),"Yes","No")</x:f>
        <x:v>No</x:v>
      </x:c>
      <x:c r="I156" s="11"/>
    </x:row>
    <x:row r="157" ht="38" customHeight="1">
      <x:c r="A157" s="30" t="str">
        <x:v>CL0153</x:v>
      </x:c>
      <x:c r="B157" s="30" t="str">
        <x:v>Resume &amp; Experience</x:v>
      </x:c>
      <x:c r="C157" s="31" t="str">
        <x:v>Background questions: where are you from? Where you grew up in</x:v>
      </x:c>
      <x:c r="D157" s="32" t="n">
        <x:f>COUNTIF('All Questions'!$G$5:$G$1725,A157)</x:f>
        <x:v>1</x:v>
      </x:c>
      <x:c r="E157" s="11"/>
      <x:c r="F157" s="12" t="str">
        <x:v>Not Started</x:v>
      </x:c>
      <x:c r="G157" s="13"/>
      <x:c r="H157" s="30" t="str">
        <x:f>IF(AND(E157&lt;&gt;"",F157="Ready"),"Yes","No")</x:f>
        <x:v>No</x:v>
      </x:c>
      <x:c r="I157" s="11"/>
    </x:row>
    <x:row r="158" ht="38" customHeight="1">
      <x:c r="A158" s="30" t="str">
        <x:v>CL0154</x:v>
      </x:c>
      <x:c r="B158" s="30" t="str">
        <x:v>Fit &amp; Motivation</x:v>
      </x:c>
      <x:c r="C158" s="31" t="str">
        <x:v>Baidu acquiring Sensetime deal walk through, do it make sense, why 5 yrs</x:v>
      </x:c>
      <x:c r="D158" s="32" t="n">
        <x:f>COUNTIF('All Questions'!$G$5:$G$1725,A158)</x:f>
        <x:v>1</x:v>
      </x:c>
      <x:c r="E158" s="11"/>
      <x:c r="F158" s="12" t="str">
        <x:v>Not Started</x:v>
      </x:c>
      <x:c r="G158" s="13"/>
      <x:c r="H158" s="30" t="str">
        <x:f>IF(AND(E158&lt;&gt;"",F158="Ready"),"Yes","No")</x:f>
        <x:v>No</x:v>
      </x:c>
      <x:c r="I158" s="11"/>
    </x:row>
    <x:row r="159" ht="80" customHeight="1">
      <x:c r="A159" s="30" t="str">
        <x:v>CL0155</x:v>
      </x:c>
      <x:c r="B159" s="30" t="str">
        <x:v>Accounting &amp; Financial Statements</x:v>
      </x:c>
      <x:c r="C159" s="31" t="str">
        <x:v>Basically going over the case questions, asked me to expand on a few but overall straightforward. Case study is about Kao's acquisition of Bondi Sands (Nomura being the buyer's sole financial advisor), mainly tested on DCF, trading and transaction comps, multiples</x:v>
      </x:c>
      <x:c r="D159" s="32" t="n">
        <x:f>COUNTIF('All Questions'!$G$5:$G$1725,A159)</x:f>
        <x:v>1</x:v>
      </x:c>
      <x:c r="E159" s="11"/>
      <x:c r="F159" s="12" t="str">
        <x:v>Not Started</x:v>
      </x:c>
      <x:c r="G159" s="13"/>
      <x:c r="H159" s="30" t="str">
        <x:f>IF(AND(E159&lt;&gt;"",F159="Ready"),"Yes","No")</x:f>
        <x:v>No</x:v>
      </x:c>
      <x:c r="I159" s="11"/>
    </x:row>
    <x:row r="160" ht="38" customHeight="1">
      <x:c r="A160" s="30" t="str">
        <x:v>CL0156</x:v>
      </x:c>
      <x:c r="B160" s="30" t="str">
        <x:v>Resume &amp; Experience</x:v>
      </x:c>
      <x:c r="C160" s="31" t="str">
        <x:v>Basically just asked about each internship experience one by one</x:v>
      </x:c>
      <x:c r="D160" s="32" t="n">
        <x:f>COUNTIF('All Questions'!$G$5:$G$1725,A160)</x:f>
        <x:v>1</x:v>
      </x:c>
      <x:c r="E160" s="11"/>
      <x:c r="F160" s="12" t="str">
        <x:v>Not Started</x:v>
      </x:c>
      <x:c r="G160" s="13"/>
      <x:c r="H160" s="30" t="str">
        <x:f>IF(AND(E160&lt;&gt;"",F160="Ready"),"Yes","No")</x:f>
        <x:v>No</x:v>
      </x:c>
      <x:c r="I160" s="11"/>
    </x:row>
    <x:row r="161" ht="38" customHeight="1">
      <x:c r="A161" s="30" t="str">
        <x:v>CL0157</x:v>
      </x:c>
      <x:c r="B161" s="30" t="str">
        <x:v>Other Question</x:v>
      </x:c>
      <x:c r="C161" s="31" t="str">
        <x:v>Before we start, what's something you want me to know about you</x:v>
      </x:c>
      <x:c r="D161" s="32" t="n">
        <x:f>COUNTIF('All Questions'!$G$5:$G$1725,A161)</x:f>
        <x:v>1</x:v>
      </x:c>
      <x:c r="E161" s="11"/>
      <x:c r="F161" s="12" t="str">
        <x:v>Not Started</x:v>
      </x:c>
      <x:c r="G161" s="13"/>
      <x:c r="H161" s="30" t="str">
        <x:f>IF(AND(E161&lt;&gt;"",F161="Ready"),"Yes","No")</x:f>
        <x:v>No</x:v>
      </x:c>
      <x:c r="I161" s="11"/>
    </x:row>
    <x:row r="162" ht="38" customHeight="1">
      <x:c r="A162" s="30" t="str">
        <x:v>CL0158</x:v>
      </x:c>
      <x:c r="B162" s="30" t="str">
        <x:v>Other Question</x:v>
      </x:c>
      <x:c r="C162" s="31" t="str">
        <x:v>Behavourial on client asking u to do something illegal</x:v>
      </x:c>
      <x:c r="D162" s="32" t="n">
        <x:f>COUNTIF('All Questions'!$G$5:$G$1725,A162)</x:f>
        <x:v>1</x:v>
      </x:c>
      <x:c r="E162" s="11"/>
      <x:c r="F162" s="12" t="str">
        <x:v>Not Started</x:v>
      </x:c>
      <x:c r="G162" s="13"/>
      <x:c r="H162" s="30" t="str">
        <x:f>IF(AND(E162&lt;&gt;"",F162="Ready"),"Yes","No")</x:f>
        <x:v>No</x:v>
      </x:c>
      <x:c r="I162" s="11"/>
    </x:row>
    <x:row r="163" ht="38" customHeight="1">
      <x:c r="A163" s="30" t="str">
        <x:v>CL0159</x:v>
      </x:c>
      <x:c r="B163" s="30" t="str">
        <x:v>Behavioral &amp; Situational</x:v>
      </x:c>
      <x:c r="C163" s="31" t="str">
        <x:v>Behavourial on what would u do if client is mad at u and boss is away from desk</x:v>
      </x:c>
      <x:c r="D163" s="32" t="n">
        <x:f>COUNTIF('All Questions'!$G$5:$G$1725,A163)</x:f>
        <x:v>1</x:v>
      </x:c>
      <x:c r="E163" s="11"/>
      <x:c r="F163" s="12" t="str">
        <x:v>Not Started</x:v>
      </x:c>
      <x:c r="G163" s="13"/>
      <x:c r="H163" s="30" t="str">
        <x:f>IF(AND(E163&lt;&gt;"",F163="Ready"),"Yes","No")</x:f>
        <x:v>No</x:v>
      </x:c>
      <x:c r="I163" s="11"/>
    </x:row>
    <x:row r="164" ht="58" customHeight="1">
      <x:c r="A164" s="30" t="str">
        <x:v>CL0160</x:v>
      </x:c>
      <x:c r="B164" s="30" t="str">
        <x:v>Behavioral &amp; Situational</x:v>
      </x:c>
      <x:c r="C164" s="31" t="str">
        <x:v>Behavourial: is fairness importnt to you in a team setting and what would u do to ensure fairness if it is impt for u</x:v>
      </x:c>
      <x:c r="D164" s="32" t="n">
        <x:f>COUNTIF('All Questions'!$G$5:$G$1725,A164)</x:f>
        <x:v>1</x:v>
      </x:c>
      <x:c r="E164" s="11"/>
      <x:c r="F164" s="12" t="str">
        <x:v>Not Started</x:v>
      </x:c>
      <x:c r="G164" s="13"/>
      <x:c r="H164" s="30" t="str">
        <x:f>IF(AND(E164&lt;&gt;"",F164="Ready"),"Yes","No")</x:f>
        <x:v>No</x:v>
      </x:c>
      <x:c r="I164" s="11"/>
    </x:row>
    <x:row r="165" ht="38" customHeight="1">
      <x:c r="A165" s="30" t="str">
        <x:v>CL0161</x:v>
      </x:c>
      <x:c r="B165" s="30" t="str">
        <x:v>Valuation</x:v>
      </x:c>
      <x:c r="C165" s="31" t="str">
        <x:v>Beta</x:v>
      </x:c>
      <x:c r="D165" s="32" t="n">
        <x:f>COUNTIF('All Questions'!$G$5:$G$1725,A165)</x:f>
        <x:v>1</x:v>
      </x:c>
      <x:c r="E165" s="11"/>
      <x:c r="F165" s="12" t="str">
        <x:v>Not Started</x:v>
      </x:c>
      <x:c r="G165" s="13"/>
      <x:c r="H165" s="30" t="str">
        <x:f>IF(AND(E165&lt;&gt;"",F165="Ready"),"Yes","No")</x:f>
        <x:v>No</x:v>
      </x:c>
      <x:c r="I165" s="11"/>
    </x:row>
    <x:row r="166" ht="38" customHeight="1">
      <x:c r="A166" s="30" t="str">
        <x:v>CL0162</x:v>
      </x:c>
      <x:c r="B166" s="30" t="str">
        <x:v>Valuation</x:v>
      </x:c>
      <x:c r="C166" s="31" t="str">
        <x:v>Beta for tech companies</x:v>
      </x:c>
      <x:c r="D166" s="32" t="n">
        <x:f>COUNTIF('All Questions'!$G$5:$G$1725,A166)</x:f>
        <x:v>1</x:v>
      </x:c>
      <x:c r="E166" s="11"/>
      <x:c r="F166" s="12" t="str">
        <x:v>Not Started</x:v>
      </x:c>
      <x:c r="G166" s="13"/>
      <x:c r="H166" s="30" t="str">
        <x:f>IF(AND(E166&lt;&gt;"",F166="Ready"),"Yes","No")</x:f>
        <x:v>No</x:v>
      </x:c>
      <x:c r="I166" s="11"/>
    </x:row>
    <x:row r="167" ht="58" customHeight="1">
      <x:c r="A167" s="30" t="str">
        <x:v>CL0163</x:v>
      </x:c>
      <x:c r="B167" s="30" t="str">
        <x:v>Accounting &amp; Financial Statements</x:v>
      </x:c>
      <x:c r="C167" s="31" t="str">
        <x:v>Biggest growth for investment bank in Asia? ( he told me to look into australia and Korea, China is still strong don't get faked)</x:v>
      </x:c>
      <x:c r="D167" s="32" t="n">
        <x:f>COUNTIF('All Questions'!$G$5:$G$1725,A167)</x:f>
        <x:v>1</x:v>
      </x:c>
      <x:c r="E167" s="11"/>
      <x:c r="F167" s="12" t="str">
        <x:v>Not Started</x:v>
      </x:c>
      <x:c r="G167" s="13"/>
      <x:c r="H167" s="30" t="str">
        <x:f>IF(AND(E167&lt;&gt;"",F167="Ready"),"Yes","No")</x:f>
        <x:v>No</x:v>
      </x:c>
      <x:c r="I167" s="11"/>
    </x:row>
    <x:row r="168" ht="38" customHeight="1">
      <x:c r="A168" s="30" t="str">
        <x:v>CL0164</x:v>
      </x:c>
      <x:c r="B168" s="30" t="str">
        <x:v>Fit &amp; Motivation</x:v>
      </x:c>
      <x:c r="C168" s="31" t="str">
        <x:v>BlackRock, do you have return offer, why</x:v>
      </x:c>
      <x:c r="D168" s="32" t="n">
        <x:f>COUNTIF('All Questions'!$G$5:$G$1725,A168)</x:f>
        <x:v>1</x:v>
      </x:c>
      <x:c r="E168" s="11"/>
      <x:c r="F168" s="12" t="str">
        <x:v>Not Started</x:v>
      </x:c>
      <x:c r="G168" s="13"/>
      <x:c r="H168" s="30" t="str">
        <x:f>IF(AND(E168&lt;&gt;"",F168="Ready"),"Yes","No")</x:f>
        <x:v>No</x:v>
      </x:c>
      <x:c r="I168" s="11"/>
    </x:row>
    <x:row r="169" ht="38" customHeight="1">
      <x:c r="A169" s="30" t="str">
        <x:v>CL0165</x:v>
      </x:c>
      <x:c r="B169" s="30" t="str">
        <x:v>Other Question</x:v>
      </x:c>
      <x:c r="C169" s="31" t="str">
        <x:v>Born and raised in hk</x:v>
      </x:c>
      <x:c r="D169" s="32" t="n">
        <x:f>COUNTIF('All Questions'!$G$5:$G$1725,A169)</x:f>
        <x:v>1</x:v>
      </x:c>
      <x:c r="E169" s="11"/>
      <x:c r="F169" s="12" t="str">
        <x:v>Not Started</x:v>
      </x:c>
      <x:c r="G169" s="13"/>
      <x:c r="H169" s="30" t="str">
        <x:f>IF(AND(E169&lt;&gt;"",F169="Ready"),"Yes","No")</x:f>
        <x:v>No</x:v>
      </x:c>
      <x:c r="I169" s="11"/>
    </x:row>
    <x:row r="170" ht="38" customHeight="1">
      <x:c r="A170" s="30" t="str">
        <x:v>CL0166</x:v>
      </x:c>
      <x:c r="B170" s="30" t="str">
        <x:v>Consulting &amp; Case</x:v>
      </x:c>
      <x:c r="C170" s="31" t="str">
        <x:v>Brain teaser - no one from our batch answered it right, she gave very little time to think</x:v>
      </x:c>
      <x:c r="D170" s="32" t="n">
        <x:f>COUNTIF('All Questions'!$G$5:$G$1725,A170)</x:f>
        <x:v>1</x:v>
      </x:c>
      <x:c r="E170" s="11"/>
      <x:c r="F170" s="12" t="str">
        <x:v>Not Started</x:v>
      </x:c>
      <x:c r="G170" s="13"/>
      <x:c r="H170" s="30" t="str">
        <x:f>IF(AND(E170&lt;&gt;"",F170="Ready"),"Yes","No")</x:f>
        <x:v>No</x:v>
      </x:c>
      <x:c r="I170" s="11"/>
    </x:row>
    <x:row r="171" ht="38" customHeight="1">
      <x:c r="A171" s="30" t="str">
        <x:v>CL0167</x:v>
      </x:c>
      <x:c r="B171" s="30" t="str">
        <x:v>Consulting &amp; Case</x:v>
      </x:c>
      <x:c r="C171" s="31" t="str">
        <x:v>Brain Teaser : How many coffee shops in Central</x:v>
      </x:c>
      <x:c r="D171" s="32" t="n">
        <x:f>COUNTIF('All Questions'!$G$5:$G$1725,A171)</x:f>
        <x:v>1</x:v>
      </x:c>
      <x:c r="E171" s="11"/>
      <x:c r="F171" s="12" t="str">
        <x:v>Not Started</x:v>
      </x:c>
      <x:c r="G171" s="13"/>
      <x:c r="H171" s="30" t="str">
        <x:f>IF(AND(E171&lt;&gt;"",F171="Ready"),"Yes","No")</x:f>
        <x:v>No</x:v>
      </x:c>
      <x:c r="I171" s="11"/>
    </x:row>
    <x:row r="172" ht="58" customHeight="1">
      <x:c r="A172" s="30" t="str">
        <x:v>CL0168</x:v>
      </x:c>
      <x:c r="B172" s="30" t="str">
        <x:v>Accounting &amp; Financial Statements</x:v>
      </x:c>
      <x:c r="C172" s="31" t="str">
        <x:v>Brain Teaser: 1 dice, throw twice, if not satisfied with the result of first throw, can throw again, what is the Ev</x:v>
      </x:c>
      <x:c r="D172" s="32" t="n">
        <x:f>COUNTIF('All Questions'!$G$5:$G$1725,A172)</x:f>
        <x:v>1</x:v>
      </x:c>
      <x:c r="E172" s="11"/>
      <x:c r="F172" s="12" t="str">
        <x:v>Not Started</x:v>
      </x:c>
      <x:c r="G172" s="13"/>
      <x:c r="H172" s="30" t="str">
        <x:f>IF(AND(E172&lt;&gt;"",F172="Ready"),"Yes","No")</x:f>
        <x:v>No</x:v>
      </x:c>
      <x:c r="I172" s="11"/>
    </x:row>
    <x:row r="173" ht="58" customHeight="1">
      <x:c r="A173" s="30" t="str">
        <x:v>CL0169</x:v>
      </x:c>
      <x:c r="B173" s="30" t="str">
        <x:v>Consulting &amp; Case</x:v>
      </x:c>
      <x:c r="C173" s="31" t="str">
        <x:v>Brain teaser: 100 balls, 50 black and 50 white, how would you put them into two baskets (in any way u want) to maximize the probability to get a black ball</x:v>
      </x:c>
      <x:c r="D173" s="32" t="n">
        <x:f>COUNTIF('All Questions'!$G$5:$G$1725,A173)</x:f>
        <x:v>1</x:v>
      </x:c>
      <x:c r="E173" s="11"/>
      <x:c r="F173" s="12" t="str">
        <x:v>Not Started</x:v>
      </x:c>
      <x:c r="G173" s="13"/>
      <x:c r="H173" s="30" t="str">
        <x:f>IF(AND(E173&lt;&gt;"",F173="Ready"),"Yes","No")</x:f>
        <x:v>No</x:v>
      </x:c>
      <x:c r="I173" s="11"/>
    </x:row>
    <x:row r="174" ht="80" customHeight="1">
      <x:c r="A174" s="30" t="str">
        <x:v>CL0170</x:v>
      </x:c>
      <x:c r="B174" s="30" t="str">
        <x:v>Valuation</x:v>
      </x:c>
      <x:c r="C174" s="31" t="str">
        <x:v>Brain Teaser: 100 participants, each write a number, the one closest to 80% of the average will win 100K, if same number from multiple participants, the prize will be split in between, what number will you write</x:v>
      </x:c>
      <x:c r="D174" s="32" t="n">
        <x:f>COUNTIF('All Questions'!$G$5:$G$1725,A174)</x:f>
        <x:v>1</x:v>
      </x:c>
      <x:c r="E174" s="11"/>
      <x:c r="F174" s="12" t="str">
        <x:v>Not Started</x:v>
      </x:c>
      <x:c r="G174" s="13"/>
      <x:c r="H174" s="30" t="str">
        <x:f>IF(AND(E174&lt;&gt;"",F174="Ready"),"Yes","No")</x:f>
        <x:v>No</x:v>
      </x:c>
      <x:c r="I174" s="11"/>
    </x:row>
    <x:row r="175" ht="80" customHeight="1">
      <x:c r="A175" s="30" t="str">
        <x:v>CL0171</x:v>
      </x:c>
      <x:c r="B175" s="30" t="str">
        <x:v>Consulting &amp; Case</x:v>
      </x:c>
      <x:c r="C175" s="31" t="str">
        <x:v>Brain teaser: 3 boxes with fruits inside, 1 labelled as banana, 1 strawberries, 1 mixed, three are all incorrectly labelled, u can only draw once, how do you do so you can identify which box contains what</x:v>
      </x:c>
      <x:c r="D175" s="32" t="n">
        <x:f>COUNTIF('All Questions'!$G$5:$G$1725,A175)</x:f>
        <x:v>1</x:v>
      </x:c>
      <x:c r="E175" s="11"/>
      <x:c r="F175" s="12" t="str">
        <x:v>Not Started</x:v>
      </x:c>
      <x:c r="G175" s="13"/>
      <x:c r="H175" s="30" t="str">
        <x:f>IF(AND(E175&lt;&gt;"",F175="Ready"),"Yes","No")</x:f>
        <x:v>No</x:v>
      </x:c>
      <x:c r="I175" s="11"/>
    </x:row>
    <x:row r="176" ht="58" customHeight="1">
      <x:c r="A176" s="30" t="str">
        <x:v>CL0172</x:v>
      </x:c>
      <x:c r="B176" s="30" t="str">
        <x:v>Accounting &amp; Financial Statements</x:v>
      </x:c>
      <x:c r="C176" s="31" t="str">
        <x:v>Brain teaser: 5/8 100 sterling or 75% 100 dollars (forgot the actual number but key is to convert)</x:v>
      </x:c>
      <x:c r="D176" s="32" t="n">
        <x:f>COUNTIF('All Questions'!$G$5:$G$1725,A176)</x:f>
        <x:v>1</x:v>
      </x:c>
      <x:c r="E176" s="11"/>
      <x:c r="F176" s="12" t="str">
        <x:v>Not Started</x:v>
      </x:c>
      <x:c r="G176" s="13"/>
      <x:c r="H176" s="30" t="str">
        <x:f>IF(AND(E176&lt;&gt;"",F176="Ready"),"Yes","No")</x:f>
        <x:v>No</x:v>
      </x:c>
      <x:c r="I176" s="11"/>
    </x:row>
    <x:row r="177" ht="58" customHeight="1">
      <x:c r="A177" s="30" t="str">
        <x:v>CL0173</x:v>
      </x:c>
      <x:c r="B177" s="30" t="str">
        <x:v>Consulting &amp; Case</x:v>
      </x:c>
      <x:c r="C177" s="31" t="str">
        <x:v>Brain teaser: if u have 10*10*10 cube made up of 1*1*1 small cubes, and u paint the whole thing red how many small cubes are painted red</x:v>
      </x:c>
      <x:c r="D177" s="32" t="n">
        <x:f>COUNTIF('All Questions'!$G$5:$G$1725,A177)</x:f>
        <x:v>1</x:v>
      </x:c>
      <x:c r="E177" s="11"/>
      <x:c r="F177" s="12" t="str">
        <x:v>Not Started</x:v>
      </x:c>
      <x:c r="G177" s="13"/>
      <x:c r="H177" s="30" t="str">
        <x:f>IF(AND(E177&lt;&gt;"",F177="Ready"),"Yes","No")</x:f>
        <x:v>No</x:v>
      </x:c>
      <x:c r="I177" s="11"/>
    </x:row>
    <x:row r="178" ht="80" customHeight="1">
      <x:c r="A178" s="30" t="str">
        <x:v>CL0174</x:v>
      </x:c>
      <x:c r="B178" s="30" t="str">
        <x:v>Accounting &amp; Financial Statements</x:v>
      </x:c>
      <x:c r="C178" s="31" t="str">
        <x:v>Brain teaser: roll a dice and payoff is whatever u roll, u have the option of rolling again if u dont like your payoff, how much would u pay me so u wont loose or earn</x:v>
      </x:c>
      <x:c r="D178" s="32" t="n">
        <x:f>COUNTIF('All Questions'!$G$5:$G$1725,A178)</x:f>
        <x:v>1</x:v>
      </x:c>
      <x:c r="E178" s="11"/>
      <x:c r="F178" s="12" t="str">
        <x:v>Not Started</x:v>
      </x:c>
      <x:c r="G178" s="13"/>
      <x:c r="H178" s="30" t="str">
        <x:f>IF(AND(E178&lt;&gt;"",F178="Ready"),"Yes","No")</x:f>
        <x:v>No</x:v>
      </x:c>
      <x:c r="I178" s="11"/>
    </x:row>
    <x:row r="179" ht="58" customHeight="1">
      <x:c r="A179" s="30" t="str">
        <x:v>CL0175</x:v>
      </x:c>
      <x:c r="B179" s="30" t="str">
        <x:v>Accounting &amp; Financial Statements</x:v>
      </x:c>
      <x:c r="C179" s="31" t="str">
        <x:v>Brain teaser: Y1 revenue is 100, Y2 decrease 20% from Y3 increase 10%, how many years to get back to over 100</x:v>
      </x:c>
      <x:c r="D179" s="32" t="n">
        <x:f>COUNTIF('All Questions'!$G$5:$G$1725,A179)</x:f>
        <x:v>1</x:v>
      </x:c>
      <x:c r="E179" s="11"/>
      <x:c r="F179" s="12" t="str">
        <x:v>Not Started</x:v>
      </x:c>
      <x:c r="G179" s="13"/>
      <x:c r="H179" s="30" t="str">
        <x:f>IF(AND(E179&lt;&gt;"",F179="Ready"),"Yes","No")</x:f>
        <x:v>No</x:v>
      </x:c>
      <x:c r="I179" s="11"/>
    </x:row>
    <x:row r="180" ht="38" customHeight="1">
      <x:c r="A180" s="30" t="str">
        <x:v>CL0176</x:v>
      </x:c>
      <x:c r="B180" s="30" t="str">
        <x:v>Company, Industry &amp; Deals</x:v>
      </x:c>
      <x:c r="C180" s="31" t="str">
        <x:v>Business model: Asset light or Asset heavy</x:v>
      </x:c>
      <x:c r="D180" s="32" t="n">
        <x:f>COUNTIF('All Questions'!$G$5:$G$1725,A180)</x:f>
        <x:v>1</x:v>
      </x:c>
      <x:c r="E180" s="11"/>
      <x:c r="F180" s="12" t="str">
        <x:v>Not Started</x:v>
      </x:c>
      <x:c r="G180" s="13"/>
      <x:c r="H180" s="30" t="str">
        <x:f>IF(AND(E180&lt;&gt;"",F180="Ready"),"Yes","No")</x:f>
        <x:v>No</x:v>
      </x:c>
      <x:c r="I180" s="11"/>
    </x:row>
    <x:row r="181" ht="38" customHeight="1">
      <x:c r="A181" s="30" t="str">
        <x:v>CL0177</x:v>
      </x:c>
      <x:c r="B181" s="30" t="str">
        <x:v>Fit &amp; Motivation</x:v>
      </x:c>
      <x:c r="C181" s="31" t="str">
        <x:v>Business model? Why would industrial companies use energy storage systems</x:v>
      </x:c>
      <x:c r="D181" s="32" t="n">
        <x:f>COUNTIF('All Questions'!$G$5:$G$1725,A181)</x:f>
        <x:v>1</x:v>
      </x:c>
      <x:c r="E181" s="11"/>
      <x:c r="F181" s="12" t="str">
        <x:v>Not Started</x:v>
      </x:c>
      <x:c r="G181" s="13"/>
      <x:c r="H181" s="30" t="str">
        <x:f>IF(AND(E181&lt;&gt;"",F181="Ready"),"Yes","No")</x:f>
        <x:v>No</x:v>
      </x:c>
      <x:c r="I181" s="11"/>
    </x:row>
    <x:row r="182" ht="38" customHeight="1">
      <x:c r="A182" s="30" t="str">
        <x:v>CL0178</x:v>
      </x:c>
      <x:c r="B182" s="30" t="str">
        <x:v>Accounting &amp; Financial Statements</x:v>
      </x:c>
      <x:c r="C182" s="31" t="str">
        <x:v>Buy $100 machine by debt - 3 FSs changes today + changes 1 yr after</x:v>
      </x:c>
      <x:c r="D182" s="32" t="n">
        <x:f>COUNTIF('All Questions'!$G$5:$G$1725,A182)</x:f>
        <x:v>1</x:v>
      </x:c>
      <x:c r="E182" s="11"/>
      <x:c r="F182" s="12" t="str">
        <x:v>Not Started</x:v>
      </x:c>
      <x:c r="G182" s="13"/>
      <x:c r="H182" s="30" t="str">
        <x:f>IF(AND(E182&lt;&gt;"",F182="Ready"),"Yes","No")</x:f>
        <x:v>No</x:v>
      </x:c>
      <x:c r="I182" s="11"/>
    </x:row>
    <x:row r="183" ht="38" customHeight="1">
      <x:c r="A183" s="30" t="str">
        <x:v>CL0179</x:v>
      </x:c>
      <x:c r="B183" s="30" t="str">
        <x:v>Other Question</x:v>
      </x:c>
      <x:c r="C183" s="31" t="str">
        <x:v>Buying intangible asset counted as CAPEX</x:v>
      </x:c>
      <x:c r="D183" s="32" t="n">
        <x:f>COUNTIF('All Questions'!$G$5:$G$1725,A183)</x:f>
        <x:v>1</x:v>
      </x:c>
      <x:c r="E183" s="11"/>
      <x:c r="F183" s="12" t="str">
        <x:v>Not Started</x:v>
      </x:c>
      <x:c r="G183" s="13"/>
      <x:c r="H183" s="30" t="str">
        <x:f>IF(AND(E183&lt;&gt;"",F183="Ready"),"Yes","No")</x:f>
        <x:v>No</x:v>
      </x:c>
      <x:c r="I183" s="11"/>
    </x:row>
    <x:row r="184" ht="38" customHeight="1">
      <x:c r="A184" s="30" t="str">
        <x:v>CL0180</x:v>
      </x:c>
      <x:c r="B184" s="30" t="str">
        <x:v>Other Question</x:v>
      </x:c>
      <x:c r="C184" s="31" t="str">
        <x:v>By debt/cash</x:v>
      </x:c>
      <x:c r="D184" s="32" t="n">
        <x:f>COUNTIF('All Questions'!$G$5:$G$1725,A184)</x:f>
        <x:v>1</x:v>
      </x:c>
      <x:c r="E184" s="11"/>
      <x:c r="F184" s="12" t="str">
        <x:v>Not Started</x:v>
      </x:c>
      <x:c r="G184" s="13"/>
      <x:c r="H184" s="30" t="str">
        <x:f>IF(AND(E184&lt;&gt;"",F184="Ready"),"Yes","No")</x:f>
        <x:v>No</x:v>
      </x:c>
      <x:c r="I184" s="11"/>
    </x:row>
    <x:row r="185" ht="38" customHeight="1">
      <x:c r="A185" s="30" t="str">
        <x:v>CL0181</x:v>
      </x:c>
      <x:c r="B185" s="30" t="str">
        <x:v>Other Technical</x:v>
      </x:c>
      <x:c r="C185" s="31" t="str">
        <x:v>Calculate EBITDA for a Chinese firm</x:v>
      </x:c>
      <x:c r="D185" s="32" t="n">
        <x:f>COUNTIF('All Questions'!$G$5:$G$1725,A185)</x:f>
        <x:v>1</x:v>
      </x:c>
      <x:c r="E185" s="11"/>
      <x:c r="F185" s="12" t="str">
        <x:v>Not Started</x:v>
      </x:c>
      <x:c r="G185" s="13"/>
      <x:c r="H185" s="30" t="str">
        <x:f>IF(AND(E185&lt;&gt;"",F185="Ready"),"Yes","No")</x:f>
        <x:v>No</x:v>
      </x:c>
      <x:c r="I185" s="11"/>
    </x:row>
    <x:row r="186" ht="38" customHeight="1">
      <x:c r="A186" s="30" t="str">
        <x:v>CL0182</x:v>
      </x:c>
      <x:c r="B186" s="30" t="str">
        <x:v>Other Technical</x:v>
      </x:c>
      <x:c r="C186" s="31" t="str">
        <x:v>Calculate the EV/EBITDA by using target price</x:v>
      </x:c>
      <x:c r="D186" s="32" t="n">
        <x:f>COUNTIF('All Questions'!$G$5:$G$1725,A186)</x:f>
        <x:v>1</x:v>
      </x:c>
      <x:c r="E186" s="11"/>
      <x:c r="F186" s="12" t="str">
        <x:v>Not Started</x:v>
      </x:c>
      <x:c r="G186" s="13"/>
      <x:c r="H186" s="30" t="str">
        <x:f>IF(AND(E186&lt;&gt;"",F186="Ready"),"Yes","No")</x:f>
        <x:v>No</x:v>
      </x:c>
      <x:c r="I186" s="11"/>
    </x:row>
    <x:row r="187" ht="38" customHeight="1">
      <x:c r="A187" s="30" t="str">
        <x:v>CL0183</x:v>
      </x:c>
      <x:c r="B187" s="30" t="str">
        <x:v>Other Question</x:v>
      </x:c>
      <x:c r="C187" s="31" t="str">
        <x:v>Can ask me directly if you are interested in the details</x:v>
      </x:c>
      <x:c r="D187" s="32" t="n">
        <x:f>COUNTIF('All Questions'!$G$5:$G$1725,A187)</x:f>
        <x:v>1</x:v>
      </x:c>
      <x:c r="E187" s="11"/>
      <x:c r="F187" s="12" t="str">
        <x:v>Not Started</x:v>
      </x:c>
      <x:c r="G187" s="13"/>
      <x:c r="H187" s="30" t="str">
        <x:f>IF(AND(E187&lt;&gt;"",F187="Ready"),"Yes","No")</x:f>
        <x:v>No</x:v>
      </x:c>
      <x:c r="I187" s="11"/>
    </x:row>
    <x:row r="188" ht="38" customHeight="1">
      <x:c r="A188" s="30" t="str">
        <x:v>CL0184</x:v>
      </x:c>
      <x:c r="B188" s="30" t="str">
        <x:v>Other Question</x:v>
      </x:c>
      <x:c r="C188" s="31" t="str">
        <x:v>Can pm me for more details if interested</x:v>
      </x:c>
      <x:c r="D188" s="32" t="n">
        <x:f>COUNTIF('All Questions'!$G$5:$G$1725,A188)</x:f>
        <x:v>1</x:v>
      </x:c>
      <x:c r="E188" s="11"/>
      <x:c r="F188" s="12" t="str">
        <x:v>Not Started</x:v>
      </x:c>
      <x:c r="G188" s="13"/>
      <x:c r="H188" s="30" t="str">
        <x:f>IF(AND(E188&lt;&gt;"",F188="Ready"),"Yes","No")</x:f>
        <x:v>No</x:v>
      </x:c>
      <x:c r="I188" s="11"/>
    </x:row>
    <x:row r="189" ht="38" customHeight="1">
      <x:c r="A189" s="30" t="str">
        <x:v>CL0185</x:v>
      </x:c>
      <x:c r="B189" s="30" t="str">
        <x:v>Other Question</x:v>
      </x:c>
      <x:c r="C189" s="31" t="str">
        <x:v>Can u code in KGB</x:v>
      </x:c>
      <x:c r="D189" s="32" t="n">
        <x:f>COUNTIF('All Questions'!$G$5:$G$1725,A189)</x:f>
        <x:v>1</x:v>
      </x:c>
      <x:c r="E189" s="11"/>
      <x:c r="F189" s="12" t="str">
        <x:v>Not Started</x:v>
      </x:c>
      <x:c r="G189" s="13"/>
      <x:c r="H189" s="30" t="str">
        <x:f>IF(AND(E189&lt;&gt;"",F189="Ready"),"Yes","No")</x:f>
        <x:v>No</x:v>
      </x:c>
      <x:c r="I189" s="11"/>
    </x:row>
    <x:row r="190" ht="38" customHeight="1">
      <x:c r="A190" s="30" t="str">
        <x:v>CL0186</x:v>
      </x:c>
      <x:c r="B190" s="30" t="str">
        <x:v>Valuation</x:v>
      </x:c>
      <x:c r="C190" s="31" t="str">
        <x:v>Can we use NTM multiple</x:v>
      </x:c>
      <x:c r="D190" s="32" t="n">
        <x:f>COUNTIF('All Questions'!$G$5:$G$1725,A190)</x:f>
        <x:v>1</x:v>
      </x:c>
      <x:c r="E190" s="11"/>
      <x:c r="F190" s="12" t="str">
        <x:v>Not Started</x:v>
      </x:c>
      <x:c r="G190" s="13"/>
      <x:c r="H190" s="30" t="str">
        <x:f>IF(AND(E190&lt;&gt;"",F190="Ready"),"Yes","No")</x:f>
        <x:v>No</x:v>
      </x:c>
      <x:c r="I190" s="11"/>
    </x:row>
    <x:row r="191" ht="38" customHeight="1">
      <x:c r="A191" s="30" t="str">
        <x:v>CL0187</x:v>
      </x:c>
      <x:c r="B191" s="30" t="str">
        <x:v>M&amp;A</x:v>
      </x:c>
      <x:c r="C191" s="31" t="str">
        <x:v>Can you accept the ibd hours after working at buyside</x:v>
      </x:c>
      <x:c r="D191" s="32" t="n">
        <x:f>COUNTIF('All Questions'!$G$5:$G$1725,A191)</x:f>
        <x:v>1</x:v>
      </x:c>
      <x:c r="E191" s="11"/>
      <x:c r="F191" s="12" t="str">
        <x:v>Not Started</x:v>
      </x:c>
      <x:c r="G191" s="13"/>
      <x:c r="H191" s="30" t="str">
        <x:f>IF(AND(E191&lt;&gt;"",F191="Ready"),"Yes","No")</x:f>
        <x:v>No</x:v>
      </x:c>
      <x:c r="I191" s="11"/>
    </x:row>
    <x:row r="192" ht="38" customHeight="1">
      <x:c r="A192" s="30" t="str">
        <x:v>CL0188</x:v>
      </x:c>
      <x:c r="B192" s="30" t="str">
        <x:v>Fit &amp; Motivation</x:v>
      </x:c>
      <x:c r="C192" s="31" t="str">
        <x:v>Can you speak canto / mandarin? Feel free to ask me questions in mandarin</x:v>
      </x:c>
      <x:c r="D192" s="32" t="n">
        <x:f>COUNTIF('All Questions'!$G$5:$G$1725,A192)</x:f>
        <x:v>1</x:v>
      </x:c>
      <x:c r="E192" s="11"/>
      <x:c r="F192" s="12" t="str">
        <x:v>Not Started</x:v>
      </x:c>
      <x:c r="G192" s="13"/>
      <x:c r="H192" s="30" t="str">
        <x:f>IF(AND(E192&lt;&gt;"",F192="Ready"),"Yes","No")</x:f>
        <x:v>No</x:v>
      </x:c>
      <x:c r="I192" s="11"/>
    </x:row>
    <x:row r="193" ht="58" customHeight="1">
      <x:c r="A193" s="30" t="str">
        <x:v>CL0189</x:v>
      </x:c>
      <x:c r="B193" s="30" t="str">
        <x:v>Fit &amp; Motivation</x:v>
      </x:c>
      <x:c r="C193" s="31" t="str">
        <x:v>Can you speak mandarin? (she just asked and then checked the box on my evaluation and then didn't ask me to try speaking at all lol)</x:v>
      </x:c>
      <x:c r="D193" s="32" t="n">
        <x:f>COUNTIF('All Questions'!$G$5:$G$1725,A193)</x:f>
        <x:v>1</x:v>
      </x:c>
      <x:c r="E193" s="11"/>
      <x:c r="F193" s="12" t="str">
        <x:v>Not Started</x:v>
      </x:c>
      <x:c r="G193" s="13"/>
      <x:c r="H193" s="30" t="str">
        <x:f>IF(AND(E193&lt;&gt;"",F193="Ready"),"Yes","No")</x:f>
        <x:v>No</x:v>
      </x:c>
      <x:c r="I193" s="11"/>
    </x:row>
    <x:row r="194" ht="38" customHeight="1">
      <x:c r="A194" s="30" t="str">
        <x:v>CL0190</x:v>
      </x:c>
      <x:c r="B194" s="30" t="str">
        <x:v>Other Question</x:v>
      </x:c>
      <x:c r="C194" s="31" t="str">
        <x:v>CAPEX $100 to buy PPE</x:v>
      </x:c>
      <x:c r="D194" s="32" t="n">
        <x:f>COUNTIF('All Questions'!$G$5:$G$1725,A194)</x:f>
        <x:v>1</x:v>
      </x:c>
      <x:c r="E194" s="11"/>
      <x:c r="F194" s="12" t="str">
        <x:v>Not Started</x:v>
      </x:c>
      <x:c r="G194" s="13"/>
      <x:c r="H194" s="30" t="str">
        <x:f>IF(AND(E194&lt;&gt;"",F194="Ready"),"Yes","No")</x:f>
        <x:v>No</x:v>
      </x:c>
      <x:c r="I194" s="11"/>
    </x:row>
    <x:row r="195" ht="58" customHeight="1">
      <x:c r="A195" s="30" t="str">
        <x:v>CL0191</x:v>
      </x:c>
      <x:c r="B195" s="30" t="str">
        <x:v>Consulting &amp; Case</x:v>
      </x:c>
      <x:c r="C195" s="31" t="str">
        <x:v>Case - breakfast bar / snack mixes / beverage company, successfully opened online shopping trial for selected goods, should expand online and by how much</x:v>
      </x:c>
      <x:c r="D195" s="32" t="n">
        <x:f>COUNTIF('All Questions'!$G$5:$G$1725,A195)</x:f>
        <x:v>1</x:v>
      </x:c>
      <x:c r="E195" s="11"/>
      <x:c r="F195" s="12" t="str">
        <x:v>Not Started</x:v>
      </x:c>
      <x:c r="G195" s="13"/>
      <x:c r="H195" s="30" t="str">
        <x:f>IF(AND(E195&lt;&gt;"",F195="Ready"),"Yes","No")</x:f>
        <x:v>No</x:v>
      </x:c>
      <x:c r="I195" s="11"/>
    </x:row>
    <x:row r="196" ht="38" customHeight="1">
      <x:c r="A196" s="30" t="str">
        <x:v>CL0192</x:v>
      </x:c>
      <x:c r="B196" s="30" t="str">
        <x:v>Consulting &amp; Case</x:v>
      </x:c>
      <x:c r="C196" s="31" t="str">
        <x:v>Case - Media, family owned company - sell / pass to next gen</x:v>
      </x:c>
      <x:c r="D196" s="32" t="n">
        <x:f>COUNTIF('All Questions'!$G$5:$G$1725,A196)</x:f>
        <x:v>1</x:v>
      </x:c>
      <x:c r="E196" s="11"/>
      <x:c r="F196" s="12" t="str">
        <x:v>Not Started</x:v>
      </x:c>
      <x:c r="G196" s="13"/>
      <x:c r="H196" s="30" t="str">
        <x:f>IF(AND(E196&lt;&gt;"",F196="Ready"),"Yes","No")</x:f>
        <x:v>No</x:v>
      </x:c>
      <x:c r="I196" s="11"/>
    </x:row>
    <x:row r="197" ht="38" customHeight="1">
      <x:c r="A197" s="30" t="str">
        <x:v>CL0193</x:v>
      </x:c>
      <x:c r="B197" s="30" t="str">
        <x:v>Consulting &amp; Case</x:v>
      </x:c>
      <x:c r="C197" s="31" t="str">
        <x:v>Case - Sports wearing brand (like Lululemon) - switch products to ESG related</x:v>
      </x:c>
      <x:c r="D197" s="32" t="n">
        <x:f>COUNTIF('All Questions'!$G$5:$G$1725,A197)</x:f>
        <x:v>1</x:v>
      </x:c>
      <x:c r="E197" s="11"/>
      <x:c r="F197" s="12" t="str">
        <x:v>Not Started</x:v>
      </x:c>
      <x:c r="G197" s="13"/>
      <x:c r="H197" s="30" t="str">
        <x:f>IF(AND(E197&lt;&gt;"",F197="Ready"),"Yes","No")</x:f>
        <x:v>No</x:v>
      </x:c>
      <x:c r="I197" s="11"/>
    </x:row>
    <x:row r="198" ht="38" customHeight="1">
      <x:c r="A198" s="30" t="str">
        <x:v>CL0194</x:v>
      </x:c>
      <x:c r="B198" s="30" t="str">
        <x:v>Resume &amp; Experience</x:v>
      </x:c>
      <x:c r="C198" s="31" t="str">
        <x:v>Case I did in my internship (EBITDA, Revenue breakdown, post-valuation...)</x:v>
      </x:c>
      <x:c r="D198" s="32" t="n">
        <x:f>COUNTIF('All Questions'!$G$5:$G$1725,A198)</x:f>
        <x:v>1</x:v>
      </x:c>
      <x:c r="E198" s="11"/>
      <x:c r="F198" s="12" t="str">
        <x:v>Not Started</x:v>
      </x:c>
      <x:c r="G198" s="13"/>
      <x:c r="H198" s="30" t="str">
        <x:f>IF(AND(E198&lt;&gt;"",F198="Ready"),"Yes","No")</x:f>
        <x:v>No</x:v>
      </x:c>
      <x:c r="I198" s="11"/>
    </x:row>
    <x:row r="199" ht="80" customHeight="1">
      <x:c r="A199" s="30" t="str">
        <x:v>CL0195</x:v>
      </x:c>
      <x:c r="B199" s="30" t="str">
        <x:v>Accounting &amp; Financial Statements</x:v>
      </x:c>
      <x:c r="C199" s="31" t="str">
        <x:v>Case study--advising on a European engineering company specialized in the provision of soil studies, financial sponsor exit strategies, business model analysis, accounting, basic valuation, DCF</x:v>
      </x:c>
      <x:c r="D199" s="32" t="n">
        <x:f>COUNTIF('All Questions'!$G$5:$G$1725,A199)</x:f>
        <x:v>1</x:v>
      </x:c>
      <x:c r="E199" s="11"/>
      <x:c r="F199" s="12" t="str">
        <x:v>Not Started</x:v>
      </x:c>
      <x:c r="G199" s="13"/>
      <x:c r="H199" s="30" t="str">
        <x:f>IF(AND(E199&lt;&gt;"",F199="Ready"),"Yes","No")</x:f>
        <x:v>No</x:v>
      </x:c>
      <x:c r="I199" s="11"/>
    </x:row>
    <x:row r="200" ht="58" customHeight="1">
      <x:c r="A200" s="30" t="str">
        <x:v>CL0196</x:v>
      </x:c>
      <x:c r="B200" s="30" t="str">
        <x:v>Accounting &amp; Financial Statements</x:v>
      </x:c>
      <x:c r="C200" s="31" t="str">
        <x:v>Cases related questions - Revenue build up, multiples used (I mentioned the multiple used in power sector is unique) - lots of follow ups</x:v>
      </x:c>
      <x:c r="D200" s="32" t="n">
        <x:f>COUNTIF('All Questions'!$G$5:$G$1725,A200)</x:f>
        <x:v>1</x:v>
      </x:c>
      <x:c r="E200" s="11"/>
      <x:c r="F200" s="12" t="str">
        <x:v>Not Started</x:v>
      </x:c>
      <x:c r="G200" s="13"/>
      <x:c r="H200" s="30" t="str">
        <x:f>IF(AND(E200&lt;&gt;"",F200="Ready"),"Yes","No")</x:f>
        <x:v>No</x:v>
      </x:c>
      <x:c r="I200" s="11"/>
    </x:row>
    <x:row r="201" ht="38" customHeight="1">
      <x:c r="A201" s="30" t="str">
        <x:v>CL0197</x:v>
      </x:c>
      <x:c r="B201" s="30" t="str">
        <x:v>Accounting &amp; Financial Statements</x:v>
      </x:c>
      <x:c r="C201" s="31" t="str">
        <x:v>Cash flow $100 every year, 10% discount rate, how much would u pay to buy it</x:v>
      </x:c>
      <x:c r="D201" s="32" t="n">
        <x:f>COUNTIF('All Questions'!$G$5:$G$1725,A201)</x:f>
        <x:v>1</x:v>
      </x:c>
      <x:c r="E201" s="11"/>
      <x:c r="F201" s="12" t="str">
        <x:v>Not Started</x:v>
      </x:c>
      <x:c r="G201" s="13"/>
      <x:c r="H201" s="30" t="str">
        <x:f>IF(AND(E201&lt;&gt;"",F201="Ready"),"Yes","No")</x:f>
        <x:v>No</x:v>
      </x:c>
      <x:c r="I201" s="11"/>
    </x:row>
    <x:row r="202" ht="38" customHeight="1">
      <x:c r="A202" s="30" t="str">
        <x:v>CL0198</x:v>
      </x:c>
      <x:c r="B202" s="30" t="str">
        <x:v>Fit &amp; Motivation</x:v>
      </x:c>
      <x:c r="C202" s="31" t="str">
        <x:v>China Real Estate - why is tackling this important</x:v>
      </x:c>
      <x:c r="D202" s="32" t="n">
        <x:f>COUNTIF('All Questions'!$G$5:$G$1725,A202)</x:f>
        <x:v>1</x:v>
      </x:c>
      <x:c r="E202" s="11"/>
      <x:c r="F202" s="12" t="str">
        <x:v>Not Started</x:v>
      </x:c>
      <x:c r="G202" s="13"/>
      <x:c r="H202" s="30" t="str">
        <x:f>IF(AND(E202&lt;&gt;"",F202="Ready"),"Yes","No")</x:f>
        <x:v>No</x:v>
      </x:c>
      <x:c r="I202" s="11"/>
    </x:row>
    <x:row r="203" ht="38" customHeight="1">
      <x:c r="A203" s="30" t="str">
        <x:v>CL0199</x:v>
      </x:c>
      <x:c r="B203" s="30" t="str">
        <x:v>Resume &amp; Experience</x:v>
      </x:c>
      <x:c r="C203" s="31" t="str">
        <x:v>Coding proficiency, any project experience with python</x:v>
      </x:c>
      <x:c r="D203" s="32" t="n">
        <x:f>COUNTIF('All Questions'!$G$5:$G$1725,A203)</x:f>
        <x:v>1</x:v>
      </x:c>
      <x:c r="E203" s="11"/>
      <x:c r="F203" s="12" t="str">
        <x:v>Not Started</x:v>
      </x:c>
      <x:c r="G203" s="13"/>
      <x:c r="H203" s="30" t="str">
        <x:f>IF(AND(E203&lt;&gt;"",F203="Ready"),"Yes","No")</x:f>
        <x:v>No</x:v>
      </x:c>
      <x:c r="I203" s="11"/>
    </x:row>
    <x:row r="204" ht="38" customHeight="1">
      <x:c r="A204" s="30" t="str">
        <x:v>CL0200</x:v>
      </x:c>
      <x:c r="B204" s="30" t="str">
        <x:v>Resume &amp; Experience</x:v>
      </x:c>
      <x:c r="C204" s="31" t="str">
        <x:v>Combining all your internship experience, what is the most important takeaway</x:v>
      </x:c>
      <x:c r="D204" s="32" t="n">
        <x:f>COUNTIF('All Questions'!$G$5:$G$1725,A204)</x:f>
        <x:v>1</x:v>
      </x:c>
      <x:c r="E204" s="11"/>
      <x:c r="F204" s="12" t="str">
        <x:v>Not Started</x:v>
      </x:c>
      <x:c r="G204" s="13"/>
      <x:c r="H204" s="30" t="str">
        <x:f>IF(AND(E204&lt;&gt;"",F204="Ready"),"Yes","No")</x:f>
        <x:v>No</x:v>
      </x:c>
      <x:c r="I204" s="11"/>
    </x:row>
    <x:row r="205" ht="38" customHeight="1">
      <x:c r="A205" s="30" t="str">
        <x:v>CL0201</x:v>
      </x:c>
      <x:c r="B205" s="30" t="str">
        <x:v>M&amp;A</x:v>
      </x:c>
      <x:c r="C205" s="31" t="str">
        <x:v>Commercial bank buyside pitch: investment highlights, operating metrics</x:v>
      </x:c>
      <x:c r="D205" s="32" t="n">
        <x:f>COUNTIF('All Questions'!$G$5:$G$1725,A205)</x:f>
        <x:v>1</x:v>
      </x:c>
      <x:c r="E205" s="11"/>
      <x:c r="F205" s="12" t="str">
        <x:v>Not Started</x:v>
      </x:c>
      <x:c r="G205" s="13"/>
      <x:c r="H205" s="30" t="str">
        <x:f>IF(AND(E205&lt;&gt;"",F205="Ready"),"Yes","No")</x:f>
        <x:v>No</x:v>
      </x:c>
      <x:c r="I205" s="11"/>
    </x:row>
    <x:row r="206" ht="58" customHeight="1">
      <x:c r="A206" s="30" t="str">
        <x:v>CL0202</x:v>
      </x:c>
      <x:c r="B206" s="30" t="str">
        <x:v>Fit &amp; Motivation</x:v>
      </x:c>
      <x:c r="C206" s="31" t="str">
        <x:v>Comparable companies: criteria, multiples (EV as compared to competitors), why use EV/EBITDA, not EV/E</x:v>
      </x:c>
      <x:c r="D206" s="32" t="n">
        <x:f>COUNTIF('All Questions'!$G$5:$G$1725,A206)</x:f>
        <x:v>1</x:v>
      </x:c>
      <x:c r="E206" s="11"/>
      <x:c r="F206" s="12" t="str">
        <x:v>Not Started</x:v>
      </x:c>
      <x:c r="G206" s="13"/>
      <x:c r="H206" s="30" t="str">
        <x:f>IF(AND(E206&lt;&gt;"",F206="Ready"),"Yes","No")</x:f>
        <x:v>No</x:v>
      </x:c>
      <x:c r="I206" s="11"/>
    </x:row>
    <x:row r="207" ht="38" customHeight="1">
      <x:c r="A207" s="30" t="str">
        <x:v>CL0203</x:v>
      </x:c>
      <x:c r="B207" s="30" t="str">
        <x:v>Fit &amp; Motivation</x:v>
      </x:c>
      <x:c r="C207" s="31" t="str">
        <x:v>Compared with tencent, alibaba, why should I buy the one you pitch? its overvalued</x:v>
      </x:c>
      <x:c r="D207" s="32" t="n">
        <x:f>COUNTIF('All Questions'!$G$5:$G$1725,A207)</x:f>
        <x:v>1</x:v>
      </x:c>
      <x:c r="E207" s="11"/>
      <x:c r="F207" s="12" t="str">
        <x:v>Not Started</x:v>
      </x:c>
      <x:c r="G207" s="13"/>
      <x:c r="H207" s="30" t="str">
        <x:f>IF(AND(E207&lt;&gt;"",F207="Ready"),"Yes","No")</x:f>
        <x:v>No</x:v>
      </x:c>
      <x:c r="I207" s="11"/>
    </x:row>
    <x:row r="208" ht="38" customHeight="1">
      <x:c r="A208" s="30" t="str">
        <x:v>CL0204</x:v>
      </x:c>
      <x:c r="B208" s="30" t="str">
        <x:v>Valuation</x:v>
      </x:c>
      <x:c r="C208" s="31" t="str">
        <x:v>Comps?? (forgot if she asked or not)</x:v>
      </x:c>
      <x:c r="D208" s="32" t="n">
        <x:f>COUNTIF('All Questions'!$G$5:$G$1725,A208)</x:f>
        <x:v>1</x:v>
      </x:c>
      <x:c r="E208" s="11"/>
      <x:c r="F208" s="12" t="str">
        <x:v>Not Started</x:v>
      </x:c>
      <x:c r="G208" s="13"/>
      <x:c r="H208" s="30" t="str">
        <x:f>IF(AND(E208&lt;&gt;"",F208="Ready"),"Yes","No")</x:f>
        <x:v>No</x:v>
      </x:c>
      <x:c r="I208" s="11"/>
    </x:row>
    <x:row r="209" ht="38" customHeight="1">
      <x:c r="A209" s="30" t="str">
        <x:v>CL0205</x:v>
      </x:c>
      <x:c r="B209" s="30" t="str">
        <x:v>Fit &amp; Motivation</x:v>
      </x:c>
      <x:c r="C209" s="31" t="str">
        <x:v>Consider AMPB major, why u want to do SnT</x:v>
      </x:c>
      <x:c r="D209" s="32" t="n">
        <x:f>COUNTIF('All Questions'!$G$5:$G$1725,A209)</x:f>
        <x:v>1</x:v>
      </x:c>
      <x:c r="E209" s="11"/>
      <x:c r="F209" s="12" t="str">
        <x:v>Not Started</x:v>
      </x:c>
      <x:c r="G209" s="13"/>
      <x:c r="H209" s="30" t="str">
        <x:f>IF(AND(E209&lt;&gt;"",F209="Ready"),"Yes","No")</x:f>
        <x:v>No</x:v>
      </x:c>
      <x:c r="I209" s="11"/>
    </x:row>
    <x:row r="210" ht="38" customHeight="1">
      <x:c r="A210" s="30" t="str">
        <x:v>CL0206</x:v>
      </x:c>
      <x:c r="B210" s="30" t="str">
        <x:v>Other Question</x:v>
      </x:c>
      <x:c r="C210" s="31" t="str">
        <x:v>Continuing the last question, do you know how to use Bloomberg</x:v>
      </x:c>
      <x:c r="D210" s="32" t="n">
        <x:f>COUNTIF('All Questions'!$G$5:$G$1725,A210)</x:f>
        <x:v>1</x:v>
      </x:c>
      <x:c r="E210" s="11"/>
      <x:c r="F210" s="12" t="str">
        <x:v>Not Started</x:v>
      </x:c>
      <x:c r="G210" s="13"/>
      <x:c r="H210" s="30" t="str">
        <x:f>IF(AND(E210&lt;&gt;"",F210="Ready"),"Yes","No")</x:f>
        <x:v>No</x:v>
      </x:c>
      <x:c r="I210" s="11"/>
    </x:row>
    <x:row r="211" ht="38" customHeight="1">
      <x:c r="A211" s="30" t="str">
        <x:v>CL0207</x:v>
      </x:c>
      <x:c r="B211" s="30" t="str">
        <x:v>Valuation</x:v>
      </x:c>
      <x:c r="C211" s="31" t="str">
        <x:v>Cost of equity</x:v>
      </x:c>
      <x:c r="D211" s="32" t="n">
        <x:f>COUNTIF('All Questions'!$G$5:$G$1725,A211)</x:f>
        <x:v>1</x:v>
      </x:c>
      <x:c r="E211" s="11"/>
      <x:c r="F211" s="12" t="str">
        <x:v>Not Started</x:v>
      </x:c>
      <x:c r="G211" s="13"/>
      <x:c r="H211" s="30" t="str">
        <x:f>IF(AND(E211&lt;&gt;"",F211="Ready"),"Yes","No")</x:f>
        <x:v>No</x:v>
      </x:c>
      <x:c r="I211" s="11"/>
    </x:row>
    <x:row r="212" ht="38" customHeight="1">
      <x:c r="A212" s="30" t="str">
        <x:v>CL0208</x:v>
      </x:c>
      <x:c r="B212" s="30" t="str">
        <x:v>Valuation</x:v>
      </x:c>
      <x:c r="C212" s="31" t="str">
        <x:v>Cost of equity formula</x:v>
      </x:c>
      <x:c r="D212" s="32" t="n">
        <x:f>COUNTIF('All Questions'!$G$5:$G$1725,A212)</x:f>
        <x:v>1</x:v>
      </x:c>
      <x:c r="E212" s="11"/>
      <x:c r="F212" s="12" t="str">
        <x:v>Not Started</x:v>
      </x:c>
      <x:c r="G212" s="13"/>
      <x:c r="H212" s="30" t="str">
        <x:f>IF(AND(E212&lt;&gt;"",F212="Ready"),"Yes","No")</x:f>
        <x:v>No</x:v>
      </x:c>
      <x:c r="I212" s="11"/>
    </x:row>
    <x:row r="213" ht="38" customHeight="1">
      <x:c r="A213" s="30" t="str">
        <x:v>CL0209</x:v>
      </x:c>
      <x:c r="B213" s="30" t="str">
        <x:v>Valuation</x:v>
      </x:c>
      <x:c r="C213" s="31" t="str">
        <x:v>Cost of equity: Risk premium should you include country risk? (bro idk)</x:v>
      </x:c>
      <x:c r="D213" s="32" t="n">
        <x:f>COUNTIF('All Questions'!$G$5:$G$1725,A213)</x:f>
        <x:v>1</x:v>
      </x:c>
      <x:c r="E213" s="11"/>
      <x:c r="F213" s="12" t="str">
        <x:v>Not Started</x:v>
      </x:c>
      <x:c r="G213" s="13"/>
      <x:c r="H213" s="30" t="str">
        <x:f>IF(AND(E213&lt;&gt;"",F213="Ready"),"Yes","No")</x:f>
        <x:v>No</x:v>
      </x:c>
      <x:c r="I213" s="11"/>
    </x:row>
    <x:row r="214" ht="38" customHeight="1">
      <x:c r="A214" s="30" t="str">
        <x:v>CL0210</x:v>
      </x:c>
      <x:c r="B214" s="30" t="str">
        <x:v>Valuation</x:v>
      </x:c>
      <x:c r="C214" s="31" t="str">
        <x:v>Could you walk me through the DCF model you built for BYD</x:v>
      </x:c>
      <x:c r="D214" s="32" t="n">
        <x:f>COUNTIF('All Questions'!$G$5:$G$1725,A214)</x:f>
        <x:v>1</x:v>
      </x:c>
      <x:c r="E214" s="11"/>
      <x:c r="F214" s="12" t="str">
        <x:v>Not Started</x:v>
      </x:c>
      <x:c r="G214" s="13"/>
      <x:c r="H214" s="30" t="str">
        <x:f>IF(AND(E214&lt;&gt;"",F214="Ready"),"Yes","No")</x:f>
        <x:v>No</x:v>
      </x:c>
      <x:c r="I214" s="11"/>
    </x:row>
    <x:row r="215" ht="38" customHeight="1">
      <x:c r="A215" s="30" t="str">
        <x:v>CL0211</x:v>
      </x:c>
      <x:c r="B215" s="30" t="str">
        <x:v>Resume &amp; Experience</x:v>
      </x:c>
      <x:c r="C215" s="31" t="str">
        <x:v>CV based: First related internship, what did you do and what did you learn from it</x:v>
      </x:c>
      <x:c r="D215" s="32" t="n">
        <x:f>COUNTIF('All Questions'!$G$5:$G$1725,A215)</x:f>
        <x:v>1</x:v>
      </x:c>
      <x:c r="E215" s="11"/>
      <x:c r="F215" s="12" t="str">
        <x:v>Not Started</x:v>
      </x:c>
      <x:c r="G215" s="13"/>
      <x:c r="H215" s="30" t="str">
        <x:f>IF(AND(E215&lt;&gt;"",F215="Ready"),"Yes","No")</x:f>
        <x:v>No</x:v>
      </x:c>
      <x:c r="I215" s="11"/>
    </x:row>
    <x:row r="216" ht="38" customHeight="1">
      <x:c r="A216" s="30" t="str">
        <x:v>CL0212</x:v>
      </x:c>
      <x:c r="B216" s="30" t="str">
        <x:v>Resume &amp; Experience</x:v>
      </x:c>
      <x:c r="C216" s="31" t="str">
        <x:v>CV based: Second related internship, what did you do and what did you learn from it</x:v>
      </x:c>
      <x:c r="D216" s="32" t="n">
        <x:f>COUNTIF('All Questions'!$G$5:$G$1725,A216)</x:f>
        <x:v>1</x:v>
      </x:c>
      <x:c r="E216" s="11"/>
      <x:c r="F216" s="12" t="str">
        <x:v>Not Started</x:v>
      </x:c>
      <x:c r="G216" s="13"/>
      <x:c r="H216" s="30" t="str">
        <x:f>IF(AND(E216&lt;&gt;"",F216="Ready"),"Yes","No")</x:f>
        <x:v>No</x:v>
      </x:c>
      <x:c r="I216" s="11"/>
    </x:row>
    <x:row r="217" ht="58" customHeight="1">
      <x:c r="A217" s="30" t="str">
        <x:v>CL0213</x:v>
      </x:c>
      <x:c r="B217" s="30" t="str">
        <x:v>Resume &amp; Experience</x:v>
      </x:c>
      <x:c r="C217" s="31" t="str">
        <x:v>CV project - ask in detail abt a CIM on market / investment rationale / sale process walk through</x:v>
      </x:c>
      <x:c r="D217" s="32" t="n">
        <x:f>COUNTIF('All Questions'!$G$5:$G$1725,A217)</x:f>
        <x:v>1</x:v>
      </x:c>
      <x:c r="E217" s="11"/>
      <x:c r="F217" s="12" t="str">
        <x:v>Not Started</x:v>
      </x:c>
      <x:c r="G217" s="13"/>
      <x:c r="H217" s="30" t="str">
        <x:f>IF(AND(E217&lt;&gt;"",F217="Ready"),"Yes","No")</x:f>
        <x:v>No</x:v>
      </x:c>
      <x:c r="I217" s="11"/>
    </x:row>
    <x:row r="218" ht="38" customHeight="1">
      <x:c r="A218" s="30" t="str">
        <x:v>CL0214</x:v>
      </x:c>
      <x:c r="B218" s="30" t="str">
        <x:v>Fit &amp; Motivation</x:v>
      </x:c>
      <x:c r="C218" s="31" t="str">
        <x:v>CV question - tell me more about your work at ING Bank on the pitchbook (cantonese)</x:v>
      </x:c>
      <x:c r="D218" s="32" t="n">
        <x:f>COUNTIF('All Questions'!$G$5:$G$1725,A218)</x:f>
        <x:v>1</x:v>
      </x:c>
      <x:c r="E218" s="11"/>
      <x:c r="F218" s="12" t="str">
        <x:v>Not Started</x:v>
      </x:c>
      <x:c r="G218" s="13"/>
      <x:c r="H218" s="30" t="str">
        <x:f>IF(AND(E218&lt;&gt;"",F218="Ready"),"Yes","No")</x:f>
        <x:v>No</x:v>
      </x:c>
      <x:c r="I218" s="11"/>
    </x:row>
    <x:row r="219" ht="38" customHeight="1">
      <x:c r="A219" s="30" t="str">
        <x:v>CL0215</x:v>
      </x:c>
      <x:c r="B219" s="30" t="str">
        <x:v>Resume &amp; Experience</x:v>
      </x:c>
      <x:c r="C219" s="31" t="str">
        <x:v>CV question - tell me project you did at Bain &amp; Company (not very deep)</x:v>
      </x:c>
      <x:c r="D219" s="32" t="n">
        <x:f>COUNTIF('All Questions'!$G$5:$G$1725,A219)</x:f>
        <x:v>1</x:v>
      </x:c>
      <x:c r="E219" s="11"/>
      <x:c r="F219" s="12" t="str">
        <x:v>Not Started</x:v>
      </x:c>
      <x:c r="G219" s="13"/>
      <x:c r="H219" s="30" t="str">
        <x:f>IF(AND(E219&lt;&gt;"",F219="Ready"),"Yes","No")</x:f>
        <x:v>No</x:v>
      </x:c>
      <x:c r="I219" s="11"/>
    </x:row>
    <x:row r="220" ht="38" customHeight="1">
      <x:c r="A220" s="30" t="str">
        <x:v>CL0216</x:v>
      </x:c>
      <x:c r="B220" s="30" t="str">
        <x:v>Resume &amp; Experience</x:v>
      </x:c>
      <x:c r="C220" s="31" t="str">
        <x:v>CV questions: all about your experience, detailed to modeling</x:v>
      </x:c>
      <x:c r="D220" s="32" t="n">
        <x:f>COUNTIF('All Questions'!$G$5:$G$1725,A220)</x:f>
        <x:v>1</x:v>
      </x:c>
      <x:c r="E220" s="11"/>
      <x:c r="F220" s="12" t="str">
        <x:v>Not Started</x:v>
      </x:c>
      <x:c r="G220" s="13"/>
      <x:c r="H220" s="30" t="str">
        <x:f>IF(AND(E220&lt;&gt;"",F220="Ready"),"Yes","No")</x:f>
        <x:v>No</x:v>
      </x:c>
      <x:c r="I220" s="11"/>
    </x:row>
    <x:row r="221" ht="38" customHeight="1">
      <x:c r="A221" s="30" t="str">
        <x:v>CL0217</x:v>
      </x:c>
      <x:c r="B221" s="30" t="str">
        <x:v>Company, Industry &amp; Deals</x:v>
      </x:c>
      <x:c r="C221" s="31" t="str">
        <x:v>Daiwa energy storage: walk me through industry, trends, company, highlight</x:v>
      </x:c>
      <x:c r="D221" s="32" t="n">
        <x:f>COUNTIF('All Questions'!$G$5:$G$1725,A221)</x:f>
        <x:v>1</x:v>
      </x:c>
      <x:c r="E221" s="11"/>
      <x:c r="F221" s="12" t="str">
        <x:v>Not Started</x:v>
      </x:c>
      <x:c r="G221" s="13"/>
      <x:c r="H221" s="30" t="str">
        <x:f>IF(AND(E221&lt;&gt;"",F221="Ready"),"Yes","No")</x:f>
        <x:v>No</x:v>
      </x:c>
      <x:c r="I221" s="11"/>
    </x:row>
    <x:row r="222" ht="38" customHeight="1">
      <x:c r="A222" s="30" t="str">
        <x:v>CL0218</x:v>
      </x:c>
      <x:c r="B222" s="30" t="str">
        <x:v>Other Question</x:v>
      </x:c>
      <x:c r="C222" s="31" t="str">
        <x:v>Danny Lam, HR? COO</x:v>
      </x:c>
      <x:c r="D222" s="32" t="n">
        <x:f>COUNTIF('All Questions'!$G$5:$G$1725,A222)</x:f>
        <x:v>1</x:v>
      </x:c>
      <x:c r="E222" s="11"/>
      <x:c r="F222" s="12" t="str">
        <x:v>Not Started</x:v>
      </x:c>
      <x:c r="G222" s="13"/>
      <x:c r="H222" s="30" t="str">
        <x:f>IF(AND(E222&lt;&gt;"",F222="Ready"),"Yes","No")</x:f>
        <x:v>No</x:v>
      </x:c>
      <x:c r="I222" s="11"/>
    </x:row>
    <x:row r="223" ht="38" customHeight="1">
      <x:c r="A223" s="30" t="str">
        <x:v>CL0219</x:v>
      </x:c>
      <x:c r="B223" s="30" t="str">
        <x:v>Other Question</x:v>
      </x:c>
      <x:c r="C223" s="31" t="str">
        <x:v>DB有很多客戶是內地的國企，他們有自己不同的工作風格和文化，你覺得身為香港人，你會願意做嗎？還是你比較prefer跟more sophisticated的客戶交流</x:v>
      </x:c>
      <x:c r="D223" s="32" t="n">
        <x:f>COUNTIF('All Questions'!$G$5:$G$1725,A223)</x:f>
        <x:v>1</x:v>
      </x:c>
      <x:c r="E223" s="11"/>
      <x:c r="F223" s="12" t="str">
        <x:v>Not Started</x:v>
      </x:c>
      <x:c r="G223" s="13"/>
      <x:c r="H223" s="30" t="str">
        <x:f>IF(AND(E223&lt;&gt;"",F223="Ready"),"Yes","No")</x:f>
        <x:v>No</x:v>
      </x:c>
      <x:c r="I223" s="11"/>
    </x:row>
    <x:row r="224" ht="38" customHeight="1">
      <x:c r="A224" s="30" t="str">
        <x:v>CL0220</x:v>
      </x:c>
      <x:c r="B224" s="30" t="str">
        <x:v>Valuation</x:v>
      </x:c>
      <x:c r="C224" s="31" t="str">
        <x:v>DCF - PV proportion of the growth period and the TV</x:v>
      </x:c>
      <x:c r="D224" s="32" t="n">
        <x:f>COUNTIF('All Questions'!$G$5:$G$1725,A224)</x:f>
        <x:v>1</x:v>
      </x:c>
      <x:c r="E224" s="11"/>
      <x:c r="F224" s="12" t="str">
        <x:v>Not Started</x:v>
      </x:c>
      <x:c r="G224" s="13"/>
      <x:c r="H224" s="30" t="str">
        <x:f>IF(AND(E224&lt;&gt;"",F224="Ready"),"Yes","No")</x:f>
        <x:v>No</x:v>
      </x:c>
      <x:c r="I224" s="11"/>
    </x:row>
    <x:row r="225" ht="38" customHeight="1">
      <x:c r="A225" s="30" t="str">
        <x:v>CL0221</x:v>
      </x:c>
      <x:c r="B225" s="30" t="str">
        <x:v>Valuation</x:v>
      </x:c>
      <x:c r="C225" s="31" t="str">
        <x:v>DCF - Time period of estimated</x:v>
      </x:c>
      <x:c r="D225" s="32" t="n">
        <x:f>COUNTIF('All Questions'!$G$5:$G$1725,A225)</x:f>
        <x:v>1</x:v>
      </x:c>
      <x:c r="E225" s="11"/>
      <x:c r="F225" s="12" t="str">
        <x:v>Not Started</x:v>
      </x:c>
      <x:c r="G225" s="13"/>
      <x:c r="H225" s="30" t="str">
        <x:f>IF(AND(E225&lt;&gt;"",F225="Ready"),"Yes","No")</x:f>
        <x:v>No</x:v>
      </x:c>
      <x:c r="I225" s="11"/>
    </x:row>
    <x:row r="226" ht="58" customHeight="1">
      <x:c r="A226" s="30" t="str">
        <x:v>CL0222</x:v>
      </x:c>
      <x:c r="B226" s="30" t="str">
        <x:v>Valuation</x:v>
      </x:c>
      <x:c r="C226" s="31" t="str">
        <x:v>DCF - when to use Gordon Growth Method and when to use Exit Multiple method for TV calculation</x:v>
      </x:c>
      <x:c r="D226" s="32" t="n">
        <x:f>COUNTIF('All Questions'!$G$5:$G$1725,A226)</x:f>
        <x:v>1</x:v>
      </x:c>
      <x:c r="E226" s="11"/>
      <x:c r="F226" s="12" t="str">
        <x:v>Not Started</x:v>
      </x:c>
      <x:c r="G226" s="13"/>
      <x:c r="H226" s="30" t="str">
        <x:f>IF(AND(E226&lt;&gt;"",F226="Ready"),"Yes","No")</x:f>
        <x:v>No</x:v>
      </x:c>
      <x:c r="I226" s="11"/>
    </x:row>
    <x:row r="227" ht="58" customHeight="1">
      <x:c r="A227" s="30" t="str">
        <x:v>CL0223</x:v>
      </x:c>
      <x:c r="B227" s="30" t="str">
        <x:v>Valuation</x:v>
      </x:c>
      <x:c r="C227" s="31" t="str">
        <x:v>DCF – what CF are you using (UFCF or LFCF)? What are the two ways to find the terminal value? What’s the discount rate used in DCF</x:v>
      </x:c>
      <x:c r="D227" s="32" t="n">
        <x:f>COUNTIF('All Questions'!$G$5:$G$1725,A227)</x:f>
        <x:v>1</x:v>
      </x:c>
      <x:c r="E227" s="11"/>
      <x:c r="F227" s="12" t="str">
        <x:v>Not Started</x:v>
      </x:c>
      <x:c r="G227" s="13"/>
      <x:c r="H227" s="30" t="str">
        <x:f>IF(AND(E227&lt;&gt;"",F227="Ready"),"Yes","No")</x:f>
        <x:v>No</x:v>
      </x:c>
      <x:c r="I227" s="11"/>
    </x:row>
    <x:row r="228" ht="38" customHeight="1">
      <x:c r="A228" s="30" t="str">
        <x:v>CL0224</x:v>
      </x:c>
      <x:c r="B228" s="30" t="str">
        <x:v>Valuation</x:v>
      </x:c>
      <x:c r="C228" s="31" t="str">
        <x:v>DCF at Gusto Collective</x:v>
      </x:c>
      <x:c r="D228" s="32" t="n">
        <x:f>COUNTIF('All Questions'!$G$5:$G$1725,A228)</x:f>
        <x:v>1</x:v>
      </x:c>
      <x:c r="E228" s="11"/>
      <x:c r="F228" s="12" t="str">
        <x:v>Not Started</x:v>
      </x:c>
      <x:c r="G228" s="13"/>
      <x:c r="H228" s="30" t="str">
        <x:f>IF(AND(E228&lt;&gt;"",F228="Ready"),"Yes","No")</x:f>
        <x:v>No</x:v>
      </x:c>
      <x:c r="I228" s="11"/>
    </x:row>
    <x:row r="229" ht="38" customHeight="1">
      <x:c r="A229" s="30" t="str">
        <x:v>CL0225</x:v>
      </x:c>
      <x:c r="B229" s="30" t="str">
        <x:v>Valuation</x:v>
      </x:c>
      <x:c r="C229" s="31" t="str">
        <x:v>DCF details (I mentioned about SOTP used in biotech)</x:v>
      </x:c>
      <x:c r="D229" s="32" t="n">
        <x:f>COUNTIF('All Questions'!$G$5:$G$1725,A229)</x:f>
        <x:v>1</x:v>
      </x:c>
      <x:c r="E229" s="11"/>
      <x:c r="F229" s="12" t="str">
        <x:v>Not Started</x:v>
      </x:c>
      <x:c r="G229" s="13"/>
      <x:c r="H229" s="30" t="str">
        <x:f>IF(AND(E229&lt;&gt;"",F229="Ready"),"Yes","No")</x:f>
        <x:v>No</x:v>
      </x:c>
      <x:c r="I229" s="11"/>
    </x:row>
    <x:row r="230" ht="38" customHeight="1">
      <x:c r="A230" s="30" t="str">
        <x:v>CL0226</x:v>
      </x:c>
      <x:c r="B230" s="30" t="str">
        <x:v>Valuation</x:v>
      </x:c>
      <x:c r="C230" s="31" t="str">
        <x:v>DCF model walk through, WACC</x:v>
      </x:c>
      <x:c r="D230" s="32" t="n">
        <x:f>COUNTIF('All Questions'!$G$5:$G$1725,A230)</x:f>
        <x:v>1</x:v>
      </x:c>
      <x:c r="E230" s="11"/>
      <x:c r="F230" s="12" t="str">
        <x:v>Not Started</x:v>
      </x:c>
      <x:c r="G230" s="13"/>
      <x:c r="H230" s="30" t="str">
        <x:f>IF(AND(E230&lt;&gt;"",F230="Ready"),"Yes","No")</x:f>
        <x:v>No</x:v>
      </x:c>
      <x:c r="I230" s="11"/>
    </x:row>
    <x:row r="231" ht="38" customHeight="1">
      <x:c r="A231" s="30" t="str">
        <x:v>CL0227</x:v>
      </x:c>
      <x:c r="B231" s="30" t="str">
        <x:v>Valuation</x:v>
      </x:c>
      <x:c r="C231" s="31" t="str">
        <x:v>DCF revenue stream breakdown</x:v>
      </x:c>
      <x:c r="D231" s="32" t="n">
        <x:f>COUNTIF('All Questions'!$G$5:$G$1725,A231)</x:f>
        <x:v>1</x:v>
      </x:c>
      <x:c r="E231" s="11"/>
      <x:c r="F231" s="12" t="str">
        <x:v>Not Started</x:v>
      </x:c>
      <x:c r="G231" s="13"/>
      <x:c r="H231" s="30" t="str">
        <x:f>IF(AND(E231&lt;&gt;"",F231="Ready"),"Yes","No")</x:f>
        <x:v>No</x:v>
      </x:c>
      <x:c r="I231" s="11"/>
    </x:row>
    <x:row r="232" ht="38" customHeight="1">
      <x:c r="A232" s="30" t="str">
        <x:v>CL0228</x:v>
      </x:c>
      <x:c r="B232" s="30" t="str">
        <x:v>Valuation</x:v>
      </x:c>
      <x:c r="C232" s="31" t="str">
        <x:v>Deep dive DCF</x:v>
      </x:c>
      <x:c r="D232" s="32" t="n">
        <x:f>COUNTIF('All Questions'!$G$5:$G$1725,A232)</x:f>
        <x:v>1</x:v>
      </x:c>
      <x:c r="E232" s="11"/>
      <x:c r="F232" s="12" t="str">
        <x:v>Not Started</x:v>
      </x:c>
      <x:c r="G232" s="13"/>
      <x:c r="H232" s="30" t="str">
        <x:f>IF(AND(E232&lt;&gt;"",F232="Ready"),"Yes","No")</x:f>
        <x:v>No</x:v>
      </x:c>
      <x:c r="I232" s="11"/>
    </x:row>
    <x:row r="233" ht="38" customHeight="1">
      <x:c r="A233" s="30" t="str">
        <x:v>CL0229</x:v>
      </x:c>
      <x:c r="B233" s="30" t="str">
        <x:v>Valuation</x:v>
      </x:c>
      <x:c r="C233" s="31" t="str">
        <x:v>Deep dive into each - DCF, comps, precedent transactions</x:v>
      </x:c>
      <x:c r="D233" s="32" t="n">
        <x:f>COUNTIF('All Questions'!$G$5:$G$1725,A233)</x:f>
        <x:v>1</x:v>
      </x:c>
      <x:c r="E233" s="11"/>
      <x:c r="F233" s="12" t="str">
        <x:v>Not Started</x:v>
      </x:c>
      <x:c r="G233" s="13"/>
      <x:c r="H233" s="30" t="str">
        <x:f>IF(AND(E233&lt;&gt;"",F233="Ready"),"Yes","No")</x:f>
        <x:v>No</x:v>
      </x:c>
      <x:c r="I233" s="11"/>
    </x:row>
    <x:row r="234" ht="38" customHeight="1">
      <x:c r="A234" s="30" t="str">
        <x:v>CL0230</x:v>
      </x:c>
      <x:c r="B234" s="30" t="str">
        <x:v>Other Question</x:v>
      </x:c>
      <x:c r="C234" s="31" t="str">
        <x:v>Describe a successful business organization</x:v>
      </x:c>
      <x:c r="D234" s="32" t="n">
        <x:f>COUNTIF('All Questions'!$G$5:$G$1725,A234)</x:f>
        <x:v>1</x:v>
      </x:c>
      <x:c r="E234" s="11"/>
      <x:c r="F234" s="12" t="str">
        <x:v>Not Started</x:v>
      </x:c>
      <x:c r="G234" s="13"/>
      <x:c r="H234" s="30" t="str">
        <x:f>IF(AND(E234&lt;&gt;"",F234="Ready"),"Yes","No")</x:f>
        <x:v>No</x:v>
      </x:c>
      <x:c r="I234" s="11"/>
    </x:row>
    <x:row r="235" ht="58" customHeight="1">
      <x:c r="A235" s="30" t="str">
        <x:v>CL0231</x:v>
      </x:c>
      <x:c r="B235" s="30" t="str">
        <x:v>Behavioral &amp; Situational</x:v>
      </x:c>
      <x:c r="C235" s="31" t="str">
        <x:v>Describe a time when you are working in a team and have conflicts with others. How do you handle that</x:v>
      </x:c>
      <x:c r="D235" s="32" t="n">
        <x:f>COUNTIF('All Questions'!$G$5:$G$1725,A235)</x:f>
        <x:v>1</x:v>
      </x:c>
      <x:c r="E235" s="11"/>
      <x:c r="F235" s="12" t="str">
        <x:v>Not Started</x:v>
      </x:c>
      <x:c r="G235" s="13"/>
      <x:c r="H235" s="30" t="str">
        <x:f>IF(AND(E235&lt;&gt;"",F235="Ready"),"Yes","No")</x:f>
        <x:v>No</x:v>
      </x:c>
      <x:c r="I235" s="11"/>
    </x:row>
    <x:row r="236" ht="38" customHeight="1">
      <x:c r="A236" s="30" t="str">
        <x:v>CL0232</x:v>
      </x:c>
      <x:c r="B236" s="30" t="str">
        <x:v>Resume &amp; Experience</x:v>
      </x:c>
      <x:c r="C236" s="31" t="str">
        <x:v>Describe responsibilities of the FIG deal, investment highlights, valuation multiples</x:v>
      </x:c>
      <x:c r="D236" s="32" t="n">
        <x:f>COUNTIF('All Questions'!$G$5:$G$1725,A236)</x:f>
        <x:v>1</x:v>
      </x:c>
      <x:c r="E236" s="11"/>
      <x:c r="F236" s="12" t="str">
        <x:v>Not Started</x:v>
      </x:c>
      <x:c r="G236" s="13"/>
      <x:c r="H236" s="30" t="str">
        <x:f>IF(AND(E236&lt;&gt;"",F236="Ready"),"Yes","No")</x:f>
        <x:v>No</x:v>
      </x:c>
      <x:c r="I236" s="11"/>
    </x:row>
    <x:row r="237" ht="38" customHeight="1">
      <x:c r="A237" s="30" t="str">
        <x:v>CL0233</x:v>
      </x:c>
      <x:c r="B237" s="30" t="str">
        <x:v>Resume &amp; Experience</x:v>
      </x:c>
      <x:c r="C237" s="31" t="str">
        <x:v>Detailed questions on lastest internship (start with "tell us what did you do...")</x:v>
      </x:c>
      <x:c r="D237" s="32" t="n">
        <x:f>COUNTIF('All Questions'!$G$5:$G$1725,A237)</x:f>
        <x:v>1</x:v>
      </x:c>
      <x:c r="E237" s="11"/>
      <x:c r="F237" s="12" t="str">
        <x:v>Not Started</x:v>
      </x:c>
      <x:c r="G237" s="13"/>
      <x:c r="H237" s="30" t="str">
        <x:f>IF(AND(E237&lt;&gt;"",F237="Ready"),"Yes","No")</x:f>
        <x:v>No</x:v>
      </x:c>
      <x:c r="I237" s="11"/>
    </x:row>
    <x:row r="238" ht="38" customHeight="1">
      <x:c r="A238" s="30" t="str">
        <x:v>CL0234</x:v>
      </x:c>
      <x:c r="B238" s="30" t="str">
        <x:v>Sales &amp; Trading</x:v>
      </x:c>
      <x:c r="C238" s="31" t="str">
        <x:v>Dick Lee, MD and APAC Head of Corporate Equity Derivatives</x:v>
      </x:c>
      <x:c r="D238" s="32" t="n">
        <x:f>COUNTIF('All Questions'!$G$5:$G$1725,A238)</x:f>
        <x:v>1</x:v>
      </x:c>
      <x:c r="E238" s="11"/>
      <x:c r="F238" s="12" t="str">
        <x:v>Not Started</x:v>
      </x:c>
      <x:c r="G238" s="13"/>
      <x:c r="H238" s="30" t="str">
        <x:f>IF(AND(E238&lt;&gt;"",F238="Ready"),"Yes","No")</x:f>
        <x:v>No</x:v>
      </x:c>
      <x:c r="I238" s="11"/>
    </x:row>
    <x:row r="239" ht="38" customHeight="1">
      <x:c r="A239" s="30" t="str">
        <x:v>CL0235</x:v>
      </x:c>
      <x:c r="B239" s="30" t="str">
        <x:v>Consulting &amp; Case</x:v>
      </x:c>
      <x:c r="C239" s="31" t="str">
        <x:v>Did anyone else involved in this task? What did they do</x:v>
      </x:c>
      <x:c r="D239" s="32" t="n">
        <x:f>COUNTIF('All Questions'!$G$5:$G$1725,A239)</x:f>
        <x:v>1</x:v>
      </x:c>
      <x:c r="E239" s="11"/>
      <x:c r="F239" s="12" t="str">
        <x:v>Not Started</x:v>
      </x:c>
      <x:c r="G239" s="13"/>
      <x:c r="H239" s="30" t="str">
        <x:f>IF(AND(E239&lt;&gt;"",F239="Ready"),"Yes","No")</x:f>
        <x:v>No</x:v>
      </x:c>
      <x:c r="I239" s="11"/>
    </x:row>
    <x:row r="240" ht="38" customHeight="1">
      <x:c r="A240" s="30" t="str">
        <x:v>CL0236</x:v>
      </x:c>
      <x:c r="B240" s="30" t="str">
        <x:v>Capital Markets &amp; Financing</x:v>
      </x:c>
      <x:c r="C240" s="31" t="str">
        <x:v>Did I choose ECM as my first preference</x:v>
      </x:c>
      <x:c r="D240" s="32" t="n">
        <x:f>COUNTIF('All Questions'!$G$5:$G$1725,A240)</x:f>
        <x:v>1</x:v>
      </x:c>
      <x:c r="E240" s="11"/>
      <x:c r="F240" s="12" t="str">
        <x:v>Not Started</x:v>
      </x:c>
      <x:c r="G240" s="13"/>
      <x:c r="H240" s="30" t="str">
        <x:f>IF(AND(E240&lt;&gt;"",F240="Ready"),"Yes","No")</x:f>
        <x:v>No</x:v>
      </x:c>
      <x:c r="I240" s="11"/>
    </x:row>
    <x:row r="241" ht="38" customHeight="1">
      <x:c r="A241" s="30" t="str">
        <x:v>CL0237</x:v>
      </x:c>
      <x:c r="B241" s="30" t="str">
        <x:v>Other Technical</x:v>
      </x:c>
      <x:c r="C241" s="31" t="str">
        <x:v>Did you build a model for it</x:v>
      </x:c>
      <x:c r="D241" s="32" t="n">
        <x:f>COUNTIF('All Questions'!$G$5:$G$1725,A241)</x:f>
        <x:v>1</x:v>
      </x:c>
      <x:c r="E241" s="11"/>
      <x:c r="F241" s="12" t="str">
        <x:v>Not Started</x:v>
      </x:c>
      <x:c r="G241" s="13"/>
      <x:c r="H241" s="30" t="str">
        <x:f>IF(AND(E241&lt;&gt;"",F241="Ready"),"Yes","No")</x:f>
        <x:v>No</x:v>
      </x:c>
      <x:c r="I241" s="11"/>
    </x:row>
    <x:row r="242" ht="38" customHeight="1">
      <x:c r="A242" s="30" t="str">
        <x:v>CL0238</x:v>
      </x:c>
      <x:c r="B242" s="30" t="str">
        <x:v>Other Technical</x:v>
      </x:c>
      <x:c r="C242" s="31" t="str">
        <x:v>Did you do any financial modelling before</x:v>
      </x:c>
      <x:c r="D242" s="32" t="n">
        <x:f>COUNTIF('All Questions'!$G$5:$G$1725,A242)</x:f>
        <x:v>1</x:v>
      </x:c>
      <x:c r="E242" s="11"/>
      <x:c r="F242" s="12" t="str">
        <x:v>Not Started</x:v>
      </x:c>
      <x:c r="G242" s="13"/>
      <x:c r="H242" s="30" t="str">
        <x:f>IF(AND(E242&lt;&gt;"",F242="Ready"),"Yes","No")</x:f>
        <x:v>No</x:v>
      </x:c>
      <x:c r="I242" s="11"/>
    </x:row>
    <x:row r="243" ht="38" customHeight="1">
      <x:c r="A243" s="30" t="str">
        <x:v>CL0239</x:v>
      </x:c>
      <x:c r="B243" s="30" t="str">
        <x:v>Valuation</x:v>
      </x:c>
      <x:c r="C243" s="31" t="str">
        <x:v>Did you do any valuation work</x:v>
      </x:c>
      <x:c r="D243" s="32" t="n">
        <x:f>COUNTIF('All Questions'!$G$5:$G$1725,A243)</x:f>
        <x:v>1</x:v>
      </x:c>
      <x:c r="E243" s="11"/>
      <x:c r="F243" s="12" t="str">
        <x:v>Not Started</x:v>
      </x:c>
      <x:c r="G243" s="13"/>
      <x:c r="H243" s="30" t="str">
        <x:f>IF(AND(E243&lt;&gt;"",F243="Ready"),"Yes","No")</x:f>
        <x:v>No</x:v>
      </x:c>
      <x:c r="I243" s="11"/>
    </x:row>
    <x:row r="244" ht="38" customHeight="1">
      <x:c r="A244" s="30" t="str">
        <x:v>CL0240</x:v>
      </x:c>
      <x:c r="B244" s="30" t="str">
        <x:v>Other Question</x:v>
      </x:c>
      <x:c r="C244" s="31" t="str">
        <x:v>Did you do credit anlysis</x:v>
      </x:c>
      <x:c r="D244" s="32" t="n">
        <x:f>COUNTIF('All Questions'!$G$5:$G$1725,A244)</x:f>
        <x:v>1</x:v>
      </x:c>
      <x:c r="E244" s="11"/>
      <x:c r="F244" s="12" t="str">
        <x:v>Not Started</x:v>
      </x:c>
      <x:c r="G244" s="13"/>
      <x:c r="H244" s="30" t="str">
        <x:f>IF(AND(E244&lt;&gt;"",F244="Ready"),"Yes","No")</x:f>
        <x:v>No</x:v>
      </x:c>
      <x:c r="I244" s="11"/>
    </x:row>
    <x:row r="245" ht="38" customHeight="1">
      <x:c r="A245" s="30" t="str">
        <x:v>CL0241</x:v>
      </x:c>
      <x:c r="B245" s="30" t="str">
        <x:v>Valuation</x:v>
      </x:c>
      <x:c r="C245" s="31" t="str">
        <x:v>Did you do DCF before</x:v>
      </x:c>
      <x:c r="D245" s="32" t="n">
        <x:f>COUNTIF('All Questions'!$G$5:$G$1725,A245)</x:f>
        <x:v>1</x:v>
      </x:c>
      <x:c r="E245" s="11"/>
      <x:c r="F245" s="12" t="str">
        <x:v>Not Started</x:v>
      </x:c>
      <x:c r="G245" s="13"/>
      <x:c r="H245" s="30" t="str">
        <x:f>IF(AND(E245&lt;&gt;"",F245="Ready"),"Yes","No")</x:f>
        <x:v>No</x:v>
      </x:c>
      <x:c r="I245" s="11"/>
    </x:row>
    <x:row r="246" ht="58" customHeight="1">
      <x:c r="A246" s="30" t="str">
        <x:v>CL0242</x:v>
      </x:c>
      <x:c r="B246" s="30" t="str">
        <x:v>Other Question</x:v>
      </x:c>
      <x:c r="C246" s="31" t="str">
        <x:v>Did you follow the news yesterday – US election? Do you know how the market movement went after that</x:v>
      </x:c>
      <x:c r="D246" s="32" t="n">
        <x:f>COUNTIF('All Questions'!$G$5:$G$1725,A246)</x:f>
        <x:v>1</x:v>
      </x:c>
      <x:c r="E246" s="11"/>
      <x:c r="F246" s="12" t="str">
        <x:v>Not Started</x:v>
      </x:c>
      <x:c r="G246" s="13"/>
      <x:c r="H246" s="30" t="str">
        <x:f>IF(AND(E246&lt;&gt;"",F246="Ready"),"Yes","No")</x:f>
        <x:v>No</x:v>
      </x:c>
      <x:c r="I246" s="11"/>
    </x:row>
    <x:row r="247" ht="38" customHeight="1">
      <x:c r="A247" s="30" t="str">
        <x:v>CL0243</x:v>
      </x:c>
      <x:c r="B247" s="30" t="str">
        <x:v>Fit &amp; Motivation</x:v>
      </x:c>
      <x:c r="C247" s="31" t="str">
        <x:v>Did you get any feedback from Lazard? Why didn't you get in</x:v>
      </x:c>
      <x:c r="D247" s="32" t="n">
        <x:f>COUNTIF('All Questions'!$G$5:$G$1725,A247)</x:f>
        <x:v>1</x:v>
      </x:c>
      <x:c r="E247" s="11"/>
      <x:c r="F247" s="12" t="str">
        <x:v>Not Started</x:v>
      </x:c>
      <x:c r="G247" s="13"/>
      <x:c r="H247" s="30" t="str">
        <x:f>IF(AND(E247&lt;&gt;"",F247="Ready"),"Yes","No")</x:f>
        <x:v>No</x:v>
      </x:c>
      <x:c r="I247" s="11"/>
    </x:row>
    <x:row r="248" ht="38" customHeight="1">
      <x:c r="A248" s="30" t="str">
        <x:v>CL0244</x:v>
      </x:c>
      <x:c r="B248" s="30" t="str">
        <x:v>Fit &amp; Motivation</x:v>
      </x:c>
      <x:c r="C248" s="31" t="str">
        <x:v>Did you get return and why not</x:v>
      </x:c>
      <x:c r="D248" s="32" t="n">
        <x:f>COUNTIF('All Questions'!$G$5:$G$1725,A248)</x:f>
        <x:v>1</x:v>
      </x:c>
      <x:c r="E248" s="11"/>
      <x:c r="F248" s="12" t="str">
        <x:v>Not Started</x:v>
      </x:c>
      <x:c r="G248" s="13"/>
      <x:c r="H248" s="30" t="str">
        <x:f>IF(AND(E248&lt;&gt;"",F248="Ready"),"Yes","No")</x:f>
        <x:v>No</x:v>
      </x:c>
      <x:c r="I248" s="11"/>
    </x:row>
    <x:row r="249" ht="38" customHeight="1">
      <x:c r="A249" s="30" t="str">
        <x:v>CL0245</x:v>
      </x:c>
      <x:c r="B249" s="30" t="str">
        <x:v>Other Question</x:v>
      </x:c>
      <x:c r="C249" s="31" t="str">
        <x:v>Did you get return from Nomura? What's the return rate</x:v>
      </x:c>
      <x:c r="D249" s="32" t="n">
        <x:f>COUNTIF('All Questions'!$G$5:$G$1725,A249)</x:f>
        <x:v>1</x:v>
      </x:c>
      <x:c r="E249" s="11"/>
      <x:c r="F249" s="12" t="str">
        <x:v>Not Started</x:v>
      </x:c>
      <x:c r="G249" s="13"/>
      <x:c r="H249" s="30" t="str">
        <x:f>IF(AND(E249&lt;&gt;"",F249="Ready"),"Yes","No")</x:f>
        <x:v>No</x:v>
      </x:c>
      <x:c r="I249" s="11"/>
    </x:row>
    <x:row r="250" ht="38" customHeight="1">
      <x:c r="A250" s="30" t="str">
        <x:v>CL0246</x:v>
      </x:c>
      <x:c r="B250" s="30" t="str">
        <x:v>Other Question</x:v>
      </x:c>
      <x:c r="C250" s="31" t="str">
        <x:v>Did you have return? What's the return rate? (but she was nice about it)</x:v>
      </x:c>
      <x:c r="D250" s="32" t="n">
        <x:f>COUNTIF('All Questions'!$G$5:$G$1725,A250)</x:f>
        <x:v>1</x:v>
      </x:c>
      <x:c r="E250" s="11"/>
      <x:c r="F250" s="12" t="str">
        <x:v>Not Started</x:v>
      </x:c>
      <x:c r="G250" s="13"/>
      <x:c r="H250" s="30" t="str">
        <x:f>IF(AND(E250&lt;&gt;"",F250="Ready"),"Yes","No")</x:f>
        <x:v>No</x:v>
      </x:c>
      <x:c r="I250" s="11"/>
    </x:row>
    <x:row r="251" ht="38" customHeight="1">
      <x:c r="A251" s="30" t="str">
        <x:v>CL0247</x:v>
      </x:c>
      <x:c r="B251" s="30" t="str">
        <x:v>Other Question</x:v>
      </x:c>
      <x:c r="C251" s="31" t="str">
        <x:v>Did you interact with clients at KPMG (in chinese)</x:v>
      </x:c>
      <x:c r="D251" s="32" t="n">
        <x:f>COUNTIF('All Questions'!$G$5:$G$1725,A251)</x:f>
        <x:v>1</x:v>
      </x:c>
      <x:c r="E251" s="11"/>
      <x:c r="F251" s="12" t="str">
        <x:v>Not Started</x:v>
      </x:c>
      <x:c r="G251" s="13"/>
      <x:c r="H251" s="30" t="str">
        <x:f>IF(AND(E251&lt;&gt;"",F251="Ready"),"Yes","No")</x:f>
        <x:v>No</x:v>
      </x:c>
      <x:c r="I251" s="11"/>
    </x:row>
    <x:row r="252" ht="38" customHeight="1">
      <x:c r="A252" s="30" t="str">
        <x:v>CL0248</x:v>
      </x:c>
      <x:c r="B252" s="30" t="str">
        <x:v>Other Question</x:v>
      </x:c>
      <x:c r="C252" s="31" t="str">
        <x:v>Did you network in UBS? How</x:v>
      </x:c>
      <x:c r="D252" s="32" t="n">
        <x:f>COUNTIF('All Questions'!$G$5:$G$1725,A252)</x:f>
        <x:v>1</x:v>
      </x:c>
      <x:c r="E252" s="11"/>
      <x:c r="F252" s="12" t="str">
        <x:v>Not Started</x:v>
      </x:c>
      <x:c r="G252" s="13"/>
      <x:c r="H252" s="30" t="str">
        <x:f>IF(AND(E252&lt;&gt;"",F252="Ready"),"Yes","No")</x:f>
        <x:v>No</x:v>
      </x:c>
      <x:c r="I252" s="11"/>
    </x:row>
    <x:row r="253" ht="38" customHeight="1">
      <x:c r="A253" s="30" t="str">
        <x:v>CL0249</x:v>
      </x:c>
      <x:c r="B253" s="30" t="str">
        <x:v>Capital Markets &amp; Financing</x:v>
      </x:c>
      <x:c r="C253" s="31" t="str">
        <x:v>Did you participate in the financing work</x:v>
      </x:c>
      <x:c r="D253" s="32" t="n">
        <x:f>COUNTIF('All Questions'!$G$5:$G$1725,A253)</x:f>
        <x:v>1</x:v>
      </x:c>
      <x:c r="E253" s="11"/>
      <x:c r="F253" s="12" t="str">
        <x:v>Not Started</x:v>
      </x:c>
      <x:c r="G253" s="13"/>
      <x:c r="H253" s="30" t="str">
        <x:f>IF(AND(E253&lt;&gt;"",F253="Ready"),"Yes","No")</x:f>
        <x:v>No</x:v>
      </x:c>
      <x:c r="I253" s="11"/>
    </x:row>
    <x:row r="254" ht="38" customHeight="1">
      <x:c r="A254" s="30" t="str">
        <x:v>CL0250</x:v>
      </x:c>
      <x:c r="B254" s="30" t="str">
        <x:v>Other Question</x:v>
      </x:c>
      <x:c r="C254" s="31" t="str">
        <x:v>Did you take into account of A/H share premium</x:v>
      </x:c>
      <x:c r="D254" s="32" t="n">
        <x:f>COUNTIF('All Questions'!$G$5:$G$1725,A254)</x:f>
        <x:v>1</x:v>
      </x:c>
      <x:c r="E254" s="11"/>
      <x:c r="F254" s="12" t="str">
        <x:v>Not Started</x:v>
      </x:c>
      <x:c r="G254" s="13"/>
      <x:c r="H254" s="30" t="str">
        <x:f>IF(AND(E254&lt;&gt;"",F254="Ready"),"Yes","No")</x:f>
        <x:v>No</x:v>
      </x:c>
      <x:c r="I254" s="11"/>
    </x:row>
    <x:row r="255" ht="38" customHeight="1">
      <x:c r="A255" s="30" t="str">
        <x:v>CL0251</x:v>
      </x:c>
      <x:c r="B255" s="30" t="str">
        <x:v>Valuation</x:v>
      </x:c>
      <x:c r="C255" s="31" t="str">
        <x:v>Did you use LTM multiple or NTM mulitiple, why</x:v>
      </x:c>
      <x:c r="D255" s="32" t="n">
        <x:f>COUNTIF('All Questions'!$G$5:$G$1725,A255)</x:f>
        <x:v>1</x:v>
      </x:c>
      <x:c r="E255" s="11"/>
      <x:c r="F255" s="12" t="str">
        <x:v>Not Started</x:v>
      </x:c>
      <x:c r="G255" s="13"/>
      <x:c r="H255" s="30" t="str">
        <x:f>IF(AND(E255&lt;&gt;"",F255="Ready"),"Yes","No")</x:f>
        <x:v>No</x:v>
      </x:c>
      <x:c r="I255" s="11"/>
    </x:row>
    <x:row r="256" ht="38" customHeight="1">
      <x:c r="A256" s="30" t="str">
        <x:v>CL0252</x:v>
      </x:c>
      <x:c r="B256" s="30" t="str">
        <x:v>Valuation</x:v>
      </x:c>
      <x:c r="C256" s="31" t="str">
        <x:v>Difference between different valuation multiples - P/E, EV/EBITDA, EV/EBIT</x:v>
      </x:c>
      <x:c r="D256" s="32" t="n">
        <x:f>COUNTIF('All Questions'!$G$5:$G$1725,A256)</x:f>
        <x:v>1</x:v>
      </x:c>
      <x:c r="E256" s="11"/>
      <x:c r="F256" s="12" t="str">
        <x:v>Not Started</x:v>
      </x:c>
      <x:c r="G256" s="13"/>
      <x:c r="H256" s="30" t="str">
        <x:f>IF(AND(E256&lt;&gt;"",F256="Ready"),"Yes","No")</x:f>
        <x:v>No</x:v>
      </x:c>
      <x:c r="I256" s="11"/>
    </x:row>
    <x:row r="257" ht="38" customHeight="1">
      <x:c r="A257" s="30" t="str">
        <x:v>CL0253</x:v>
      </x:c>
      <x:c r="B257" s="30" t="str">
        <x:v>Company, Industry &amp; Deals</x:v>
      </x:c>
      <x:c r="C257" s="31" t="str">
        <x:v>Difference between EV/ebitda, EV/revenue</x:v>
      </x:c>
      <x:c r="D257" s="32" t="n">
        <x:f>COUNTIF('All Questions'!$G$5:$G$1725,A257)</x:f>
        <x:v>1</x:v>
      </x:c>
      <x:c r="E257" s="11"/>
      <x:c r="F257" s="12" t="str">
        <x:v>Not Started</x:v>
      </x:c>
      <x:c r="G257" s="13"/>
      <x:c r="H257" s="30" t="str">
        <x:f>IF(AND(E257&lt;&gt;"",F257="Ready"),"Yes","No")</x:f>
        <x:v>No</x:v>
      </x:c>
      <x:c r="I257" s="11"/>
    </x:row>
    <x:row r="258" ht="38" customHeight="1">
      <x:c r="A258" s="30" t="str">
        <x:v>CL0254</x:v>
      </x:c>
      <x:c r="B258" s="30" t="str">
        <x:v>Other Question</x:v>
      </x:c>
      <x:c r="C258" s="31" t="str">
        <x:v>Difference between liquidity and solvency</x:v>
      </x:c>
      <x:c r="D258" s="32" t="n">
        <x:f>COUNTIF('All Questions'!$G$5:$G$1725,A258)</x:f>
        <x:v>1</x:v>
      </x:c>
      <x:c r="E258" s="11"/>
      <x:c r="F258" s="12" t="str">
        <x:v>Not Started</x:v>
      </x:c>
      <x:c r="G258" s="13"/>
      <x:c r="H258" s="30" t="str">
        <x:f>IF(AND(E258&lt;&gt;"",F258="Ready"),"Yes","No")</x:f>
        <x:v>No</x:v>
      </x:c>
      <x:c r="I258" s="11"/>
    </x:row>
    <x:row r="259" ht="38" customHeight="1">
      <x:c r="A259" s="30" t="str">
        <x:v>CL0255</x:v>
      </x:c>
      <x:c r="B259" s="30" t="str">
        <x:v>Other Question</x:v>
      </x:c>
      <x:c r="C259" s="31" t="str">
        <x:v>Difference between PE, EV/EBITDA, EV/EBIT</x:v>
      </x:c>
      <x:c r="D259" s="32" t="n">
        <x:f>COUNTIF('All Questions'!$G$5:$G$1725,A259)</x:f>
        <x:v>1</x:v>
      </x:c>
      <x:c r="E259" s="11"/>
      <x:c r="F259" s="12" t="str">
        <x:v>Not Started</x:v>
      </x:c>
      <x:c r="G259" s="13"/>
      <x:c r="H259" s="30" t="str">
        <x:f>IF(AND(E259&lt;&gt;"",F259="Ready"),"Yes","No")</x:f>
        <x:v>No</x:v>
      </x:c>
      <x:c r="I259" s="11"/>
    </x:row>
    <x:row r="260" ht="38" customHeight="1">
      <x:c r="A260" s="30" t="str">
        <x:v>CL0256</x:v>
      </x:c>
      <x:c r="B260" s="30" t="str">
        <x:v>Other Question</x:v>
      </x:c>
      <x:c r="C260" s="31" t="str">
        <x:v>Different ways of privatisation</x:v>
      </x:c>
      <x:c r="D260" s="32" t="n">
        <x:f>COUNTIF('All Questions'!$G$5:$G$1725,A260)</x:f>
        <x:v>1</x:v>
      </x:c>
      <x:c r="E260" s="11"/>
      <x:c r="F260" s="12" t="str">
        <x:v>Not Started</x:v>
      </x:c>
      <x:c r="G260" s="13"/>
      <x:c r="H260" s="30" t="str">
        <x:f>IF(AND(E260&lt;&gt;"",F260="Ready"),"Yes","No")</x:f>
        <x:v>No</x:v>
      </x:c>
      <x:c r="I260" s="11"/>
    </x:row>
    <x:row r="261" ht="38" customHeight="1">
      <x:c r="A261" s="30" t="str">
        <x:v>CL0257</x:v>
      </x:c>
      <x:c r="B261" s="30" t="str">
        <x:v>Other Question</x:v>
      </x:c>
      <x:c r="C261" s="31" t="str">
        <x:v>Discuss about how to optimize efficiency in an organization</x:v>
      </x:c>
      <x:c r="D261" s="32" t="n">
        <x:f>COUNTIF('All Questions'!$G$5:$G$1725,A261)</x:f>
        <x:v>1</x:v>
      </x:c>
      <x:c r="E261" s="11"/>
      <x:c r="F261" s="12" t="str">
        <x:v>Not Started</x:v>
      </x:c>
      <x:c r="G261" s="13"/>
      <x:c r="H261" s="30" t="str">
        <x:f>IF(AND(E261&lt;&gt;"",F261="Ready"),"Yes","No")</x:f>
        <x:v>No</x:v>
      </x:c>
      <x:c r="I261" s="11"/>
    </x:row>
    <x:row r="262" ht="80" customHeight="1">
      <x:c r="A262" s="30" t="str">
        <x:v>CL0258</x:v>
      </x:c>
      <x:c r="B262" s="30" t="str">
        <x:v>Markets &amp; Macro</x:v>
      </x:c>
      <x:c r="C262" s="31" t="str">
        <x:v>Discuss how the US tariffs announcements and the overall erratic policy will impact its role in the global economy and monetary system in the medium or long term</x:v>
      </x:c>
      <x:c r="D262" s="32" t="n">
        <x:f>COUNTIF('All Questions'!$G$5:$G$1725,A262)</x:f>
        <x:v>1</x:v>
      </x:c>
      <x:c r="E262" s="11"/>
      <x:c r="F262" s="12" t="str">
        <x:v>Not Started</x:v>
      </x:c>
      <x:c r="G262" s="13"/>
      <x:c r="H262" s="30" t="str">
        <x:f>IF(AND(E262&lt;&gt;"",F262="Ready"),"Yes","No")</x:f>
        <x:v>No</x:v>
      </x:c>
      <x:c r="I262" s="11"/>
    </x:row>
    <x:row r="263" ht="38" customHeight="1">
      <x:c r="A263" s="30" t="str">
        <x:v>CL0259</x:v>
      </x:c>
      <x:c r="B263" s="30" t="str">
        <x:v>Markets &amp; Macro</x:v>
      </x:c>
      <x:c r="C263" s="31" t="str">
        <x:v>Discuss tariff effect on Chinese EV makers blabla</x:v>
      </x:c>
      <x:c r="D263" s="32" t="n">
        <x:f>COUNTIF('All Questions'!$G$5:$G$1725,A263)</x:f>
        <x:v>1</x:v>
      </x:c>
      <x:c r="E263" s="11"/>
      <x:c r="F263" s="12" t="str">
        <x:v>Not Started</x:v>
      </x:c>
      <x:c r="G263" s="13"/>
      <x:c r="H263" s="30" t="str">
        <x:f>IF(AND(E263&lt;&gt;"",F263="Ready"),"Yes","No")</x:f>
        <x:v>No</x:v>
      </x:c>
      <x:c r="I263" s="11"/>
    </x:row>
    <x:row r="264" ht="38" customHeight="1">
      <x:c r="A264" s="30" t="str">
        <x:v>CL0260</x:v>
      </x:c>
      <x:c r="B264" s="30" t="str">
        <x:v>Other Question</x:v>
      </x:c>
      <x:c r="C264" s="31" t="str">
        <x:v>Discuss Trump's presidency's effect on Chinese EV makers blabla</x:v>
      </x:c>
      <x:c r="D264" s="32" t="n">
        <x:f>COUNTIF('All Questions'!$G$5:$G$1725,A264)</x:f>
        <x:v>1</x:v>
      </x:c>
      <x:c r="E264" s="11"/>
      <x:c r="F264" s="12" t="str">
        <x:v>Not Started</x:v>
      </x:c>
      <x:c r="G264" s="13"/>
      <x:c r="H264" s="30" t="str">
        <x:f>IF(AND(E264&lt;&gt;"",F264="Ready"),"Yes","No")</x:f>
        <x:v>No</x:v>
      </x:c>
      <x:c r="I264" s="11"/>
    </x:row>
    <x:row r="265" ht="38" customHeight="1">
      <x:c r="A265" s="30" t="str">
        <x:v>CL0261</x:v>
      </x:c>
      <x:c r="B265" s="30" t="str">
        <x:v>Markets &amp; Macro</x:v>
      </x:c>
      <x:c r="C265" s="31" t="str">
        <x:v>Discuss what's going on in China's stock market</x:v>
      </x:c>
      <x:c r="D265" s="32" t="n">
        <x:f>COUNTIF('All Questions'!$G$5:$G$1725,A265)</x:f>
        <x:v>1</x:v>
      </x:c>
      <x:c r="E265" s="11"/>
      <x:c r="F265" s="12" t="str">
        <x:v>Not Started</x:v>
      </x:c>
      <x:c r="G265" s="13"/>
      <x:c r="H265" s="30" t="str">
        <x:f>IF(AND(E265&lt;&gt;"",F265="Ready"),"Yes","No")</x:f>
        <x:v>No</x:v>
      </x:c>
      <x:c r="I265" s="11"/>
    </x:row>
    <x:row r="266" ht="38" customHeight="1">
      <x:c r="A266" s="30" t="str">
        <x:v>CL0262</x:v>
      </x:c>
      <x:c r="B266" s="30" t="str">
        <x:v>Markets &amp; Macro</x:v>
      </x:c>
      <x:c r="C266" s="31" t="str">
        <x:v>Do u forsee any geopolitical concerns</x:v>
      </x:c>
      <x:c r="D266" s="32" t="n">
        <x:f>COUNTIF('All Questions'!$G$5:$G$1725,A266)</x:f>
        <x:v>1</x:v>
      </x:c>
      <x:c r="E266" s="11"/>
      <x:c r="F266" s="12" t="str">
        <x:v>Not Started</x:v>
      </x:c>
      <x:c r="G266" s="13"/>
      <x:c r="H266" s="30" t="str">
        <x:f>IF(AND(E266&lt;&gt;"",F266="Ready"),"Yes","No")</x:f>
        <x:v>No</x:v>
      </x:c>
      <x:c r="I266" s="11"/>
    </x:row>
    <x:row r="267" ht="38" customHeight="1">
      <x:c r="A267" s="30" t="str">
        <x:v>CL0263</x:v>
      </x:c>
      <x:c r="B267" s="30" t="str">
        <x:v>Other Question</x:v>
      </x:c>
      <x:c r="C267" s="31" t="str">
        <x:v>Do u invest? what do u invest in and why</x:v>
      </x:c>
      <x:c r="D267" s="32" t="n">
        <x:f>COUNTIF('All Questions'!$G$5:$G$1725,A267)</x:f>
        <x:v>1</x:v>
      </x:c>
      <x:c r="E267" s="11"/>
      <x:c r="F267" s="12" t="str">
        <x:v>Not Started</x:v>
      </x:c>
      <x:c r="G267" s="13"/>
      <x:c r="H267" s="30" t="str">
        <x:f>IF(AND(E267&lt;&gt;"",F267="Ready"),"Yes","No")</x:f>
        <x:v>No</x:v>
      </x:c>
      <x:c r="I267" s="11"/>
    </x:row>
    <x:row r="268" ht="38" customHeight="1">
      <x:c r="A268" s="30" t="str">
        <x:v>CL0264</x:v>
      </x:c>
      <x:c r="B268" s="30" t="str">
        <x:v>Fit &amp; Motivation</x:v>
      </x:c>
      <x:c r="C268" s="31" t="str">
        <x:v>Do u think u can work long hours</x:v>
      </x:c>
      <x:c r="D268" s="32" t="n">
        <x:f>COUNTIF('All Questions'!$G$5:$G$1725,A268)</x:f>
        <x:v>1</x:v>
      </x:c>
      <x:c r="E268" s="11"/>
      <x:c r="F268" s="12" t="str">
        <x:v>Not Started</x:v>
      </x:c>
      <x:c r="G268" s="13"/>
      <x:c r="H268" s="30" t="str">
        <x:f>IF(AND(E268&lt;&gt;"",F268="Ready"),"Yes","No")</x:f>
        <x:v>No</x:v>
      </x:c>
      <x:c r="I268" s="11"/>
    </x:row>
    <x:row r="269" ht="38" customHeight="1">
      <x:c r="A269" s="30" t="str">
        <x:v>CL0265</x:v>
      </x:c>
      <x:c r="B269" s="30" t="str">
        <x:v>Valuation</x:v>
      </x:c>
      <x:c r="C269" s="31" t="str">
        <x:v>Do u use levered or unlevered fcf for dcf</x:v>
      </x:c>
      <x:c r="D269" s="32" t="n">
        <x:f>COUNTIF('All Questions'!$G$5:$G$1725,A269)</x:f>
        <x:v>1</x:v>
      </x:c>
      <x:c r="E269" s="11"/>
      <x:c r="F269" s="12" t="str">
        <x:v>Not Started</x:v>
      </x:c>
      <x:c r="G269" s="13"/>
      <x:c r="H269" s="30" t="str">
        <x:f>IF(AND(E269&lt;&gt;"",F269="Ready"),"Yes","No")</x:f>
        <x:v>No</x:v>
      </x:c>
      <x:c r="I269" s="11"/>
    </x:row>
    <x:row r="270" ht="38" customHeight="1">
      <x:c r="A270" s="30" t="str">
        <x:v>CL0266</x:v>
      </x:c>
      <x:c r="B270" s="30" t="str">
        <x:v>Valuation</x:v>
      </x:c>
      <x:c r="C270" s="31" t="str">
        <x:v>Do valuation of xhs</x:v>
      </x:c>
      <x:c r="D270" s="32" t="n">
        <x:f>COUNTIF('All Questions'!$G$5:$G$1725,A270)</x:f>
        <x:v>1</x:v>
      </x:c>
      <x:c r="E270" s="11"/>
      <x:c r="F270" s="12" t="str">
        <x:v>Not Started</x:v>
      </x:c>
      <x:c r="G270" s="13"/>
      <x:c r="H270" s="30" t="str">
        <x:f>IF(AND(E270&lt;&gt;"",F270="Ready"),"Yes","No")</x:f>
        <x:v>No</x:v>
      </x:c>
      <x:c r="I270" s="11"/>
    </x:row>
    <x:row r="271" ht="58" customHeight="1">
      <x:c r="A271" s="30" t="str">
        <x:v>CL0267</x:v>
      </x:c>
      <x:c r="B271" s="30" t="str">
        <x:v>Fit &amp; Motivation</x:v>
      </x:c>
      <x:c r="C271" s="31" t="str">
        <x:v>Do you apply for other banks' programs? Then why BofA? (I said rotational opportunities within a real universal bank + friends' recommendation)</x:v>
      </x:c>
      <x:c r="D271" s="32" t="n">
        <x:f>COUNTIF('All Questions'!$G$5:$G$1725,A271)</x:f>
        <x:v>1</x:v>
      </x:c>
      <x:c r="E271" s="11"/>
      <x:c r="F271" s="12" t="str">
        <x:v>Not Started</x:v>
      </x:c>
      <x:c r="G271" s="13"/>
      <x:c r="H271" s="30" t="str">
        <x:f>IF(AND(E271&lt;&gt;"",F271="Ready"),"Yes","No")</x:f>
        <x:v>No</x:v>
      </x:c>
      <x:c r="I271" s="11"/>
    </x:row>
    <x:row r="272" ht="38" customHeight="1">
      <x:c r="A272" s="30" t="str">
        <x:v>CL0268</x:v>
      </x:c>
      <x:c r="B272" s="30" t="str">
        <x:v>Other Question</x:v>
      </x:c>
      <x:c r="C272" s="31" t="str">
        <x:v>Do you follow the market</x:v>
      </x:c>
      <x:c r="D272" s="32" t="n">
        <x:f>COUNTIF('All Questions'!$G$5:$G$1725,A272)</x:f>
        <x:v>1</x:v>
      </x:c>
      <x:c r="E272" s="11"/>
      <x:c r="F272" s="12" t="str">
        <x:v>Not Started</x:v>
      </x:c>
      <x:c r="G272" s="13"/>
      <x:c r="H272" s="30" t="str">
        <x:f>IF(AND(E272&lt;&gt;"",F272="Ready"),"Yes","No")</x:f>
        <x:v>No</x:v>
      </x:c>
      <x:c r="I272" s="11"/>
    </x:row>
    <x:row r="273" ht="38" customHeight="1">
      <x:c r="A273" s="30" t="str">
        <x:v>CL0269</x:v>
      </x:c>
      <x:c r="B273" s="30" t="str">
        <x:v>Markets &amp; Macro</x:v>
      </x:c>
      <x:c r="C273" s="31" t="str">
        <x:v>Do you follow the stock market closely? What's a stock you've been following closely</x:v>
      </x:c>
      <x:c r="D273" s="32" t="n">
        <x:f>COUNTIF('All Questions'!$G$5:$G$1725,A273)</x:f>
        <x:v>1</x:v>
      </x:c>
      <x:c r="E273" s="11"/>
      <x:c r="F273" s="12" t="str">
        <x:v>Not Started</x:v>
      </x:c>
      <x:c r="G273" s="13"/>
      <x:c r="H273" s="30" t="str">
        <x:f>IF(AND(E273&lt;&gt;"",F273="Ready"),"Yes","No")</x:f>
        <x:v>No</x:v>
      </x:c>
      <x:c r="I273" s="11"/>
    </x:row>
    <x:row r="274" ht="38" customHeight="1">
      <x:c r="A274" s="30" t="str">
        <x:v>CL0270</x:v>
      </x:c>
      <x:c r="B274" s="30" t="str">
        <x:v>Fit &amp; Motivation</x:v>
      </x:c>
      <x:c r="C274" s="31" t="str">
        <x:v>Do you have any bio experiences? Why do you want to work in healthcare</x:v>
      </x:c>
      <x:c r="D274" s="32" t="n">
        <x:f>COUNTIF('All Questions'!$G$5:$G$1725,A274)</x:f>
        <x:v>1</x:v>
      </x:c>
      <x:c r="E274" s="11"/>
      <x:c r="F274" s="12" t="str">
        <x:v>Not Started</x:v>
      </x:c>
      <x:c r="G274" s="13"/>
      <x:c r="H274" s="30" t="str">
        <x:f>IF(AND(E274&lt;&gt;"",F274="Ready"),"Yes","No")</x:f>
        <x:v>No</x:v>
      </x:c>
      <x:c r="I274" s="11"/>
    </x:row>
    <x:row r="275" ht="38" customHeight="1">
      <x:c r="A275" s="30" t="str">
        <x:v>CL0271</x:v>
      </x:c>
      <x:c r="B275" s="30" t="str">
        <x:v>Other Question</x:v>
      </x:c>
      <x:c r="C275" s="31" t="str">
        <x:v>Do you have any preference between client roles and investment roles</x:v>
      </x:c>
      <x:c r="D275" s="32" t="n">
        <x:f>COUNTIF('All Questions'!$G$5:$G$1725,A275)</x:f>
        <x:v>1</x:v>
      </x:c>
      <x:c r="E275" s="11"/>
      <x:c r="F275" s="12" t="str">
        <x:v>Not Started</x:v>
      </x:c>
      <x:c r="G275" s="13"/>
      <x:c r="H275" s="30" t="str">
        <x:f>IF(AND(E275&lt;&gt;"",F275="Ready"),"Yes","No")</x:f>
        <x:v>No</x:v>
      </x:c>
      <x:c r="I275" s="11"/>
    </x:row>
    <x:row r="276" ht="58" customHeight="1">
      <x:c r="A276" s="30" t="str">
        <x:v>CL0272</x:v>
      </x:c>
      <x:c r="B276" s="30" t="str">
        <x:v>Resume &amp; Experience</x:v>
      </x:c>
      <x:c r="C276" s="31" t="str">
        <x:v>Do you have experience doing comparable comps and precedant transaction analysis in your previous internship</x:v>
      </x:c>
      <x:c r="D276" s="32" t="n">
        <x:f>COUNTIF('All Questions'!$G$5:$G$1725,A276)</x:f>
        <x:v>1</x:v>
      </x:c>
      <x:c r="E276" s="11"/>
      <x:c r="F276" s="12" t="str">
        <x:v>Not Started</x:v>
      </x:c>
      <x:c r="G276" s="13"/>
      <x:c r="H276" s="30" t="str">
        <x:f>IF(AND(E276&lt;&gt;"",F276="Ready"),"Yes","No")</x:f>
        <x:v>No</x:v>
      </x:c>
      <x:c r="I276" s="11"/>
    </x:row>
    <x:row r="277" ht="58" customHeight="1">
      <x:c r="A277" s="30" t="str">
        <x:v>CL0273</x:v>
      </x:c>
      <x:c r="B277" s="30" t="str">
        <x:v>Private Equity &amp; LBO</x:v>
      </x:c>
      <x:c r="C277" s="31" t="str">
        <x:v>Do you know about LBO? In what situations do you use it and in what situations do you not use it</x:v>
      </x:c>
      <x:c r="D277" s="32" t="n">
        <x:f>COUNTIF('All Questions'!$G$5:$G$1725,A277)</x:f>
        <x:v>1</x:v>
      </x:c>
      <x:c r="E277" s="11"/>
      <x:c r="F277" s="12" t="str">
        <x:v>Not Started</x:v>
      </x:c>
      <x:c r="G277" s="13"/>
      <x:c r="H277" s="30" t="str">
        <x:f>IF(AND(E277&lt;&gt;"",F277="Ready"),"Yes","No")</x:f>
        <x:v>No</x:v>
      </x:c>
      <x:c r="I277" s="11"/>
    </x:row>
    <x:row r="278" ht="38" customHeight="1">
      <x:c r="A278" s="30" t="str">
        <x:v>CL0274</x:v>
      </x:c>
      <x:c r="B278" s="30" t="str">
        <x:v>Other Question</x:v>
      </x:c>
      <x:c r="C278" s="31" t="str">
        <x:v>Do you know about the hours of investment banking</x:v>
      </x:c>
      <x:c r="D278" s="32" t="n">
        <x:f>COUNTIF('All Questions'!$G$5:$G$1725,A278)</x:f>
        <x:v>1</x:v>
      </x:c>
      <x:c r="E278" s="11"/>
      <x:c r="F278" s="12" t="str">
        <x:v>Not Started</x:v>
      </x:c>
      <x:c r="G278" s="13"/>
      <x:c r="H278" s="30" t="str">
        <x:f>IF(AND(E278&lt;&gt;"",F278="Ready"),"Yes","No")</x:f>
        <x:v>No</x:v>
      </x:c>
      <x:c r="I278" s="11"/>
    </x:row>
    <x:row r="279" ht="38" customHeight="1">
      <x:c r="A279" s="30" t="str">
        <x:v>CL0275</x:v>
      </x:c>
      <x:c r="B279" s="30" t="str">
        <x:v>Other Question</x:v>
      </x:c>
      <x:c r="C279" s="31" t="str">
        <x:v>Do you know any PE firms</x:v>
      </x:c>
      <x:c r="D279" s="32" t="n">
        <x:f>COUNTIF('All Questions'!$G$5:$G$1725,A279)</x:f>
        <x:v>1</x:v>
      </x:c>
      <x:c r="E279" s="11"/>
      <x:c r="F279" s="12" t="str">
        <x:v>Not Started</x:v>
      </x:c>
      <x:c r="G279" s="13"/>
      <x:c r="H279" s="30" t="str">
        <x:f>IF(AND(E279&lt;&gt;"",F279="Ready"),"Yes","No")</x:f>
        <x:v>No</x:v>
      </x:c>
      <x:c r="I279" s="11"/>
    </x:row>
    <x:row r="280" ht="38" customHeight="1">
      <x:c r="A280" s="30" t="str">
        <x:v>CL0276</x:v>
      </x:c>
      <x:c r="B280" s="30" t="str">
        <x:v>Other Question</x:v>
      </x:c>
      <x:c r="C280" s="31" t="str">
        <x:v>Do you know anyone from DB and learned from them</x:v>
      </x:c>
      <x:c r="D280" s="32" t="n">
        <x:f>COUNTIF('All Questions'!$G$5:$G$1725,A280)</x:f>
        <x:v>1</x:v>
      </x:c>
      <x:c r="E280" s="11"/>
      <x:c r="F280" s="12" t="str">
        <x:v>Not Started</x:v>
      </x:c>
      <x:c r="G280" s="13"/>
      <x:c r="H280" s="30" t="str">
        <x:f>IF(AND(E280&lt;&gt;"",F280="Ready"),"Yes","No")</x:f>
        <x:v>No</x:v>
      </x:c>
      <x:c r="I280" s="11"/>
    </x:row>
    <x:row r="281" ht="38" customHeight="1">
      <x:c r="A281" s="30" t="str">
        <x:v>CL0277</x:v>
      </x:c>
      <x:c r="B281" s="30" t="str">
        <x:v>Accounting &amp; Financial Statements</x:v>
      </x:c>
      <x:c r="C281" s="31" t="str">
        <x:v>Do you know deferred tax assets and liabilities</x:v>
      </x:c>
      <x:c r="D281" s="32" t="n">
        <x:f>COUNTIF('All Questions'!$G$5:$G$1725,A281)</x:f>
        <x:v>1</x:v>
      </x:c>
      <x:c r="E281" s="11"/>
      <x:c r="F281" s="12" t="str">
        <x:v>Not Started</x:v>
      </x:c>
      <x:c r="G281" s="13"/>
      <x:c r="H281" s="30" t="str">
        <x:f>IF(AND(E281&lt;&gt;"",F281="Ready"),"Yes","No")</x:f>
        <x:v>No</x:v>
      </x:c>
      <x:c r="I281" s="11"/>
    </x:row>
    <x:row r="282" ht="38" customHeight="1">
      <x:c r="A282" s="30" t="str">
        <x:v>CL0278</x:v>
      </x:c>
      <x:c r="B282" s="30" t="str">
        <x:v>Other Question</x:v>
      </x:c>
      <x:c r="C282" s="31" t="str">
        <x:v>Do you know IFRS 16</x:v>
      </x:c>
      <x:c r="D282" s="32" t="n">
        <x:f>COUNTIF('All Questions'!$G$5:$G$1725,A282)</x:f>
        <x:v>1</x:v>
      </x:c>
      <x:c r="E282" s="11"/>
      <x:c r="F282" s="12" t="str">
        <x:v>Not Started</x:v>
      </x:c>
      <x:c r="G282" s="13"/>
      <x:c r="H282" s="30" t="str">
        <x:f>IF(AND(E282&lt;&gt;"",F282="Ready"),"Yes","No")</x:f>
        <x:v>No</x:v>
      </x:c>
      <x:c r="I282" s="11"/>
    </x:row>
    <x:row r="283" ht="38" customHeight="1">
      <x:c r="A283" s="30" t="str">
        <x:v>CL0279</x:v>
      </x:c>
      <x:c r="B283" s="30" t="str">
        <x:v>Other Question</x:v>
      </x:c>
      <x:c r="C283" s="31" t="str">
        <x:v>Do you know Rita Zhang from GF Holdings (hk)</x:v>
      </x:c>
      <x:c r="D283" s="32" t="n">
        <x:f>COUNTIF('All Questions'!$G$5:$G$1725,A283)</x:f>
        <x:v>1</x:v>
      </x:c>
      <x:c r="E283" s="11"/>
      <x:c r="F283" s="12" t="str">
        <x:v>Not Started</x:v>
      </x:c>
      <x:c r="G283" s="13"/>
      <x:c r="H283" s="30" t="str">
        <x:f>IF(AND(E283&lt;&gt;"",F283="Ready"),"Yes","No")</x:f>
        <x:v>No</x:v>
      </x:c>
      <x:c r="I283" s="11"/>
    </x:row>
    <x:row r="284" ht="38" customHeight="1">
      <x:c r="A284" s="30" t="str">
        <x:v>CL0280</x:v>
      </x:c>
      <x:c r="B284" s="30" t="str">
        <x:v>Markets &amp; Macro</x:v>
      </x:c>
      <x:c r="C284" s="31" t="str">
        <x:v>Do you know the interest rate right now</x:v>
      </x:c>
      <x:c r="D284" s="32" t="n">
        <x:f>COUNTIF('All Questions'!$G$5:$G$1725,A284)</x:f>
        <x:v>1</x:v>
      </x:c>
      <x:c r="E284" s="11"/>
      <x:c r="F284" s="12" t="str">
        <x:v>Not Started</x:v>
      </x:c>
      <x:c r="G284" s="13"/>
      <x:c r="H284" s="30" t="str">
        <x:f>IF(AND(E284&lt;&gt;"",F284="Ready"),"Yes","No")</x:f>
        <x:v>No</x:v>
      </x:c>
      <x:c r="I284" s="11"/>
    </x:row>
    <x:row r="285" ht="38" customHeight="1">
      <x:c r="A285" s="30" t="str">
        <x:v>CL0281</x:v>
      </x:c>
      <x:c r="B285" s="30" t="str">
        <x:v>Fit &amp; Motivation</x:v>
      </x:c>
      <x:c r="C285" s="31" t="str">
        <x:v>Do you know why credit suisse failed</x:v>
      </x:c>
      <x:c r="D285" s="32" t="n">
        <x:f>COUNTIF('All Questions'!$G$5:$G$1725,A285)</x:f>
        <x:v>1</x:v>
      </x:c>
      <x:c r="E285" s="11"/>
      <x:c r="F285" s="12" t="str">
        <x:v>Not Started</x:v>
      </x:c>
      <x:c r="G285" s="13"/>
      <x:c r="H285" s="30" t="str">
        <x:f>IF(AND(E285&lt;&gt;"",F285="Ready"),"Yes","No")</x:f>
        <x:v>No</x:v>
      </x:c>
      <x:c r="I285" s="11"/>
    </x:row>
    <x:row r="286" ht="38" customHeight="1">
      <x:c r="A286" s="30" t="str">
        <x:v>CL0282</x:v>
      </x:c>
      <x:c r="B286" s="30" t="str">
        <x:v>Other Question</x:v>
      </x:c>
      <x:c r="C286" s="31" t="str">
        <x:v>Do you like clubbing? You seem quiet (LMAO...)</x:v>
      </x:c>
      <x:c r="D286" s="32" t="n">
        <x:f>COUNTIF('All Questions'!$G$5:$G$1725,A286)</x:f>
        <x:v>1</x:v>
      </x:c>
      <x:c r="E286" s="11"/>
      <x:c r="F286" s="12" t="str">
        <x:v>Not Started</x:v>
      </x:c>
      <x:c r="G286" s="13"/>
      <x:c r="H286" s="30" t="str">
        <x:f>IF(AND(E286&lt;&gt;"",F286="Ready"),"Yes","No")</x:f>
        <x:v>No</x:v>
      </x:c>
      <x:c r="I286" s="11"/>
    </x:row>
    <x:row r="287" ht="38" customHeight="1">
      <x:c r="A287" s="30" t="str">
        <x:v>CL0283</x:v>
      </x:c>
      <x:c r="B287" s="30" t="str">
        <x:v>Capital Markets &amp; Financing</x:v>
      </x:c>
      <x:c r="C287" s="31" t="str">
        <x:v>Do you like financing / capital markets</x:v>
      </x:c>
      <x:c r="D287" s="32" t="n">
        <x:f>COUNTIF('All Questions'!$G$5:$G$1725,A287)</x:f>
        <x:v>1</x:v>
      </x:c>
      <x:c r="E287" s="11"/>
      <x:c r="F287" s="12" t="str">
        <x:v>Not Started</x:v>
      </x:c>
      <x:c r="G287" s="13"/>
      <x:c r="H287" s="30" t="str">
        <x:f>IF(AND(E287&lt;&gt;"",F287="Ready"),"Yes","No")</x:f>
        <x:v>No</x:v>
      </x:c>
      <x:c r="I287" s="11"/>
    </x:row>
    <x:row r="288" ht="38" customHeight="1">
      <x:c r="A288" s="30" t="str">
        <x:v>CL0284</x:v>
      </x:c>
      <x:c r="B288" s="30" t="str">
        <x:v>Fit &amp; Motivation</x:v>
      </x:c>
      <x:c r="C288" s="31" t="str">
        <x:v>Do you like toronto or guangzhou or hong kong (in chinese)</x:v>
      </x:c>
      <x:c r="D288" s="32" t="n">
        <x:f>COUNTIF('All Questions'!$G$5:$G$1725,A288)</x:f>
        <x:v>1</x:v>
      </x:c>
      <x:c r="E288" s="11"/>
      <x:c r="F288" s="12" t="str">
        <x:v>Not Started</x:v>
      </x:c>
      <x:c r="G288" s="13"/>
      <x:c r="H288" s="30" t="str">
        <x:f>IF(AND(E288&lt;&gt;"",F288="Ready"),"Yes","No")</x:f>
        <x:v>No</x:v>
      </x:c>
      <x:c r="I288" s="11"/>
    </x:row>
    <x:row r="289" ht="38" customHeight="1">
      <x:c r="A289" s="30" t="str">
        <x:v>CL0285</x:v>
      </x:c>
      <x:c r="B289" s="30" t="str">
        <x:v>Other Question</x:v>
      </x:c>
      <x:c r="C289" s="31" t="str">
        <x:v>Do you only like organising or leading, not like participating</x:v>
      </x:c>
      <x:c r="D289" s="32" t="n">
        <x:f>COUNTIF('All Questions'!$G$5:$G$1725,A289)</x:f>
        <x:v>1</x:v>
      </x:c>
      <x:c r="E289" s="11"/>
      <x:c r="F289" s="12" t="str">
        <x:v>Not Started</x:v>
      </x:c>
      <x:c r="G289" s="13"/>
      <x:c r="H289" s="30" t="str">
        <x:f>IF(AND(E289&lt;&gt;"",F289="Ready"),"Yes","No")</x:f>
        <x:v>No</x:v>
      </x:c>
      <x:c r="I289" s="11"/>
    </x:row>
    <x:row r="290" ht="58" customHeight="1">
      <x:c r="A290" s="30" t="str">
        <x:v>CL0286</x:v>
      </x:c>
      <x:c r="B290" s="30" t="str">
        <x:v>Fit &amp; Motivation</x:v>
      </x:c>
      <x:c r="C290" s="31" t="str">
        <x:v>Do you plan on doing IBD for a long time? Or will you plan to switch careers like a lot of juniors</x:v>
      </x:c>
      <x:c r="D290" s="32" t="n">
        <x:f>COUNTIF('All Questions'!$G$5:$G$1725,A290)</x:f>
        <x:v>1</x:v>
      </x:c>
      <x:c r="E290" s="11"/>
      <x:c r="F290" s="12" t="str">
        <x:v>Not Started</x:v>
      </x:c>
      <x:c r="G290" s="13"/>
      <x:c r="H290" s="30" t="str">
        <x:f>IF(AND(E290&lt;&gt;"",F290="Ready"),"Yes","No")</x:f>
        <x:v>No</x:v>
      </x:c>
      <x:c r="I290" s="11"/>
    </x:row>
    <x:row r="291" ht="58" customHeight="1">
      <x:c r="A291" s="30" t="str">
        <x:v>CL0287</x:v>
      </x:c>
      <x:c r="B291" s="30" t="str">
        <x:v>Resume &amp; Experience</x:v>
      </x:c>
      <x:c r="C291" s="31" t="str">
        <x:v>Do you prefer to work in teams or work independently? And give me an example of having the contrast experiences</x:v>
      </x:c>
      <x:c r="D291" s="32" t="n">
        <x:f>COUNTIF('All Questions'!$G$5:$G$1725,A291)</x:f>
        <x:v>1</x:v>
      </x:c>
      <x:c r="E291" s="11"/>
      <x:c r="F291" s="12" t="str">
        <x:v>Not Started</x:v>
      </x:c>
      <x:c r="G291" s="13"/>
      <x:c r="H291" s="30" t="str">
        <x:f>IF(AND(E291&lt;&gt;"",F291="Ready"),"Yes","No")</x:f>
        <x:v>No</x:v>
      </x:c>
      <x:c r="I291" s="11"/>
    </x:row>
    <x:row r="292" ht="38" customHeight="1">
      <x:c r="A292" s="30" t="str">
        <x:v>CL0288</x:v>
      </x:c>
      <x:c r="B292" s="30" t="str">
        <x:v>Markets &amp; Macro</x:v>
      </x:c>
      <x:c r="C292" s="31" t="str">
        <x:v>Do you see the world trending towards globalization or deglobalization</x:v>
      </x:c>
      <x:c r="D292" s="32" t="n">
        <x:f>COUNTIF('All Questions'!$G$5:$G$1725,A292)</x:f>
        <x:v>1</x:v>
      </x:c>
      <x:c r="E292" s="11"/>
      <x:c r="F292" s="12" t="str">
        <x:v>Not Started</x:v>
      </x:c>
      <x:c r="G292" s="13"/>
      <x:c r="H292" s="30" t="str">
        <x:f>IF(AND(E292&lt;&gt;"",F292="Ready"),"Yes","No")</x:f>
        <x:v>No</x:v>
      </x:c>
      <x:c r="I292" s="11"/>
    </x:row>
    <x:row r="293" ht="38" customHeight="1">
      <x:c r="A293" s="30" t="str">
        <x:v>CL0289</x:v>
      </x:c>
      <x:c r="B293" s="30" t="str">
        <x:v>Other Question</x:v>
      </x:c>
      <x:c r="C293" s="31" t="str">
        <x:v>Do you speak catonese</x:v>
      </x:c>
      <x:c r="D293" s="32" t="n">
        <x:f>COUNTIF('All Questions'!$G$5:$G$1725,A293)</x:f>
        <x:v>1</x:v>
      </x:c>
      <x:c r="E293" s="11"/>
      <x:c r="F293" s="12" t="str">
        <x:v>Not Started</x:v>
      </x:c>
      <x:c r="G293" s="13"/>
      <x:c r="H293" s="30" t="str">
        <x:f>IF(AND(E293&lt;&gt;"",F293="Ready"),"Yes","No")</x:f>
        <x:v>No</x:v>
      </x:c>
      <x:c r="I293" s="11"/>
    </x:row>
    <x:row r="294" ht="58" customHeight="1">
      <x:c r="A294" s="30" t="str">
        <x:v>CL0290</x:v>
      </x:c>
      <x:c r="B294" s="30" t="str">
        <x:v>Fit &amp; Motivation</x:v>
      </x:c>
      <x:c r="C294" s="31" t="str">
        <x:v>Do you speak Mandarin? Use Mandarin to answer – if you are given a superpower, what do you want it to be</x:v>
      </x:c>
      <x:c r="D294" s="32" t="n">
        <x:f>COUNTIF('All Questions'!$G$5:$G$1725,A294)</x:f>
        <x:v>1</x:v>
      </x:c>
      <x:c r="E294" s="11"/>
      <x:c r="F294" s="12" t="str">
        <x:v>Not Started</x:v>
      </x:c>
      <x:c r="G294" s="13"/>
      <x:c r="H294" s="30" t="str">
        <x:f>IF(AND(E294&lt;&gt;"",F294="Ready"),"Yes","No")</x:f>
        <x:v>No</x:v>
      </x:c>
      <x:c r="I294" s="11"/>
    </x:row>
    <x:row r="295" ht="38" customHeight="1">
      <x:c r="A295" s="30" t="str">
        <x:v>CL0291</x:v>
      </x:c>
      <x:c r="B295" s="30" t="str">
        <x:v>Sales &amp; Trading</x:v>
      </x:c>
      <x:c r="C295" s="31" t="str">
        <x:v>Do you the difference between High Touch, Low Touch, and PT (Portfolio Trading)</x:v>
      </x:c>
      <x:c r="D295" s="32" t="n">
        <x:f>COUNTIF('All Questions'!$G$5:$G$1725,A295)</x:f>
        <x:v>1</x:v>
      </x:c>
      <x:c r="E295" s="11"/>
      <x:c r="F295" s="12" t="str">
        <x:v>Not Started</x:v>
      </x:c>
      <x:c r="G295" s="13"/>
      <x:c r="H295" s="30" t="str">
        <x:f>IF(AND(E295&lt;&gt;"",F295="Ready"),"Yes","No")</x:f>
        <x:v>No</x:v>
      </x:c>
      <x:c r="I295" s="11"/>
    </x:row>
    <x:row r="296" ht="38" customHeight="1">
      <x:c r="A296" s="30" t="str">
        <x:v>CL0292</x:v>
      </x:c>
      <x:c r="B296" s="30" t="str">
        <x:v>Accounting &amp; Financial Statements</x:v>
      </x:c>
      <x:c r="C296" s="31" t="str">
        <x:v>Do you think AI is beneficial or harmful for decision-making</x:v>
      </x:c>
      <x:c r="D296" s="32" t="n">
        <x:f>COUNTIF('All Questions'!$G$5:$G$1725,A296)</x:f>
        <x:v>1</x:v>
      </x:c>
      <x:c r="E296" s="11"/>
      <x:c r="F296" s="12" t="str">
        <x:v>Not Started</x:v>
      </x:c>
      <x:c r="G296" s="13"/>
      <x:c r="H296" s="30" t="str">
        <x:f>IF(AND(E296&lt;&gt;"",F296="Ready"),"Yes","No")</x:f>
        <x:v>No</x:v>
      </x:c>
      <x:c r="I296" s="11"/>
    </x:row>
    <x:row r="297" ht="58" customHeight="1">
      <x:c r="A297" s="30" t="str">
        <x:v>CL0293</x:v>
      </x:c>
      <x:c r="B297" s="30" t="str">
        <x:v>Capital Markets &amp; Financing</x:v>
      </x:c>
      <x:c r="C297" s="31" t="str">
        <x:v>Do you think it's cheaper for Tech companies like Alibaba and Tencent to raise funds or bluechip companies</x:v>
      </x:c>
      <x:c r="D297" s="32" t="n">
        <x:f>COUNTIF('All Questions'!$G$5:$G$1725,A297)</x:f>
        <x:v>1</x:v>
      </x:c>
      <x:c r="E297" s="11"/>
      <x:c r="F297" s="12" t="str">
        <x:v>Not Started</x:v>
      </x:c>
      <x:c r="G297" s="13"/>
      <x:c r="H297" s="30" t="str">
        <x:f>IF(AND(E297&lt;&gt;"",F297="Ready"),"Yes","No")</x:f>
        <x:v>No</x:v>
      </x:c>
      <x:c r="I297" s="11"/>
    </x:row>
    <x:row r="298" ht="38" customHeight="1">
      <x:c r="A298" s="30" t="str">
        <x:v>CL0294</x:v>
      </x:c>
      <x:c r="B298" s="30" t="str">
        <x:v>Valuation</x:v>
      </x:c>
      <x:c r="C298" s="31" t="str">
        <x:v>Do you think it's directly comparable (cuz i used big companies)</x:v>
      </x:c>
      <x:c r="D298" s="32" t="n">
        <x:f>COUNTIF('All Questions'!$G$5:$G$1725,A298)</x:f>
        <x:v>1</x:v>
      </x:c>
      <x:c r="E298" s="11"/>
      <x:c r="F298" s="12" t="str">
        <x:v>Not Started</x:v>
      </x:c>
      <x:c r="G298" s="13"/>
      <x:c r="H298" s="30" t="str">
        <x:f>IF(AND(E298&lt;&gt;"",F298="Ready"),"Yes","No")</x:f>
        <x:v>No</x:v>
      </x:c>
      <x:c r="I298" s="11"/>
    </x:row>
    <x:row r="299" ht="58" customHeight="1">
      <x:c r="A299" s="30" t="str">
        <x:v>CL0295</x:v>
      </x:c>
      <x:c r="B299" s="30" t="str">
        <x:v>Fit &amp; Motivation</x:v>
      </x:c>
      <x:c r="C299" s="31" t="str">
        <x:v>Do you think it's going to be effective? Why would this round of policy stimulus be different</x:v>
      </x:c>
      <x:c r="D299" s="32" t="n">
        <x:f>COUNTIF('All Questions'!$G$5:$G$1725,A299)</x:f>
        <x:v>1</x:v>
      </x:c>
      <x:c r="E299" s="11"/>
      <x:c r="F299" s="12" t="str">
        <x:v>Not Started</x:v>
      </x:c>
      <x:c r="G299" s="13"/>
      <x:c r="H299" s="30" t="str">
        <x:f>IF(AND(E299&lt;&gt;"",F299="Ready"),"Yes","No")</x:f>
        <x:v>No</x:v>
      </x:c>
      <x:c r="I299" s="11"/>
    </x:row>
    <x:row r="300" ht="58" customHeight="1">
      <x:c r="A300" s="30" t="str">
        <x:v>CL0296</x:v>
      </x:c>
      <x:c r="B300" s="30" t="str">
        <x:v>Other Technical</x:v>
      </x:c>
      <x:c r="C300" s="31" t="str">
        <x:v>Do you think it's possible that people can give excellent result on all the given tasks? why</x:v>
      </x:c>
      <x:c r="D300" s="32" t="n">
        <x:f>COUNTIF('All Questions'!$G$5:$G$1725,A300)</x:f>
        <x:v>1</x:v>
      </x:c>
      <x:c r="E300" s="11"/>
      <x:c r="F300" s="12" t="str">
        <x:v>Not Started</x:v>
      </x:c>
      <x:c r="G300" s="13"/>
      <x:c r="H300" s="30" t="str">
        <x:f>IF(AND(E300&lt;&gt;"",F300="Ready"),"Yes","No")</x:f>
        <x:v>No</x:v>
      </x:c>
      <x:c r="I300" s="11"/>
    </x:row>
    <x:row r="301" ht="38" customHeight="1">
      <x:c r="A301" s="30" t="str">
        <x:v>CL0297</x:v>
      </x:c>
      <x:c r="B301" s="30" t="str">
        <x:v>Accounting &amp; Financial Statements</x:v>
      </x:c>
      <x:c r="C301" s="31" t="str">
        <x:v>Do you think Tesla is undervalued or overvalued</x:v>
      </x:c>
      <x:c r="D301" s="32" t="n">
        <x:f>COUNTIF('All Questions'!$G$5:$G$1725,A301)</x:f>
        <x:v>1</x:v>
      </x:c>
      <x:c r="E301" s="11"/>
      <x:c r="F301" s="12" t="str">
        <x:v>Not Started</x:v>
      </x:c>
      <x:c r="G301" s="13"/>
      <x:c r="H301" s="30" t="str">
        <x:f>IF(AND(E301&lt;&gt;"",F301="Ready"),"Yes","No")</x:f>
        <x:v>No</x:v>
      </x:c>
      <x:c r="I301" s="11"/>
    </x:row>
    <x:row r="302" ht="38" customHeight="1">
      <x:c r="A302" s="30" t="str">
        <x:v>CL0298</x:v>
      </x:c>
      <x:c r="B302" s="30" t="str">
        <x:v>Accounting &amp; Financial Statements</x:v>
      </x:c>
      <x:c r="C302" s="31" t="str">
        <x:v>Do you think the growth rate for the target company is higher or the one for WPP is higher</x:v>
      </x:c>
      <x:c r="D302" s="32" t="n">
        <x:f>COUNTIF('All Questions'!$G$5:$G$1725,A302)</x:f>
        <x:v>1</x:v>
      </x:c>
      <x:c r="E302" s="11"/>
      <x:c r="F302" s="12" t="str">
        <x:v>Not Started</x:v>
      </x:c>
      <x:c r="G302" s="13"/>
      <x:c r="H302" s="30" t="str">
        <x:f>IF(AND(E302&lt;&gt;"",F302="Ready"),"Yes","No")</x:f>
        <x:v>No</x:v>
      </x:c>
      <x:c r="I302" s="11"/>
    </x:row>
    <x:row r="303" ht="38" customHeight="1">
      <x:c r="A303" s="30" t="str">
        <x:v>CL0299</x:v>
      </x:c>
      <x:c r="B303" s="30" t="str">
        <x:v>Accounting &amp; Financial Statements</x:v>
      </x:c>
      <x:c r="C303" s="31" t="str">
        <x:v>Do you think this is an attractive investment opportunity? Why</x:v>
      </x:c>
      <x:c r="D303" s="32" t="n">
        <x:f>COUNTIF('All Questions'!$G$5:$G$1725,A303)</x:f>
        <x:v>1</x:v>
      </x:c>
      <x:c r="E303" s="11"/>
      <x:c r="F303" s="12" t="str">
        <x:v>Not Started</x:v>
      </x:c>
      <x:c r="G303" s="13"/>
      <x:c r="H303" s="30" t="str">
        <x:f>IF(AND(E303&lt;&gt;"",F303="Ready"),"Yes","No")</x:f>
        <x:v>No</x:v>
      </x:c>
      <x:c r="I303" s="11"/>
    </x:row>
    <x:row r="304" ht="38" customHeight="1">
      <x:c r="A304" s="30" t="str">
        <x:v>CL0300</x:v>
      </x:c>
      <x:c r="B304" s="30" t="str">
        <x:v>Other Question</x:v>
      </x:c>
      <x:c r="C304" s="31" t="str">
        <x:v>Do you think you have a thin skin or thick skin</x:v>
      </x:c>
      <x:c r="D304" s="32" t="n">
        <x:f>COUNTIF('All Questions'!$G$5:$G$1725,A304)</x:f>
        <x:v>1</x:v>
      </x:c>
      <x:c r="E304" s="11"/>
      <x:c r="F304" s="12" t="str">
        <x:v>Not Started</x:v>
      </x:c>
      <x:c r="G304" s="13"/>
      <x:c r="H304" s="30" t="str">
        <x:f>IF(AND(E304&lt;&gt;"",F304="Ready"),"Yes","No")</x:f>
        <x:v>No</x:v>
      </x:c>
      <x:c r="I304" s="11"/>
    </x:row>
    <x:row r="305" ht="38" customHeight="1">
      <x:c r="A305" s="30" t="str">
        <x:v>CL0301</x:v>
      </x:c>
      <x:c r="B305" s="30" t="str">
        <x:v>Other Question</x:v>
      </x:c>
      <x:c r="C305" s="31" t="str">
        <x:v>Do you watch any games, favorite character in LOL (i said idk and he said i should know…)</x:v>
      </x:c>
      <x:c r="D305" s="32" t="n">
        <x:f>COUNTIF('All Questions'!$G$5:$G$1725,A305)</x:f>
        <x:v>1</x:v>
      </x:c>
      <x:c r="E305" s="11"/>
      <x:c r="F305" s="12" t="str">
        <x:v>Not Started</x:v>
      </x:c>
      <x:c r="G305" s="13"/>
      <x:c r="H305" s="30" t="str">
        <x:f>IF(AND(E305&lt;&gt;"",F305="Ready"),"Yes","No")</x:f>
        <x:v>No</x:v>
      </x:c>
      <x:c r="I305" s="11"/>
    </x:row>
    <x:row r="306" ht="58" customHeight="1">
      <x:c r="A306" s="30" t="str">
        <x:v>CL0302</x:v>
      </x:c>
      <x:c r="B306" s="30" t="str">
        <x:v>Other Question</x:v>
      </x:c>
      <x:c r="C306" s="31" t="str">
        <x:v>Does buying intangible assets count as CAPEX? (think it's a must-ask question for this interviewer lol, my friends also got the same question)</x:v>
      </x:c>
      <x:c r="D306" s="32" t="n">
        <x:f>COUNTIF('All Questions'!$G$5:$G$1725,A306)</x:f>
        <x:v>1</x:v>
      </x:c>
      <x:c r="E306" s="11"/>
      <x:c r="F306" s="12" t="str">
        <x:v>Not Started</x:v>
      </x:c>
      <x:c r="G306" s="13"/>
      <x:c r="H306" s="30" t="str">
        <x:f>IF(AND(E306&lt;&gt;"",F306="Ready"),"Yes","No")</x:f>
        <x:v>No</x:v>
      </x:c>
      <x:c r="I306" s="11"/>
    </x:row>
    <x:row r="307" ht="58" customHeight="1">
      <x:c r="A307" s="30" t="str">
        <x:v>CL0303</x:v>
      </x:c>
      <x:c r="B307" s="30" t="str">
        <x:v>Behavioral &amp; Situational</x:v>
      </x:c>
      <x:c r="C307" s="31" t="str">
        <x:v>Don’t be aggressive, I personally answered 3 to 4 questions, and didn’t answer the most difficult LBO question, but still got into the 2nd round interview</x:v>
      </x:c>
      <x:c r="D307" s="32" t="n">
        <x:f>COUNTIF('All Questions'!$G$5:$G$1725,A307)</x:f>
        <x:v>1</x:v>
      </x:c>
      <x:c r="E307" s="11"/>
      <x:c r="F307" s="12" t="str">
        <x:v>Not Started</x:v>
      </x:c>
      <x:c r="G307" s="13"/>
      <x:c r="H307" s="30" t="str">
        <x:f>IF(AND(E307&lt;&gt;"",F307="Ready"),"Yes","No")</x:f>
        <x:v>No</x:v>
      </x:c>
      <x:c r="I307" s="11"/>
    </x:row>
    <x:row r="308" ht="38" customHeight="1">
      <x:c r="A308" s="30" t="str">
        <x:v>CL0304</x:v>
      </x:c>
      <x:c r="B308" s="30" t="str">
        <x:v>Fit &amp; Motivation</x:v>
      </x:c>
      <x:c r="C308" s="31" t="str">
        <x:v>Dongwei stock initiation: revenue drivers, top-line CAGR, why such high growth</x:v>
      </x:c>
      <x:c r="D308" s="32" t="n">
        <x:f>COUNTIF('All Questions'!$G$5:$G$1725,A308)</x:f>
        <x:v>1</x:v>
      </x:c>
      <x:c r="E308" s="11"/>
      <x:c r="F308" s="12" t="str">
        <x:v>Not Started</x:v>
      </x:c>
      <x:c r="G308" s="13"/>
      <x:c r="H308" s="30" t="str">
        <x:f>IF(AND(E308&lt;&gt;"",F308="Ready"),"Yes","No")</x:f>
        <x:v>No</x:v>
      </x:c>
      <x:c r="I308" s="11"/>
    </x:row>
    <x:row r="309" ht="58" customHeight="1">
      <x:c r="A309" s="30" t="str">
        <x:v>CL0305</x:v>
      </x:c>
      <x:c r="B309" s="30" t="str">
        <x:v>Accounting &amp; Financial Statements</x:v>
      </x:c>
      <x:c r="C309" s="31" t="str">
        <x:v>E.g. advising on buy side, seller asks for crazy valuation, what is the counter thing, anything u can add to the term sheet</x:v>
      </x:c>
      <x:c r="D309" s="32" t="n">
        <x:f>COUNTIF('All Questions'!$G$5:$G$1725,A309)</x:f>
        <x:v>1</x:v>
      </x:c>
      <x:c r="E309" s="11"/>
      <x:c r="F309" s="12" t="str">
        <x:v>Not Started</x:v>
      </x:c>
      <x:c r="G309" s="13"/>
      <x:c r="H309" s="30" t="str">
        <x:f>IF(AND(E309&lt;&gt;"",F309="Ready"),"Yes","No")</x:f>
        <x:v>No</x:v>
      </x:c>
      <x:c r="I309" s="11"/>
    </x:row>
    <x:row r="310" ht="58" customHeight="1">
      <x:c r="A310" s="30" t="str">
        <x:v>CL0306</x:v>
      </x:c>
      <x:c r="B310" s="30" t="str">
        <x:v>Other Question</x:v>
      </x:c>
      <x:c r="C310" s="31" t="str">
        <x:v>E.g. if the client has one property in HK, one in London, and just bought one in a Tier 3 city in Mainland, what will you do</x:v>
      </x:c>
      <x:c r="D310" s="32" t="n">
        <x:f>COUNTIF('All Questions'!$G$5:$G$1725,A310)</x:f>
        <x:v>1</x:v>
      </x:c>
      <x:c r="E310" s="11"/>
      <x:c r="F310" s="12" t="str">
        <x:v>Not Started</x:v>
      </x:c>
      <x:c r="G310" s="13"/>
      <x:c r="H310" s="30" t="str">
        <x:f>IF(AND(E310&lt;&gt;"",F310="Ready"),"Yes","No")</x:f>
        <x:v>No</x:v>
      </x:c>
      <x:c r="I310" s="11"/>
    </x:row>
    <x:row r="311" ht="38" customHeight="1">
      <x:c r="A311" s="30" t="str">
        <x:v>CL0307</x:v>
      </x:c>
      <x:c r="B311" s="30" t="str">
        <x:v>Accounting &amp; Financial Statements</x:v>
      </x:c>
      <x:c r="C311" s="31" t="str">
        <x:v>Effect of gain on sale of asset on EBITDA? (No change) Position on financial statement</x:v>
      </x:c>
      <x:c r="D311" s="32" t="n">
        <x:f>COUNTIF('All Questions'!$G$5:$G$1725,A311)</x:f>
        <x:v>1</x:v>
      </x:c>
      <x:c r="E311" s="11"/>
      <x:c r="F311" s="12" t="str">
        <x:v>Not Started</x:v>
      </x:c>
      <x:c r="G311" s="13"/>
      <x:c r="H311" s="30" t="str">
        <x:f>IF(AND(E311&lt;&gt;"",F311="Ready"),"Yes","No")</x:f>
        <x:v>No</x:v>
      </x:c>
      <x:c r="I311" s="11"/>
    </x:row>
    <x:row r="312" ht="38" customHeight="1">
      <x:c r="A312" s="30" t="str">
        <x:v>CL0308</x:v>
      </x:c>
      <x:c r="B312" s="30" t="str">
        <x:v>Valuation</x:v>
      </x:c>
      <x:c r="C312" s="31" t="str">
        <x:v>Enterprise Value (also drill about it)</x:v>
      </x:c>
      <x:c r="D312" s="32" t="n">
        <x:f>COUNTIF('All Questions'!$G$5:$G$1725,A312)</x:f>
        <x:v>1</x:v>
      </x:c>
      <x:c r="E312" s="11"/>
      <x:c r="F312" s="12" t="str">
        <x:v>Not Started</x:v>
      </x:c>
      <x:c r="G312" s="13"/>
      <x:c r="H312" s="30" t="str">
        <x:f>IF(AND(E312&lt;&gt;"",F312="Ready"),"Yes","No")</x:f>
        <x:v>No</x:v>
      </x:c>
      <x:c r="I312" s="11"/>
    </x:row>
    <x:row r="313" ht="38" customHeight="1">
      <x:c r="A313" s="30" t="str">
        <x:v>CL0309</x:v>
      </x:c>
      <x:c r="B313" s="30" t="str">
        <x:v>Valuation</x:v>
      </x:c>
      <x:c r="C313" s="31" t="str">
        <x:v>Enterprise value questions</x:v>
      </x:c>
      <x:c r="D313" s="32" t="n">
        <x:f>COUNTIF('All Questions'!$G$5:$G$1725,A313)</x:f>
        <x:v>1</x:v>
      </x:c>
      <x:c r="E313" s="11"/>
      <x:c r="F313" s="12" t="str">
        <x:v>Not Started</x:v>
      </x:c>
      <x:c r="G313" s="13"/>
      <x:c r="H313" s="30" t="str">
        <x:f>IF(AND(E313&lt;&gt;"",F313="Ready"),"Yes","No")</x:f>
        <x:v>No</x:v>
      </x:c>
      <x:c r="I313" s="11"/>
    </x:row>
    <x:row r="314" ht="58" customHeight="1">
      <x:c r="A314" s="30" t="str">
        <x:v>CL0310</x:v>
      </x:c>
      <x:c r="B314" s="30" t="str">
        <x:v>Valuation</x:v>
      </x:c>
      <x:c r="C314" s="31" t="str">
        <x:v>Enterprise value: how to account for cash, long term investment, short term financial instrument</x:v>
      </x:c>
      <x:c r="D314" s="32" t="n">
        <x:f>COUNTIF('All Questions'!$G$5:$G$1725,A314)</x:f>
        <x:v>1</x:v>
      </x:c>
      <x:c r="E314" s="11"/>
      <x:c r="F314" s="12" t="str">
        <x:v>Not Started</x:v>
      </x:c>
      <x:c r="G314" s="13"/>
      <x:c r="H314" s="30" t="str">
        <x:f>IF(AND(E314&lt;&gt;"",F314="Ready"),"Yes","No")</x:f>
        <x:v>No</x:v>
      </x:c>
      <x:c r="I314" s="11"/>
    </x:row>
    <x:row r="315" ht="38" customHeight="1">
      <x:c r="A315" s="30" t="str">
        <x:v>CL0311</x:v>
      </x:c>
      <x:c r="B315" s="30" t="str">
        <x:v>Valuation</x:v>
      </x:c>
      <x:c r="C315" s="31" t="str">
        <x:v>Enterprise Value的公式是什麼、除了standard formula裡面的items還有一些其他什麼items</x:v>
      </x:c>
      <x:c r="D315" s="32" t="n">
        <x:f>COUNTIF('All Questions'!$G$5:$G$1725,A315)</x:f>
        <x:v>1</x:v>
      </x:c>
      <x:c r="E315" s="11"/>
      <x:c r="F315" s="12" t="str">
        <x:v>Not Started</x:v>
      </x:c>
      <x:c r="G315" s="13"/>
      <x:c r="H315" s="30" t="str">
        <x:f>IF(AND(E315&lt;&gt;"",F315="Ready"),"Yes","No")</x:f>
        <x:v>No</x:v>
      </x:c>
      <x:c r="I315" s="11"/>
    </x:row>
    <x:row r="316" ht="58" customHeight="1">
      <x:c r="A316" s="30" t="str">
        <x:v>CL0312</x:v>
      </x:c>
      <x:c r="B316" s="30" t="str">
        <x:v>Accounting &amp; Financial Statements</x:v>
      </x:c>
      <x:c r="C316" s="31" t="str">
        <x:v>Entry: EBITDA $100, $600 debt, no cash, 10x multiple. Exit: Year 5 EBITDA $150, exit 9x multiple. What is the MOIC? (2.5x)</x:v>
      </x:c>
      <x:c r="D316" s="32" t="n">
        <x:f>COUNTIF('All Questions'!$G$5:$G$1725,A316)</x:f>
        <x:v>1</x:v>
      </x:c>
      <x:c r="E316" s="11"/>
      <x:c r="F316" s="12" t="str">
        <x:v>Not Started</x:v>
      </x:c>
      <x:c r="G316" s="13"/>
      <x:c r="H316" s="30" t="str">
        <x:f>IF(AND(E316&lt;&gt;"",F316="Ready"),"Yes","No")</x:f>
        <x:v>No</x:v>
      </x:c>
      <x:c r="I316" s="11"/>
    </x:row>
    <x:row r="317" ht="38" customHeight="1">
      <x:c r="A317" s="30" t="str">
        <x:v>CL0313</x:v>
      </x:c>
      <x:c r="B317" s="30" t="str">
        <x:v>Resume &amp; Experience</x:v>
      </x:c>
      <x:c r="C317" s="31" t="str">
        <x:v>ER internship, pitched him a stock I worked on</x:v>
      </x:c>
      <x:c r="D317" s="32" t="n">
        <x:f>COUNTIF('All Questions'!$G$5:$G$1725,A317)</x:f>
        <x:v>1</x:v>
      </x:c>
      <x:c r="E317" s="11"/>
      <x:c r="F317" s="12" t="str">
        <x:v>Not Started</x:v>
      </x:c>
      <x:c r="G317" s="13"/>
      <x:c r="H317" s="30" t="str">
        <x:f>IF(AND(E317&lt;&gt;"",F317="Ready"),"Yes","No")</x:f>
        <x:v>No</x:v>
      </x:c>
      <x:c r="I317" s="11"/>
    </x:row>
    <x:row r="318" ht="38" customHeight="1">
      <x:c r="A318" s="30" t="str">
        <x:v>CL0314</x:v>
      </x:c>
      <x:c r="B318" s="30" t="str">
        <x:v>Accounting &amp; Financial Statements</x:v>
      </x:c>
      <x:c r="C318" s="31" t="str">
        <x:v>EV 150, Senior debt 100, CPS 100, what is the value of CPS</x:v>
      </x:c>
      <x:c r="D318" s="32" t="n">
        <x:f>COUNTIF('All Questions'!$G$5:$G$1725,A318)</x:f>
        <x:v>1</x:v>
      </x:c>
      <x:c r="E318" s="11"/>
      <x:c r="F318" s="12" t="str">
        <x:v>Not Started</x:v>
      </x:c>
      <x:c r="G318" s="13"/>
      <x:c r="H318" s="30" t="str">
        <x:f>IF(AND(E318&lt;&gt;"",F318="Ready"),"Yes","No")</x:f>
        <x:v>No</x:v>
      </x:c>
      <x:c r="I318" s="11"/>
    </x:row>
    <x:row r="319" ht="58" customHeight="1">
      <x:c r="A319" s="30" t="str">
        <x:v>CL0315</x:v>
      </x:c>
      <x:c r="B319" s="30" t="str">
        <x:v>Fit &amp; Motivation</x:v>
      </x:c>
      <x:c r="C319" s="31" t="str">
        <x:v>EV Equity bridge, where is Minority interest and why? Where is non-operating asset and why? (I fucked up this one)</x:v>
      </x:c>
      <x:c r="D319" s="32" t="n">
        <x:f>COUNTIF('All Questions'!$G$5:$G$1725,A319)</x:f>
        <x:v>1</x:v>
      </x:c>
      <x:c r="E319" s="11"/>
      <x:c r="F319" s="12" t="str">
        <x:v>Not Started</x:v>
      </x:c>
      <x:c r="G319" s="13"/>
      <x:c r="H319" s="30" t="str">
        <x:f>IF(AND(E319&lt;&gt;"",F319="Ready"),"Yes","No")</x:f>
        <x:v>No</x:v>
      </x:c>
      <x:c r="I319" s="11"/>
    </x:row>
    <x:row r="320" ht="38" customHeight="1">
      <x:c r="A320" s="30" t="str">
        <x:v>CL0316</x:v>
      </x:c>
      <x:c r="B320" s="30" t="str">
        <x:v>Other Question</x:v>
      </x:c>
      <x:c r="C320" s="31" t="str">
        <x:v>EV: market cap use which one? Diluted market cap? Total market cap? Floating market caps</x:v>
      </x:c>
      <x:c r="D320" s="32" t="n">
        <x:f>COUNTIF('All Questions'!$G$5:$G$1725,A320)</x:f>
        <x:v>1</x:v>
      </x:c>
      <x:c r="E320" s="11"/>
      <x:c r="F320" s="12" t="str">
        <x:v>Not Started</x:v>
      </x:c>
      <x:c r="G320" s="13"/>
      <x:c r="H320" s="30" t="str">
        <x:f>IF(AND(E320&lt;&gt;"",F320="Ready"),"Yes","No")</x:f>
        <x:v>No</x:v>
      </x:c>
      <x:c r="I320" s="11"/>
    </x:row>
    <x:row r="321" ht="38" customHeight="1">
      <x:c r="A321" s="30" t="str">
        <x:v>CL0317</x:v>
      </x:c>
      <x:c r="B321" s="30" t="str">
        <x:v>Other Question</x:v>
      </x:c>
      <x:c r="C321" s="31" t="str">
        <x:v>EV/EBITDA vs EV/sales 分别</x:v>
      </x:c>
      <x:c r="D321" s="32" t="n">
        <x:f>COUNTIF('All Questions'!$G$5:$G$1725,A321)</x:f>
        <x:v>1</x:v>
      </x:c>
      <x:c r="E321" s="11"/>
      <x:c r="F321" s="12" t="str">
        <x:v>Not Started</x:v>
      </x:c>
      <x:c r="G321" s="13"/>
      <x:c r="H321" s="30" t="str">
        <x:f>IF(AND(E321&lt;&gt;"",F321="Ready"),"Yes","No")</x:f>
        <x:v>No</x:v>
      </x:c>
      <x:c r="I321" s="11"/>
    </x:row>
    <x:row r="322" ht="58" customHeight="1">
      <x:c r="A322" s="30" t="str">
        <x:v>CL0318</x:v>
      </x:c>
      <x:c r="B322" s="30" t="str">
        <x:v>Accounting &amp; Financial Statements</x:v>
      </x:c>
      <x:c r="C322" s="31" t="str">
        <x:v>EV/EBITDA=5, Interest coverage =5, what's loan to value (need to ask for lended interest rate of 5%). Answer is 1.25</x:v>
      </x:c>
      <x:c r="D322" s="32" t="n">
        <x:f>COUNTIF('All Questions'!$G$5:$G$1725,A322)</x:f>
        <x:v>1</x:v>
      </x:c>
      <x:c r="E322" s="11"/>
      <x:c r="F322" s="12" t="str">
        <x:v>Not Started</x:v>
      </x:c>
      <x:c r="G322" s="13"/>
      <x:c r="H322" s="30" t="str">
        <x:f>IF(AND(E322&lt;&gt;"",F322="Ready"),"Yes","No")</x:f>
        <x:v>No</x:v>
      </x:c>
      <x:c r="I322" s="11"/>
    </x:row>
    <x:row r="323" ht="38" customHeight="1">
      <x:c r="A323" s="30" t="str">
        <x:v>CL0319</x:v>
      </x:c>
      <x:c r="B323" s="30" t="str">
        <x:v>Resume &amp; Experience</x:v>
      </x:c>
      <x:c r="C323" s="31" t="str">
        <x:v>Experience of approaching difficult question and find a solution with positive outcome</x:v>
      </x:c>
      <x:c r="D323" s="32" t="n">
        <x:f>COUNTIF('All Questions'!$G$5:$G$1725,A323)</x:f>
        <x:v>1</x:v>
      </x:c>
      <x:c r="E323" s="11"/>
      <x:c r="F323" s="12" t="str">
        <x:v>Not Started</x:v>
      </x:c>
      <x:c r="G323" s="13"/>
      <x:c r="H323" s="30" t="str">
        <x:f>IF(AND(E323&lt;&gt;"",F323="Ready"),"Yes","No")</x:f>
        <x:v>No</x:v>
      </x:c>
      <x:c r="I323" s="11"/>
    </x:row>
    <x:row r="324" ht="38" customHeight="1">
      <x:c r="A324" s="30" t="str">
        <x:v>CL0320</x:v>
      </x:c>
      <x:c r="B324" s="30" t="str">
        <x:v>Valuation</x:v>
      </x:c>
      <x:c r="C324" s="31" t="str">
        <x:v>Explain different multiples and their applications</x:v>
      </x:c>
      <x:c r="D324" s="32" t="n">
        <x:f>COUNTIF('All Questions'!$G$5:$G$1725,A324)</x:f>
        <x:v>1</x:v>
      </x:c>
      <x:c r="E324" s="11"/>
      <x:c r="F324" s="12" t="str">
        <x:v>Not Started</x:v>
      </x:c>
      <x:c r="G324" s="13"/>
      <x:c r="H324" s="30" t="str">
        <x:f>IF(AND(E324&lt;&gt;"",F324="Ready"),"Yes","No")</x:f>
        <x:v>No</x:v>
      </x:c>
      <x:c r="I324" s="11"/>
    </x:row>
    <x:row r="325" ht="58" customHeight="1">
      <x:c r="A325" s="30" t="str">
        <x:v>CL0321</x:v>
      </x:c>
      <x:c r="B325" s="30" t="str">
        <x:v>Accounting &amp; Financial Statements</x:v>
      </x:c>
      <x:c r="C325" s="31" t="str">
        <x:v>Explain minority interest, do minority shareholders also share your revenue (only NI sharing)</x:v>
      </x:c>
      <x:c r="D325" s="32" t="n">
        <x:f>COUNTIF('All Questions'!$G$5:$G$1725,A325)</x:f>
        <x:v>1</x:v>
      </x:c>
      <x:c r="E325" s="11"/>
      <x:c r="F325" s="12" t="str">
        <x:v>Not Started</x:v>
      </x:c>
      <x:c r="G325" s="13"/>
      <x:c r="H325" s="30" t="str">
        <x:f>IF(AND(E325&lt;&gt;"",F325="Ready"),"Yes","No")</x:f>
        <x:v>No</x:v>
      </x:c>
      <x:c r="I325" s="11"/>
    </x:row>
    <x:row r="326" ht="38" customHeight="1">
      <x:c r="A326" s="30" t="str">
        <x:v>CL0322</x:v>
      </x:c>
      <x:c r="B326" s="30" t="str">
        <x:v>Fit &amp; Motivation</x:v>
      </x:c>
      <x:c r="C326" s="31" t="str">
        <x:v>Explain my major (my major title is Asset Management) and why I'm not doing this</x:v>
      </x:c>
      <x:c r="D326" s="32" t="n">
        <x:f>COUNTIF('All Questions'!$G$5:$G$1725,A326)</x:f>
        <x:v>1</x:v>
      </x:c>
      <x:c r="E326" s="11"/>
      <x:c r="F326" s="12" t="str">
        <x:v>Not Started</x:v>
      </x:c>
      <x:c r="G326" s="13"/>
      <x:c r="H326" s="30" t="str">
        <x:f>IF(AND(E326&lt;&gt;"",F326="Ready"),"Yes","No")</x:f>
        <x:v>No</x:v>
      </x:c>
      <x:c r="I326" s="11"/>
    </x:row>
    <x:row r="327" ht="38" customHeight="1">
      <x:c r="A327" s="30" t="str">
        <x:v>CL0323</x:v>
      </x:c>
      <x:c r="B327" s="30" t="str">
        <x:v>Other Question</x:v>
      </x:c>
      <x:c r="C327" s="31" t="str">
        <x:v>Factors to consider when extending a loan to clients</x:v>
      </x:c>
      <x:c r="D327" s="32" t="n">
        <x:f>COUNTIF('All Questions'!$G$5:$G$1725,A327)</x:f>
        <x:v>1</x:v>
      </x:c>
      <x:c r="E327" s="11"/>
      <x:c r="F327" s="12" t="str">
        <x:v>Not Started</x:v>
      </x:c>
      <x:c r="G327" s="13"/>
      <x:c r="H327" s="30" t="str">
        <x:f>IF(AND(E327&lt;&gt;"",F327="Ready"),"Yes","No")</x:f>
        <x:v>No</x:v>
      </x:c>
      <x:c r="I327" s="11"/>
    </x:row>
    <x:row r="328" ht="38" customHeight="1">
      <x:c r="A328" s="30" t="str">
        <x:v>CL0324</x:v>
      </x:c>
      <x:c r="B328" s="30" t="str">
        <x:v>Other Question</x:v>
      </x:c>
      <x:c r="C328" s="31" t="str">
        <x:v>Financial instrument taken stock at end of 2022, now 31st Jan 2023, use which value</x:v>
      </x:c>
      <x:c r="D328" s="32" t="n">
        <x:f>COUNTIF('All Questions'!$G$5:$G$1725,A328)</x:f>
        <x:v>1</x:v>
      </x:c>
      <x:c r="E328" s="11"/>
      <x:c r="F328" s="12" t="str">
        <x:v>Not Started</x:v>
      </x:c>
      <x:c r="G328" s="13"/>
      <x:c r="H328" s="30" t="str">
        <x:f>IF(AND(E328&lt;&gt;"",F328="Ready"),"Yes","No")</x:f>
        <x:v>No</x:v>
      </x:c>
      <x:c r="I328" s="11"/>
    </x:row>
    <x:row r="329" ht="58" customHeight="1">
      <x:c r="A329" s="30" t="str">
        <x:v>CL0325</x:v>
      </x:c>
      <x:c r="B329" s="30" t="str">
        <x:v>Company, Industry &amp; Deals</x:v>
      </x:c>
      <x:c r="C329" s="31" t="str">
        <x:v>For a company with high debt usage vs low debt, but similar EV/EBIT, which company will you invest in</x:v>
      </x:c>
      <x:c r="D329" s="32" t="n">
        <x:f>COUNTIF('All Questions'!$G$5:$G$1725,A329)</x:f>
        <x:v>1</x:v>
      </x:c>
      <x:c r="E329" s="11"/>
      <x:c r="F329" s="12" t="str">
        <x:v>Not Started</x:v>
      </x:c>
      <x:c r="G329" s="13"/>
      <x:c r="H329" s="30" t="str">
        <x:f>IF(AND(E329&lt;&gt;"",F329="Ready"),"Yes","No")</x:f>
        <x:v>No</x:v>
      </x:c>
      <x:c r="I329" s="11"/>
    </x:row>
    <x:row r="330" ht="38" customHeight="1">
      <x:c r="A330" s="30" t="str">
        <x:v>CL0326</x:v>
      </x:c>
      <x:c r="B330" s="30" t="str">
        <x:v>Company, Industry &amp; Deals</x:v>
      </x:c>
      <x:c r="C330" s="31" t="str">
        <x:v>For a consumer packaging company, what are some mertics for credit analysis</x:v>
      </x:c>
      <x:c r="D330" s="32" t="n">
        <x:f>COUNTIF('All Questions'!$G$5:$G$1725,A330)</x:f>
        <x:v>1</x:v>
      </x:c>
      <x:c r="E330" s="11"/>
      <x:c r="F330" s="12" t="str">
        <x:v>Not Started</x:v>
      </x:c>
      <x:c r="G330" s="13"/>
      <x:c r="H330" s="30" t="str">
        <x:f>IF(AND(E330&lt;&gt;"",F330="Ready"),"Yes","No")</x:f>
        <x:v>No</x:v>
      </x:c>
      <x:c r="I330" s="11"/>
    </x:row>
    <x:row r="331" ht="38" customHeight="1">
      <x:c r="A331" s="30" t="str">
        <x:v>CL0327</x:v>
      </x:c>
      <x:c r="B331" s="30" t="str">
        <x:v>Fit &amp; Motivation</x:v>
      </x:c>
      <x:c r="C331" s="31" t="str">
        <x:v>For a PE, do you think "strategic fit" still matters</x:v>
      </x:c>
      <x:c r="D331" s="32" t="n">
        <x:f>COUNTIF('All Questions'!$G$5:$G$1725,A331)</x:f>
        <x:v>1</x:v>
      </x:c>
      <x:c r="E331" s="11"/>
      <x:c r="F331" s="12" t="str">
        <x:v>Not Started</x:v>
      </x:c>
      <x:c r="G331" s="13"/>
      <x:c r="H331" s="30" t="str">
        <x:f>IF(AND(E331&lt;&gt;"",F331="Ready"),"Yes","No")</x:f>
        <x:v>No</x:v>
      </x:c>
      <x:c r="I331" s="11"/>
    </x:row>
    <x:row r="332" ht="38" customHeight="1">
      <x:c r="A332" s="30" t="str">
        <x:v>CL0328</x:v>
      </x:c>
      <x:c r="B332" s="30" t="str">
        <x:v>Accounting &amp; Financial Statements</x:v>
      </x:c>
      <x:c r="C332" s="31" t="str">
        <x:v>For companies like Tencent, 3 main items of financial statements to look at</x:v>
      </x:c>
      <x:c r="D332" s="32" t="n">
        <x:f>COUNTIF('All Questions'!$G$5:$G$1725,A332)</x:f>
        <x:v>1</x:v>
      </x:c>
      <x:c r="E332" s="11"/>
      <x:c r="F332" s="12" t="str">
        <x:v>Not Started</x:v>
      </x:c>
      <x:c r="G332" s="13"/>
      <x:c r="H332" s="30" t="str">
        <x:f>IF(AND(E332&lt;&gt;"",F332="Ready"),"Yes","No")</x:f>
        <x:v>No</x:v>
      </x:c>
      <x:c r="I332" s="11"/>
    </x:row>
    <x:row r="333" ht="58" customHeight="1">
      <x:c r="A333" s="30" t="str">
        <x:v>CL0329</x:v>
      </x:c>
      <x:c r="B333" s="30" t="str">
        <x:v>Accounting &amp; Financial Statements</x:v>
      </x:c>
      <x:c r="C333" s="31" t="str">
        <x:v>For CPS, how does it affect the enterprise value? How much is pre money and post money valuation? (I said counted as preferred shares at first)</x:v>
      </x:c>
      <x:c r="D333" s="32" t="n">
        <x:f>COUNTIF('All Questions'!$G$5:$G$1725,A333)</x:f>
        <x:v>1</x:v>
      </x:c>
      <x:c r="E333" s="11"/>
      <x:c r="F333" s="12" t="str">
        <x:v>Not Started</x:v>
      </x:c>
      <x:c r="G333" s="13"/>
      <x:c r="H333" s="30" t="str">
        <x:f>IF(AND(E333&lt;&gt;"",F333="Ready"),"Yes","No")</x:f>
        <x:v>No</x:v>
      </x:c>
      <x:c r="I333" s="11"/>
    </x:row>
    <x:row r="334" ht="80" customHeight="1">
      <x:c r="A334" s="30" t="str">
        <x:v>CL0330</x:v>
      </x:c>
      <x:c r="B334" s="30" t="str">
        <x:v>Accounting &amp; Financial Statements</x:v>
      </x:c>
      <x:c r="C334" s="31" t="str">
        <x:v>For example, now is 2025 the EV/EBITDA multiple is 10x, you are exiting in 2029, and the EBITDA is 30m, could you apply the 10x multiple to get the terminal value</x:v>
      </x:c>
      <x:c r="D334" s="32" t="n">
        <x:f>COUNTIF('All Questions'!$G$5:$G$1725,A334)</x:f>
        <x:v>1</x:v>
      </x:c>
      <x:c r="E334" s="11"/>
      <x:c r="F334" s="12" t="str">
        <x:v>Not Started</x:v>
      </x:c>
      <x:c r="G334" s="13"/>
      <x:c r="H334" s="30" t="str">
        <x:f>IF(AND(E334&lt;&gt;"",F334="Ready"),"Yes","No")</x:f>
        <x:v>No</x:v>
      </x:c>
      <x:c r="I334" s="11"/>
    </x:row>
    <x:row r="335" ht="38" customHeight="1">
      <x:c r="A335" s="30" t="str">
        <x:v>CL0331</x:v>
      </x:c>
      <x:c r="B335" s="30" t="str">
        <x:v>Valuation</x:v>
      </x:c>
      <x:c r="C335" s="31" t="str">
        <x:v>For private companies - how to find the equity value</x:v>
      </x:c>
      <x:c r="D335" s="32" t="n">
        <x:f>COUNTIF('All Questions'!$G$5:$G$1725,A335)</x:f>
        <x:v>1</x:v>
      </x:c>
      <x:c r="E335" s="11"/>
      <x:c r="F335" s="12" t="str">
        <x:v>Not Started</x:v>
      </x:c>
      <x:c r="G335" s="13"/>
      <x:c r="H335" s="30" t="str">
        <x:f>IF(AND(E335&lt;&gt;"",F335="Ready"),"Yes","No")</x:f>
        <x:v>No</x:v>
      </x:c>
      <x:c r="I335" s="11"/>
    </x:row>
    <x:row r="336" ht="38" customHeight="1">
      <x:c r="A336" s="30" t="str">
        <x:v>CL0332</x:v>
      </x:c>
      <x:c r="B336" s="30" t="str">
        <x:v>Resume &amp; Experience</x:v>
      </x:c>
      <x:c r="C336" s="31" t="str">
        <x:v>For that internship experience ask about DCF and comps in detail</x:v>
      </x:c>
      <x:c r="D336" s="32" t="n">
        <x:f>COUNTIF('All Questions'!$G$5:$G$1725,A336)</x:f>
        <x:v>1</x:v>
      </x:c>
      <x:c r="E336" s="11"/>
      <x:c r="F336" s="12" t="str">
        <x:v>Not Started</x:v>
      </x:c>
      <x:c r="G336" s="13"/>
      <x:c r="H336" s="30" t="str">
        <x:f>IF(AND(E336&lt;&gt;"",F336="Ready"),"Yes","No")</x:f>
        <x:v>No</x:v>
      </x:c>
      <x:c r="I336" s="11"/>
    </x:row>
    <x:row r="337" ht="38" customHeight="1">
      <x:c r="A337" s="30" t="str">
        <x:v>CL0333</x:v>
      </x:c>
      <x:c r="B337" s="30" t="str">
        <x:v>Company, Industry &amp; Deals</x:v>
      </x:c>
      <x:c r="C337" s="31" t="str">
        <x:v>For the credit analysis, what was the revenue build up? How did you do the model</x:v>
      </x:c>
      <x:c r="D337" s="32" t="n">
        <x:f>COUNTIF('All Questions'!$G$5:$G$1725,A337)</x:f>
        <x:v>1</x:v>
      </x:c>
      <x:c r="E337" s="11"/>
      <x:c r="F337" s="12" t="str">
        <x:v>Not Started</x:v>
      </x:c>
      <x:c r="G337" s="13"/>
      <x:c r="H337" s="30" t="str">
        <x:f>IF(AND(E337&lt;&gt;"",F337="Ready"),"Yes","No")</x:f>
        <x:v>No</x:v>
      </x:c>
      <x:c r="I337" s="11"/>
    </x:row>
    <x:row r="338" ht="58" customHeight="1">
      <x:c r="A338" s="30" t="str">
        <x:v>CL0334</x:v>
      </x:c>
      <x:c r="B338" s="30" t="str">
        <x:v>Valuation</x:v>
      </x:c>
      <x:c r="C338" s="31" t="str">
        <x:v>For the same company, how would you do trading comps and precedent transactions and what are some companies you would look at for trading comps</x:v>
      </x:c>
      <x:c r="D338" s="32" t="n">
        <x:f>COUNTIF('All Questions'!$G$5:$G$1725,A338)</x:f>
        <x:v>1</x:v>
      </x:c>
      <x:c r="E338" s="11"/>
      <x:c r="F338" s="12" t="str">
        <x:v>Not Started</x:v>
      </x:c>
      <x:c r="G338" s="13"/>
      <x:c r="H338" s="30" t="str">
        <x:f>IF(AND(E338&lt;&gt;"",F338="Ready"),"Yes","No")</x:f>
        <x:v>No</x:v>
      </x:c>
      <x:c r="I338" s="11"/>
    </x:row>
    <x:row r="339" ht="38" customHeight="1">
      <x:c r="A339" s="30" t="str">
        <x:v>CL0335</x:v>
      </x:c>
      <x:c r="B339" s="30" t="str">
        <x:v>Valuation</x:v>
      </x:c>
      <x:c r="C339" s="31" t="str">
        <x:v>For trading comps and transaction comps, how do you get the comparables</x:v>
      </x:c>
      <x:c r="D339" s="32" t="n">
        <x:f>COUNTIF('All Questions'!$G$5:$G$1725,A339)</x:f>
        <x:v>1</x:v>
      </x:c>
      <x:c r="E339" s="11"/>
      <x:c r="F339" s="12" t="str">
        <x:v>Not Started</x:v>
      </x:c>
      <x:c r="G339" s="13"/>
      <x:c r="H339" s="30" t="str">
        <x:f>IF(AND(E339&lt;&gt;"",F339="Ready"),"Yes","No")</x:f>
        <x:v>No</x:v>
      </x:c>
      <x:c r="I339" s="11"/>
    </x:row>
    <x:row r="340" ht="38" customHeight="1">
      <x:c r="A340" s="30" t="str">
        <x:v>CL0336</x:v>
      </x:c>
      <x:c r="B340" s="30" t="str">
        <x:v>Valuation</x:v>
      </x:c>
      <x:c r="C340" s="31" t="str">
        <x:v>For trading comps, how would you pick? (Also have operating metrics!!)</x:v>
      </x:c>
      <x:c r="D340" s="32" t="n">
        <x:f>COUNTIF('All Questions'!$G$5:$G$1725,A340)</x:f>
        <x:v>1</x:v>
      </x:c>
      <x:c r="E340" s="11"/>
      <x:c r="F340" s="12" t="str">
        <x:v>Not Started</x:v>
      </x:c>
      <x:c r="G340" s="13"/>
      <x:c r="H340" s="30" t="str">
        <x:f>IF(AND(E340&lt;&gt;"",F340="Ready"),"Yes","No")</x:f>
        <x:v>No</x:v>
      </x:c>
      <x:c r="I340" s="11"/>
    </x:row>
    <x:row r="341" ht="38" customHeight="1">
      <x:c r="A341" s="30" t="str">
        <x:v>CL0337</x:v>
      </x:c>
      <x:c r="B341" s="30" t="str">
        <x:v>Valuation</x:v>
      </x:c>
      <x:c r="C341" s="31" t="str">
        <x:v>For trading comps, what's the difference between EV/EBITDA, P/E, and EV/Sales</x:v>
      </x:c>
      <x:c r="D341" s="32" t="n">
        <x:f>COUNTIF('All Questions'!$G$5:$G$1725,A341)</x:f>
        <x:v>1</x:v>
      </x:c>
      <x:c r="E341" s="11"/>
      <x:c r="F341" s="12" t="str">
        <x:v>Not Started</x:v>
      </x:c>
      <x:c r="G341" s="13"/>
      <x:c r="H341" s="30" t="str">
        <x:f>IF(AND(E341&lt;&gt;"",F341="Ready"),"Yes","No")</x:f>
        <x:v>No</x:v>
      </x:c>
      <x:c r="I341" s="11"/>
    </x:row>
    <x:row r="342" ht="38" customHeight="1">
      <x:c r="A342" s="30" t="str">
        <x:v>CL0338</x:v>
      </x:c>
      <x:c r="B342" s="30" t="str">
        <x:v>Valuation</x:v>
      </x:c>
      <x:c r="C342" s="31" t="str">
        <x:v>For trading comps, which multiples are considered primary/secondary</x:v>
      </x:c>
      <x:c r="D342" s="32" t="n">
        <x:f>COUNTIF('All Questions'!$G$5:$G$1725,A342)</x:f>
        <x:v>1</x:v>
      </x:c>
      <x:c r="E342" s="11"/>
      <x:c r="F342" s="12" t="str">
        <x:v>Not Started</x:v>
      </x:c>
      <x:c r="G342" s="13"/>
      <x:c r="H342" s="30" t="str">
        <x:f>IF(AND(E342&lt;&gt;"",F342="Ready"),"Yes","No")</x:f>
        <x:v>No</x:v>
      </x:c>
      <x:c r="I342" s="11"/>
    </x:row>
    <x:row r="343" ht="58" customHeight="1">
      <x:c r="A343" s="30" t="str">
        <x:v>CL0339</x:v>
      </x:c>
      <x:c r="B343" s="30" t="str">
        <x:v>Valuation</x:v>
      </x:c>
      <x:c r="C343" s="31" t="str">
        <x:v>For WACC, if company was in a net cash position, how does this affect and how do you find the acc</x:v>
      </x:c>
      <x:c r="D343" s="32" t="n">
        <x:f>COUNTIF('All Questions'!$G$5:$G$1725,A343)</x:f>
        <x:v>1</x:v>
      </x:c>
      <x:c r="E343" s="11"/>
      <x:c r="F343" s="12" t="str">
        <x:v>Not Started</x:v>
      </x:c>
      <x:c r="G343" s="13"/>
      <x:c r="H343" s="30" t="str">
        <x:f>IF(AND(E343&lt;&gt;"",F343="Ready"),"Yes","No")</x:f>
        <x:v>No</x:v>
      </x:c>
      <x:c r="I343" s="11"/>
    </x:row>
    <x:row r="344" ht="38" customHeight="1">
      <x:c r="A344" s="30" t="str">
        <x:v>CL0340</x:v>
      </x:c>
      <x:c r="B344" s="30" t="str">
        <x:v>Valuation</x:v>
      </x:c>
      <x:c r="C344" s="31" t="str">
        <x:v>Formula of enterprise value</x:v>
      </x:c>
      <x:c r="D344" s="32" t="n">
        <x:f>COUNTIF('All Questions'!$G$5:$G$1725,A344)</x:f>
        <x:v>1</x:v>
      </x:c>
      <x:c r="E344" s="11"/>
      <x:c r="F344" s="12" t="str">
        <x:v>Not Started</x:v>
      </x:c>
      <x:c r="G344" s="13"/>
      <x:c r="H344" s="30" t="str">
        <x:f>IF(AND(E344&lt;&gt;"",F344="Ready"),"Yes","No")</x:f>
        <x:v>No</x:v>
      </x:c>
      <x:c r="I344" s="11"/>
    </x:row>
    <x:row r="345" ht="38" customHeight="1">
      <x:c r="A345" s="30" t="str">
        <x:v>CL0341</x:v>
      </x:c>
      <x:c r="B345" s="30" t="str">
        <x:v>Accounting &amp; Financial Statements</x:v>
      </x:c>
      <x:c r="C345" s="31" t="str">
        <x:v>Formula: FCF, NWC, common items of non-cash expense</x:v>
      </x:c>
      <x:c r="D345" s="32" t="n">
        <x:f>COUNTIF('All Questions'!$G$5:$G$1725,A345)</x:f>
        <x:v>1</x:v>
      </x:c>
      <x:c r="E345" s="11"/>
      <x:c r="F345" s="12" t="str">
        <x:v>Not Started</x:v>
      </x:c>
      <x:c r="G345" s="13"/>
      <x:c r="H345" s="30" t="str">
        <x:f>IF(AND(E345&lt;&gt;"",F345="Ready"),"Yes","No")</x:f>
        <x:v>No</x:v>
      </x:c>
      <x:c r="I345" s="11"/>
    </x:row>
    <x:row r="346" ht="38" customHeight="1">
      <x:c r="A346" s="30" t="str">
        <x:v>CL0342</x:v>
      </x:c>
      <x:c r="B346" s="30" t="str">
        <x:v>Valuation</x:v>
      </x:c>
      <x:c r="C346" s="31" t="str">
        <x:v>Get FCFE from FCFF</x:v>
      </x:c>
      <x:c r="D346" s="32" t="n">
        <x:f>COUNTIF('All Questions'!$G$5:$G$1725,A346)</x:f>
        <x:v>1</x:v>
      </x:c>
      <x:c r="E346" s="11"/>
      <x:c r="F346" s="12" t="str">
        <x:v>Not Started</x:v>
      </x:c>
      <x:c r="G346" s="13"/>
      <x:c r="H346" s="30" t="str">
        <x:f>IF(AND(E346&lt;&gt;"",F346="Ready"),"Yes","No")</x:f>
        <x:v>No</x:v>
      </x:c>
      <x:c r="I346" s="11"/>
    </x:row>
    <x:row r="347" ht="38" customHeight="1">
      <x:c r="A347" s="30" t="str">
        <x:v>CL0343</x:v>
      </x:c>
      <x:c r="B347" s="30" t="str">
        <x:v>Valuation</x:v>
      </x:c>
      <x:c r="C347" s="31" t="str">
        <x:v>Get FCFF from revenue</x:v>
      </x:c>
      <x:c r="D347" s="32" t="n">
        <x:f>COUNTIF('All Questions'!$G$5:$G$1725,A347)</x:f>
        <x:v>1</x:v>
      </x:c>
      <x:c r="E347" s="11"/>
      <x:c r="F347" s="12" t="str">
        <x:v>Not Started</x:v>
      </x:c>
      <x:c r="G347" s="13"/>
      <x:c r="H347" s="30" t="str">
        <x:f>IF(AND(E347&lt;&gt;"",F347="Ready"),"Yes","No")</x:f>
        <x:v>No</x:v>
      </x:c>
      <x:c r="I347" s="11"/>
    </x:row>
    <x:row r="348" ht="58" customHeight="1">
      <x:c r="A348" s="30" t="str">
        <x:v>CL0344</x:v>
      </x:c>
      <x:c r="B348" s="30" t="str">
        <x:v>Other Question</x:v>
      </x:c>
      <x:c r="C348" s="31" t="str">
        <x:v>Give me a case when you were doing a project and got stuck with it? How did you handle that</x:v>
      </x:c>
      <x:c r="D348" s="32" t="n">
        <x:f>COUNTIF('All Questions'!$G$5:$G$1725,A348)</x:f>
        <x:v>1</x:v>
      </x:c>
      <x:c r="E348" s="11"/>
      <x:c r="F348" s="12" t="str">
        <x:v>Not Started</x:v>
      </x:c>
      <x:c r="G348" s="13"/>
      <x:c r="H348" s="30" t="str">
        <x:f>IF(AND(E348&lt;&gt;"",F348="Ready"),"Yes","No")</x:f>
        <x:v>No</x:v>
      </x:c>
      <x:c r="I348" s="11"/>
    </x:row>
    <x:row r="349" ht="58" customHeight="1">
      <x:c r="A349" s="30" t="str">
        <x:v>CL0345</x:v>
      </x:c>
      <x:c r="B349" s="30" t="str">
        <x:v>Other Question</x:v>
      </x:c>
      <x:c r="C349" s="31" t="str">
        <x:v>Give me an example of one vessel's (eg. capex, contract length, charter operating EPC rates, years of return etc)</x:v>
      </x:c>
      <x:c r="D349" s="32" t="n">
        <x:f>COUNTIF('All Questions'!$G$5:$G$1725,A349)</x:f>
        <x:v>1</x:v>
      </x:c>
      <x:c r="E349" s="11"/>
      <x:c r="F349" s="12" t="str">
        <x:v>Not Started</x:v>
      </x:c>
      <x:c r="G349" s="13"/>
      <x:c r="H349" s="30" t="str">
        <x:f>IF(AND(E349&lt;&gt;"",F349="Ready"),"Yes","No")</x:f>
        <x:v>No</x:v>
      </x:c>
      <x:c r="I349" s="11"/>
    </x:row>
    <x:row r="350" ht="38" customHeight="1">
      <x:c r="A350" s="30" t="str">
        <x:v>CL0346</x:v>
      </x:c>
      <x:c r="B350" s="30" t="str">
        <x:v>Behavioral &amp; Situational</x:v>
      </x:c>
      <x:c r="C350" s="31" t="str">
        <x:v>Give me an example showing that you're detail oriented</x:v>
      </x:c>
      <x:c r="D350" s="32" t="n">
        <x:f>COUNTIF('All Questions'!$G$5:$G$1725,A350)</x:f>
        <x:v>1</x:v>
      </x:c>
      <x:c r="E350" s="11"/>
      <x:c r="F350" s="12" t="str">
        <x:v>Not Started</x:v>
      </x:c>
      <x:c r="G350" s="13"/>
      <x:c r="H350" s="30" t="str">
        <x:f>IF(AND(E350&lt;&gt;"",F350="Ready"),"Yes","No")</x:f>
        <x:v>No</x:v>
      </x:c>
      <x:c r="I350" s="11"/>
    </x:row>
    <x:row r="351" ht="38" customHeight="1">
      <x:c r="A351" s="30" t="str">
        <x:v>CL0347</x:v>
      </x:c>
      <x:c r="B351" s="30" t="str">
        <x:v>Other Question</x:v>
      </x:c>
      <x:c r="C351" s="31" t="str">
        <x:v>Give me an example that you find you could have done better afterwards</x:v>
      </x:c>
      <x:c r="D351" s="32" t="n">
        <x:f>COUNTIF('All Questions'!$G$5:$G$1725,A351)</x:f>
        <x:v>1</x:v>
      </x:c>
      <x:c r="E351" s="11"/>
      <x:c r="F351" s="12" t="str">
        <x:v>Not Started</x:v>
      </x:c>
      <x:c r="G351" s="13"/>
      <x:c r="H351" s="30" t="str">
        <x:f>IF(AND(E351&lt;&gt;"",F351="Ready"),"Yes","No")</x:f>
        <x:v>No</x:v>
      </x:c>
      <x:c r="I351" s="11"/>
    </x:row>
    <x:row r="352" ht="38" customHeight="1">
      <x:c r="A352" s="30" t="str">
        <x:v>CL0348</x:v>
      </x:c>
      <x:c r="B352" s="30" t="str">
        <x:v>Other Question</x:v>
      </x:c>
      <x:c r="C352" s="31" t="str">
        <x:v>Give me an example when you are tackling with a task with ambiguity</x:v>
      </x:c>
      <x:c r="D352" s="32" t="n">
        <x:f>COUNTIF('All Questions'!$G$5:$G$1725,A352)</x:f>
        <x:v>1</x:v>
      </x:c>
      <x:c r="E352" s="11"/>
      <x:c r="F352" s="12" t="str">
        <x:v>Not Started</x:v>
      </x:c>
      <x:c r="G352" s="13"/>
      <x:c r="H352" s="30" t="str">
        <x:f>IF(AND(E352&lt;&gt;"",F352="Ready"),"Yes","No")</x:f>
        <x:v>No</x:v>
      </x:c>
      <x:c r="I352" s="11"/>
    </x:row>
    <x:row r="353" ht="38" customHeight="1">
      <x:c r="A353" s="30" t="str">
        <x:v>CL0349</x:v>
      </x:c>
      <x:c r="B353" s="30" t="str">
        <x:v>Investment Pitch</x:v>
      </x:c>
      <x:c r="C353" s="31" t="str">
        <x:v>Give me one investment idea</x:v>
      </x:c>
      <x:c r="D353" s="32" t="n">
        <x:f>COUNTIF('All Questions'!$G$5:$G$1725,A353)</x:f>
        <x:v>1</x:v>
      </x:c>
      <x:c r="E353" s="11"/>
      <x:c r="F353" s="12" t="str">
        <x:v>Not Started</x:v>
      </x:c>
      <x:c r="G353" s="13"/>
      <x:c r="H353" s="30" t="str">
        <x:f>IF(AND(E353&lt;&gt;"",F353="Ready"),"Yes","No")</x:f>
        <x:v>No</x:v>
      </x:c>
      <x:c r="I353" s="11"/>
    </x:row>
    <x:row r="354" ht="38" customHeight="1">
      <x:c r="A354" s="30" t="str">
        <x:v>CL0350</x:v>
      </x:c>
      <x:c r="B354" s="30" t="str">
        <x:v>Other Question</x:v>
      </x:c>
      <x:c r="C354" s="31" t="str">
        <x:v>Give me short introduction of yourself</x:v>
      </x:c>
      <x:c r="D354" s="32" t="n">
        <x:f>COUNTIF('All Questions'!$G$5:$G$1725,A354)</x:f>
        <x:v>1</x:v>
      </x:c>
      <x:c r="E354" s="11"/>
      <x:c r="F354" s="12" t="str">
        <x:v>Not Started</x:v>
      </x:c>
      <x:c r="G354" s="13"/>
      <x:c r="H354" s="30" t="str">
        <x:f>IF(AND(E354&lt;&gt;"",F354="Ready"),"Yes","No")</x:f>
        <x:v>No</x:v>
      </x:c>
      <x:c r="I354" s="11"/>
    </x:row>
    <x:row r="355" ht="38" customHeight="1">
      <x:c r="A355" s="30" t="str">
        <x:v>CL0351</x:v>
      </x:c>
      <x:c r="B355" s="30" t="str">
        <x:v>Other Question</x:v>
      </x:c>
      <x:c r="C355" s="31" t="str">
        <x:v>Give you 1 mn today, or 100k per year for the rest of your life, which one do you prefer</x:v>
      </x:c>
      <x:c r="D355" s="32" t="n">
        <x:f>COUNTIF('All Questions'!$G$5:$G$1725,A355)</x:f>
        <x:v>1</x:v>
      </x:c>
      <x:c r="E355" s="11"/>
      <x:c r="F355" s="12" t="str">
        <x:v>Not Started</x:v>
      </x:c>
      <x:c r="G355" s="13"/>
      <x:c r="H355" s="30" t="str">
        <x:f>IF(AND(E355&lt;&gt;"",F355="Ready"),"Yes","No")</x:f>
        <x:v>No</x:v>
      </x:c>
      <x:c r="I355" s="11"/>
    </x:row>
    <x:row r="356" ht="38" customHeight="1">
      <x:c r="A356" s="30" t="str">
        <x:v>CL0352</x:v>
      </x:c>
      <x:c r="B356" s="30" t="str">
        <x:v>Other Question</x:v>
      </x:c>
      <x:c r="C356" s="31" t="str">
        <x:v>Given Market situation, invest in fixed / floating rate now</x:v>
      </x:c>
      <x:c r="D356" s="32" t="n">
        <x:f>COUNTIF('All Questions'!$G$5:$G$1725,A356)</x:f>
        <x:v>1</x:v>
      </x:c>
      <x:c r="E356" s="11"/>
      <x:c r="F356" s="12" t="str">
        <x:v>Not Started</x:v>
      </x:c>
      <x:c r="G356" s="13"/>
      <x:c r="H356" s="30" t="str">
        <x:f>IF(AND(E356&lt;&gt;"",F356="Ready"),"Yes","No")</x:f>
        <x:v>No</x:v>
      </x:c>
      <x:c r="I356" s="11"/>
    </x:row>
    <x:row r="357" ht="58" customHeight="1">
      <x:c r="A357" s="30" t="str">
        <x:v>CL0353</x:v>
      </x:c>
      <x:c r="B357" s="30" t="str">
        <x:v>Private Equity &amp; LBO</x:v>
      </x:c>
      <x:c r="C357" s="31" t="str">
        <x:v>Given that you have the operating model already, ,and u dont need to do further assumptions, what steps would you take to convert this into an LBO model</x:v>
      </x:c>
      <x:c r="D357" s="32" t="n">
        <x:f>COUNTIF('All Questions'!$G$5:$G$1725,A357)</x:f>
        <x:v>1</x:v>
      </x:c>
      <x:c r="E357" s="11"/>
      <x:c r="F357" s="12" t="str">
        <x:v>Not Started</x:v>
      </x:c>
      <x:c r="G357" s="13"/>
      <x:c r="H357" s="30" t="str">
        <x:f>IF(AND(E357&lt;&gt;"",F357="Ready"),"Yes","No")</x:f>
        <x:v>No</x:v>
      </x:c>
      <x:c r="I357" s="11"/>
    </x:row>
    <x:row r="358" ht="80" customHeight="1">
      <x:c r="A358" s="30" t="str">
        <x:v>CL0354</x:v>
      </x:c>
      <x:c r="B358" s="30" t="str">
        <x:v>Accounting &amp; Financial Statements</x:v>
      </x:c>
      <x:c r="C358" s="31" t="str">
        <x:v>Given that you have the projected working capital on a consumer company you’re trying to buy, you see that the inventory is reducing, the cash is flat, CA is pretty flat too, do you spot any red flags</x:v>
      </x:c>
      <x:c r="D358" s="32" t="n">
        <x:f>COUNTIF('All Questions'!$G$5:$G$1725,A358)</x:f>
        <x:v>1</x:v>
      </x:c>
      <x:c r="E358" s="11"/>
      <x:c r="F358" s="12" t="str">
        <x:v>Not Started</x:v>
      </x:c>
      <x:c r="G358" s="13"/>
      <x:c r="H358" s="30" t="str">
        <x:f>IF(AND(E358&lt;&gt;"",F358="Ready"),"Yes","No")</x:f>
        <x:v>No</x:v>
      </x:c>
      <x:c r="I358" s="11"/>
    </x:row>
    <x:row r="359" ht="58" customHeight="1">
      <x:c r="A359" s="30" t="str">
        <x:v>CL0355</x:v>
      </x:c>
      <x:c r="B359" s="30" t="str">
        <x:v>Accounting &amp; Financial Statements</x:v>
      </x:c>
      <x:c r="C359" s="31" t="str">
        <x:v>Given the current market is expecting a rate cut cycle, how would you advise someone to refinance now</x:v>
      </x:c>
      <x:c r="D359" s="32" t="n">
        <x:f>COUNTIF('All Questions'!$G$5:$G$1725,A359)</x:f>
        <x:v>1</x:v>
      </x:c>
      <x:c r="E359" s="11"/>
      <x:c r="F359" s="12" t="str">
        <x:v>Not Started</x:v>
      </x:c>
      <x:c r="G359" s="13"/>
      <x:c r="H359" s="30" t="str">
        <x:f>IF(AND(E359&lt;&gt;"",F359="Ready"),"Yes","No")</x:f>
        <x:v>No</x:v>
      </x:c>
      <x:c r="I359" s="11"/>
    </x:row>
    <x:row r="360" ht="38" customHeight="1">
      <x:c r="A360" s="30" t="str">
        <x:v>CL0356</x:v>
      </x:c>
      <x:c r="B360" s="30" t="str">
        <x:v>Accounting &amp; Financial Statements</x:v>
      </x:c>
      <x:c r="C360" s="31" t="str">
        <x:v>Given the high interest rates right now, is debt still cheap</x:v>
      </x:c>
      <x:c r="D360" s="32" t="n">
        <x:f>COUNTIF('All Questions'!$G$5:$G$1725,A360)</x:f>
        <x:v>1</x:v>
      </x:c>
      <x:c r="E360" s="11"/>
      <x:c r="F360" s="12" t="str">
        <x:v>Not Started</x:v>
      </x:c>
      <x:c r="G360" s="13"/>
      <x:c r="H360" s="30" t="str">
        <x:f>IF(AND(E360&lt;&gt;"",F360="Ready"),"Yes","No")</x:f>
        <x:v>No</x:v>
      </x:c>
      <x:c r="I360" s="11"/>
    </x:row>
    <x:row r="361" ht="38" customHeight="1">
      <x:c r="A361" s="30" t="str">
        <x:v>CL0357</x:v>
      </x:c>
      <x:c r="B361" s="30" t="str">
        <x:v>Markets &amp; Macro</x:v>
      </x:c>
      <x:c r="C361" s="31" t="str">
        <x:v>Given the situation, how do you think it will affect the China and HK market</x:v>
      </x:c>
      <x:c r="D361" s="32" t="n">
        <x:f>COUNTIF('All Questions'!$G$5:$G$1725,A361)</x:f>
        <x:v>1</x:v>
      </x:c>
      <x:c r="E361" s="11"/>
      <x:c r="F361" s="12" t="str">
        <x:v>Not Started</x:v>
      </x:c>
      <x:c r="G361" s="13"/>
      <x:c r="H361" s="30" t="str">
        <x:f>IF(AND(E361&lt;&gt;"",F361="Ready"),"Yes","No")</x:f>
        <x:v>No</x:v>
      </x:c>
      <x:c r="I361" s="11"/>
    </x:row>
    <x:row r="362" ht="38" customHeight="1">
      <x:c r="A362" s="30" t="str">
        <x:v>CL0358</x:v>
      </x:c>
      <x:c r="B362" s="30" t="str">
        <x:v>Other Question</x:v>
      </x:c>
      <x:c r="C362" s="31" t="str">
        <x:v>Global Markets做了什么，觉得有趣吗</x:v>
      </x:c>
      <x:c r="D362" s="32" t="n">
        <x:f>COUNTIF('All Questions'!$G$5:$G$1725,A362)</x:f>
        <x:v>1</x:v>
      </x:c>
      <x:c r="E362" s="11"/>
      <x:c r="F362" s="12" t="str">
        <x:v>Not Started</x:v>
      </x:c>
      <x:c r="G362" s="13"/>
      <x:c r="H362" s="30" t="str">
        <x:f>IF(AND(E362&lt;&gt;"",F362="Ready"),"Yes","No")</x:f>
        <x:v>No</x:v>
      </x:c>
      <x:c r="I362" s="11"/>
    </x:row>
    <x:row r="363" ht="38" customHeight="1">
      <x:c r="A363" s="30" t="str">
        <x:v>CL0359</x:v>
      </x:c>
      <x:c r="B363" s="30" t="str">
        <x:v>Company, Industry &amp; Deals</x:v>
      </x:c>
      <x:c r="C363" s="31" t="str">
        <x:v>Growth rate in near term and to 2030</x:v>
      </x:c>
      <x:c r="D363" s="32" t="n">
        <x:f>COUNTIF('All Questions'!$G$5:$G$1725,A363)</x:f>
        <x:v>1</x:v>
      </x:c>
      <x:c r="E363" s="11"/>
      <x:c r="F363" s="12" t="str">
        <x:v>Not Started</x:v>
      </x:c>
      <x:c r="G363" s="13"/>
      <x:c r="H363" s="30" t="str">
        <x:f>IF(AND(E363&lt;&gt;"",F363="Ready"),"Yes","No")</x:f>
        <x:v>No</x:v>
      </x:c>
      <x:c r="I363" s="11"/>
    </x:row>
    <x:row r="364" ht="38" customHeight="1">
      <x:c r="A364" s="30" t="str">
        <x:v>CL0360</x:v>
      </x:c>
      <x:c r="B364" s="30" t="str">
        <x:v>Accounting &amp; Financial Statements</x:v>
      </x:c>
      <x:c r="C364" s="31" t="str">
        <x:v>Have I done model? Have I taken corporate finance and accounting</x:v>
      </x:c>
      <x:c r="D364" s="32" t="n">
        <x:f>COUNTIF('All Questions'!$G$5:$G$1725,A364)</x:f>
        <x:v>1</x:v>
      </x:c>
      <x:c r="E364" s="11"/>
      <x:c r="F364" s="12" t="str">
        <x:v>Not Started</x:v>
      </x:c>
      <x:c r="G364" s="13"/>
      <x:c r="H364" s="30" t="str">
        <x:f>IF(AND(E364&lt;&gt;"",F364="Ready"),"Yes","No")</x:f>
        <x:v>No</x:v>
      </x:c>
      <x:c r="I364" s="11"/>
    </x:row>
    <x:row r="365" ht="38" customHeight="1">
      <x:c r="A365" s="30" t="str">
        <x:v>CL0361</x:v>
      </x:c>
      <x:c r="B365" s="30" t="str">
        <x:v>Accounting &amp; Financial Statements</x:v>
      </x:c>
      <x:c r="C365" s="31" t="str">
        <x:v>Have you chatted with Joseph from Odysseus? (is her 学长)</x:v>
      </x:c>
      <x:c r="D365" s="32" t="n">
        <x:f>COUNTIF('All Questions'!$G$5:$G$1725,A365)</x:f>
        <x:v>1</x:v>
      </x:c>
      <x:c r="E365" s="11"/>
      <x:c r="F365" s="12" t="str">
        <x:v>Not Started</x:v>
      </x:c>
      <x:c r="G365" s="13"/>
      <x:c r="H365" s="30" t="str">
        <x:f>IF(AND(E365&lt;&gt;"",F365="Ready"),"Yes","No")</x:f>
        <x:v>No</x:v>
      </x:c>
      <x:c r="I365" s="11"/>
    </x:row>
    <x:row r="366" ht="38" customHeight="1">
      <x:c r="A366" s="30" t="str">
        <x:v>CL0362</x:v>
      </x:c>
      <x:c r="B366" s="30" t="str">
        <x:v>Resume &amp; Experience</x:v>
      </x:c>
      <x:c r="C366" s="31" t="str">
        <x:v>Have you encoutered different opinion with others in past working experiences</x:v>
      </x:c>
      <x:c r="D366" s="32" t="n">
        <x:f>COUNTIF('All Questions'!$G$5:$G$1725,A366)</x:f>
        <x:v>1</x:v>
      </x:c>
      <x:c r="E366" s="11"/>
      <x:c r="F366" s="12" t="str">
        <x:v>Not Started</x:v>
      </x:c>
      <x:c r="G366" s="13"/>
      <x:c r="H366" s="30" t="str">
        <x:f>IF(AND(E366&lt;&gt;"",F366="Ready"),"Yes","No")</x:f>
        <x:v>No</x:v>
      </x:c>
      <x:c r="I366" s="11"/>
    </x:row>
    <x:row r="367" ht="38" customHeight="1">
      <x:c r="A367" s="30" t="str">
        <x:v>CL0363</x:v>
      </x:c>
      <x:c r="B367" s="30" t="str">
        <x:v>Behavioral &amp; Situational</x:v>
      </x:c>
      <x:c r="C367" s="31" t="str">
        <x:v>Have you ever failed</x:v>
      </x:c>
      <x:c r="D367" s="32" t="n">
        <x:f>COUNTIF('All Questions'!$G$5:$G$1725,A367)</x:f>
        <x:v>1</x:v>
      </x:c>
      <x:c r="E367" s="11"/>
      <x:c r="F367" s="12" t="str">
        <x:v>Not Started</x:v>
      </x:c>
      <x:c r="G367" s="13"/>
      <x:c r="H367" s="30" t="str">
        <x:f>IF(AND(E367&lt;&gt;"",F367="Ready"),"Yes","No")</x:f>
        <x:v>No</x:v>
      </x:c>
      <x:c r="I367" s="11"/>
    </x:row>
    <x:row r="368" ht="38" customHeight="1">
      <x:c r="A368" s="30" t="str">
        <x:v>CL0364</x:v>
      </x:c>
      <x:c r="B368" s="30" t="str">
        <x:v>Markets &amp; Macro</x:v>
      </x:c>
      <x:c r="C368" s="31" t="str">
        <x:v>Have you followed the fed interest rate hike</x:v>
      </x:c>
      <x:c r="D368" s="32" t="n">
        <x:f>COUNTIF('All Questions'!$G$5:$G$1725,A368)</x:f>
        <x:v>1</x:v>
      </x:c>
      <x:c r="E368" s="11"/>
      <x:c r="F368" s="12" t="str">
        <x:v>Not Started</x:v>
      </x:c>
      <x:c r="G368" s="13"/>
      <x:c r="H368" s="30" t="str">
        <x:f>IF(AND(E368&lt;&gt;"",F368="Ready"),"Yes","No")</x:f>
        <x:v>No</x:v>
      </x:c>
      <x:c r="I368" s="11"/>
    </x:row>
    <x:row r="369" ht="38" customHeight="1">
      <x:c r="A369" s="30" t="str">
        <x:v>CL0365</x:v>
      </x:c>
      <x:c r="B369" s="30" t="str">
        <x:v>Resume &amp; Experience</x:v>
      </x:c>
      <x:c r="C369" s="31" t="str">
        <x:v>Have you used chinese in your prev internships</x:v>
      </x:c>
      <x:c r="D369" s="32" t="n">
        <x:f>COUNTIF('All Questions'!$G$5:$G$1725,A369)</x:f>
        <x:v>1</x:v>
      </x:c>
      <x:c r="E369" s="11"/>
      <x:c r="F369" s="12" t="str">
        <x:v>Not Started</x:v>
      </x:c>
      <x:c r="G369" s="13"/>
      <x:c r="H369" s="30" t="str">
        <x:f>IF(AND(E369&lt;&gt;"",F369="Ready"),"Yes","No")</x:f>
        <x:v>No</x:v>
      </x:c>
      <x:c r="I369" s="11"/>
    </x:row>
    <x:row r="370" ht="38" customHeight="1">
      <x:c r="A370" s="30" t="str">
        <x:v>CL0366</x:v>
      </x:c>
      <x:c r="B370" s="30" t="str">
        <x:v>Markets &amp; Macro</x:v>
      </x:c>
      <x:c r="C370" s="31" t="str">
        <x:v>HK market – bear market, what do you think about the HK market in the future</x:v>
      </x:c>
      <x:c r="D370" s="32" t="n">
        <x:f>COUNTIF('All Questions'!$G$5:$G$1725,A370)</x:f>
        <x:v>1</x:v>
      </x:c>
      <x:c r="E370" s="11"/>
      <x:c r="F370" s="12" t="str">
        <x:v>Not Started</x:v>
      </x:c>
      <x:c r="G370" s="13"/>
      <x:c r="H370" s="30" t="str">
        <x:f>IF(AND(E370&lt;&gt;"",F370="Ready"),"Yes","No")</x:f>
        <x:v>No</x:v>
      </x:c>
      <x:c r="I370" s="11"/>
    </x:row>
    <x:row r="371" ht="38" customHeight="1">
      <x:c r="A371" s="30" t="str">
        <x:v>CL0367</x:v>
      </x:c>
      <x:c r="B371" s="30" t="str">
        <x:v>Resume &amp; Experience</x:v>
      </x:c>
      <x:c r="C371" s="31" t="str">
        <x:v>HKEX: what was your responsibility and what did you learn from it</x:v>
      </x:c>
      <x:c r="D371" s="32" t="n">
        <x:f>COUNTIF('All Questions'!$G$5:$G$1725,A371)</x:f>
        <x:v>1</x:v>
      </x:c>
      <x:c r="E371" s="11"/>
      <x:c r="F371" s="12" t="str">
        <x:v>Not Started</x:v>
      </x:c>
      <x:c r="G371" s="13"/>
      <x:c r="H371" s="30" t="str">
        <x:f>IF(AND(E371&lt;&gt;"",F371="Ready"),"Yes","No")</x:f>
        <x:v>No</x:v>
      </x:c>
      <x:c r="I371" s="11"/>
    </x:row>
    <x:row r="372" ht="38" customHeight="1">
      <x:c r="A372" s="30" t="str">
        <x:v>CL0368</x:v>
      </x:c>
      <x:c r="B372" s="30" t="str">
        <x:v>Company, Industry &amp; Deals</x:v>
      </x:c>
      <x:c r="C372" s="31" t="str">
        <x:v>How a deal couldn't get listed, factors</x:v>
      </x:c>
      <x:c r="D372" s="32" t="n">
        <x:f>COUNTIF('All Questions'!$G$5:$G$1725,A372)</x:f>
        <x:v>1</x:v>
      </x:c>
      <x:c r="E372" s="11"/>
      <x:c r="F372" s="12" t="str">
        <x:v>Not Started</x:v>
      </x:c>
      <x:c r="G372" s="13"/>
      <x:c r="H372" s="30" t="str">
        <x:f>IF(AND(E372&lt;&gt;"",F372="Ready"),"Yes","No")</x:f>
        <x:v>No</x:v>
      </x:c>
      <x:c r="I372" s="11"/>
    </x:row>
    <x:row r="373" ht="38" customHeight="1">
      <x:c r="A373" s="30" t="str">
        <x:v>CL0369</x:v>
      </x:c>
      <x:c r="B373" s="30" t="str">
        <x:v>M&amp;A</x:v>
      </x:c>
      <x:c r="C373" s="31" t="str">
        <x:v>How about buy-side, difference</x:v>
      </x:c>
      <x:c r="D373" s="32" t="n">
        <x:f>COUNTIF('All Questions'!$G$5:$G$1725,A373)</x:f>
        <x:v>1</x:v>
      </x:c>
      <x:c r="E373" s="11"/>
      <x:c r="F373" s="12" t="str">
        <x:v>Not Started</x:v>
      </x:c>
      <x:c r="G373" s="13"/>
      <x:c r="H373" s="30" t="str">
        <x:f>IF(AND(E373&lt;&gt;"",F373="Ready"),"Yes","No")</x:f>
        <x:v>No</x:v>
      </x:c>
      <x:c r="I373" s="11"/>
    </x:row>
    <x:row r="374" ht="38" customHeight="1">
      <x:c r="A374" s="30" t="str">
        <x:v>CL0370</x:v>
      </x:c>
      <x:c r="B374" s="30" t="str">
        <x:v>Capital Markets &amp; Financing</x:v>
      </x:c>
      <x:c r="C374" s="31" t="str">
        <x:v>How about for leveraged loans</x:v>
      </x:c>
      <x:c r="D374" s="32" t="n">
        <x:f>COUNTIF('All Questions'!$G$5:$G$1725,A374)</x:f>
        <x:v>1</x:v>
      </x:c>
      <x:c r="E374" s="11"/>
      <x:c r="F374" s="12" t="str">
        <x:v>Not Started</x:v>
      </x:c>
      <x:c r="G374" s="13"/>
      <x:c r="H374" s="30" t="str">
        <x:f>IF(AND(E374&lt;&gt;"",F374="Ready"),"Yes","No")</x:f>
        <x:v>No</x:v>
      </x:c>
      <x:c r="I374" s="11"/>
    </x:row>
    <x:row r="375" ht="38" customHeight="1">
      <x:c r="A375" s="30" t="str">
        <x:v>CL0371</x:v>
      </x:c>
      <x:c r="B375" s="30" t="str">
        <x:v>Accounting &amp; Financial Statements</x:v>
      </x:c>
      <x:c r="C375" s="31" t="str">
        <x:v>How about now its 2026, and the multiple is 9x, what should you use</x:v>
      </x:c>
      <x:c r="D375" s="32" t="n">
        <x:f>COUNTIF('All Questions'!$G$5:$G$1725,A375)</x:f>
        <x:v>1</x:v>
      </x:c>
      <x:c r="E375" s="11"/>
      <x:c r="F375" s="12" t="str">
        <x:v>Not Started</x:v>
      </x:c>
      <x:c r="G375" s="13"/>
      <x:c r="H375" s="30" t="str">
        <x:f>IF(AND(E375&lt;&gt;"",F375="Ready"),"Yes","No")</x:f>
        <x:v>No</x:v>
      </x:c>
      <x:c r="I375" s="11"/>
    </x:row>
    <x:row r="376" ht="38" customHeight="1">
      <x:c r="A376" s="30" t="str">
        <x:v>CL0372</x:v>
      </x:c>
      <x:c r="B376" s="30" t="str">
        <x:v>Other Question</x:v>
      </x:c>
      <x:c r="C376" s="31" t="str">
        <x:v>How am i enjoying football</x:v>
      </x:c>
      <x:c r="D376" s="32" t="n">
        <x:f>COUNTIF('All Questions'!$G$5:$G$1725,A376)</x:f>
        <x:v>1</x:v>
      </x:c>
      <x:c r="E376" s="11"/>
      <x:c r="F376" s="12" t="str">
        <x:v>Not Started</x:v>
      </x:c>
      <x:c r="G376" s="13"/>
      <x:c r="H376" s="30" t="str">
        <x:f>IF(AND(E376&lt;&gt;"",F376="Ready"),"Yes","No")</x:f>
        <x:v>No</x:v>
      </x:c>
      <x:c r="I376" s="11"/>
    </x:row>
    <x:row r="377" ht="38" customHeight="1">
      <x:c r="A377" s="30" t="str">
        <x:v>CL0373</x:v>
      </x:c>
      <x:c r="B377" s="30" t="str">
        <x:v>Other Question</x:v>
      </x:c>
      <x:c r="C377" s="31" t="str">
        <x:v>How are the 3 FS linked together</x:v>
      </x:c>
      <x:c r="D377" s="32" t="n">
        <x:f>COUNTIF('All Questions'!$G$5:$G$1725,A377)</x:f>
        <x:v>1</x:v>
      </x:c>
      <x:c r="E377" s="11"/>
      <x:c r="F377" s="12" t="str">
        <x:v>Not Started</x:v>
      </x:c>
      <x:c r="G377" s="13"/>
      <x:c r="H377" s="30" t="str">
        <x:f>IF(AND(E377&lt;&gt;"",F377="Ready"),"Yes","No")</x:f>
        <x:v>No</x:v>
      </x:c>
      <x:c r="I377" s="11"/>
    </x:row>
    <x:row r="378" ht="38" customHeight="1">
      <x:c r="A378" s="30" t="str">
        <x:v>CL0374</x:v>
      </x:c>
      <x:c r="B378" s="30" t="str">
        <x:v>Company, Industry &amp; Deals</x:v>
      </x:c>
      <x:c r="C378" s="31" t="str">
        <x:v>How chinese drug company grow big globally</x:v>
      </x:c>
      <x:c r="D378" s="32" t="n">
        <x:f>COUNTIF('All Questions'!$G$5:$G$1725,A378)</x:f>
        <x:v>1</x:v>
      </x:c>
      <x:c r="E378" s="11"/>
      <x:c r="F378" s="12" t="str">
        <x:v>Not Started</x:v>
      </x:c>
      <x:c r="G378" s="13"/>
      <x:c r="H378" s="30" t="str">
        <x:f>IF(AND(E378&lt;&gt;"",F378="Ready"),"Yes","No")</x:f>
        <x:v>No</x:v>
      </x:c>
      <x:c r="I378" s="11"/>
    </x:row>
    <x:row r="379" ht="38" customHeight="1">
      <x:c r="A379" s="30" t="str">
        <x:v>CL0375</x:v>
      </x:c>
      <x:c r="B379" s="30" t="str">
        <x:v>Other Technical</x:v>
      </x:c>
      <x:c r="C379" s="31" t="str">
        <x:v>How did I get into finance</x:v>
      </x:c>
      <x:c r="D379" s="32" t="n">
        <x:f>COUNTIF('All Questions'!$G$5:$G$1725,A379)</x:f>
        <x:v>1</x:v>
      </x:c>
      <x:c r="E379" s="11"/>
      <x:c r="F379" s="12" t="str">
        <x:v>Not Started</x:v>
      </x:c>
      <x:c r="G379" s="13"/>
      <x:c r="H379" s="30" t="str">
        <x:f>IF(AND(E379&lt;&gt;"",F379="Ready"),"Yes","No")</x:f>
        <x:v>No</x:v>
      </x:c>
      <x:c r="I379" s="11"/>
    </x:row>
    <x:row r="380" ht="38" customHeight="1">
      <x:c r="A380" s="30" t="str">
        <x:v>CL0376</x:v>
      </x:c>
      <x:c r="B380" s="30" t="str">
        <x:v>Other Question</x:v>
      </x:c>
      <x:c r="C380" s="31" t="str">
        <x:v>How did i valuate for AIBC case com</x:v>
      </x:c>
      <x:c r="D380" s="32" t="n">
        <x:f>COUNTIF('All Questions'!$G$5:$G$1725,A380)</x:f>
        <x:v>1</x:v>
      </x:c>
      <x:c r="E380" s="11"/>
      <x:c r="F380" s="12" t="str">
        <x:v>Not Started</x:v>
      </x:c>
      <x:c r="G380" s="13"/>
      <x:c r="H380" s="30" t="str">
        <x:f>IF(AND(E380&lt;&gt;"",F380="Ready"),"Yes","No")</x:f>
        <x:v>No</x:v>
      </x:c>
      <x:c r="I380" s="11"/>
    </x:row>
    <x:row r="381" ht="38" customHeight="1">
      <x:c r="A381" s="30" t="str">
        <x:v>CL0377</x:v>
      </x:c>
      <x:c r="B381" s="30" t="str">
        <x:v>Valuation</x:v>
      </x:c>
      <x:c r="C381" s="31" t="str">
        <x:v>How did u build the DCF model for BYD</x:v>
      </x:c>
      <x:c r="D381" s="32" t="n">
        <x:f>COUNTIF('All Questions'!$G$5:$G$1725,A381)</x:f>
        <x:v>1</x:v>
      </x:c>
      <x:c r="E381" s="11"/>
      <x:c r="F381" s="12" t="str">
        <x:v>Not Started</x:v>
      </x:c>
      <x:c r="G381" s="13"/>
      <x:c r="H381" s="30" t="str">
        <x:f>IF(AND(E381&lt;&gt;"",F381="Ready"),"Yes","No")</x:f>
        <x:v>No</x:v>
      </x:c>
      <x:c r="I381" s="11"/>
    </x:row>
    <x:row r="382" ht="38" customHeight="1">
      <x:c r="A382" s="30" t="str">
        <x:v>CL0378</x:v>
      </x:c>
      <x:c r="B382" s="30" t="str">
        <x:v>Company, Industry &amp; Deals</x:v>
      </x:c>
      <x:c r="C382" s="31" t="str">
        <x:v>How did you build up the revenue forecast/model</x:v>
      </x:c>
      <x:c r="D382" s="32" t="n">
        <x:f>COUNTIF('All Questions'!$G$5:$G$1725,A382)</x:f>
        <x:v>1</x:v>
      </x:c>
      <x:c r="E382" s="11"/>
      <x:c r="F382" s="12" t="str">
        <x:v>Not Started</x:v>
      </x:c>
      <x:c r="G382" s="13"/>
      <x:c r="H382" s="30" t="str">
        <x:f>IF(AND(E382&lt;&gt;"",F382="Ready"),"Yes","No")</x:f>
        <x:v>No</x:v>
      </x:c>
      <x:c r="I382" s="11"/>
    </x:row>
    <x:row r="383" ht="38" customHeight="1">
      <x:c r="A383" s="30" t="str">
        <x:v>CL0379</x:v>
      </x:c>
      <x:c r="B383" s="30" t="str">
        <x:v>Other Technical</x:v>
      </x:c>
      <x:c r="C383" s="31" t="str">
        <x:v>How did you contribute to the financial model</x:v>
      </x:c>
      <x:c r="D383" s="32" t="n">
        <x:f>COUNTIF('All Questions'!$G$5:$G$1725,A383)</x:f>
        <x:v>1</x:v>
      </x:c>
      <x:c r="E383" s="11"/>
      <x:c r="F383" s="12" t="str">
        <x:v>Not Started</x:v>
      </x:c>
      <x:c r="G383" s="13"/>
      <x:c r="H383" s="30" t="str">
        <x:f>IF(AND(E383&lt;&gt;"",F383="Ready"),"Yes","No")</x:f>
        <x:v>No</x:v>
      </x:c>
      <x:c r="I383" s="11"/>
    </x:row>
    <x:row r="384" ht="38" customHeight="1">
      <x:c r="A384" s="30" t="str">
        <x:v>CL0380</x:v>
      </x:c>
      <x:c r="B384" s="30" t="str">
        <x:v>Valuation</x:v>
      </x:c>
      <x:c r="C384" s="31" t="str">
        <x:v>How did you do company comparable analysis for the companies you looked at</x:v>
      </x:c>
      <x:c r="D384" s="32" t="n">
        <x:f>COUNTIF('All Questions'!$G$5:$G$1725,A384)</x:f>
        <x:v>1</x:v>
      </x:c>
      <x:c r="E384" s="11"/>
      <x:c r="F384" s="12" t="str">
        <x:v>Not Started</x:v>
      </x:c>
      <x:c r="G384" s="13"/>
      <x:c r="H384" s="30" t="str">
        <x:f>IF(AND(E384&lt;&gt;"",F384="Ready"),"Yes","No")</x:f>
        <x:v>No</x:v>
      </x:c>
      <x:c r="I384" s="11"/>
    </x:row>
    <x:row r="385" ht="38" customHeight="1">
      <x:c r="A385" s="30" t="str">
        <x:v>CL0381</x:v>
      </x:c>
      <x:c r="B385" s="30" t="str">
        <x:v>Resume &amp; Experience</x:v>
      </x:c>
      <x:c r="C385" s="31" t="str">
        <x:v>How did you do comps analysis for the international school platform</x:v>
      </x:c>
      <x:c r="D385" s="32" t="n">
        <x:f>COUNTIF('All Questions'!$G$5:$G$1725,A385)</x:f>
        <x:v>1</x:v>
      </x:c>
      <x:c r="E385" s="11"/>
      <x:c r="F385" s="12" t="str">
        <x:v>Not Started</x:v>
      </x:c>
      <x:c r="G385" s="13"/>
      <x:c r="H385" s="30" t="str">
        <x:f>IF(AND(E385&lt;&gt;"",F385="Ready"),"Yes","No")</x:f>
        <x:v>No</x:v>
      </x:c>
      <x:c r="I385" s="11"/>
    </x:row>
    <x:row r="386" ht="38" customHeight="1">
      <x:c r="A386" s="30" t="str">
        <x:v>CL0382</x:v>
      </x:c>
      <x:c r="B386" s="30" t="str">
        <x:v>Resume &amp; Experience</x:v>
      </x:c>
      <x:c r="C386" s="31" t="str">
        <x:v>How did you do DCF for the energy storage company in ur ER internship</x:v>
      </x:c>
      <x:c r="D386" s="32" t="n">
        <x:f>COUNTIF('All Questions'!$G$5:$G$1725,A386)</x:f>
        <x:v>1</x:v>
      </x:c>
      <x:c r="E386" s="11"/>
      <x:c r="F386" s="12" t="str">
        <x:v>Not Started</x:v>
      </x:c>
      <x:c r="G386" s="13"/>
      <x:c r="H386" s="30" t="str">
        <x:f>IF(AND(E386&lt;&gt;"",F386="Ready"),"Yes","No")</x:f>
        <x:v>No</x:v>
      </x:c>
      <x:c r="I386" s="11"/>
    </x:row>
    <x:row r="387" ht="38" customHeight="1">
      <x:c r="A387" s="30" t="str">
        <x:v>CL0383</x:v>
      </x:c>
      <x:c r="B387" s="30" t="str">
        <x:v>Company, Industry &amp; Deals</x:v>
      </x:c>
      <x:c r="C387" s="31" t="str">
        <x:v>How did you do revenue and cost breakdown for it</x:v>
      </x:c>
      <x:c r="D387" s="32" t="n">
        <x:f>COUNTIF('All Questions'!$G$5:$G$1725,A387)</x:f>
        <x:v>1</x:v>
      </x:c>
      <x:c r="E387" s="11"/>
      <x:c r="F387" s="12" t="str">
        <x:v>Not Started</x:v>
      </x:c>
      <x:c r="G387" s="13"/>
      <x:c r="H387" s="30" t="str">
        <x:f>IF(AND(E387&lt;&gt;"",F387="Ready"),"Yes","No")</x:f>
        <x:v>No</x:v>
      </x:c>
      <x:c r="I387" s="11"/>
    </x:row>
    <x:row r="388" ht="38" customHeight="1">
      <x:c r="A388" s="30" t="str">
        <x:v>CL0384</x:v>
      </x:c>
      <x:c r="B388" s="30" t="str">
        <x:v>Resume &amp; Experience</x:v>
      </x:c>
      <x:c r="C388" s="31" t="str">
        <x:v>How did you do the model for your equity research internship</x:v>
      </x:c>
      <x:c r="D388" s="32" t="n">
        <x:f>COUNTIF('All Questions'!$G$5:$G$1725,A388)</x:f>
        <x:v>1</x:v>
      </x:c>
      <x:c r="E388" s="11"/>
      <x:c r="F388" s="12" t="str">
        <x:v>Not Started</x:v>
      </x:c>
      <x:c r="G388" s="13"/>
      <x:c r="H388" s="30" t="str">
        <x:f>IF(AND(E388&lt;&gt;"",F388="Ready"),"Yes","No")</x:f>
        <x:v>No</x:v>
      </x:c>
      <x:c r="I388" s="11"/>
    </x:row>
    <x:row r="389" ht="38" customHeight="1">
      <x:c r="A389" s="30" t="str">
        <x:v>CL0385</x:v>
      </x:c>
      <x:c r="B389" s="30" t="str">
        <x:v>Valuation</x:v>
      </x:c>
      <x:c r="C389" s="31" t="str">
        <x:v>How did you do the valuation</x:v>
      </x:c>
      <x:c r="D389" s="32" t="n">
        <x:f>COUNTIF('All Questions'!$G$5:$G$1725,A389)</x:f>
        <x:v>1</x:v>
      </x:c>
      <x:c r="E389" s="11"/>
      <x:c r="F389" s="12" t="str">
        <x:v>Not Started</x:v>
      </x:c>
      <x:c r="G389" s="13"/>
      <x:c r="H389" s="30" t="str">
        <x:f>IF(AND(E389&lt;&gt;"",F389="Ready"),"Yes","No")</x:f>
        <x:v>No</x:v>
      </x:c>
      <x:c r="I389" s="11"/>
    </x:row>
    <x:row r="390" ht="38" customHeight="1">
      <x:c r="A390" s="30" t="str">
        <x:v>CL0386</x:v>
      </x:c>
      <x:c r="B390" s="30" t="str">
        <x:v>Valuation</x:v>
      </x:c>
      <x:c r="C390" s="31" t="str">
        <x:v>How did you do valuation for the target company</x:v>
      </x:c>
      <x:c r="D390" s="32" t="n">
        <x:f>COUNTIF('All Questions'!$G$5:$G$1725,A390)</x:f>
        <x:v>1</x:v>
      </x:c>
      <x:c r="E390" s="11"/>
      <x:c r="F390" s="12" t="str">
        <x:v>Not Started</x:v>
      </x:c>
      <x:c r="G390" s="13"/>
      <x:c r="H390" s="30" t="str">
        <x:f>IF(AND(E390&lt;&gt;"",F390="Ready"),"Yes","No")</x:f>
        <x:v>No</x:v>
      </x:c>
      <x:c r="I390" s="11"/>
    </x:row>
    <x:row r="391" ht="38" customHeight="1">
      <x:c r="A391" s="30" t="str">
        <x:v>CL0387</x:v>
      </x:c>
      <x:c r="B391" s="30" t="str">
        <x:v>Valuation</x:v>
      </x:c>
      <x:c r="C391" s="31" t="str">
        <x:v>How did you do valuation in the project</x:v>
      </x:c>
      <x:c r="D391" s="32" t="n">
        <x:f>COUNTIF('All Questions'!$G$5:$G$1725,A391)</x:f>
        <x:v>1</x:v>
      </x:c>
      <x:c r="E391" s="11"/>
      <x:c r="F391" s="12" t="str">
        <x:v>Not Started</x:v>
      </x:c>
      <x:c r="G391" s="13"/>
      <x:c r="H391" s="30" t="str">
        <x:f>IF(AND(E391&lt;&gt;"",F391="Ready"),"Yes","No")</x:f>
        <x:v>No</x:v>
      </x:c>
      <x:c r="I391" s="11"/>
    </x:row>
    <x:row r="392" ht="38" customHeight="1">
      <x:c r="A392" s="30" t="str">
        <x:v>CL0388</x:v>
      </x:c>
      <x:c r="B392" s="30" t="str">
        <x:v>Other Question</x:v>
      </x:c>
      <x:c r="C392" s="31" t="str">
        <x:v>How did you find the forecast numbers</x:v>
      </x:c>
      <x:c r="D392" s="32" t="n">
        <x:f>COUNTIF('All Questions'!$G$5:$G$1725,A392)</x:f>
        <x:v>1</x:v>
      </x:c>
      <x:c r="E392" s="11"/>
      <x:c r="F392" s="12" t="str">
        <x:v>Not Started</x:v>
      </x:c>
      <x:c r="G392" s="13"/>
      <x:c r="H392" s="30" t="str">
        <x:f>IF(AND(E392&lt;&gt;"",F392="Ready"),"Yes","No")</x:f>
        <x:v>No</x:v>
      </x:c>
      <x:c r="I392" s="11"/>
    </x:row>
    <x:row r="393" ht="38" customHeight="1">
      <x:c r="A393" s="30" t="str">
        <x:v>CL0389</x:v>
      </x:c>
      <x:c r="B393" s="30" t="str">
        <x:v>Valuation</x:v>
      </x:c>
      <x:c r="C393" s="31" t="str">
        <x:v>How did you find the terminal value</x:v>
      </x:c>
      <x:c r="D393" s="32" t="n">
        <x:f>COUNTIF('All Questions'!$G$5:$G$1725,A393)</x:f>
        <x:v>1</x:v>
      </x:c>
      <x:c r="E393" s="11"/>
      <x:c r="F393" s="12" t="str">
        <x:v>Not Started</x:v>
      </x:c>
      <x:c r="G393" s="13"/>
      <x:c r="H393" s="30" t="str">
        <x:f>IF(AND(E393&lt;&gt;"",F393="Ready"),"Yes","No")</x:f>
        <x:v>No</x:v>
      </x:c>
      <x:c r="I393" s="11"/>
    </x:row>
    <x:row r="394" ht="38" customHeight="1">
      <x:c r="A394" s="30" t="str">
        <x:v>CL0390</x:v>
      </x:c>
      <x:c r="B394" s="30" t="str">
        <x:v>Accounting &amp; Financial Statements</x:v>
      </x:c>
      <x:c r="C394" s="31" t="str">
        <x:v>How did you justify this company is growing faster than market average? Growth driver</x:v>
      </x:c>
      <x:c r="D394" s="32" t="n">
        <x:f>COUNTIF('All Questions'!$G$5:$G$1725,A394)</x:f>
        <x:v>1</x:v>
      </x:c>
      <x:c r="E394" s="11"/>
      <x:c r="F394" s="12" t="str">
        <x:v>Not Started</x:v>
      </x:c>
      <x:c r="G394" s="13"/>
      <x:c r="H394" s="30" t="str">
        <x:f>IF(AND(E394&lt;&gt;"",F394="Ready"),"Yes","No")</x:f>
        <x:v>No</x:v>
      </x:c>
      <x:c r="I394" s="11"/>
    </x:row>
    <x:row r="395" ht="38" customHeight="1">
      <x:c r="A395" s="30" t="str">
        <x:v>CL0391</x:v>
      </x:c>
      <x:c r="B395" s="30" t="str">
        <x:v>Company, Industry &amp; Deals</x:v>
      </x:c>
      <x:c r="C395" s="31" t="str">
        <x:v>How did you project the revenue</x:v>
      </x:c>
      <x:c r="D395" s="32" t="n">
        <x:f>COUNTIF('All Questions'!$G$5:$G$1725,A395)</x:f>
        <x:v>1</x:v>
      </x:c>
      <x:c r="E395" s="11"/>
      <x:c r="F395" s="12" t="str">
        <x:v>Not Started</x:v>
      </x:c>
      <x:c r="G395" s="13"/>
      <x:c r="H395" s="30" t="str">
        <x:f>IF(AND(E395&lt;&gt;"",F395="Ready"),"Yes","No")</x:f>
        <x:v>No</x:v>
      </x:c>
      <x:c r="I395" s="11"/>
    </x:row>
    <x:row r="396" ht="38" customHeight="1">
      <x:c r="A396" s="30" t="str">
        <x:v>CL0392</x:v>
      </x:c>
      <x:c r="B396" s="30" t="str">
        <x:v>Other Question</x:v>
      </x:c>
      <x:c r="C396" s="31" t="str">
        <x:v>How did you quantitativly contribute to the project</x:v>
      </x:c>
      <x:c r="D396" s="32" t="n">
        <x:f>COUNTIF('All Questions'!$G$5:$G$1725,A396)</x:f>
        <x:v>1</x:v>
      </x:c>
      <x:c r="E396" s="11"/>
      <x:c r="F396" s="12" t="str">
        <x:v>Not Started</x:v>
      </x:c>
      <x:c r="G396" s="13"/>
      <x:c r="H396" s="30" t="str">
        <x:f>IF(AND(E396&lt;&gt;"",F396="Ready"),"Yes","No")</x:f>
        <x:v>No</x:v>
      </x:c>
      <x:c r="I396" s="11"/>
    </x:row>
    <x:row r="397" ht="38" customHeight="1">
      <x:c r="A397" s="30" t="str">
        <x:v>CL0393</x:v>
      </x:c>
      <x:c r="B397" s="30" t="str">
        <x:v>Resume &amp; Experience</x:v>
      </x:c>
      <x:c r="C397" s="31" t="str">
        <x:v>How did you secure the internships (i said cold email)</x:v>
      </x:c>
      <x:c r="D397" s="32" t="n">
        <x:f>COUNTIF('All Questions'!$G$5:$G$1725,A397)</x:f>
        <x:v>1</x:v>
      </x:c>
      <x:c r="E397" s="11"/>
      <x:c r="F397" s="12" t="str">
        <x:v>Not Started</x:v>
      </x:c>
      <x:c r="G397" s="13"/>
      <x:c r="H397" s="30" t="str">
        <x:f>IF(AND(E397&lt;&gt;"",F397="Ready"),"Yes","No")</x:f>
        <x:v>No</x:v>
      </x:c>
      <x:c r="I397" s="11"/>
    </x:row>
    <x:row r="398" ht="38" customHeight="1">
      <x:c r="A398" s="30" t="str">
        <x:v>CL0394</x:v>
      </x:c>
      <x:c r="B398" s="30" t="str">
        <x:v>Private Equity &amp; LBO</x:v>
      </x:c>
      <x:c r="C398" s="31" t="str">
        <x:v>How do equity fund/buyout fund make money</x:v>
      </x:c>
      <x:c r="D398" s="32" t="n">
        <x:f>COUNTIF('All Questions'!$G$5:$G$1725,A398)</x:f>
        <x:v>1</x:v>
      </x:c>
      <x:c r="E398" s="11"/>
      <x:c r="F398" s="12" t="str">
        <x:v>Not Started</x:v>
      </x:c>
      <x:c r="G398" s="13"/>
      <x:c r="H398" s="30" t="str">
        <x:f>IF(AND(E398&lt;&gt;"",F398="Ready"),"Yes","No")</x:f>
        <x:v>No</x:v>
      </x:c>
      <x:c r="I398" s="11"/>
    </x:row>
    <x:row r="399" ht="38" customHeight="1">
      <x:c r="A399" s="30" t="str">
        <x:v>CL0395</x:v>
      </x:c>
      <x:c r="B399" s="30" t="str">
        <x:v>Valuation</x:v>
      </x:c>
      <x:c r="C399" s="31" t="str">
        <x:v>How do to comparable company analysis and your choice of multiples</x:v>
      </x:c>
      <x:c r="D399" s="32" t="n">
        <x:f>COUNTIF('All Questions'!$G$5:$G$1725,A399)</x:f>
        <x:v>1</x:v>
      </x:c>
      <x:c r="E399" s="11"/>
      <x:c r="F399" s="12" t="str">
        <x:v>Not Started</x:v>
      </x:c>
      <x:c r="G399" s="13"/>
      <x:c r="H399" s="30" t="str">
        <x:f>IF(AND(E399&lt;&gt;"",F399="Ready"),"Yes","No")</x:f>
        <x:v>No</x:v>
      </x:c>
      <x:c r="I399" s="11"/>
    </x:row>
    <x:row r="400" ht="38" customHeight="1">
      <x:c r="A400" s="30" t="str">
        <x:v>CL0396</x:v>
      </x:c>
      <x:c r="B400" s="30" t="str">
        <x:v>Wealth &amp; Asset Management</x:v>
      </x:c>
      <x:c r="C400" s="31" t="str">
        <x:v>How do u see the AM landscape? Digitalization</x:v>
      </x:c>
      <x:c r="D400" s="32" t="n">
        <x:f>COUNTIF('All Questions'!$G$5:$G$1725,A400)</x:f>
        <x:v>1</x:v>
      </x:c>
      <x:c r="E400" s="11"/>
      <x:c r="F400" s="12" t="str">
        <x:v>Not Started</x:v>
      </x:c>
      <x:c r="G400" s="13"/>
      <x:c r="H400" s="30" t="str">
        <x:f>IF(AND(E400&lt;&gt;"",F400="Ready"),"Yes","No")</x:f>
        <x:v>No</x:v>
      </x:c>
      <x:c r="I400" s="11"/>
    </x:row>
    <x:row r="401" ht="38" customHeight="1">
      <x:c r="A401" s="30" t="str">
        <x:v>CL0397</x:v>
      </x:c>
      <x:c r="B401" s="30" t="str">
        <x:v>Other Question</x:v>
      </x:c>
      <x:c r="C401" s="31" t="str">
        <x:v>How do u usually keep updated with the market</x:v>
      </x:c>
      <x:c r="D401" s="32" t="n">
        <x:f>COUNTIF('All Questions'!$G$5:$G$1725,A401)</x:f>
        <x:v>1</x:v>
      </x:c>
      <x:c r="E401" s="11"/>
      <x:c r="F401" s="12" t="str">
        <x:v>Not Started</x:v>
      </x:c>
      <x:c r="G401" s="13"/>
      <x:c r="H401" s="30" t="str">
        <x:f>IF(AND(E401&lt;&gt;"",F401="Ready"),"Yes","No")</x:f>
        <x:v>No</x:v>
      </x:c>
      <x:c r="I401" s="11"/>
    </x:row>
    <x:row r="402" ht="38" customHeight="1">
      <x:c r="A402" s="30" t="str">
        <x:v>CL0398</x:v>
      </x:c>
      <x:c r="B402" s="30" t="str">
        <x:v>Accounting &amp; Financial Statements</x:v>
      </x:c>
      <x:c r="C402" s="31" t="str">
        <x:v>How do you account for cash in net working capital</x:v>
      </x:c>
      <x:c r="D402" s="32" t="n">
        <x:f>COUNTIF('All Questions'!$G$5:$G$1725,A402)</x:f>
        <x:v>1</x:v>
      </x:c>
      <x:c r="E402" s="11"/>
      <x:c r="F402" s="12" t="str">
        <x:v>Not Started</x:v>
      </x:c>
      <x:c r="G402" s="13"/>
      <x:c r="H402" s="30" t="str">
        <x:f>IF(AND(E402&lt;&gt;"",F402="Ready"),"Yes","No")</x:f>
        <x:v>No</x:v>
      </x:c>
      <x:c r="I402" s="11"/>
    </x:row>
    <x:row r="403" ht="38" customHeight="1">
      <x:c r="A403" s="30" t="str">
        <x:v>CL0399</x:v>
      </x:c>
      <x:c r="B403" s="30" t="str">
        <x:v>Accounting &amp; Financial Statements</x:v>
      </x:c>
      <x:c r="C403" s="31" t="str">
        <x:v>How do you account for equity investment in net working capital</x:v>
      </x:c>
      <x:c r="D403" s="32" t="n">
        <x:f>COUNTIF('All Questions'!$G$5:$G$1725,A403)</x:f>
        <x:v>1</x:v>
      </x:c>
      <x:c r="E403" s="11"/>
      <x:c r="F403" s="12" t="str">
        <x:v>Not Started</x:v>
      </x:c>
      <x:c r="G403" s="13"/>
      <x:c r="H403" s="30" t="str">
        <x:f>IF(AND(E403&lt;&gt;"",F403="Ready"),"Yes","No")</x:f>
        <x:v>No</x:v>
      </x:c>
      <x:c r="I403" s="11"/>
    </x:row>
    <x:row r="404" ht="38" customHeight="1">
      <x:c r="A404" s="30" t="str">
        <x:v>CL0400</x:v>
      </x:c>
      <x:c r="B404" s="30" t="str">
        <x:v>Company, Industry &amp; Deals</x:v>
      </x:c>
      <x:c r="C404" s="31" t="str">
        <x:v>How do you assess the performance of a company</x:v>
      </x:c>
      <x:c r="D404" s="32" t="n">
        <x:f>COUNTIF('All Questions'!$G$5:$G$1725,A404)</x:f>
        <x:v>1</x:v>
      </x:c>
      <x:c r="E404" s="11"/>
      <x:c r="F404" s="12" t="str">
        <x:v>Not Started</x:v>
      </x:c>
      <x:c r="G404" s="13"/>
      <x:c r="H404" s="30" t="str">
        <x:f>IF(AND(E404&lt;&gt;"",F404="Ready"),"Yes","No")</x:f>
        <x:v>No</x:v>
      </x:c>
      <x:c r="I404" s="11"/>
    </x:row>
    <x:row r="405" ht="38" customHeight="1">
      <x:c r="A405" s="30" t="str">
        <x:v>CL0401</x:v>
      </x:c>
      <x:c r="B405" s="30" t="str">
        <x:v>Private Equity &amp; LBO</x:v>
      </x:c>
      <x:c r="C405" s="31" t="str">
        <x:v>How do you calculate the value of preferred shares</x:v>
      </x:c>
      <x:c r="D405" s="32" t="n">
        <x:f>COUNTIF('All Questions'!$G$5:$G$1725,A405)</x:f>
        <x:v>1</x:v>
      </x:c>
      <x:c r="E405" s="11"/>
      <x:c r="F405" s="12" t="str">
        <x:v>Not Started</x:v>
      </x:c>
      <x:c r="G405" s="13"/>
      <x:c r="H405" s="30" t="str">
        <x:f>IF(AND(E405&lt;&gt;"",F405="Ready"),"Yes","No")</x:f>
        <x:v>No</x:v>
      </x:c>
      <x:c r="I405" s="11"/>
    </x:row>
    <x:row r="406" ht="38" customHeight="1">
      <x:c r="A406" s="30" t="str">
        <x:v>CL0402</x:v>
      </x:c>
      <x:c r="B406" s="30" t="str">
        <x:v>Valuation</x:v>
      </x:c>
      <x:c r="C406" s="31" t="str">
        <x:v>How do you compare DCF, EV/EBITDA, PE valuation methodology for this company</x:v>
      </x:c>
      <x:c r="D406" s="32" t="n">
        <x:f>COUNTIF('All Questions'!$G$5:$G$1725,A406)</x:f>
        <x:v>1</x:v>
      </x:c>
      <x:c r="E406" s="11"/>
      <x:c r="F406" s="12" t="str">
        <x:v>Not Started</x:v>
      </x:c>
      <x:c r="G406" s="13"/>
      <x:c r="H406" s="30" t="str">
        <x:f>IF(AND(E406&lt;&gt;"",F406="Ready"),"Yes","No")</x:f>
        <x:v>No</x:v>
      </x:c>
      <x:c r="I406" s="11"/>
    </x:row>
    <x:row r="407" ht="38" customHeight="1">
      <x:c r="A407" s="30" t="str">
        <x:v>CL0403</x:v>
      </x:c>
      <x:c r="B407" s="30" t="str">
        <x:v>Behavioral &amp; Situational</x:v>
      </x:c>
      <x:c r="C407" s="31" t="str">
        <x:v>How do you deal with an ethical dillemma or "grey area"</x:v>
      </x:c>
      <x:c r="D407" s="32" t="n">
        <x:f>COUNTIF('All Questions'!$G$5:$G$1725,A407)</x:f>
        <x:v>1</x:v>
      </x:c>
      <x:c r="E407" s="11"/>
      <x:c r="F407" s="12" t="str">
        <x:v>Not Started</x:v>
      </x:c>
      <x:c r="G407" s="13"/>
      <x:c r="H407" s="30" t="str">
        <x:f>IF(AND(E407&lt;&gt;"",F407="Ready"),"Yes","No")</x:f>
        <x:v>No</x:v>
      </x:c>
      <x:c r="I407" s="11"/>
    </x:row>
    <x:row r="408" ht="38" customHeight="1">
      <x:c r="A408" s="30" t="str">
        <x:v>CL0404</x:v>
      </x:c>
      <x:c r="B408" s="30" t="str">
        <x:v>Company, Industry &amp; Deals</x:v>
      </x:c>
      <x:c r="C408" s="31" t="str">
        <x:v>How do you define value stock/growth stock</x:v>
      </x:c>
      <x:c r="D408" s="32" t="n">
        <x:f>COUNTIF('All Questions'!$G$5:$G$1725,A408)</x:f>
        <x:v>1</x:v>
      </x:c>
      <x:c r="E408" s="11"/>
      <x:c r="F408" s="12" t="str">
        <x:v>Not Started</x:v>
      </x:c>
      <x:c r="G408" s="13"/>
      <x:c r="H408" s="30" t="str">
        <x:f>IF(AND(E408&lt;&gt;"",F408="Ready"),"Yes","No")</x:f>
        <x:v>No</x:v>
      </x:c>
      <x:c r="I408" s="11"/>
    </x:row>
    <x:row r="409" ht="38" customHeight="1">
      <x:c r="A409" s="30" t="str">
        <x:v>CL0405</x:v>
      </x:c>
      <x:c r="B409" s="30" t="str">
        <x:v>Company, Industry &amp; Deals</x:v>
      </x:c>
      <x:c r="C409" s="31" t="str">
        <x:v>How do you dissect and understand an industry</x:v>
      </x:c>
      <x:c r="D409" s="32" t="n">
        <x:f>COUNTIF('All Questions'!$G$5:$G$1725,A409)</x:f>
        <x:v>1</x:v>
      </x:c>
      <x:c r="E409" s="11"/>
      <x:c r="F409" s="12" t="str">
        <x:v>Not Started</x:v>
      </x:c>
      <x:c r="G409" s="13"/>
      <x:c r="H409" s="30" t="str">
        <x:f>IF(AND(E409&lt;&gt;"",F409="Ready"),"Yes","No")</x:f>
        <x:v>No</x:v>
      </x:c>
      <x:c r="I409" s="11"/>
    </x:row>
    <x:row r="410" ht="38" customHeight="1">
      <x:c r="A410" s="30" t="str">
        <x:v>CL0406</x:v>
      </x:c>
      <x:c r="B410" s="30" t="str">
        <x:v>Valuation</x:v>
      </x:c>
      <x:c r="C410" s="31" t="str">
        <x:v>How do you do dcf</x:v>
      </x:c>
      <x:c r="D410" s="32" t="n">
        <x:f>COUNTIF('All Questions'!$G$5:$G$1725,A410)</x:f>
        <x:v>1</x:v>
      </x:c>
      <x:c r="E410" s="11"/>
      <x:c r="F410" s="12" t="str">
        <x:v>Not Started</x:v>
      </x:c>
      <x:c r="G410" s="13"/>
      <x:c r="H410" s="30" t="str">
        <x:f>IF(AND(E410&lt;&gt;"",F410="Ready"),"Yes","No")</x:f>
        <x:v>No</x:v>
      </x:c>
      <x:c r="I410" s="11"/>
    </x:row>
    <x:row r="411" ht="38" customHeight="1">
      <x:c r="A411" s="30" t="str">
        <x:v>CL0407</x:v>
      </x:c>
      <x:c r="B411" s="30" t="str">
        <x:v>M&amp;A</x:v>
      </x:c>
      <x:c r="C411" s="31" t="str">
        <x:v>How do you do the buyer research for project 1</x:v>
      </x:c>
      <x:c r="D411" s="32" t="n">
        <x:f>COUNTIF('All Questions'!$G$5:$G$1725,A411)</x:f>
        <x:v>1</x:v>
      </x:c>
      <x:c r="E411" s="11"/>
      <x:c r="F411" s="12" t="str">
        <x:v>Not Started</x:v>
      </x:c>
      <x:c r="G411" s="13"/>
      <x:c r="H411" s="30" t="str">
        <x:f>IF(AND(E411&lt;&gt;"",F411="Ready"),"Yes","No")</x:f>
        <x:v>No</x:v>
      </x:c>
      <x:c r="I411" s="11"/>
    </x:row>
    <x:row r="412" ht="38" customHeight="1">
      <x:c r="A412" s="30" t="str">
        <x:v>CL0408</x:v>
      </x:c>
      <x:c r="B412" s="30" t="str">
        <x:v>Valuation</x:v>
      </x:c>
      <x:c r="C412" s="31" t="str">
        <x:v>How do you do you find comparable companies</x:v>
      </x:c>
      <x:c r="D412" s="32" t="n">
        <x:f>COUNTIF('All Questions'!$G$5:$G$1725,A412)</x:f>
        <x:v>1</x:v>
      </x:c>
      <x:c r="E412" s="11"/>
      <x:c r="F412" s="12" t="str">
        <x:v>Not Started</x:v>
      </x:c>
      <x:c r="G412" s="13"/>
      <x:c r="H412" s="30" t="str">
        <x:f>IF(AND(E412&lt;&gt;"",F412="Ready"),"Yes","No")</x:f>
        <x:v>No</x:v>
      </x:c>
      <x:c r="I412" s="11"/>
    </x:row>
    <x:row r="413" ht="38" customHeight="1">
      <x:c r="A413" s="30" t="str">
        <x:v>CL0409</x:v>
      </x:c>
      <x:c r="B413" s="30" t="str">
        <x:v>Company, Industry &amp; Deals</x:v>
      </x:c>
      <x:c r="C413" s="31" t="str">
        <x:v>How do you enhance personal growth? What habits do you cultivate</x:v>
      </x:c>
      <x:c r="D413" s="32" t="n">
        <x:f>COUNTIF('All Questions'!$G$5:$G$1725,A413)</x:f>
        <x:v>1</x:v>
      </x:c>
      <x:c r="E413" s="11"/>
      <x:c r="F413" s="12" t="str">
        <x:v>Not Started</x:v>
      </x:c>
      <x:c r="G413" s="13"/>
      <x:c r="H413" s="30" t="str">
        <x:f>IF(AND(E413&lt;&gt;"",F413="Ready"),"Yes","No")</x:f>
        <x:v>No</x:v>
      </x:c>
      <x:c r="I413" s="11"/>
    </x:row>
    <x:row r="414" ht="38" customHeight="1">
      <x:c r="A414" s="30" t="str">
        <x:v>CL0410</x:v>
      </x:c>
      <x:c r="B414" s="30" t="str">
        <x:v>Valuation</x:v>
      </x:c>
      <x:c r="C414" s="31" t="str">
        <x:v>How do you find cost of debt</x:v>
      </x:c>
      <x:c r="D414" s="32" t="n">
        <x:f>COUNTIF('All Questions'!$G$5:$G$1725,A414)</x:f>
        <x:v>1</x:v>
      </x:c>
      <x:c r="E414" s="11"/>
      <x:c r="F414" s="12" t="str">
        <x:v>Not Started</x:v>
      </x:c>
      <x:c r="G414" s="13"/>
      <x:c r="H414" s="30" t="str">
        <x:f>IF(AND(E414&lt;&gt;"",F414="Ready"),"Yes","No")</x:f>
        <x:v>No</x:v>
      </x:c>
      <x:c r="I414" s="11"/>
    </x:row>
    <x:row r="415" ht="38" customHeight="1">
      <x:c r="A415" s="30" t="str">
        <x:v>CL0411</x:v>
      </x:c>
      <x:c r="B415" s="30" t="str">
        <x:v>Other Question</x:v>
      </x:c>
      <x:c r="C415" s="31" t="str">
        <x:v>How do you find the difference between management consulting and investment banking</x:v>
      </x:c>
      <x:c r="D415" s="32" t="n">
        <x:f>COUNTIF('All Questions'!$G$5:$G$1725,A415)</x:f>
        <x:v>1</x:v>
      </x:c>
      <x:c r="E415" s="11"/>
      <x:c r="F415" s="12" t="str">
        <x:v>Not Started</x:v>
      </x:c>
      <x:c r="G415" s="13"/>
      <x:c r="H415" s="30" t="str">
        <x:f>IF(AND(E415&lt;&gt;"",F415="Ready"),"Yes","No")</x:f>
        <x:v>No</x:v>
      </x:c>
      <x:c r="I415" s="11"/>
    </x:row>
    <x:row r="416" ht="38" customHeight="1">
      <x:c r="A416" s="30" t="str">
        <x:v>CL0412</x:v>
      </x:c>
      <x:c r="B416" s="30" t="str">
        <x:v>Other Question</x:v>
      </x:c>
      <x:c r="C416" s="31" t="str">
        <x:v>How do you find the FCF of 2022E</x:v>
      </x:c>
      <x:c r="D416" s="32" t="n">
        <x:f>COUNTIF('All Questions'!$G$5:$G$1725,A416)</x:f>
        <x:v>1</x:v>
      </x:c>
      <x:c r="E416" s="11"/>
      <x:c r="F416" s="12" t="str">
        <x:v>Not Started</x:v>
      </x:c>
      <x:c r="G416" s="13"/>
      <x:c r="H416" s="30" t="str">
        <x:f>IF(AND(E416&lt;&gt;"",F416="Ready"),"Yes","No")</x:f>
        <x:v>No</x:v>
      </x:c>
      <x:c r="I416" s="11"/>
    </x:row>
    <x:row r="417" ht="38" customHeight="1">
      <x:c r="A417" s="30" t="str">
        <x:v>CL0413</x:v>
      </x:c>
      <x:c r="B417" s="30" t="str">
        <x:v>Accounting &amp; Financial Statements</x:v>
      </x:c>
      <x:c r="C417" s="31" t="str">
        <x:v>How do you forecast revenue of the company? What is the revenue</x:v>
      </x:c>
      <x:c r="D417" s="32" t="n">
        <x:f>COUNTIF('All Questions'!$G$5:$G$1725,A417)</x:f>
        <x:v>1</x:v>
      </x:c>
      <x:c r="E417" s="11"/>
      <x:c r="F417" s="12" t="str">
        <x:v>Not Started</x:v>
      </x:c>
      <x:c r="G417" s="13"/>
      <x:c r="H417" s="30" t="str">
        <x:f>IF(AND(E417&lt;&gt;"",F417="Ready"),"Yes","No")</x:f>
        <x:v>No</x:v>
      </x:c>
      <x:c r="I417" s="11"/>
    </x:row>
    <x:row r="418" ht="38" customHeight="1">
      <x:c r="A418" s="30" t="str">
        <x:v>CL0414</x:v>
      </x:c>
      <x:c r="B418" s="30" t="str">
        <x:v>Valuation</x:v>
      </x:c>
      <x:c r="C418" s="31" t="str">
        <x:v>How do you get beta (levered/unlevered)</x:v>
      </x:c>
      <x:c r="D418" s="32" t="n">
        <x:f>COUNTIF('All Questions'!$G$5:$G$1725,A418)</x:f>
        <x:v>1</x:v>
      </x:c>
      <x:c r="E418" s="11"/>
      <x:c r="F418" s="12" t="str">
        <x:v>Not Started</x:v>
      </x:c>
      <x:c r="G418" s="13"/>
      <x:c r="H418" s="30" t="str">
        <x:f>IF(AND(E418&lt;&gt;"",F418="Ready"),"Yes","No")</x:f>
        <x:v>No</x:v>
      </x:c>
      <x:c r="I418" s="11"/>
    </x:row>
    <x:row r="419" ht="38" customHeight="1">
      <x:c r="A419" s="30" t="str">
        <x:v>CL0415</x:v>
      </x:c>
      <x:c r="B419" s="30" t="str">
        <x:v>Valuation</x:v>
      </x:c>
      <x:c r="C419" s="31" t="str">
        <x:v>How do you get enterprise value from levered fcf</x:v>
      </x:c>
      <x:c r="D419" s="32" t="n">
        <x:f>COUNTIF('All Questions'!$G$5:$G$1725,A419)</x:f>
        <x:v>1</x:v>
      </x:c>
      <x:c r="E419" s="11"/>
      <x:c r="F419" s="12" t="str">
        <x:v>Not Started</x:v>
      </x:c>
      <x:c r="G419" s="13"/>
      <x:c r="H419" s="30" t="str">
        <x:f>IF(AND(E419&lt;&gt;"",F419="Ready"),"Yes","No")</x:f>
        <x:v>No</x:v>
      </x:c>
      <x:c r="I419" s="11"/>
    </x:row>
    <x:row r="420" ht="38" customHeight="1">
      <x:c r="A420" s="30" t="str">
        <x:v>CL0416</x:v>
      </x:c>
      <x:c r="B420" s="30" t="str">
        <x:v>Other Question</x:v>
      </x:c>
      <x:c r="C420" s="31" t="str">
        <x:v>How do you know the person who referred you</x:v>
      </x:c>
      <x:c r="D420" s="32" t="n">
        <x:f>COUNTIF('All Questions'!$G$5:$G$1725,A420)</x:f>
        <x:v>1</x:v>
      </x:c>
      <x:c r="E420" s="11"/>
      <x:c r="F420" s="12" t="str">
        <x:v>Not Started</x:v>
      </x:c>
      <x:c r="G420" s="13"/>
      <x:c r="H420" s="30" t="str">
        <x:f>IF(AND(E420&lt;&gt;"",F420="Ready"),"Yes","No")</x:f>
        <x:v>No</x:v>
      </x:c>
      <x:c r="I420" s="11"/>
    </x:row>
    <x:row r="421" ht="38" customHeight="1">
      <x:c r="A421" s="30" t="str">
        <x:v>CL0417</x:v>
      </x:c>
      <x:c r="B421" s="30" t="str">
        <x:v>Other Question</x:v>
      </x:c>
      <x:c r="C421" s="31" t="str">
        <x:v>How do you like about HK</x:v>
      </x:c>
      <x:c r="D421" s="32" t="n">
        <x:f>COUNTIF('All Questions'!$G$5:$G$1725,A421)</x:f>
        <x:v>1</x:v>
      </x:c>
      <x:c r="E421" s="11"/>
      <x:c r="F421" s="12" t="str">
        <x:v>Not Started</x:v>
      </x:c>
      <x:c r="G421" s="13"/>
      <x:c r="H421" s="30" t="str">
        <x:f>IF(AND(E421&lt;&gt;"",F421="Ready"),"Yes","No")</x:f>
        <x:v>No</x:v>
      </x:c>
      <x:c r="I421" s="11"/>
    </x:row>
    <x:row r="422" ht="38" customHeight="1">
      <x:c r="A422" s="30" t="str">
        <x:v>CL0418</x:v>
      </x:c>
      <x:c r="B422" s="30" t="str">
        <x:v>Other Question</x:v>
      </x:c>
      <x:c r="C422" s="31" t="str">
        <x:v>How do you manage risks</x:v>
      </x:c>
      <x:c r="D422" s="32" t="n">
        <x:f>COUNTIF('All Questions'!$G$5:$G$1725,A422)</x:f>
        <x:v>1</x:v>
      </x:c>
      <x:c r="E422" s="11"/>
      <x:c r="F422" s="12" t="str">
        <x:v>Not Started</x:v>
      </x:c>
      <x:c r="G422" s="13"/>
      <x:c r="H422" s="30" t="str">
        <x:f>IF(AND(E422&lt;&gt;"",F422="Ready"),"Yes","No")</x:f>
        <x:v>No</x:v>
      </x:c>
      <x:c r="I422" s="11"/>
    </x:row>
    <x:row r="423" ht="38" customHeight="1">
      <x:c r="A423" s="30" t="str">
        <x:v>CL0419</x:v>
      </x:c>
      <x:c r="B423" s="30" t="str">
        <x:v>Fit &amp; Motivation</x:v>
      </x:c>
      <x:c r="C423" s="31" t="str">
        <x:v>How do you prioritize and manage multiple tasks?</x:v>
      </x:c>
      <x:c r="D423" s="32" t="n">
        <x:f>COUNTIF('All Questions'!$G$5:$G$1725,A423)</x:f>
        <x:v>1</x:v>
      </x:c>
      <x:c r="E423" s="11"/>
      <x:c r="F423" s="12" t="str">
        <x:v>Not Started</x:v>
      </x:c>
      <x:c r="G423" s="13"/>
      <x:c r="H423" s="30" t="str">
        <x:f>IF(AND(E423&lt;&gt;"",F423="Ready"),"Yes","No")</x:f>
        <x:v>No</x:v>
      </x:c>
      <x:c r="I423" s="11"/>
    </x:row>
    <x:row r="424" ht="58" customHeight="1">
      <x:c r="A424" s="30" t="str">
        <x:v>CL0420</x:v>
      </x:c>
      <x:c r="B424" s="30" t="str">
        <x:v>Company, Industry &amp; Deals</x:v>
      </x:c>
      <x:c r="C424" s="31" t="str">
        <x:v>How do you project the growth rate for revenues given you brokedown revenue by single client account</x:v>
      </x:c>
      <x:c r="D424" s="32" t="n">
        <x:f>COUNTIF('All Questions'!$G$5:$G$1725,A424)</x:f>
        <x:v>1</x:v>
      </x:c>
      <x:c r="E424" s="11"/>
      <x:c r="F424" s="12" t="str">
        <x:v>Not Started</x:v>
      </x:c>
      <x:c r="G424" s="13"/>
      <x:c r="H424" s="30" t="str">
        <x:f>IF(AND(E424&lt;&gt;"",F424="Ready"),"Yes","No")</x:f>
        <x:v>No</x:v>
      </x:c>
      <x:c r="I424" s="11"/>
    </x:row>
    <x:row r="425" ht="38" customHeight="1">
      <x:c r="A425" s="30" t="str">
        <x:v>CL0421</x:v>
      </x:c>
      <x:c r="B425" s="30" t="str">
        <x:v>Company, Industry &amp; Deals</x:v>
      </x:c>
      <x:c r="C425" s="31" t="str">
        <x:v>How do you see the conglomerates sector</x:v>
      </x:c>
      <x:c r="D425" s="32" t="n">
        <x:f>COUNTIF('All Questions'!$G$5:$G$1725,A425)</x:f>
        <x:v>1</x:v>
      </x:c>
      <x:c r="E425" s="11"/>
      <x:c r="F425" s="12" t="str">
        <x:v>Not Started</x:v>
      </x:c>
      <x:c r="G425" s="13"/>
      <x:c r="H425" s="30" t="str">
        <x:f>IF(AND(E425&lt;&gt;"",F425="Ready"),"Yes","No")</x:f>
        <x:v>No</x:v>
      </x:c>
      <x:c r="I425" s="11"/>
    </x:row>
    <x:row r="426" ht="38" customHeight="1">
      <x:c r="A426" s="30" t="str">
        <x:v>CL0422</x:v>
      </x:c>
      <x:c r="B426" s="30" t="str">
        <x:v>Markets &amp; Macro</x:v>
      </x:c>
      <x:c r="C426" s="31" t="str">
        <x:v>How do you see the equity market</x:v>
      </x:c>
      <x:c r="D426" s="32" t="n">
        <x:f>COUNTIF('All Questions'!$G$5:$G$1725,A426)</x:f>
        <x:v>1</x:v>
      </x:c>
      <x:c r="E426" s="11"/>
      <x:c r="F426" s="12" t="str">
        <x:v>Not Started</x:v>
      </x:c>
      <x:c r="G426" s="13"/>
      <x:c r="H426" s="30" t="str">
        <x:f>IF(AND(E426&lt;&gt;"",F426="Ready"),"Yes","No")</x:f>
        <x:v>No</x:v>
      </x:c>
      <x:c r="I426" s="11"/>
    </x:row>
    <x:row r="427" ht="38" customHeight="1">
      <x:c r="A427" s="30" t="str">
        <x:v>CL0423</x:v>
      </x:c>
      <x:c r="B427" s="30" t="str">
        <x:v>Other Question</x:v>
      </x:c>
      <x:c r="C427" s="31" t="str">
        <x:v>How do you see yourself in 3 to 5 years</x:v>
      </x:c>
      <x:c r="D427" s="32" t="n">
        <x:f>COUNTIF('All Questions'!$G$5:$G$1725,A427)</x:f>
        <x:v>1</x:v>
      </x:c>
      <x:c r="E427" s="11"/>
      <x:c r="F427" s="12" t="str">
        <x:v>Not Started</x:v>
      </x:c>
      <x:c r="G427" s="13"/>
      <x:c r="H427" s="30" t="str">
        <x:f>IF(AND(E427&lt;&gt;"",F427="Ready"),"Yes","No")</x:f>
        <x:v>No</x:v>
      </x:c>
      <x:c r="I427" s="11"/>
    </x:row>
    <x:row r="428" ht="38" customHeight="1">
      <x:c r="A428" s="30" t="str">
        <x:v>CL0424</x:v>
      </x:c>
      <x:c r="B428" s="30" t="str">
        <x:v>Other Question</x:v>
      </x:c>
      <x:c r="C428" s="31" t="str">
        <x:v>How do you see yourself in 5 yrs</x:v>
      </x:c>
      <x:c r="D428" s="32" t="n">
        <x:f>COUNTIF('All Questions'!$G$5:$G$1725,A428)</x:f>
        <x:v>1</x:v>
      </x:c>
      <x:c r="E428" s="11"/>
      <x:c r="F428" s="12" t="str">
        <x:v>Not Started</x:v>
      </x:c>
      <x:c r="G428" s="13"/>
      <x:c r="H428" s="30" t="str">
        <x:f>IF(AND(E428&lt;&gt;"",F428="Ready"),"Yes","No")</x:f>
        <x:v>No</x:v>
      </x:c>
      <x:c r="I428" s="11"/>
    </x:row>
    <x:row r="429" ht="38" customHeight="1">
      <x:c r="A429" s="30" t="str">
        <x:v>CL0425</x:v>
      </x:c>
      <x:c r="B429" s="30" t="str">
        <x:v>Other Question</x:v>
      </x:c>
      <x:c r="C429" s="31" t="str">
        <x:v>How do you see yourself short-term and long-term in ibd and pe</x:v>
      </x:c>
      <x:c r="D429" s="32" t="n">
        <x:f>COUNTIF('All Questions'!$G$5:$G$1725,A429)</x:f>
        <x:v>1</x:v>
      </x:c>
      <x:c r="E429" s="11"/>
      <x:c r="F429" s="12" t="str">
        <x:v>Not Started</x:v>
      </x:c>
      <x:c r="G429" s="13"/>
      <x:c r="H429" s="30" t="str">
        <x:f>IF(AND(E429&lt;&gt;"",F429="Ready"),"Yes","No")</x:f>
        <x:v>No</x:v>
      </x:c>
      <x:c r="I429" s="11"/>
    </x:row>
    <x:row r="430" ht="38" customHeight="1">
      <x:c r="A430" s="30" t="str">
        <x:v>CL0426</x:v>
      </x:c>
      <x:c r="B430" s="30" t="str">
        <x:v>Resume &amp; Experience</x:v>
      </x:c>
      <x:c r="C430" s="31" t="str">
        <x:v>How do you split work</x:v>
      </x:c>
      <x:c r="D430" s="32" t="n">
        <x:f>COUNTIF('All Questions'!$G$5:$G$1725,A430)</x:f>
        <x:v>1</x:v>
      </x:c>
      <x:c r="E430" s="11"/>
      <x:c r="F430" s="12" t="str">
        <x:v>Not Started</x:v>
      </x:c>
      <x:c r="G430" s="13"/>
      <x:c r="H430" s="30" t="str">
        <x:f>IF(AND(E430&lt;&gt;"",F430="Ready"),"Yes","No")</x:f>
        <x:v>No</x:v>
      </x:c>
      <x:c r="I430" s="11"/>
    </x:row>
    <x:row r="431" ht="38" customHeight="1">
      <x:c r="A431" s="30" t="str">
        <x:v>CL0427</x:v>
      </x:c>
      <x:c r="B431" s="30" t="str">
        <x:v>Other Question</x:v>
      </x:c>
      <x:c r="C431" s="31" t="str">
        <x:v>How do you think of the EV market in the future</x:v>
      </x:c>
      <x:c r="D431" s="32" t="n">
        <x:f>COUNTIF('All Questions'!$G$5:$G$1725,A431)</x:f>
        <x:v>1</x:v>
      </x:c>
      <x:c r="E431" s="11"/>
      <x:c r="F431" s="12" t="str">
        <x:v>Not Started</x:v>
      </x:c>
      <x:c r="G431" s="13"/>
      <x:c r="H431" s="30" t="str">
        <x:f>IF(AND(E431&lt;&gt;"",F431="Ready"),"Yes","No")</x:f>
        <x:v>No</x:v>
      </x:c>
      <x:c r="I431" s="11"/>
    </x:row>
    <x:row r="432" ht="38" customHeight="1">
      <x:c r="A432" s="30" t="str">
        <x:v>CL0428</x:v>
      </x:c>
      <x:c r="B432" s="30" t="str">
        <x:v>Fit &amp; Motivation</x:v>
      </x:c>
      <x:c r="C432" s="31" t="str">
        <x:v>How do you think your major has benefited you</x:v>
      </x:c>
      <x:c r="D432" s="32" t="n">
        <x:f>COUNTIF('All Questions'!$G$5:$G$1725,A432)</x:f>
        <x:v>1</x:v>
      </x:c>
      <x:c r="E432" s="11"/>
      <x:c r="F432" s="12" t="str">
        <x:v>Not Started</x:v>
      </x:c>
      <x:c r="G432" s="13"/>
      <x:c r="H432" s="30" t="str">
        <x:f>IF(AND(E432&lt;&gt;"",F432="Ready"),"Yes","No")</x:f>
        <x:v>No</x:v>
      </x:c>
      <x:c r="I432" s="11"/>
    </x:row>
    <x:row r="433" ht="38" customHeight="1">
      <x:c r="A433" s="30" t="str">
        <x:v>CL0429</x:v>
      </x:c>
      <x:c r="B433" s="30" t="str">
        <x:v>Other Question</x:v>
      </x:c>
      <x:c r="C433" s="31" t="str">
        <x:v>How do you value mining assets</x:v>
      </x:c>
      <x:c r="D433" s="32" t="n">
        <x:f>COUNTIF('All Questions'!$G$5:$G$1725,A433)</x:f>
        <x:v>1</x:v>
      </x:c>
      <x:c r="E433" s="11"/>
      <x:c r="F433" s="12" t="str">
        <x:v>Not Started</x:v>
      </x:c>
      <x:c r="G433" s="13"/>
      <x:c r="H433" s="30" t="str">
        <x:f>IF(AND(E433&lt;&gt;"",F433="Ready"),"Yes","No")</x:f>
        <x:v>No</x:v>
      </x:c>
      <x:c r="I433" s="11"/>
    </x:row>
    <x:row r="434" ht="38" customHeight="1">
      <x:c r="A434" s="30" t="str">
        <x:v>CL0430</x:v>
      </x:c>
      <x:c r="B434" s="30" t="str">
        <x:v>Other Question</x:v>
      </x:c>
      <x:c r="C434" s="31" t="str">
        <x:v>How do you view the china economy</x:v>
      </x:c>
      <x:c r="D434" s="32" t="n">
        <x:f>COUNTIF('All Questions'!$G$5:$G$1725,A434)</x:f>
        <x:v>1</x:v>
      </x:c>
      <x:c r="E434" s="11"/>
      <x:c r="F434" s="12" t="str">
        <x:v>Not Started</x:v>
      </x:c>
      <x:c r="G434" s="13"/>
      <x:c r="H434" s="30" t="str">
        <x:f>IF(AND(E434&lt;&gt;"",F434="Ready"),"Yes","No")</x:f>
        <x:v>No</x:v>
      </x:c>
      <x:c r="I434" s="11"/>
    </x:row>
    <x:row r="435" ht="38" customHeight="1">
      <x:c r="A435" s="30" t="str">
        <x:v>CL0431</x:v>
      </x:c>
      <x:c r="B435" s="30" t="str">
        <x:v>Accounting &amp; Financial Statements</x:v>
      </x:c>
      <x:c r="C435" s="31" t="str">
        <x:v>How do you view the recent stock rally? is it sustainable</x:v>
      </x:c>
      <x:c r="D435" s="32" t="n">
        <x:f>COUNTIF('All Questions'!$G$5:$G$1725,A435)</x:f>
        <x:v>1</x:v>
      </x:c>
      <x:c r="E435" s="11"/>
      <x:c r="F435" s="12" t="str">
        <x:v>Not Started</x:v>
      </x:c>
      <x:c r="G435" s="13"/>
      <x:c r="H435" s="30" t="str">
        <x:f>IF(AND(E435&lt;&gt;"",F435="Ready"),"Yes","No")</x:f>
        <x:v>No</x:v>
      </x:c>
      <x:c r="I435" s="11"/>
    </x:row>
    <x:row r="436" ht="58" customHeight="1">
      <x:c r="A436" s="30" t="str">
        <x:v>CL0432</x:v>
      </x:c>
      <x:c r="B436" s="30" t="str">
        <x:v>Accounting &amp; Financial Statements</x:v>
      </x:c>
      <x:c r="C436" s="31" t="str">
        <x:v>How does credit default swaps work, what are some other ways to hedge balance sheet exposure</x:v>
      </x:c>
      <x:c r="D436" s="32" t="n">
        <x:f>COUNTIF('All Questions'!$G$5:$G$1725,A436)</x:f>
        <x:v>1</x:v>
      </x:c>
      <x:c r="E436" s="11"/>
      <x:c r="F436" s="12" t="str">
        <x:v>Not Started</x:v>
      </x:c>
      <x:c r="G436" s="13"/>
      <x:c r="H436" s="30" t="str">
        <x:f>IF(AND(E436&lt;&gt;"",F436="Ready"),"Yes","No")</x:f>
        <x:v>No</x:v>
      </x:c>
      <x:c r="I436" s="11"/>
    </x:row>
    <x:row r="437" ht="38" customHeight="1">
      <x:c r="A437" s="30" t="str">
        <x:v>CL0433</x:v>
      </x:c>
      <x:c r="B437" s="30" t="str">
        <x:v>Markets &amp; Macro</x:v>
      </x:c>
      <x:c r="C437" s="31" t="str">
        <x:v>How does interest rate impact the stock market</x:v>
      </x:c>
      <x:c r="D437" s="32" t="n">
        <x:f>COUNTIF('All Questions'!$G$5:$G$1725,A437)</x:f>
        <x:v>1</x:v>
      </x:c>
      <x:c r="E437" s="11"/>
      <x:c r="F437" s="12" t="str">
        <x:v>Not Started</x:v>
      </x:c>
      <x:c r="G437" s="13"/>
      <x:c r="H437" s="30" t="str">
        <x:f>IF(AND(E437&lt;&gt;"",F437="Ready"),"Yes","No")</x:f>
        <x:v>No</x:v>
      </x:c>
      <x:c r="I437" s="11"/>
    </x:row>
    <x:row r="438" ht="58" customHeight="1">
      <x:c r="A438" s="30" t="str">
        <x:v>CL0434</x:v>
      </x:c>
      <x:c r="B438" s="30" t="str">
        <x:v>Other Question</x:v>
      </x:c>
      <x:c r="C438" s="31" t="str">
        <x:v>How does the amortizing loan work and how does bullet repayment affect the total interest costs</x:v>
      </x:c>
      <x:c r="D438" s="32" t="n">
        <x:f>COUNTIF('All Questions'!$G$5:$G$1725,A438)</x:f>
        <x:v>1</x:v>
      </x:c>
      <x:c r="E438" s="11"/>
      <x:c r="F438" s="12" t="str">
        <x:v>Not Started</x:v>
      </x:c>
      <x:c r="G438" s="13"/>
      <x:c r="H438" s="30" t="str">
        <x:f>IF(AND(E438&lt;&gt;"",F438="Ready"),"Yes","No")</x:f>
        <x:v>No</x:v>
      </x:c>
      <x:c r="I438" s="11"/>
    </x:row>
    <x:row r="439" ht="38" customHeight="1">
      <x:c r="A439" s="30" t="str">
        <x:v>CL0435</x:v>
      </x:c>
      <x:c r="B439" s="30" t="str">
        <x:v>Accounting &amp; Financial Statements</x:v>
      </x:c>
      <x:c r="C439" s="31" t="str">
        <x:v>How does the company's cash flow look like</x:v>
      </x:c>
      <x:c r="D439" s="32" t="n">
        <x:f>COUNTIF('All Questions'!$G$5:$G$1725,A439)</x:f>
        <x:v>1</x:v>
      </x:c>
      <x:c r="E439" s="11"/>
      <x:c r="F439" s="12" t="str">
        <x:v>Not Started</x:v>
      </x:c>
      <x:c r="G439" s="13"/>
      <x:c r="H439" s="30" t="str">
        <x:f>IF(AND(E439&lt;&gt;"",F439="Ready"),"Yes","No")</x:f>
        <x:v>No</x:v>
      </x:c>
      <x:c r="I439" s="11"/>
    </x:row>
    <x:row r="440" ht="38" customHeight="1">
      <x:c r="A440" s="30" t="str">
        <x:v>CL0436</x:v>
      </x:c>
      <x:c r="B440" s="30" t="str">
        <x:v>Company, Industry &amp; Deals</x:v>
      </x:c>
      <x:c r="C440" s="31" t="str">
        <x:v>How does this affect companies who want to issue debt, 1year ago vs now vs future</x:v>
      </x:c>
      <x:c r="D440" s="32" t="n">
        <x:f>COUNTIF('All Questions'!$G$5:$G$1725,A440)</x:f>
        <x:v>1</x:v>
      </x:c>
      <x:c r="E440" s="11"/>
      <x:c r="F440" s="12" t="str">
        <x:v>Not Started</x:v>
      </x:c>
      <x:c r="G440" s="13"/>
      <x:c r="H440" s="30" t="str">
        <x:f>IF(AND(E440&lt;&gt;"",F440="Ready"),"Yes","No")</x:f>
        <x:v>No</x:v>
      </x:c>
      <x:c r="I440" s="11"/>
    </x:row>
    <x:row r="441" ht="58" customHeight="1">
      <x:c r="A441" s="30" t="str">
        <x:v>CL0437</x:v>
      </x:c>
      <x:c r="B441" s="30" t="str">
        <x:v>Accounting &amp; Financial Statements</x:v>
      </x:c>
      <x:c r="C441" s="31" t="str">
        <x:v>How exactly do you apply the comparable company valuation method (this could be in the technology industry, or it could be an industry you've worked in before)</x:v>
      </x:c>
      <x:c r="D441" s="32" t="n">
        <x:f>COUNTIF('All Questions'!$G$5:$G$1725,A441)</x:f>
        <x:v>1</x:v>
      </x:c>
      <x:c r="E441" s="11"/>
      <x:c r="F441" s="12" t="str">
        <x:v>Not Started</x:v>
      </x:c>
      <x:c r="G441" s="13"/>
      <x:c r="H441" s="30" t="str">
        <x:f>IF(AND(E441&lt;&gt;"",F441="Ready"),"Yes","No")</x:f>
        <x:v>No</x:v>
      </x:c>
      <x:c r="I441" s="11"/>
    </x:row>
    <x:row r="442" ht="58" customHeight="1">
      <x:c r="A442" s="30" t="str">
        <x:v>CL0438</x:v>
      </x:c>
      <x:c r="B442" s="30" t="str">
        <x:v>Other Question</x:v>
      </x:c>
      <x:c r="C442" s="31" t="str">
        <x:v>How familiar are you with mainland china (since u stayed in the us for a yr and grew up in hk)</x:v>
      </x:c>
      <x:c r="D442" s="32" t="n">
        <x:f>COUNTIF('All Questions'!$G$5:$G$1725,A442)</x:f>
        <x:v>1</x:v>
      </x:c>
      <x:c r="E442" s="11"/>
      <x:c r="F442" s="12" t="str">
        <x:v>Not Started</x:v>
      </x:c>
      <x:c r="G442" s="13"/>
      <x:c r="H442" s="30" t="str">
        <x:f>IF(AND(E442&lt;&gt;"",F442="Ready"),"Yes","No")</x:f>
        <x:v>No</x:v>
      </x:c>
      <x:c r="I442" s="11"/>
    </x:row>
    <x:row r="443" ht="38" customHeight="1">
      <x:c r="A443" s="30" t="str">
        <x:v>CL0439</x:v>
      </x:c>
      <x:c r="B443" s="30" t="str">
        <x:v>Other Question</x:v>
      </x:c>
      <x:c r="C443" s="31" t="str">
        <x:v>How good are you with numbers</x:v>
      </x:c>
      <x:c r="D443" s="32" t="n">
        <x:f>COUNTIF('All Questions'!$G$5:$G$1725,A443)</x:f>
        <x:v>1</x:v>
      </x:c>
      <x:c r="E443" s="11"/>
      <x:c r="F443" s="12" t="str">
        <x:v>Not Started</x:v>
      </x:c>
      <x:c r="G443" s="13"/>
      <x:c r="H443" s="30" t="str">
        <x:f>IF(AND(E443&lt;&gt;"",F443="Ready"),"Yes","No")</x:f>
        <x:v>No</x:v>
      </x:c>
      <x:c r="I443" s="11"/>
    </x:row>
    <x:row r="444" ht="38" customHeight="1">
      <x:c r="A444" s="30" t="str">
        <x:v>CL0440</x:v>
      </x:c>
      <x:c r="B444" s="30" t="str">
        <x:v>Fit &amp; Motivation</x:v>
      </x:c>
      <x:c r="C444" s="31" t="str">
        <x:v>How good is your mandarin</x:v>
      </x:c>
      <x:c r="D444" s="32" t="n">
        <x:f>COUNTIF('All Questions'!$G$5:$G$1725,A444)</x:f>
        <x:v>1</x:v>
      </x:c>
      <x:c r="E444" s="11"/>
      <x:c r="F444" s="12" t="str">
        <x:v>Not Started</x:v>
      </x:c>
      <x:c r="G444" s="13"/>
      <x:c r="H444" s="30" t="str">
        <x:f>IF(AND(E444&lt;&gt;"",F444="Ready"),"Yes","No")</x:f>
        <x:v>No</x:v>
      </x:c>
      <x:c r="I444" s="11"/>
    </x:row>
    <x:row r="445" ht="38" customHeight="1">
      <x:c r="A445" s="30" t="str">
        <x:v>CL0441</x:v>
      </x:c>
      <x:c r="B445" s="30" t="str">
        <x:v>Accounting &amp; Financial Statements</x:v>
      </x:c>
      <x:c r="C445" s="31" t="str">
        <x:v>How good is your technicals</x:v>
      </x:c>
      <x:c r="D445" s="32" t="n">
        <x:f>COUNTIF('All Questions'!$G$5:$G$1725,A445)</x:f>
        <x:v>1</x:v>
      </x:c>
      <x:c r="E445" s="11"/>
      <x:c r="F445" s="12" t="str">
        <x:v>Not Started</x:v>
      </x:c>
      <x:c r="G445" s="13"/>
      <x:c r="H445" s="30" t="str">
        <x:f>IF(AND(E445&lt;&gt;"",F445="Ready"),"Yes","No")</x:f>
        <x:v>No</x:v>
      </x:c>
      <x:c r="I445" s="11"/>
    </x:row>
    <x:row r="446" ht="58" customHeight="1">
      <x:c r="A446" s="30" t="str">
        <x:v>CL0442</x:v>
      </x:c>
      <x:c r="B446" s="30" t="str">
        <x:v>Accounting &amp; Financial Statements</x:v>
      </x:c>
      <x:c r="C446" s="31" t="str">
        <x:v>How I justify using 75th percentile and what may be the reasons that its current trading price is low</x:v>
      </x:c>
      <x:c r="D446" s="32" t="n">
        <x:f>COUNTIF('All Questions'!$G$5:$G$1725,A446)</x:f>
        <x:v>1</x:v>
      </x:c>
      <x:c r="E446" s="11"/>
      <x:c r="F446" s="12" t="str">
        <x:v>Not Started</x:v>
      </x:c>
      <x:c r="G446" s="13"/>
      <x:c r="H446" s="30" t="str">
        <x:f>IF(AND(E446&lt;&gt;"",F446="Ready"),"Yes","No")</x:f>
        <x:v>No</x:v>
      </x:c>
      <x:c r="I446" s="11"/>
    </x:row>
    <x:row r="447" ht="58" customHeight="1">
      <x:c r="A447" s="30" t="str">
        <x:v>CL0443</x:v>
      </x:c>
      <x:c r="B447" s="30" t="str">
        <x:v>Valuation</x:v>
      </x:c>
      <x:c r="C447" s="31" t="str">
        <x:v>How I would build a DCF for this company, how to make the model dynamic (mainly the revenue build-up), and other key inputs needed</x:v>
      </x:c>
      <x:c r="D447" s="32" t="n">
        <x:f>COUNTIF('All Questions'!$G$5:$G$1725,A447)</x:f>
        <x:v>1</x:v>
      </x:c>
      <x:c r="E447" s="11"/>
      <x:c r="F447" s="12" t="str">
        <x:v>Not Started</x:v>
      </x:c>
      <x:c r="G447" s="13"/>
      <x:c r="H447" s="30" t="str">
        <x:f>IF(AND(E447&lt;&gt;"",F447="Ready"),"Yes","No")</x:f>
        <x:v>No</x:v>
      </x:c>
      <x:c r="I447" s="11"/>
    </x:row>
    <x:row r="448" ht="38" customHeight="1">
      <x:c r="A448" s="30" t="str">
        <x:v>CL0444</x:v>
      </x:c>
      <x:c r="B448" s="30" t="str">
        <x:v>Markets &amp; Macro</x:v>
      </x:c>
      <x:c r="C448" s="31" t="str">
        <x:v>How interest rate affects the global markets and different assets</x:v>
      </x:c>
      <x:c r="D448" s="32" t="n">
        <x:f>COUNTIF('All Questions'!$G$5:$G$1725,A448)</x:f>
        <x:v>1</x:v>
      </x:c>
      <x:c r="E448" s="11"/>
      <x:c r="F448" s="12" t="str">
        <x:v>Not Started</x:v>
      </x:c>
      <x:c r="G448" s="13"/>
      <x:c r="H448" s="30" t="str">
        <x:f>IF(AND(E448&lt;&gt;"",F448="Ready"),"Yes","No")</x:f>
        <x:v>No</x:v>
      </x:c>
      <x:c r="I448" s="11"/>
    </x:row>
    <x:row r="449" ht="38" customHeight="1">
      <x:c r="A449" s="30" t="str">
        <x:v>CL0445</x:v>
      </x:c>
      <x:c r="B449" s="30" t="str">
        <x:v>Accounting &amp; Financial Statements</x:v>
      </x:c>
      <x:c r="C449" s="31" t="str">
        <x:v>How is EBITDA derived</x:v>
      </x:c>
      <x:c r="D449" s="32" t="n">
        <x:f>COUNTIF('All Questions'!$G$5:$G$1725,A449)</x:f>
        <x:v>1</x:v>
      </x:c>
      <x:c r="E449" s="11"/>
      <x:c r="F449" s="12" t="str">
        <x:v>Not Started</x:v>
      </x:c>
      <x:c r="G449" s="13"/>
      <x:c r="H449" s="30" t="str">
        <x:f>IF(AND(E449&lt;&gt;"",F449="Ready"),"Yes","No")</x:f>
        <x:v>No</x:v>
      </x:c>
      <x:c r="I449" s="11"/>
    </x:row>
    <x:row r="450" ht="38" customHeight="1">
      <x:c r="A450" s="30" t="str">
        <x:v>CL0446</x:v>
      </x:c>
      <x:c r="B450" s="30" t="str">
        <x:v>Accounting &amp; Financial Statements</x:v>
      </x:c>
      <x:c r="C450" s="31" t="str">
        <x:v>How is the company funded, and how is the leverage and ROA like</x:v>
      </x:c>
      <x:c r="D450" s="32" t="n">
        <x:f>COUNTIF('All Questions'!$G$5:$G$1725,A450)</x:f>
        <x:v>1</x:v>
      </x:c>
      <x:c r="E450" s="11"/>
      <x:c r="F450" s="12" t="str">
        <x:v>Not Started</x:v>
      </x:c>
      <x:c r="G450" s="13"/>
      <x:c r="H450" s="30" t="str">
        <x:f>IF(AND(E450&lt;&gt;"",F450="Ready"),"Yes","No")</x:f>
        <x:v>No</x:v>
      </x:c>
      <x:c r="I450" s="11"/>
    </x:row>
    <x:row r="451" ht="38" customHeight="1">
      <x:c r="A451" s="30" t="str">
        <x:v>CL0447</x:v>
      </x:c>
      <x:c r="B451" s="30" t="str">
        <x:v>Accounting &amp; Financial Statements</x:v>
      </x:c>
      <x:c r="C451" s="31" t="str">
        <x:v>How is the electricity price like in China? Fluctuate to market or fixed</x:v>
      </x:c>
      <x:c r="D451" s="32" t="n">
        <x:f>COUNTIF('All Questions'!$G$5:$G$1725,A451)</x:f>
        <x:v>1</x:v>
      </x:c>
      <x:c r="E451" s="11"/>
      <x:c r="F451" s="12" t="str">
        <x:v>Not Started</x:v>
      </x:c>
      <x:c r="G451" s="13"/>
      <x:c r="H451" s="30" t="str">
        <x:f>IF(AND(E451&lt;&gt;"",F451="Ready"),"Yes","No")</x:f>
        <x:v>No</x:v>
      </x:c>
      <x:c r="I451" s="11"/>
    </x:row>
    <x:row r="452" ht="38" customHeight="1">
      <x:c r="A452" s="30" t="str">
        <x:v>CL0448</x:v>
      </x:c>
      <x:c r="B452" s="30" t="str">
        <x:v>Accounting &amp; Financial Statements</x:v>
      </x:c>
      <x:c r="C452" s="31" t="str">
        <x:v>How is the IRR for those funds</x:v>
      </x:c>
      <x:c r="D452" s="32" t="n">
        <x:f>COUNTIF('All Questions'!$G$5:$G$1725,A452)</x:f>
        <x:v>1</x:v>
      </x:c>
      <x:c r="E452" s="11"/>
      <x:c r="F452" s="12" t="str">
        <x:v>Not Started</x:v>
      </x:c>
      <x:c r="G452" s="13"/>
      <x:c r="H452" s="30" t="str">
        <x:f>IF(AND(E452&lt;&gt;"",F452="Ready"),"Yes","No")</x:f>
        <x:v>No</x:v>
      </x:c>
      <x:c r="I452" s="11"/>
    </x:row>
    <x:row r="453" ht="38" customHeight="1">
      <x:c r="A453" s="30" t="str">
        <x:v>CL0449</x:v>
      </x:c>
      <x:c r="B453" s="30" t="str">
        <x:v>Accounting &amp; Financial Statements</x:v>
      </x:c>
      <x:c r="C453" s="31" t="str">
        <x:v>How is the market dynamic? (Entry barrier, technology etc)</x:v>
      </x:c>
      <x:c r="D453" s="32" t="n">
        <x:f>COUNTIF('All Questions'!$G$5:$G$1725,A453)</x:f>
        <x:v>1</x:v>
      </x:c>
      <x:c r="E453" s="11"/>
      <x:c r="F453" s="12" t="str">
        <x:v>Not Started</x:v>
      </x:c>
      <x:c r="G453" s="13"/>
      <x:c r="H453" s="30" t="str">
        <x:f>IF(AND(E453&lt;&gt;"",F453="Ready"),"Yes","No")</x:f>
        <x:v>No</x:v>
      </x:c>
      <x:c r="I453" s="11"/>
    </x:row>
    <x:row r="454" ht="38" customHeight="1">
      <x:c r="A454" s="30" t="str">
        <x:v>CL0450</x:v>
      </x:c>
      <x:c r="B454" s="30" t="str">
        <x:v>Accounting &amp; Financial Statements</x:v>
      </x:c>
      <x:c r="C454" s="31" t="str">
        <x:v>How is the orderbook being calculated? (Drilled for 2 times)</x:v>
      </x:c>
      <x:c r="D454" s="32" t="n">
        <x:f>COUNTIF('All Questions'!$G$5:$G$1725,A454)</x:f>
        <x:v>1</x:v>
      </x:c>
      <x:c r="E454" s="11"/>
      <x:c r="F454" s="12" t="str">
        <x:v>Not Started</x:v>
      </x:c>
      <x:c r="G454" s="13"/>
      <x:c r="H454" s="30" t="str">
        <x:f>IF(AND(E454&lt;&gt;"",F454="Ready"),"Yes","No")</x:f>
        <x:v>No</x:v>
      </x:c>
      <x:c r="I454" s="11"/>
    </x:row>
    <x:row r="455" ht="38" customHeight="1">
      <x:c r="A455" s="30" t="str">
        <x:v>CL0451</x:v>
      </x:c>
      <x:c r="B455" s="30" t="str">
        <x:v>Accounting &amp; Financial Statements</x:v>
      </x:c>
      <x:c r="C455" s="31" t="str">
        <x:v>How is your view on the EV/EBITDA</x:v>
      </x:c>
      <x:c r="D455" s="32" t="n">
        <x:f>COUNTIF('All Questions'!$G$5:$G$1725,A455)</x:f>
        <x:v>1</x:v>
      </x:c>
      <x:c r="E455" s="11"/>
      <x:c r="F455" s="12" t="str">
        <x:v>Not Started</x:v>
      </x:c>
      <x:c r="G455" s="13"/>
      <x:c r="H455" s="30" t="str">
        <x:f>IF(AND(E455&lt;&gt;"",F455="Ready"),"Yes","No")</x:f>
        <x:v>No</x:v>
      </x:c>
      <x:c r="I455" s="11"/>
    </x:row>
    <x:row r="456" ht="38" customHeight="1">
      <x:c r="A456" s="30" t="str">
        <x:v>CL0452</x:v>
      </x:c>
      <x:c r="B456" s="30" t="str">
        <x:v>Accounting &amp; Financial Statements</x:v>
      </x:c>
      <x:c r="C456" s="31" t="str">
        <x:v>How long is your reading week</x:v>
      </x:c>
      <x:c r="D456" s="32" t="n">
        <x:f>COUNTIF('All Questions'!$G$5:$G$1725,A456)</x:f>
        <x:v>1</x:v>
      </x:c>
      <x:c r="E456" s="11"/>
      <x:c r="F456" s="12" t="str">
        <x:v>Not Started</x:v>
      </x:c>
      <x:c r="G456" s="13"/>
      <x:c r="H456" s="30" t="str">
        <x:f>IF(AND(E456&lt;&gt;"",F456="Ready"),"Yes","No")</x:f>
        <x:v>No</x:v>
      </x:c>
      <x:c r="I456" s="11"/>
    </x:row>
    <x:row r="457" ht="38" customHeight="1">
      <x:c r="A457" s="30" t="str">
        <x:v>CL0453</x:v>
      </x:c>
      <x:c r="B457" s="30" t="str">
        <x:v>Other Question</x:v>
      </x:c>
      <x:c r="C457" s="31" t="str">
        <x:v>How many did u cold email and how many replied</x:v>
      </x:c>
      <x:c r="D457" s="32" t="n">
        <x:f>COUNTIF('All Questions'!$G$5:$G$1725,A457)</x:f>
        <x:v>1</x:v>
      </x:c>
      <x:c r="E457" s="11"/>
      <x:c r="F457" s="12" t="str">
        <x:v>Not Started</x:v>
      </x:c>
      <x:c r="G457" s="13"/>
      <x:c r="H457" s="30" t="str">
        <x:f>IF(AND(E457&lt;&gt;"",F457="Ready"),"Yes","No")</x:f>
        <x:v>No</x:v>
      </x:c>
      <x:c r="I457" s="11"/>
    </x:row>
    <x:row r="458" ht="38" customHeight="1">
      <x:c r="A458" s="30" t="str">
        <x:v>CL0454</x:v>
      </x:c>
      <x:c r="B458" s="30" t="str">
        <x:v>Markets &amp; Macro</x:v>
      </x:c>
      <x:c r="C458" s="31" t="str">
        <x:v>How many FED meeting are left in the year</x:v>
      </x:c>
      <x:c r="D458" s="32" t="n">
        <x:f>COUNTIF('All Questions'!$G$5:$G$1725,A458)</x:f>
        <x:v>1</x:v>
      </x:c>
      <x:c r="E458" s="11"/>
      <x:c r="F458" s="12" t="str">
        <x:v>Not Started</x:v>
      </x:c>
      <x:c r="G458" s="13"/>
      <x:c r="H458" s="30" t="str">
        <x:f>IF(AND(E458&lt;&gt;"",F458="Ready"),"Yes","No")</x:f>
        <x:v>No</x:v>
      </x:c>
      <x:c r="I458" s="11"/>
    </x:row>
    <x:row r="459" ht="38" customHeight="1">
      <x:c r="A459" s="30" t="str">
        <x:v>CL0455</x:v>
      </x:c>
      <x:c r="B459" s="30" t="str">
        <x:v>Other Question</x:v>
      </x:c>
      <x:c r="C459" s="31" t="str">
        <x:v>How many interns in BlackRock, how many teams, divide by asset classes</x:v>
      </x:c>
      <x:c r="D459" s="32" t="n">
        <x:f>COUNTIF('All Questions'!$G$5:$G$1725,A459)</x:f>
        <x:v>1</x:v>
      </x:c>
      <x:c r="E459" s="11"/>
      <x:c r="F459" s="12" t="str">
        <x:v>Not Started</x:v>
      </x:c>
      <x:c r="G459" s="13"/>
      <x:c r="H459" s="30" t="str">
        <x:f>IF(AND(E459&lt;&gt;"",F459="Ready"),"Yes","No")</x:f>
        <x:v>No</x:v>
      </x:c>
      <x:c r="I459" s="11"/>
    </x:row>
    <x:row r="460" ht="38" customHeight="1">
      <x:c r="A460" s="30" t="str">
        <x:v>CL0456</x:v>
      </x:c>
      <x:c r="B460" s="30" t="str">
        <x:v>Other Question</x:v>
      </x:c>
      <x:c r="C460" s="31" t="str">
        <x:v>How many summer interns in BLK</x:v>
      </x:c>
      <x:c r="D460" s="32" t="n">
        <x:f>COUNTIF('All Questions'!$G$5:$G$1725,A460)</x:f>
        <x:v>1</x:v>
      </x:c>
      <x:c r="E460" s="11"/>
      <x:c r="F460" s="12" t="str">
        <x:v>Not Started</x:v>
      </x:c>
      <x:c r="G460" s="13"/>
      <x:c r="H460" s="30" t="str">
        <x:f>IF(AND(E460&lt;&gt;"",F460="Ready"),"Yes","No")</x:f>
        <x:v>No</x:v>
      </x:c>
      <x:c r="I460" s="11"/>
    </x:row>
    <x:row r="461" ht="38" customHeight="1">
      <x:c r="A461" s="30" t="str">
        <x:v>CL0457</x:v>
      </x:c>
      <x:c r="B461" s="30" t="str">
        <x:v>Other Question</x:v>
      </x:c>
      <x:c r="C461" s="31" t="str">
        <x:v>How many years did you project it</x:v>
      </x:c>
      <x:c r="D461" s="32" t="n">
        <x:f>COUNTIF('All Questions'!$G$5:$G$1725,A461)</x:f>
        <x:v>1</x:v>
      </x:c>
      <x:c r="E461" s="11"/>
      <x:c r="F461" s="12" t="str">
        <x:v>Not Started</x:v>
      </x:c>
      <x:c r="G461" s="13"/>
      <x:c r="H461" s="30" t="str">
        <x:f>IF(AND(E461&lt;&gt;"",F461="Ready"),"Yes","No")</x:f>
        <x:v>No</x:v>
      </x:c>
      <x:c r="I461" s="11"/>
    </x:row>
    <x:row r="462" ht="38" customHeight="1">
      <x:c r="A462" s="30" t="str">
        <x:v>CL0458</x:v>
      </x:c>
      <x:c r="B462" s="30" t="str">
        <x:v>Accounting &amp; Financial Statements</x:v>
      </x:c>
      <x:c r="C462" s="31" t="str">
        <x:v>How much equity is sponsor paying</x:v>
      </x:c>
      <x:c r="D462" s="32" t="n">
        <x:f>COUNTIF('All Questions'!$G$5:$G$1725,A462)</x:f>
        <x:v>1</x:v>
      </x:c>
      <x:c r="E462" s="11"/>
      <x:c r="F462" s="12" t="str">
        <x:v>Not Started</x:v>
      </x:c>
      <x:c r="G462" s="13"/>
      <x:c r="H462" s="30" t="str">
        <x:f>IF(AND(E462&lt;&gt;"",F462="Ready"),"Yes","No")</x:f>
        <x:v>No</x:v>
      </x:c>
      <x:c r="I462" s="11"/>
    </x:row>
    <x:row r="463" ht="38" customHeight="1">
      <x:c r="A463" s="30" t="str">
        <x:v>CL0459</x:v>
      </x:c>
      <x:c r="B463" s="30" t="str">
        <x:v>Other Question</x:v>
      </x:c>
      <x:c r="C463" s="31" t="str">
        <x:v>How much time did you spend on studying mining</x:v>
      </x:c>
      <x:c r="D463" s="32" t="n">
        <x:f>COUNTIF('All Questions'!$G$5:$G$1725,A463)</x:f>
        <x:v>1</x:v>
      </x:c>
      <x:c r="E463" s="11"/>
      <x:c r="F463" s="12" t="str">
        <x:v>Not Started</x:v>
      </x:c>
      <x:c r="G463" s="13"/>
      <x:c r="H463" s="30" t="str">
        <x:f>IF(AND(E463&lt;&gt;"",F463="Ready"),"Yes","No")</x:f>
        <x:v>No</x:v>
      </x:c>
      <x:c r="I463" s="11"/>
    </x:row>
    <x:row r="464" ht="38" customHeight="1">
      <x:c r="A464" s="30" t="str">
        <x:v>CL0460</x:v>
      </x:c>
      <x:c r="B464" s="30" t="str">
        <x:v>Other Question</x:v>
      </x:c>
      <x:c r="C464" s="31" t="str">
        <x:v>How to</x:v>
      </x:c>
      <x:c r="D464" s="32" t="n">
        <x:f>COUNTIF('All Questions'!$G$5:$G$1725,A464)</x:f>
        <x:v>1</x:v>
      </x:c>
      <x:c r="E464" s="11"/>
      <x:c r="F464" s="12" t="str">
        <x:v>Not Started</x:v>
      </x:c>
      <x:c r="G464" s="13"/>
      <x:c r="H464" s="30" t="str">
        <x:f>IF(AND(E464&lt;&gt;"",F464="Ready"),"Yes","No")</x:f>
        <x:v>No</x:v>
      </x:c>
      <x:c r="I464" s="11"/>
    </x:row>
    <x:row r="465" ht="38" customHeight="1">
      <x:c r="A465" s="30" t="str">
        <x:v>CL0461</x:v>
      </x:c>
      <x:c r="B465" s="30" t="str">
        <x:v>Valuation</x:v>
      </x:c>
      <x:c r="C465" s="31" t="str">
        <x:v>How to arrive ufcf</x:v>
      </x:c>
      <x:c r="D465" s="32" t="n">
        <x:f>COUNTIF('All Questions'!$G$5:$G$1725,A465)</x:f>
        <x:v>1</x:v>
      </x:c>
      <x:c r="E465" s="11"/>
      <x:c r="F465" s="12" t="str">
        <x:v>Not Started</x:v>
      </x:c>
      <x:c r="G465" s="13"/>
      <x:c r="H465" s="30" t="str">
        <x:f>IF(AND(E465&lt;&gt;"",F465="Ready"),"Yes","No")</x:f>
        <x:v>No</x:v>
      </x:c>
      <x:c r="I465" s="11"/>
    </x:row>
    <x:row r="466" ht="38" customHeight="1">
      <x:c r="A466" s="30" t="str">
        <x:v>CL0462</x:v>
      </x:c>
      <x:c r="B466" s="30" t="str">
        <x:v>Valuation</x:v>
      </x:c>
      <x:c r="C466" s="31" t="str">
        <x:v>How to calculate cost of equity</x:v>
      </x:c>
      <x:c r="D466" s="32" t="n">
        <x:f>COUNTIF('All Questions'!$G$5:$G$1725,A466)</x:f>
        <x:v>1</x:v>
      </x:c>
      <x:c r="E466" s="11"/>
      <x:c r="F466" s="12" t="str">
        <x:v>Not Started</x:v>
      </x:c>
      <x:c r="G466" s="13"/>
      <x:c r="H466" s="30" t="str">
        <x:f>IF(AND(E466&lt;&gt;"",F466="Ready"),"Yes","No")</x:f>
        <x:v>No</x:v>
      </x:c>
      <x:c r="I466" s="11"/>
    </x:row>
    <x:row r="467" ht="38" customHeight="1">
      <x:c r="A467" s="30" t="str">
        <x:v>CL0463</x:v>
      </x:c>
      <x:c r="B467" s="30" t="str">
        <x:v>Other Technical</x:v>
      </x:c>
      <x:c r="C467" s="31" t="str">
        <x:v>How to calculate EBITDA from top down</x:v>
      </x:c>
      <x:c r="D467" s="32" t="n">
        <x:f>COUNTIF('All Questions'!$G$5:$G$1725,A467)</x:f>
        <x:v>1</x:v>
      </x:c>
      <x:c r="E467" s="11"/>
      <x:c r="F467" s="12" t="str">
        <x:v>Not Started</x:v>
      </x:c>
      <x:c r="G467" s="13"/>
      <x:c r="H467" s="30" t="str">
        <x:f>IF(AND(E467&lt;&gt;"",F467="Ready"),"Yes","No")</x:f>
        <x:v>No</x:v>
      </x:c>
      <x:c r="I467" s="11"/>
    </x:row>
    <x:row r="468" ht="38" customHeight="1">
      <x:c r="A468" s="30" t="str">
        <x:v>CL0464</x:v>
      </x:c>
      <x:c r="B468" s="30" t="str">
        <x:v>Other Question</x:v>
      </x:c>
      <x:c r="C468" s="31" t="str">
        <x:v>How to do credit analysis</x:v>
      </x:c>
      <x:c r="D468" s="32" t="n">
        <x:f>COUNTIF('All Questions'!$G$5:$G$1725,A468)</x:f>
        <x:v>1</x:v>
      </x:c>
      <x:c r="E468" s="11"/>
      <x:c r="F468" s="12" t="str">
        <x:v>Not Started</x:v>
      </x:c>
      <x:c r="G468" s="13"/>
      <x:c r="H468" s="30" t="str">
        <x:f>IF(AND(E468&lt;&gt;"",F468="Ready"),"Yes","No")</x:f>
        <x:v>No</x:v>
      </x:c>
      <x:c r="I468" s="11"/>
    </x:row>
    <x:row r="469" ht="38" customHeight="1">
      <x:c r="A469" s="30" t="str">
        <x:v>CL0465</x:v>
      </x:c>
      <x:c r="B469" s="30" t="str">
        <x:v>Valuation</x:v>
      </x:c>
      <x:c r="C469" s="31" t="str">
        <x:v>How to do dcf from EBIT</x:v>
      </x:c>
      <x:c r="D469" s="32" t="n">
        <x:f>COUNTIF('All Questions'!$G$5:$G$1725,A469)</x:f>
        <x:v>1</x:v>
      </x:c>
      <x:c r="E469" s="11"/>
      <x:c r="F469" s="12" t="str">
        <x:v>Not Started</x:v>
      </x:c>
      <x:c r="G469" s="13"/>
      <x:c r="H469" s="30" t="str">
        <x:f>IF(AND(E469&lt;&gt;"",F469="Ready"),"Yes","No")</x:f>
        <x:v>No</x:v>
      </x:c>
      <x:c r="I469" s="11"/>
    </x:row>
    <x:row r="470" ht="38" customHeight="1">
      <x:c r="A470" s="30" t="str">
        <x:v>CL0466</x:v>
      </x:c>
      <x:c r="B470" s="30" t="str">
        <x:v>Valuation</x:v>
      </x:c>
      <x:c r="C470" s="31" t="str">
        <x:v>How to find beta for a private company</x:v>
      </x:c>
      <x:c r="D470" s="32" t="n">
        <x:f>COUNTIF('All Questions'!$G$5:$G$1725,A470)</x:f>
        <x:v>1</x:v>
      </x:c>
      <x:c r="E470" s="11"/>
      <x:c r="F470" s="12" t="str">
        <x:v>Not Started</x:v>
      </x:c>
      <x:c r="G470" s="13"/>
      <x:c r="H470" s="30" t="str">
        <x:f>IF(AND(E470&lt;&gt;"",F470="Ready"),"Yes","No")</x:f>
        <x:v>No</x:v>
      </x:c>
      <x:c r="I470" s="11"/>
    </x:row>
    <x:row r="471" ht="38" customHeight="1">
      <x:c r="A471" s="30" t="str">
        <x:v>CL0467</x:v>
      </x:c>
      <x:c r="B471" s="30" t="str">
        <x:v>Valuation</x:v>
      </x:c>
      <x:c r="C471" s="31" t="str">
        <x:v>How to find cost of debt</x:v>
      </x:c>
      <x:c r="D471" s="32" t="n">
        <x:f>COUNTIF('All Questions'!$G$5:$G$1725,A471)</x:f>
        <x:v>1</x:v>
      </x:c>
      <x:c r="E471" s="11"/>
      <x:c r="F471" s="12" t="str">
        <x:v>Not Started</x:v>
      </x:c>
      <x:c r="G471" s="13"/>
      <x:c r="H471" s="30" t="str">
        <x:f>IF(AND(E471&lt;&gt;"",F471="Ready"),"Yes","No")</x:f>
        <x:v>No</x:v>
      </x:c>
      <x:c r="I471" s="11"/>
    </x:row>
    <x:row r="472" ht="38" customHeight="1">
      <x:c r="A472" s="30" t="str">
        <x:v>CL0468</x:v>
      </x:c>
      <x:c r="B472" s="30" t="str">
        <x:v>Valuation</x:v>
      </x:c>
      <x:c r="C472" s="31" t="str">
        <x:v>How to find cost of equity</x:v>
      </x:c>
      <x:c r="D472" s="32" t="n">
        <x:f>COUNTIF('All Questions'!$G$5:$G$1725,A472)</x:f>
        <x:v>1</x:v>
      </x:c>
      <x:c r="E472" s="11"/>
      <x:c r="F472" s="12" t="str">
        <x:v>Not Started</x:v>
      </x:c>
      <x:c r="G472" s="13"/>
      <x:c r="H472" s="30" t="str">
        <x:f>IF(AND(E472&lt;&gt;"",F472="Ready"),"Yes","No")</x:f>
        <x:v>No</x:v>
      </x:c>
      <x:c r="I472" s="11"/>
    </x:row>
    <x:row r="473" ht="38" customHeight="1">
      <x:c r="A473" s="30" t="str">
        <x:v>CL0469</x:v>
      </x:c>
      <x:c r="B473" s="30" t="str">
        <x:v>Company, Industry &amp; Deals</x:v>
      </x:c>
      <x:c r="C473" s="31" t="str">
        <x:v>How to forecast the growth of the SEA logistic company, P&amp;L breakdown</x:v>
      </x:c>
      <x:c r="D473" s="32" t="n">
        <x:f>COUNTIF('All Questions'!$G$5:$G$1725,A473)</x:f>
        <x:v>1</x:v>
      </x:c>
      <x:c r="E473" s="11"/>
      <x:c r="F473" s="12" t="str">
        <x:v>Not Started</x:v>
      </x:c>
      <x:c r="G473" s="13"/>
      <x:c r="H473" s="30" t="str">
        <x:f>IF(AND(E473&lt;&gt;"",F473="Ready"),"Yes","No")</x:f>
        <x:v>No</x:v>
      </x:c>
      <x:c r="I473" s="11"/>
    </x:row>
    <x:row r="474" ht="38" customHeight="1">
      <x:c r="A474" s="30" t="str">
        <x:v>CL0470</x:v>
      </x:c>
      <x:c r="B474" s="30" t="str">
        <x:v>Valuation</x:v>
      </x:c>
      <x:c r="C474" s="31" t="str">
        <x:v>How to get beta</x:v>
      </x:c>
      <x:c r="D474" s="32" t="n">
        <x:f>COUNTIF('All Questions'!$G$5:$G$1725,A474)</x:f>
        <x:v>1</x:v>
      </x:c>
      <x:c r="E474" s="11"/>
      <x:c r="F474" s="12" t="str">
        <x:v>Not Started</x:v>
      </x:c>
      <x:c r="G474" s="13"/>
      <x:c r="H474" s="30" t="str">
        <x:f>IF(AND(E474&lt;&gt;"",F474="Ready"),"Yes","No")</x:f>
        <x:v>No</x:v>
      </x:c>
      <x:c r="I474" s="11"/>
    </x:row>
    <x:row r="475" ht="38" customHeight="1">
      <x:c r="A475" s="30" t="str">
        <x:v>CL0471</x:v>
      </x:c>
      <x:c r="B475" s="30" t="str">
        <x:v>Company, Industry &amp; Deals</x:v>
      </x:c>
      <x:c r="C475" s="31" t="str">
        <x:v>How to get capital structure of private company</x:v>
      </x:c>
      <x:c r="D475" s="32" t="n">
        <x:f>COUNTIF('All Questions'!$G$5:$G$1725,A475)</x:f>
        <x:v>1</x:v>
      </x:c>
      <x:c r="E475" s="11"/>
      <x:c r="F475" s="12" t="str">
        <x:v>Not Started</x:v>
      </x:c>
      <x:c r="G475" s="13"/>
      <x:c r="H475" s="30" t="str">
        <x:f>IF(AND(E475&lt;&gt;"",F475="Ready"),"Yes","No")</x:f>
        <x:v>No</x:v>
      </x:c>
      <x:c r="I475" s="11"/>
    </x:row>
    <x:row r="476" ht="38" customHeight="1">
      <x:c r="A476" s="30" t="str">
        <x:v>CL0472</x:v>
      </x:c>
      <x:c r="B476" s="30" t="str">
        <x:v>Valuation</x:v>
      </x:c>
      <x:c r="C476" s="31" t="str">
        <x:v>How to get cost of equity</x:v>
      </x:c>
      <x:c r="D476" s="32" t="n">
        <x:f>COUNTIF('All Questions'!$G$5:$G$1725,A476)</x:f>
        <x:v>1</x:v>
      </x:c>
      <x:c r="E476" s="11"/>
      <x:c r="F476" s="12" t="str">
        <x:v>Not Started</x:v>
      </x:c>
      <x:c r="G476" s="13"/>
      <x:c r="H476" s="30" t="str">
        <x:f>IF(AND(E476&lt;&gt;"",F476="Ready"),"Yes","No")</x:f>
        <x:v>No</x:v>
      </x:c>
      <x:c r="I476" s="11"/>
    </x:row>
    <x:row r="477" ht="38" customHeight="1">
      <x:c r="A477" s="30" t="str">
        <x:v>CL0473</x:v>
      </x:c>
      <x:c r="B477" s="30" t="str">
        <x:v>Valuation</x:v>
      </x:c>
      <x:c r="C477" s="31" t="str">
        <x:v>How to get enterprise value and what does it mean</x:v>
      </x:c>
      <x:c r="D477" s="32" t="n">
        <x:f>COUNTIF('All Questions'!$G$5:$G$1725,A477)</x:f>
        <x:v>1</x:v>
      </x:c>
      <x:c r="E477" s="11"/>
      <x:c r="F477" s="12" t="str">
        <x:v>Not Started</x:v>
      </x:c>
      <x:c r="G477" s="13"/>
      <x:c r="H477" s="30" t="str">
        <x:f>IF(AND(E477&lt;&gt;"",F477="Ready"),"Yes","No")</x:f>
        <x:v>No</x:v>
      </x:c>
      <x:c r="I477" s="11"/>
    </x:row>
    <x:row r="478" ht="38" customHeight="1">
      <x:c r="A478" s="30" t="str">
        <x:v>CL0474</x:v>
      </x:c>
      <x:c r="B478" s="30" t="str">
        <x:v>Valuation</x:v>
      </x:c>
      <x:c r="C478" s="31" t="str">
        <x:v>How to get exit multiple and growth rate for terminal value</x:v>
      </x:c>
      <x:c r="D478" s="32" t="n">
        <x:f>COUNTIF('All Questions'!$G$5:$G$1725,A478)</x:f>
        <x:v>1</x:v>
      </x:c>
      <x:c r="E478" s="11"/>
      <x:c r="F478" s="12" t="str">
        <x:v>Not Started</x:v>
      </x:c>
      <x:c r="G478" s="13"/>
      <x:c r="H478" s="30" t="str">
        <x:f>IF(AND(E478&lt;&gt;"",F478="Ready"),"Yes","No")</x:f>
        <x:v>No</x:v>
      </x:c>
      <x:c r="I478" s="11"/>
    </x:row>
    <x:row r="479" ht="38" customHeight="1">
      <x:c r="A479" s="30" t="str">
        <x:v>CL0475</x:v>
      </x:c>
      <x:c r="B479" s="30" t="str">
        <x:v>Other Question</x:v>
      </x:c>
      <x:c r="C479" s="31" t="str">
        <x:v>How to get FCF</x:v>
      </x:c>
      <x:c r="D479" s="32" t="n">
        <x:f>COUNTIF('All Questions'!$G$5:$G$1725,A479)</x:f>
        <x:v>1</x:v>
      </x:c>
      <x:c r="E479" s="11"/>
      <x:c r="F479" s="12" t="str">
        <x:v>Not Started</x:v>
      </x:c>
      <x:c r="G479" s="13"/>
      <x:c r="H479" s="30" t="str">
        <x:f>IF(AND(E479&lt;&gt;"",F479="Ready"),"Yes","No")</x:f>
        <x:v>No</x:v>
      </x:c>
      <x:c r="I479" s="11"/>
    </x:row>
    <x:row r="480" ht="38" customHeight="1">
      <x:c r="A480" s="30" t="str">
        <x:v>CL0476</x:v>
      </x:c>
      <x:c r="B480" s="30" t="str">
        <x:v>Company, Industry &amp; Deals</x:v>
      </x:c>
      <x:c r="C480" s="31" t="str">
        <x:v>How to get fcf from revenue</x:v>
      </x:c>
      <x:c r="D480" s="32" t="n">
        <x:f>COUNTIF('All Questions'!$G$5:$G$1725,A480)</x:f>
        <x:v>1</x:v>
      </x:c>
      <x:c r="E480" s="11"/>
      <x:c r="F480" s="12" t="str">
        <x:v>Not Started</x:v>
      </x:c>
      <x:c r="G480" s="13"/>
      <x:c r="H480" s="30" t="str">
        <x:f>IF(AND(E480&lt;&gt;"",F480="Ready"),"Yes","No")</x:f>
        <x:v>No</x:v>
      </x:c>
      <x:c r="I480" s="11"/>
    </x:row>
    <x:row r="481" ht="38" customHeight="1">
      <x:c r="A481" s="30" t="str">
        <x:v>CL0477</x:v>
      </x:c>
      <x:c r="B481" s="30" t="str">
        <x:v>Valuation</x:v>
      </x:c>
      <x:c r="C481" s="31" t="str">
        <x:v>How to get market risk premium</x:v>
      </x:c>
      <x:c r="D481" s="32" t="n">
        <x:f>COUNTIF('All Questions'!$G$5:$G$1725,A481)</x:f>
        <x:v>1</x:v>
      </x:c>
      <x:c r="E481" s="11"/>
      <x:c r="F481" s="12" t="str">
        <x:v>Not Started</x:v>
      </x:c>
      <x:c r="G481" s="13"/>
      <x:c r="H481" s="30" t="str">
        <x:f>IF(AND(E481&lt;&gt;"",F481="Ready"),"Yes","No")</x:f>
        <x:v>No</x:v>
      </x:c>
      <x:c r="I481" s="11"/>
    </x:row>
    <x:row r="482" ht="38" customHeight="1">
      <x:c r="A482" s="30" t="str">
        <x:v>CL0478</x:v>
      </x:c>
      <x:c r="B482" s="30" t="str">
        <x:v>Valuation</x:v>
      </x:c>
      <x:c r="C482" s="31" t="str">
        <x:v>How to get the perpetual growth rate in gordon growth method</x:v>
      </x:c>
      <x:c r="D482" s="32" t="n">
        <x:f>COUNTIF('All Questions'!$G$5:$G$1725,A482)</x:f>
        <x:v>1</x:v>
      </x:c>
      <x:c r="E482" s="11"/>
      <x:c r="F482" s="12" t="str">
        <x:v>Not Started</x:v>
      </x:c>
      <x:c r="G482" s="13"/>
      <x:c r="H482" s="30" t="str">
        <x:f>IF(AND(E482&lt;&gt;"",F482="Ready"),"Yes","No")</x:f>
        <x:v>No</x:v>
      </x:c>
      <x:c r="I482" s="11"/>
    </x:row>
    <x:row r="483" ht="38" customHeight="1">
      <x:c r="A483" s="30" t="str">
        <x:v>CL0479</x:v>
      </x:c>
      <x:c r="B483" s="30" t="str">
        <x:v>Behavioral &amp; Situational</x:v>
      </x:c>
      <x:c r="C483" s="31" t="str">
        <x:v>How to manage ddl conflict</x:v>
      </x:c>
      <x:c r="D483" s="32" t="n">
        <x:f>COUNTIF('All Questions'!$G$5:$G$1725,A483)</x:f>
        <x:v>1</x:v>
      </x:c>
      <x:c r="E483" s="11"/>
      <x:c r="F483" s="12" t="str">
        <x:v>Not Started</x:v>
      </x:c>
      <x:c r="G483" s="13"/>
      <x:c r="H483" s="30" t="str">
        <x:f>IF(AND(E483&lt;&gt;"",F483="Ready"),"Yes","No")</x:f>
        <x:v>No</x:v>
      </x:c>
      <x:c r="I483" s="11"/>
    </x:row>
    <x:row r="484" ht="38" customHeight="1">
      <x:c r="A484" s="30" t="str">
        <x:v>CL0480</x:v>
      </x:c>
      <x:c r="B484" s="30" t="str">
        <x:v>Company, Industry &amp; Deals</x:v>
      </x:c>
      <x:c r="C484" s="31" t="str">
        <x:v>How to project monthly revenue for a starbucks in hku</x:v>
      </x:c>
      <x:c r="D484" s="32" t="n">
        <x:f>COUNTIF('All Questions'!$G$5:$G$1725,A484)</x:f>
        <x:v>1</x:v>
      </x:c>
      <x:c r="E484" s="11"/>
      <x:c r="F484" s="12" t="str">
        <x:v>Not Started</x:v>
      </x:c>
      <x:c r="G484" s="13"/>
      <x:c r="H484" s="30" t="str">
        <x:f>IF(AND(E484&lt;&gt;"",F484="Ready"),"Yes","No")</x:f>
        <x:v>No</x:v>
      </x:c>
      <x:c r="I484" s="11"/>
    </x:row>
    <x:row r="485" ht="38" customHeight="1">
      <x:c r="A485" s="30" t="str">
        <x:v>CL0481</x:v>
      </x:c>
      <x:c r="B485" s="30" t="str">
        <x:v>Other Question</x:v>
      </x:c>
      <x:c r="C485" s="31" t="str">
        <x:v>How to pull EV/EBITDA from capiq</x:v>
      </x:c>
      <x:c r="D485" s="32" t="n">
        <x:f>COUNTIF('All Questions'!$G$5:$G$1725,A485)</x:f>
        <x:v>1</x:v>
      </x:c>
      <x:c r="E485" s="11"/>
      <x:c r="F485" s="12" t="str">
        <x:v>Not Started</x:v>
      </x:c>
      <x:c r="G485" s="13"/>
      <x:c r="H485" s="30" t="str">
        <x:f>IF(AND(E485&lt;&gt;"",F485="Ready"),"Yes","No")</x:f>
        <x:v>No</x:v>
      </x:c>
      <x:c r="I485" s="11"/>
    </x:row>
    <x:row r="486" ht="38" customHeight="1">
      <x:c r="A486" s="30" t="str">
        <x:v>CL0482</x:v>
      </x:c>
      <x:c r="B486" s="30" t="str">
        <x:v>Other Question</x:v>
      </x:c>
      <x:c r="C486" s="31" t="str">
        <x:v>How to turn annualized risk into daily risk to measure pnl</x:v>
      </x:c>
      <x:c r="D486" s="32" t="n">
        <x:f>COUNTIF('All Questions'!$G$5:$G$1725,A486)</x:f>
        <x:v>1</x:v>
      </x:c>
      <x:c r="E486" s="11"/>
      <x:c r="F486" s="12" t="str">
        <x:v>Not Started</x:v>
      </x:c>
      <x:c r="G486" s="13"/>
      <x:c r="H486" s="30" t="str">
        <x:f>IF(AND(E486&lt;&gt;"",F486="Ready"),"Yes","No")</x:f>
        <x:v>No</x:v>
      </x:c>
      <x:c r="I486" s="11"/>
    </x:row>
    <x:row r="487" ht="38" customHeight="1">
      <x:c r="A487" s="30" t="str">
        <x:v>CL0483</x:v>
      </x:c>
      <x:c r="B487" s="30" t="str">
        <x:v>Other Question</x:v>
      </x:c>
      <x:c r="C487" s="31" t="str">
        <x:v>How to use AI</x:v>
      </x:c>
      <x:c r="D487" s="32" t="n">
        <x:f>COUNTIF('All Questions'!$G$5:$G$1725,A487)</x:f>
        <x:v>1</x:v>
      </x:c>
      <x:c r="E487" s="11"/>
      <x:c r="F487" s="12" t="str">
        <x:v>Not Started</x:v>
      </x:c>
      <x:c r="G487" s="13"/>
      <x:c r="H487" s="30" t="str">
        <x:f>IF(AND(E487&lt;&gt;"",F487="Ready"),"Yes","No")</x:f>
        <x:v>No</x:v>
      </x:c>
      <x:c r="I487" s="11"/>
    </x:row>
    <x:row r="488" ht="38" customHeight="1">
      <x:c r="A488" s="30" t="str">
        <x:v>CL0484</x:v>
      </x:c>
      <x:c r="B488" s="30" t="str">
        <x:v>Valuation</x:v>
      </x:c>
      <x:c r="C488" s="31" t="str">
        <x:v>How to value a firm with -ve CFs (also talked about replacement valuation)</x:v>
      </x:c>
      <x:c r="D488" s="32" t="n">
        <x:f>COUNTIF('All Questions'!$G$5:$G$1725,A488)</x:f>
        <x:v>1</x:v>
      </x:c>
      <x:c r="E488" s="11"/>
      <x:c r="F488" s="12" t="str">
        <x:v>Not Started</x:v>
      </x:c>
      <x:c r="G488" s="13"/>
      <x:c r="H488" s="30" t="str">
        <x:f>IF(AND(E488&lt;&gt;"",F488="Ready"),"Yes","No")</x:f>
        <x:v>No</x:v>
      </x:c>
      <x:c r="I488" s="11"/>
    </x:row>
    <x:row r="489" ht="38" customHeight="1">
      <x:c r="A489" s="30" t="str">
        <x:v>CL0485</x:v>
      </x:c>
      <x:c r="B489" s="30" t="str">
        <x:v>Markets &amp; Macro</x:v>
      </x:c>
      <x:c r="C489" s="31" t="str">
        <x:v>How US tariff would affect PE &amp; share a market event</x:v>
      </x:c>
      <x:c r="D489" s="32" t="n">
        <x:f>COUNTIF('All Questions'!$G$5:$G$1725,A489)</x:f>
        <x:v>1</x:v>
      </x:c>
      <x:c r="E489" s="11"/>
      <x:c r="F489" s="12" t="str">
        <x:v>Not Started</x:v>
      </x:c>
      <x:c r="G489" s="13"/>
      <x:c r="H489" s="30" t="str">
        <x:f>IF(AND(E489&lt;&gt;"",F489="Ready"),"Yes","No")</x:f>
        <x:v>No</x:v>
      </x:c>
      <x:c r="I489" s="11"/>
    </x:row>
    <x:row r="490" ht="38" customHeight="1">
      <x:c r="A490" s="30" t="str">
        <x:v>CL0486</x:v>
      </x:c>
      <x:c r="B490" s="30" t="str">
        <x:v>Resume &amp; Experience</x:v>
      </x:c>
      <x:c r="C490" s="31" t="str">
        <x:v>How was your experience in UBS</x:v>
      </x:c>
      <x:c r="D490" s="32" t="n">
        <x:f>COUNTIF('All Questions'!$G$5:$G$1725,A490)</x:f>
        <x:v>1</x:v>
      </x:c>
      <x:c r="E490" s="11"/>
      <x:c r="F490" s="12" t="str">
        <x:v>Not Started</x:v>
      </x:c>
      <x:c r="G490" s="13"/>
      <x:c r="H490" s="30" t="str">
        <x:f>IF(AND(E490&lt;&gt;"",F490="Ready"),"Yes","No")</x:f>
        <x:v>No</x:v>
      </x:c>
      <x:c r="I490" s="11"/>
    </x:row>
    <x:row r="491" ht="58" customHeight="1">
      <x:c r="A491" s="30" t="str">
        <x:v>CL0487</x:v>
      </x:c>
      <x:c r="B491" s="30" t="str">
        <x:v>Resume &amp; Experience</x:v>
      </x:c>
      <x:c r="C491" s="31" t="str">
        <x:v>How was your first round interviews? Who interviewed you, what was your experience like, and what did you learn about DB</x:v>
      </x:c>
      <x:c r="D491" s="32" t="n">
        <x:f>COUNTIF('All Questions'!$G$5:$G$1725,A491)</x:f>
        <x:v>1</x:v>
      </x:c>
      <x:c r="E491" s="11"/>
      <x:c r="F491" s="12" t="str">
        <x:v>Not Started</x:v>
      </x:c>
      <x:c r="G491" s="13"/>
      <x:c r="H491" s="30" t="str">
        <x:f>IF(AND(E491&lt;&gt;"",F491="Ready"),"Yes","No")</x:f>
        <x:v>No</x:v>
      </x:c>
      <x:c r="I491" s="11"/>
    </x:row>
    <x:row r="492" ht="38" customHeight="1">
      <x:c r="A492" s="30" t="str">
        <x:v>CL0488</x:v>
      </x:c>
      <x:c r="B492" s="30" t="str">
        <x:v>Company, Industry &amp; Deals</x:v>
      </x:c>
      <x:c r="C492" s="31" t="str">
        <x:v>How well do you know about HKEX and this department</x:v>
      </x:c>
      <x:c r="D492" s="32" t="n">
        <x:f>COUNTIF('All Questions'!$G$5:$G$1725,A492)</x:f>
        <x:v>1</x:v>
      </x:c>
      <x:c r="E492" s="11"/>
      <x:c r="F492" s="12" t="str">
        <x:v>Not Started</x:v>
      </x:c>
      <x:c r="G492" s="13"/>
      <x:c r="H492" s="30" t="str">
        <x:f>IF(AND(E492&lt;&gt;"",F492="Ready"),"Yes","No")</x:f>
        <x:v>No</x:v>
      </x:c>
      <x:c r="I492" s="11"/>
    </x:row>
    <x:row r="493" ht="38" customHeight="1">
      <x:c r="A493" s="30" t="str">
        <x:v>CL0489</x:v>
      </x:c>
      <x:c r="B493" s="30" t="str">
        <x:v>Company, Industry &amp; Deals</x:v>
      </x:c>
      <x:c r="C493" s="31" t="str">
        <x:v>How will a chinese company stand out compare to US companies</x:v>
      </x:c>
      <x:c r="D493" s="32" t="n">
        <x:f>COUNTIF('All Questions'!$G$5:$G$1725,A493)</x:f>
        <x:v>1</x:v>
      </x:c>
      <x:c r="E493" s="11"/>
      <x:c r="F493" s="12" t="str">
        <x:v>Not Started</x:v>
      </x:c>
      <x:c r="G493" s="13"/>
      <x:c r="H493" s="30" t="str">
        <x:f>IF(AND(E493&lt;&gt;"",F493="Ready"),"Yes","No")</x:f>
        <x:v>No</x:v>
      </x:c>
      <x:c r="I493" s="11"/>
    </x:row>
    <x:row r="494" ht="38" customHeight="1">
      <x:c r="A494" s="30" t="str">
        <x:v>CL0490</x:v>
      </x:c>
      <x:c r="B494" s="30" t="str">
        <x:v>Fit &amp; Motivation</x:v>
      </x:c>
      <x:c r="C494" s="31" t="str">
        <x:v>How will this DCM internship fit in to your experience and your future plan</x:v>
      </x:c>
      <x:c r="D494" s="32" t="n">
        <x:f>COUNTIF('All Questions'!$G$5:$G$1725,A494)</x:f>
        <x:v>1</x:v>
      </x:c>
      <x:c r="E494" s="11"/>
      <x:c r="F494" s="12" t="str">
        <x:v>Not Started</x:v>
      </x:c>
      <x:c r="G494" s="13"/>
      <x:c r="H494" s="30" t="str">
        <x:f>IF(AND(E494&lt;&gt;"",F494="Ready"),"Yes","No")</x:f>
        <x:v>No</x:v>
      </x:c>
      <x:c r="I494" s="11"/>
    </x:row>
    <x:row r="495" ht="38" customHeight="1">
      <x:c r="A495" s="30" t="str">
        <x:v>CL0491</x:v>
      </x:c>
      <x:c r="B495" s="30" t="str">
        <x:v>Other Question</x:v>
      </x:c>
      <x:c r="C495" s="31" t="str">
        <x:v>How would i do differently now</x:v>
      </x:c>
      <x:c r="D495" s="32" t="n">
        <x:f>COUNTIF('All Questions'!$G$5:$G$1725,A495)</x:f>
        <x:v>1</x:v>
      </x:c>
      <x:c r="E495" s="11"/>
      <x:c r="F495" s="12" t="str">
        <x:v>Not Started</x:v>
      </x:c>
      <x:c r="G495" s="13"/>
      <x:c r="H495" s="30" t="str">
        <x:f>IF(AND(E495&lt;&gt;"",F495="Ready"),"Yes","No")</x:f>
        <x:v>No</x:v>
      </x:c>
      <x:c r="I495" s="11"/>
    </x:row>
    <x:row r="496" ht="38" customHeight="1">
      <x:c r="A496" s="30" t="str">
        <x:v>CL0492</x:v>
      </x:c>
      <x:c r="B496" s="30" t="str">
        <x:v>Markets &amp; Macro</x:v>
      </x:c>
      <x:c r="C496" s="31" t="str">
        <x:v>How would increase in interest rate affect LBO costs</x:v>
      </x:c>
      <x:c r="D496" s="32" t="n">
        <x:f>COUNTIF('All Questions'!$G$5:$G$1725,A496)</x:f>
        <x:v>1</x:v>
      </x:c>
      <x:c r="E496" s="11"/>
      <x:c r="F496" s="12" t="str">
        <x:v>Not Started</x:v>
      </x:c>
      <x:c r="G496" s="13"/>
      <x:c r="H496" s="30" t="str">
        <x:f>IF(AND(E496&lt;&gt;"",F496="Ready"),"Yes","No")</x:f>
        <x:v>No</x:v>
      </x:c>
      <x:c r="I496" s="11"/>
    </x:row>
    <x:row r="497" ht="38" customHeight="1">
      <x:c r="A497" s="30" t="str">
        <x:v>CL0493</x:v>
      </x:c>
      <x:c r="B497" s="30" t="str">
        <x:v>Company, Industry &amp; Deals</x:v>
      </x:c>
      <x:c r="C497" s="31" t="str">
        <x:v>How would u analyze a company if you are working for a PE firm</x:v>
      </x:c>
      <x:c r="D497" s="32" t="n">
        <x:f>COUNTIF('All Questions'!$G$5:$G$1725,A497)</x:f>
        <x:v>1</x:v>
      </x:c>
      <x:c r="E497" s="11"/>
      <x:c r="F497" s="12" t="str">
        <x:v>Not Started</x:v>
      </x:c>
      <x:c r="G497" s="13"/>
      <x:c r="H497" s="30" t="str">
        <x:f>IF(AND(E497&lt;&gt;"",F497="Ready"),"Yes","No")</x:f>
        <x:v>No</x:v>
      </x:c>
      <x:c r="I497" s="11"/>
    </x:row>
    <x:row r="498" ht="38" customHeight="1">
      <x:c r="A498" s="30" t="str">
        <x:v>CL0494</x:v>
      </x:c>
      <x:c r="B498" s="30" t="str">
        <x:v>Company, Industry &amp; Deals</x:v>
      </x:c>
      <x:c r="C498" s="31" t="str">
        <x:v>How would you analyse new company/new investment opportunity</x:v>
      </x:c>
      <x:c r="D498" s="32" t="n">
        <x:f>COUNTIF('All Questions'!$G$5:$G$1725,A498)</x:f>
        <x:v>1</x:v>
      </x:c>
      <x:c r="E498" s="11"/>
      <x:c r="F498" s="12" t="str">
        <x:v>Not Started</x:v>
      </x:c>
      <x:c r="G498" s="13"/>
      <x:c r="H498" s="30" t="str">
        <x:f>IF(AND(E498&lt;&gt;"",F498="Ready"),"Yes","No")</x:f>
        <x:v>No</x:v>
      </x:c>
      <x:c r="I498" s="11"/>
    </x:row>
    <x:row r="499" ht="38" customHeight="1">
      <x:c r="A499" s="30" t="str">
        <x:v>CL0495</x:v>
      </x:c>
      <x:c r="B499" s="30" t="str">
        <x:v>Other Question</x:v>
      </x:c>
      <x:c r="C499" s="31" t="str">
        <x:v>How would you compare the outlook of starting your career in investment banking v.s. PE/VC</x:v>
      </x:c>
      <x:c r="D499" s="32" t="n">
        <x:f>COUNTIF('All Questions'!$G$5:$G$1725,A499)</x:f>
        <x:v>1</x:v>
      </x:c>
      <x:c r="E499" s="11"/>
      <x:c r="F499" s="12" t="str">
        <x:v>Not Started</x:v>
      </x:c>
      <x:c r="G499" s="13"/>
      <x:c r="H499" s="30" t="str">
        <x:f>IF(AND(E499&lt;&gt;"",F499="Ready"),"Yes","No")</x:f>
        <x:v>No</x:v>
      </x:c>
      <x:c r="I499" s="11"/>
    </x:row>
    <x:row r="500" ht="58" customHeight="1">
      <x:c r="A500" s="30" t="str">
        <x:v>CL0496</x:v>
      </x:c>
      <x:c r="B500" s="30" t="str">
        <x:v>Company, Industry &amp; Deals</x:v>
      </x:c>
      <x:c r="C500" s="31" t="str">
        <x:v>How would you compare the outlook of starting your career in investment banking vs. PE/VC companies</x:v>
      </x:c>
      <x:c r="D500" s="32" t="n">
        <x:f>COUNTIF('All Questions'!$G$5:$G$1725,A500)</x:f>
        <x:v>1</x:v>
      </x:c>
      <x:c r="E500" s="11"/>
      <x:c r="F500" s="12" t="str">
        <x:v>Not Started</x:v>
      </x:c>
      <x:c r="G500" s="13"/>
      <x:c r="H500" s="30" t="str">
        <x:f>IF(AND(E500&lt;&gt;"",F500="Ready"),"Yes","No")</x:f>
        <x:v>No</x:v>
      </x:c>
      <x:c r="I500" s="11"/>
    </x:row>
    <x:row r="501" ht="38" customHeight="1">
      <x:c r="A501" s="30" t="str">
        <x:v>CL0497</x:v>
      </x:c>
      <x:c r="B501" s="30" t="str">
        <x:v>Valuation</x:v>
      </x:c>
      <x:c r="C501" s="31" t="str">
        <x:v>How would you do valuation for a instant noodle company</x:v>
      </x:c>
      <x:c r="D501" s="32" t="n">
        <x:f>COUNTIF('All Questions'!$G$5:$G$1725,A501)</x:f>
        <x:v>1</x:v>
      </x:c>
      <x:c r="E501" s="11"/>
      <x:c r="F501" s="12" t="str">
        <x:v>Not Started</x:v>
      </x:c>
      <x:c r="G501" s="13"/>
      <x:c r="H501" s="30" t="str">
        <x:f>IF(AND(E501&lt;&gt;"",F501="Ready"),"Yes","No")</x:f>
        <x:v>No</x:v>
      </x:c>
      <x:c r="I501" s="11"/>
    </x:row>
    <x:row r="502" ht="38" customHeight="1">
      <x:c r="A502" s="30" t="str">
        <x:v>CL0498</x:v>
      </x:c>
      <x:c r="B502" s="30" t="str">
        <x:v>Accounting &amp; Financial Statements</x:v>
      </x:c>
      <x:c r="C502" s="31" t="str">
        <x:v>How would you project NWC? (basically the accounts receivable turnover thing)</x:v>
      </x:c>
      <x:c r="D502" s="32" t="n">
        <x:f>COUNTIF('All Questions'!$G$5:$G$1725,A502)</x:f>
        <x:v>1</x:v>
      </x:c>
      <x:c r="E502" s="11"/>
      <x:c r="F502" s="12" t="str">
        <x:v>Not Started</x:v>
      </x:c>
      <x:c r="G502" s="13"/>
      <x:c r="H502" s="30" t="str">
        <x:f>IF(AND(E502&lt;&gt;"",F502="Ready"),"Yes","No")</x:f>
        <x:v>No</x:v>
      </x:c>
      <x:c r="I502" s="11"/>
    </x:row>
    <x:row r="503" ht="38" customHeight="1">
      <x:c r="A503" s="30" t="str">
        <x:v>CL0499</x:v>
      </x:c>
      <x:c r="B503" s="30" t="str">
        <x:v>Other Question</x:v>
      </x:c>
      <x:c r="C503" s="31" t="str">
        <x:v>How would you value a piece of art</x:v>
      </x:c>
      <x:c r="D503" s="32" t="n">
        <x:f>COUNTIF('All Questions'!$G$5:$G$1725,A503)</x:f>
        <x:v>1</x:v>
      </x:c>
      <x:c r="E503" s="11"/>
      <x:c r="F503" s="12" t="str">
        <x:v>Not Started</x:v>
      </x:c>
      <x:c r="G503" s="13"/>
      <x:c r="H503" s="30" t="str">
        <x:f>IF(AND(E503&lt;&gt;"",F503="Ready"),"Yes","No")</x:f>
        <x:v>No</x:v>
      </x:c>
      <x:c r="I503" s="11"/>
    </x:row>
    <x:row r="504" ht="38" customHeight="1">
      <x:c r="A504" s="30" t="str">
        <x:v>CL0500</x:v>
      </x:c>
      <x:c r="B504" s="30" t="str">
        <x:v>Company, Industry &amp; Deals</x:v>
      </x:c>
      <x:c r="C504" s="31" t="str">
        <x:v>How would you value the company</x:v>
      </x:c>
      <x:c r="D504" s="32" t="n">
        <x:f>COUNTIF('All Questions'!$G$5:$G$1725,A504)</x:f>
        <x:v>1</x:v>
      </x:c>
      <x:c r="E504" s="11"/>
      <x:c r="F504" s="12" t="str">
        <x:v>Not Started</x:v>
      </x:c>
      <x:c r="G504" s="13"/>
      <x:c r="H504" s="30" t="str">
        <x:f>IF(AND(E504&lt;&gt;"",F504="Ready"),"Yes","No")</x:f>
        <x:v>No</x:v>
      </x:c>
      <x:c r="I504" s="11"/>
    </x:row>
    <x:row r="505" ht="38" customHeight="1">
      <x:c r="A505" s="30" t="str">
        <x:v>CL0501</x:v>
      </x:c>
      <x:c r="B505" s="30" t="str">
        <x:v>Behavioral &amp; Situational</x:v>
      </x:c>
      <x:c r="C505" s="31" t="str">
        <x:v>How would your colleague describe you and what are your areas of improvement</x:v>
      </x:c>
      <x:c r="D505" s="32" t="n">
        <x:f>COUNTIF('All Questions'!$G$5:$G$1725,A505)</x:f>
        <x:v>1</x:v>
      </x:c>
      <x:c r="E505" s="11"/>
      <x:c r="F505" s="12" t="str">
        <x:v>Not Started</x:v>
      </x:c>
      <x:c r="G505" s="13"/>
      <x:c r="H505" s="30" t="str">
        <x:f>IF(AND(E505&lt;&gt;"",F505="Ready"),"Yes","No")</x:f>
        <x:v>No</x:v>
      </x:c>
      <x:c r="I505" s="11"/>
    </x:row>
    <x:row r="506" ht="38" customHeight="1">
      <x:c r="A506" s="30" t="str">
        <x:v>CL0502</x:v>
      </x:c>
      <x:c r="B506" s="30" t="str">
        <x:v>Valuation</x:v>
      </x:c>
      <x:c r="C506" s="31" t="str">
        <x:v>How you get the risk free rate</x:v>
      </x:c>
      <x:c r="D506" s="32" t="n">
        <x:f>COUNTIF('All Questions'!$G$5:$G$1725,A506)</x:f>
        <x:v>1</x:v>
      </x:c>
      <x:c r="E506" s="11"/>
      <x:c r="F506" s="12" t="str">
        <x:v>Not Started</x:v>
      </x:c>
      <x:c r="G506" s="13"/>
      <x:c r="H506" s="30" t="str">
        <x:f>IF(AND(E506&lt;&gt;"",F506="Ready"),"Yes","No")</x:f>
        <x:v>No</x:v>
      </x:c>
      <x:c r="I506" s="11"/>
    </x:row>
    <x:row r="507" ht="38" customHeight="1">
      <x:c r="A507" s="30" t="str">
        <x:v>CL0503</x:v>
      </x:c>
      <x:c r="B507" s="30" t="str">
        <x:v>Other Question</x:v>
      </x:c>
      <x:c r="C507" s="31" t="str">
        <x:v>How's your holiday</x:v>
      </x:c>
      <x:c r="D507" s="32" t="n">
        <x:f>COUNTIF('All Questions'!$G$5:$G$1725,A507)</x:f>
        <x:v>1</x:v>
      </x:c>
      <x:c r="E507" s="11"/>
      <x:c r="F507" s="12" t="str">
        <x:v>Not Started</x:v>
      </x:c>
      <x:c r="G507" s="13"/>
      <x:c r="H507" s="30" t="str">
        <x:f>IF(AND(E507&lt;&gt;"",F507="Ready"),"Yes","No")</x:f>
        <x:v>No</x:v>
      </x:c>
      <x:c r="I507" s="11"/>
    </x:row>
    <x:row r="508" ht="38" customHeight="1">
      <x:c r="A508" s="30" t="str">
        <x:v>CL0504</x:v>
      </x:c>
      <x:c r="B508" s="30" t="str">
        <x:v>Other Question</x:v>
      </x:c>
      <x:c r="C508" s="31" t="str">
        <x:v>I do Law as well</x:v>
      </x:c>
      <x:c r="D508" s="32" t="n">
        <x:f>COUNTIF('All Questions'!$G$5:$G$1725,A508)</x:f>
        <x:v>1</x:v>
      </x:c>
      <x:c r="E508" s="11"/>
      <x:c r="F508" s="12" t="str">
        <x:v>Not Started</x:v>
      </x:c>
      <x:c r="G508" s="13"/>
      <x:c r="H508" s="30" t="str">
        <x:f>IF(AND(E508&lt;&gt;"",F508="Ready"),"Yes","No")</x:f>
        <x:v>No</x:v>
      </x:c>
      <x:c r="I508" s="11"/>
    </x:row>
    <x:row r="509" ht="80" customHeight="1">
      <x:c r="A509" s="30" t="str">
        <x:v>CL0505</x:v>
      </x:c>
      <x:c r="B509" s="30" t="str">
        <x:v>Valuation</x:v>
      </x:c>
      <x:c r="C509" s="31" t="str">
        <x:v>I don't have the case with me as I did it in person but it was about xiabuxiabu (hotpot) being privatised by a PE firm and do basic valuation to see if the offer price was reasonable</x:v>
      </x:c>
      <x:c r="D509" s="32" t="n">
        <x:f>COUNTIF('All Questions'!$G$5:$G$1725,A509)</x:f>
        <x:v>1</x:v>
      </x:c>
      <x:c r="E509" s="11"/>
      <x:c r="F509" s="12" t="str">
        <x:v>Not Started</x:v>
      </x:c>
      <x:c r="G509" s="13"/>
      <x:c r="H509" s="30" t="str">
        <x:f>IF(AND(E509&lt;&gt;"",F509="Ready"),"Yes","No")</x:f>
        <x:v>No</x:v>
      </x:c>
      <x:c r="I509" s="11"/>
    </x:row>
    <x:row r="510" ht="38" customHeight="1">
      <x:c r="A510" s="30" t="str">
        <x:v>CL0506</x:v>
      </x:c>
      <x:c r="B510" s="30" t="str">
        <x:v>Other Question</x:v>
      </x:c>
      <x:c r="C510" s="31" t="str">
        <x:v>I said mining EPC - Which mineral</x:v>
      </x:c>
      <x:c r="D510" s="32" t="n">
        <x:f>COUNTIF('All Questions'!$G$5:$G$1725,A510)</x:f>
        <x:v>1</x:v>
      </x:c>
      <x:c r="E510" s="11"/>
      <x:c r="F510" s="12" t="str">
        <x:v>Not Started</x:v>
      </x:c>
      <x:c r="G510" s="13"/>
      <x:c r="H510" s="30" t="str">
        <x:f>IF(AND(E510&lt;&gt;"",F510="Ready"),"Yes","No")</x:f>
        <x:v>No</x:v>
      </x:c>
      <x:c r="I510" s="11"/>
    </x:row>
    <x:row r="511" ht="38" customHeight="1">
      <x:c r="A511" s="30" t="str">
        <x:v>CL0507</x:v>
      </x:c>
      <x:c r="B511" s="30" t="str">
        <x:v>Resume &amp; Experience</x:v>
      </x:c>
      <x:c r="C511" s="31" t="str">
        <x:v>I. What did you do</x:v>
      </x:c>
      <x:c r="D511" s="32" t="n">
        <x:f>COUNTIF('All Questions'!$G$5:$G$1725,A511)</x:f>
        <x:v>1</x:v>
      </x:c>
      <x:c r="E511" s="11"/>
      <x:c r="F511" s="12" t="str">
        <x:v>Not Started</x:v>
      </x:c>
      <x:c r="G511" s="13"/>
      <x:c r="H511" s="30" t="str">
        <x:f>IF(AND(E511&lt;&gt;"",F511="Ready"),"Yes","No")</x:f>
        <x:v>No</x:v>
      </x:c>
      <x:c r="I511" s="11"/>
    </x:row>
    <x:row r="512" ht="38" customHeight="1">
      <x:c r="A512" s="30" t="str">
        <x:v>CL0508</x:v>
      </x:c>
      <x:c r="B512" s="30" t="str">
        <x:v>Resume &amp; Experience</x:v>
      </x:c>
      <x:c r="C512" s="31" t="str">
        <x:v>I. What did you do? Also walked through some industry trends</x:v>
      </x:c>
      <x:c r="D512" s="32" t="n">
        <x:f>COUNTIF('All Questions'!$G$5:$G$1725,A512)</x:f>
        <x:v>1</x:v>
      </x:c>
      <x:c r="E512" s="11"/>
      <x:c r="F512" s="12" t="str">
        <x:v>Not Started</x:v>
      </x:c>
      <x:c r="G512" s="13"/>
      <x:c r="H512" s="30" t="str">
        <x:f>IF(AND(E512&lt;&gt;"",F512="Ready"),"Yes","No")</x:f>
        <x:v>No</x:v>
      </x:c>
      <x:c r="I512" s="11"/>
    </x:row>
    <x:row r="513" ht="38" customHeight="1">
      <x:c r="A513" s="30" t="str">
        <x:v>CL0509</x:v>
      </x:c>
      <x:c r="B513" s="30" t="str">
        <x:v>Other Question</x:v>
      </x:c>
      <x:c r="C513" s="31" t="str">
        <x:v>I. What do you think are the drivers</x:v>
      </x:c>
      <x:c r="D513" s="32" t="n">
        <x:f>COUNTIF('All Questions'!$G$5:$G$1725,A513)</x:f>
        <x:v>1</x:v>
      </x:c>
      <x:c r="E513" s="11"/>
      <x:c r="F513" s="12" t="str">
        <x:v>Not Started</x:v>
      </x:c>
      <x:c r="G513" s="13"/>
      <x:c r="H513" s="30" t="str">
        <x:f>IF(AND(E513&lt;&gt;"",F513="Ready"),"Yes","No")</x:f>
        <x:v>No</x:v>
      </x:c>
      <x:c r="I513" s="11"/>
    </x:row>
    <x:row r="514" ht="58" customHeight="1">
      <x:c r="A514" s="30" t="str">
        <x:v>CL0510</x:v>
      </x:c>
      <x:c r="B514" s="30" t="str">
        <x:v>Resume &amp; Experience</x:v>
      </x:c>
      <x:c r="C514" s="31" t="str">
        <x:v>I've seen lots of experiences within Chinese banks. What are the points that you like and dislike about them</x:v>
      </x:c>
      <x:c r="D514" s="32" t="n">
        <x:f>COUNTIF('All Questions'!$G$5:$G$1725,A514)</x:f>
        <x:v>1</x:v>
      </x:c>
      <x:c r="E514" s="11"/>
      <x:c r="F514" s="12" t="str">
        <x:v>Not Started</x:v>
      </x:c>
      <x:c r="G514" s="13"/>
      <x:c r="H514" s="30" t="str">
        <x:f>IF(AND(E514&lt;&gt;"",F514="Ready"),"Yes","No")</x:f>
        <x:v>No</x:v>
      </x:c>
      <x:c r="I514" s="11"/>
    </x:row>
    <x:row r="515" ht="58" customHeight="1">
      <x:c r="A515" s="30" t="str">
        <x:v>CL0511</x:v>
      </x:c>
      <x:c r="B515" s="30" t="str">
        <x:v>Company, Industry &amp; Deals</x:v>
      </x:c>
      <x:c r="C515" s="31" t="str">
        <x:v>If a car company and a pe firm are buying a company that makes wheel, which one can pay higher</x:v>
      </x:c>
      <x:c r="D515" s="32" t="n">
        <x:f>COUNTIF('All Questions'!$G$5:$G$1725,A515)</x:f>
        <x:v>1</x:v>
      </x:c>
      <x:c r="E515" s="11"/>
      <x:c r="F515" s="12" t="str">
        <x:v>Not Started</x:v>
      </x:c>
      <x:c r="G515" s="13"/>
      <x:c r="H515" s="30" t="str">
        <x:f>IF(AND(E515&lt;&gt;"",F515="Ready"),"Yes","No")</x:f>
        <x:v>No</x:v>
      </x:c>
      <x:c r="I515" s="11"/>
    </x:row>
    <x:row r="516" ht="38" customHeight="1">
      <x:c r="A516" s="30" t="str">
        <x:v>CL0512</x:v>
      </x:c>
      <x:c r="B516" s="30" t="str">
        <x:v>Accounting &amp; Financial Statements</x:v>
      </x:c>
      <x:c r="C516" s="31" t="str">
        <x:v>If a company has negative and unstable cash flow, how will you value it</x:v>
      </x:c>
      <x:c r="D516" s="32" t="n">
        <x:f>COUNTIF('All Questions'!$G$5:$G$1725,A516)</x:f>
        <x:v>1</x:v>
      </x:c>
      <x:c r="E516" s="11"/>
      <x:c r="F516" s="12" t="str">
        <x:v>Not Started</x:v>
      </x:c>
      <x:c r="G516" s="13"/>
      <x:c r="H516" s="30" t="str">
        <x:f>IF(AND(E516&lt;&gt;"",F516="Ready"),"Yes","No")</x:f>
        <x:v>No</x:v>
      </x:c>
      <x:c r="I516" s="11"/>
    </x:row>
    <x:row r="517" ht="38" customHeight="1">
      <x:c r="A517" s="30" t="str">
        <x:v>CL0513</x:v>
      </x:c>
      <x:c r="B517" s="30" t="str">
        <x:v>Accounting &amp; Financial Statements</x:v>
      </x:c>
      <x:c r="C517" s="31" t="str">
        <x:v>If depreciation is up by 10, how would it affect the 3 FS</x:v>
      </x:c>
      <x:c r="D517" s="32" t="n">
        <x:f>COUNTIF('All Questions'!$G$5:$G$1725,A517)</x:f>
        <x:v>1</x:v>
      </x:c>
      <x:c r="E517" s="11"/>
      <x:c r="F517" s="12" t="str">
        <x:v>Not Started</x:v>
      </x:c>
      <x:c r="G517" s="13"/>
      <x:c r="H517" s="30" t="str">
        <x:f>IF(AND(E517&lt;&gt;"",F517="Ready"),"Yes","No")</x:f>
        <x:v>No</x:v>
      </x:c>
      <x:c r="I517" s="11"/>
    </x:row>
    <x:row r="518" ht="38" customHeight="1">
      <x:c r="A518" s="30" t="str">
        <x:v>CL0514</x:v>
      </x:c>
      <x:c r="B518" s="30" t="str">
        <x:v>Valuation</x:v>
      </x:c>
      <x:c r="C518" s="31" t="str">
        <x:v>If I have a clothing manufacturer in Vietnam, how do I get the comparable companies</x:v>
      </x:c>
      <x:c r="D518" s="32" t="n">
        <x:f>COUNTIF('All Questions'!$G$5:$G$1725,A518)</x:f>
        <x:v>1</x:v>
      </x:c>
      <x:c r="E518" s="11"/>
      <x:c r="F518" s="12" t="str">
        <x:v>Not Started</x:v>
      </x:c>
      <x:c r="G518" s="13"/>
      <x:c r="H518" s="30" t="str">
        <x:f>IF(AND(E518&lt;&gt;"",F518="Ready"),"Yes","No")</x:f>
        <x:v>No</x:v>
      </x:c>
      <x:c r="I518" s="11"/>
    </x:row>
    <x:row r="519" ht="80" customHeight="1">
      <x:c r="A519" s="30" t="str">
        <x:v>CL0515</x:v>
      </x:c>
      <x:c r="B519" s="30" t="str">
        <x:v>Other Technical</x:v>
      </x:c>
      <x:c r="C519" s="31" t="str">
        <x:v>If I sent you a model done by others and there are a lot of errors, probably because of circular referencing, where would you start checking and how would you make amendments for it</x:v>
      </x:c>
      <x:c r="D519" s="32" t="n">
        <x:f>COUNTIF('All Questions'!$G$5:$G$1725,A519)</x:f>
        <x:v>1</x:v>
      </x:c>
      <x:c r="E519" s="11"/>
      <x:c r="F519" s="12" t="str">
        <x:v>Not Started</x:v>
      </x:c>
      <x:c r="G519" s="13"/>
      <x:c r="H519" s="30" t="str">
        <x:f>IF(AND(E519&lt;&gt;"",F519="Ready"),"Yes","No")</x:f>
        <x:v>No</x:v>
      </x:c>
      <x:c r="I519" s="11"/>
    </x:row>
    <x:row r="520" ht="58" customHeight="1">
      <x:c r="A520" s="30" t="str">
        <x:v>CL0516</x:v>
      </x:c>
      <x:c r="B520" s="30" t="str">
        <x:v>M&amp;A</x:v>
      </x:c>
      <x:c r="C520" s="31" t="str">
        <x:v>If the company were to be acquired 100% by another company how much would it be (higher than ev bc control premium)</x:v>
      </x:c>
      <x:c r="D520" s="32" t="n">
        <x:f>COUNTIF('All Questions'!$G$5:$G$1725,A520)</x:f>
        <x:v>1</x:v>
      </x:c>
      <x:c r="E520" s="11"/>
      <x:c r="F520" s="12" t="str">
        <x:v>Not Started</x:v>
      </x:c>
      <x:c r="G520" s="13"/>
      <x:c r="H520" s="30" t="str">
        <x:f>IF(AND(E520&lt;&gt;"",F520="Ready"),"Yes","No")</x:f>
        <x:v>No</x:v>
      </x:c>
      <x:c r="I520" s="11"/>
    </x:row>
    <x:row r="521" ht="38" customHeight="1">
      <x:c r="A521" s="30" t="str">
        <x:v>CL0517</x:v>
      </x:c>
      <x:c r="B521" s="30" t="str">
        <x:v>Company, Industry &amp; Deals</x:v>
      </x:c>
      <x:c r="C521" s="31" t="str">
        <x:v>If the company's operations are in China, but listed in US, what Rf do you use</x:v>
      </x:c>
      <x:c r="D521" s="32" t="n">
        <x:f>COUNTIF('All Questions'!$G$5:$G$1725,A521)</x:f>
        <x:v>1</x:v>
      </x:c>
      <x:c r="E521" s="11"/>
      <x:c r="F521" s="12" t="str">
        <x:v>Not Started</x:v>
      </x:c>
      <x:c r="G521" s="13"/>
      <x:c r="H521" s="30" t="str">
        <x:f>IF(AND(E521&lt;&gt;"",F521="Ready"),"Yes","No")</x:f>
        <x:v>No</x:v>
      </x:c>
      <x:c r="I521" s="11"/>
    </x:row>
    <x:row r="522" ht="38" customHeight="1">
      <x:c r="A522" s="30" t="str">
        <x:v>CL0518</x:v>
      </x:c>
      <x:c r="B522" s="30" t="str">
        <x:v>Accounting &amp; Financial Statements</x:v>
      </x:c>
      <x:c r="C522" s="31" t="str">
        <x:v>If the desk is managing a long short pair for client, what actions to take(TRS)</x:v>
      </x:c>
      <x:c r="D522" s="32" t="n">
        <x:f>COUNTIF('All Questions'!$G$5:$G$1725,A522)</x:f>
        <x:v>1</x:v>
      </x:c>
      <x:c r="E522" s="11"/>
      <x:c r="F522" s="12" t="str">
        <x:v>Not Started</x:v>
      </x:c>
      <x:c r="G522" s="13"/>
      <x:c r="H522" s="30" t="str">
        <x:f>IF(AND(E522&lt;&gt;"",F522="Ready"),"Yes","No")</x:f>
        <x:v>No</x:v>
      </x:c>
      <x:c r="I522" s="11"/>
    </x:row>
    <x:row r="523" ht="38" customHeight="1">
      <x:c r="A523" s="30" t="str">
        <x:v>CL0519</x:v>
      </x:c>
      <x:c r="B523" s="30" t="str">
        <x:v>Accounting &amp; Financial Statements</x:v>
      </x:c>
      <x:c r="C523" s="31" t="str">
        <x:v>If the IRR is 15%, the interest rate is 20%, should u borrow the debt</x:v>
      </x:c>
      <x:c r="D523" s="32" t="n">
        <x:f>COUNTIF('All Questions'!$G$5:$G$1725,A523)</x:f>
        <x:v>1</x:v>
      </x:c>
      <x:c r="E523" s="11"/>
      <x:c r="F523" s="12" t="str">
        <x:v>Not Started</x:v>
      </x:c>
      <x:c r="G523" s="13"/>
      <x:c r="H523" s="30" t="str">
        <x:f>IF(AND(E523&lt;&gt;"",F523="Ready"),"Yes","No")</x:f>
        <x:v>No</x:v>
      </x:c>
      <x:c r="I523" s="11"/>
    </x:row>
    <x:row r="524" ht="38" customHeight="1">
      <x:c r="A524" s="30" t="str">
        <x:v>CL0520</x:v>
      </x:c>
      <x:c r="B524" s="30" t="str">
        <x:v>Other Question</x:v>
      </x:c>
      <x:c r="C524" s="31" t="str">
        <x:v>If the manager asked you to pitch a wrong idea to client, how would you do</x:v>
      </x:c>
      <x:c r="D524" s="32" t="n">
        <x:f>COUNTIF('All Questions'!$G$5:$G$1725,A524)</x:f>
        <x:v>1</x:v>
      </x:c>
      <x:c r="E524" s="11"/>
      <x:c r="F524" s="12" t="str">
        <x:v>Not Started</x:v>
      </x:c>
      <x:c r="G524" s="13"/>
      <x:c r="H524" s="30" t="str">
        <x:f>IF(AND(E524&lt;&gt;"",F524="Ready"),"Yes","No")</x:f>
        <x:v>No</x:v>
      </x:c>
      <x:c r="I524" s="11"/>
    </x:row>
    <x:row r="525" ht="58" customHeight="1">
      <x:c r="A525" s="30" t="str">
        <x:v>CL0521</x:v>
      </x:c>
      <x:c r="B525" s="30" t="str">
        <x:v>Accounting &amp; Financial Statements</x:v>
      </x:c>
      <x:c r="C525" s="31" t="str">
        <x:v>If the market is going really bad, for example, a covid lockdown - what operational information would you look at to assess the company's risks</x:v>
      </x:c>
      <x:c r="D525" s="32" t="n">
        <x:f>COUNTIF('All Questions'!$G$5:$G$1725,A525)</x:f>
        <x:v>1</x:v>
      </x:c>
      <x:c r="E525" s="11"/>
      <x:c r="F525" s="12" t="str">
        <x:v>Not Started</x:v>
      </x:c>
      <x:c r="G525" s="13"/>
      <x:c r="H525" s="30" t="str">
        <x:f>IF(AND(E525&lt;&gt;"",F525="Ready"),"Yes","No")</x:f>
        <x:v>No</x:v>
      </x:c>
      <x:c r="I525" s="11"/>
    </x:row>
    <x:row r="526" ht="58" customHeight="1">
      <x:c r="A526" s="30" t="str">
        <x:v>CL0522</x:v>
      </x:c>
      <x:c r="B526" s="30" t="str">
        <x:v>Other Question</x:v>
      </x:c>
      <x:c r="C526" s="31" t="str">
        <x:v>If the price fluctuation of callable bonds increase, how does it effect the YTM? (increase)</x:v>
      </x:c>
      <x:c r="D526" s="32" t="n">
        <x:f>COUNTIF('All Questions'!$G$5:$G$1725,A526)</x:f>
        <x:v>1</x:v>
      </x:c>
      <x:c r="E526" s="11"/>
      <x:c r="F526" s="12" t="str">
        <x:v>Not Started</x:v>
      </x:c>
      <x:c r="G526" s="13"/>
      <x:c r="H526" s="30" t="str">
        <x:f>IF(AND(E526&lt;&gt;"",F526="Ready"),"Yes","No")</x:f>
        <x:v>No</x:v>
      </x:c>
      <x:c r="I526" s="11"/>
    </x:row>
    <x:row r="527" ht="80" customHeight="1">
      <x:c r="A527" s="30" t="str">
        <x:v>CL0523</x:v>
      </x:c>
      <x:c r="B527" s="30" t="str">
        <x:v>M&amp;A</x:v>
      </x:c>
      <x:c r="C527" s="31" t="str">
        <x:v>If there’s an energy company and you’re working on a sell side model, you have the ASP, sales volume, utilization rates, PPA, what inputs will you put into the model? Would you be more aggressive or less aggressive</x:v>
      </x:c>
      <x:c r="D527" s="32" t="n">
        <x:f>COUNTIF('All Questions'!$G$5:$G$1725,A527)</x:f>
        <x:v>1</x:v>
      </x:c>
      <x:c r="E527" s="11"/>
      <x:c r="F527" s="12" t="str">
        <x:v>Not Started</x:v>
      </x:c>
      <x:c r="G527" s="13"/>
      <x:c r="H527" s="30" t="str">
        <x:f>IF(AND(E527&lt;&gt;"",F527="Ready"),"Yes","No")</x:f>
        <x:v>No</x:v>
      </x:c>
      <x:c r="I527" s="11"/>
    </x:row>
    <x:row r="528" ht="38" customHeight="1">
      <x:c r="A528" s="30" t="str">
        <x:v>CL0524</x:v>
      </x:c>
      <x:c r="B528" s="30" t="str">
        <x:v>Valuation</x:v>
      </x:c>
      <x:c r="C528" s="31" t="str">
        <x:v>If we borrow money from a bank for 100, how will it affect Enterprise value</x:v>
      </x:c>
      <x:c r="D528" s="32" t="n">
        <x:f>COUNTIF('All Questions'!$G$5:$G$1725,A528)</x:f>
        <x:v>1</x:v>
      </x:c>
      <x:c r="E528" s="11"/>
      <x:c r="F528" s="12" t="str">
        <x:v>Not Started</x:v>
      </x:c>
      <x:c r="G528" s="13"/>
      <x:c r="H528" s="30" t="str">
        <x:f>IF(AND(E528&lt;&gt;"",F528="Ready"),"Yes","No")</x:f>
        <x:v>No</x:v>
      </x:c>
      <x:c r="I528" s="11"/>
    </x:row>
    <x:row r="529" ht="38" customHeight="1">
      <x:c r="A529" s="30" t="str">
        <x:v>CL0525</x:v>
      </x:c>
      <x:c r="B529" s="30" t="str">
        <x:v>M&amp;A</x:v>
      </x:c>
      <x:c r="C529" s="31" t="str">
        <x:v>If you are a strategic buyer, what's the answer</x:v>
      </x:c>
      <x:c r="D529" s="32" t="n">
        <x:f>COUNTIF('All Questions'!$G$5:$G$1725,A529)</x:f>
        <x:v>1</x:v>
      </x:c>
      <x:c r="E529" s="11"/>
      <x:c r="F529" s="12" t="str">
        <x:v>Not Started</x:v>
      </x:c>
      <x:c r="G529" s="13"/>
      <x:c r="H529" s="30" t="str">
        <x:f>IF(AND(E529&lt;&gt;"",F529="Ready"),"Yes","No")</x:f>
        <x:v>No</x:v>
      </x:c>
      <x:c r="I529" s="11"/>
    </x:row>
    <x:row r="530" ht="58" customHeight="1">
      <x:c r="A530" s="30" t="str">
        <x:v>CL0526</x:v>
      </x:c>
      <x:c r="B530" s="30" t="str">
        <x:v>Other Question</x:v>
      </x:c>
      <x:c r="C530" s="31" t="str">
        <x:v>If you are given 1 million dollars, and you are not allowed to use it to invest or make it grow, what would you use it for</x:v>
      </x:c>
      <x:c r="D530" s="32" t="n">
        <x:f>COUNTIF('All Questions'!$G$5:$G$1725,A530)</x:f>
        <x:v>1</x:v>
      </x:c>
      <x:c r="E530" s="11"/>
      <x:c r="F530" s="12" t="str">
        <x:v>Not Started</x:v>
      </x:c>
      <x:c r="G530" s="13"/>
      <x:c r="H530" s="30" t="str">
        <x:f>IF(AND(E530&lt;&gt;"",F530="Ready"),"Yes","No")</x:f>
        <x:v>No</x:v>
      </x:c>
      <x:c r="I530" s="11"/>
    </x:row>
    <x:row r="531" ht="58" customHeight="1">
      <x:c r="A531" s="30" t="str">
        <x:v>CL0527</x:v>
      </x:c>
      <x:c r="B531" s="30" t="str">
        <x:v>Other Question</x:v>
      </x:c>
      <x:c r="C531" s="31" t="str">
        <x:v>If you are reaching out to a sponsor, asking for specific data to analyse their debt servicing ability, what are the most important data you need to ask for</x:v>
      </x:c>
      <x:c r="D531" s="32" t="n">
        <x:f>COUNTIF('All Questions'!$G$5:$G$1725,A531)</x:f>
        <x:v>1</x:v>
      </x:c>
      <x:c r="E531" s="11"/>
      <x:c r="F531" s="12" t="str">
        <x:v>Not Started</x:v>
      </x:c>
      <x:c r="G531" s="13"/>
      <x:c r="H531" s="30" t="str">
        <x:f>IF(AND(E531&lt;&gt;"",F531="Ready"),"Yes","No")</x:f>
        <x:v>No</x:v>
      </x:c>
      <x:c r="I531" s="11"/>
    </x:row>
    <x:row r="532" ht="38" customHeight="1">
      <x:c r="A532" s="30" t="str">
        <x:v>CL0528</x:v>
      </x:c>
      <x:c r="B532" s="30" t="str">
        <x:v>Other Question</x:v>
      </x:c>
      <x:c r="C532" s="31" t="str">
        <x:v>If you are the investment bank, what factors would you look other than the above</x:v>
      </x:c>
      <x:c r="D532" s="32" t="n">
        <x:f>COUNTIF('All Questions'!$G$5:$G$1725,A532)</x:f>
        <x:v>1</x:v>
      </x:c>
      <x:c r="E532" s="11"/>
      <x:c r="F532" s="12" t="str">
        <x:v>Not Started</x:v>
      </x:c>
      <x:c r="G532" s="13"/>
      <x:c r="H532" s="30" t="str">
        <x:f>IF(AND(E532&lt;&gt;"",F532="Ready"),"Yes","No")</x:f>
        <x:v>No</x:v>
      </x:c>
      <x:c r="I532" s="11"/>
    </x:row>
    <x:row r="533" ht="38" customHeight="1">
      <x:c r="A533" s="30" t="str">
        <x:v>CL0529</x:v>
      </x:c>
      <x:c r="B533" s="30" t="str">
        <x:v>Other Question</x:v>
      </x:c>
      <x:c r="C533" s="31" t="str">
        <x:v>If you could change one aspect of the GS, what will you do</x:v>
      </x:c>
      <x:c r="D533" s="32" t="n">
        <x:f>COUNTIF('All Questions'!$G$5:$G$1725,A533)</x:f>
        <x:v>1</x:v>
      </x:c>
      <x:c r="E533" s="11"/>
      <x:c r="F533" s="12" t="str">
        <x:v>Not Started</x:v>
      </x:c>
      <x:c r="G533" s="13"/>
      <x:c r="H533" s="30" t="str">
        <x:f>IF(AND(E533&lt;&gt;"",F533="Ready"),"Yes","No")</x:f>
        <x:v>No</x:v>
      </x:c>
      <x:c r="I533" s="11"/>
    </x:row>
    <x:row r="534" ht="58" customHeight="1">
      <x:c r="A534" s="30" t="str">
        <x:v>CL0530</x:v>
      </x:c>
      <x:c r="B534" s="30" t="str">
        <x:v>Other Technical</x:v>
      </x:c>
      <x:c r="C534" s="31" t="str">
        <x:v>If you don’t work in investment banking or finance in the long term, what would you work in</x:v>
      </x:c>
      <x:c r="D534" s="32" t="n">
        <x:f>COUNTIF('All Questions'!$G$5:$G$1725,A534)</x:f>
        <x:v>1</x:v>
      </x:c>
      <x:c r="E534" s="11"/>
      <x:c r="F534" s="12" t="str">
        <x:v>Not Started</x:v>
      </x:c>
      <x:c r="G534" s="13"/>
      <x:c r="H534" s="30" t="str">
        <x:f>IF(AND(E534&lt;&gt;"",F534="Ready"),"Yes","No")</x:f>
        <x:v>No</x:v>
      </x:c>
      <x:c r="I534" s="11"/>
    </x:row>
    <x:row r="535" ht="80" customHeight="1">
      <x:c r="A535" s="30" t="str">
        <x:v>CL0531</x:v>
      </x:c>
      <x:c r="B535" s="30" t="str">
        <x:v>Capital Markets &amp; Financing</x:v>
      </x:c>
      <x:c r="C535" s="31" t="str">
        <x:v>If you get offer from MS GCM, and you call your grandma back to Yunnan, your grandma said congratulations but what if GCM? What will you explain to your grandma about your role</x:v>
      </x:c>
      <x:c r="D535" s="32" t="n">
        <x:f>COUNTIF('All Questions'!$G$5:$G$1725,A535)</x:f>
        <x:v>1</x:v>
      </x:c>
      <x:c r="E535" s="11"/>
      <x:c r="F535" s="12" t="str">
        <x:v>Not Started</x:v>
      </x:c>
      <x:c r="G535" s="13"/>
      <x:c r="H535" s="30" t="str">
        <x:f>IF(AND(E535&lt;&gt;"",F535="Ready"),"Yes","No")</x:f>
        <x:v>No</x:v>
      </x:c>
      <x:c r="I535" s="11"/>
    </x:row>
    <x:row r="536" ht="80" customHeight="1">
      <x:c r="A536" s="30" t="str">
        <x:v>CL0532</x:v>
      </x:c>
      <x:c r="B536" s="30" t="str">
        <x:v>Private Equity &amp; LBO</x:v>
      </x:c>
      <x:c r="C536" s="31" t="str">
        <x:v>If you're my intern and we want to decide whether we should lend money to KKR for LBO, what will you include in a 2-page memo for me to read suppose I don't know anything about the company</x:v>
      </x:c>
      <x:c r="D536" s="32" t="n">
        <x:f>COUNTIF('All Questions'!$G$5:$G$1725,A536)</x:f>
        <x:v>1</x:v>
      </x:c>
      <x:c r="E536" s="11"/>
      <x:c r="F536" s="12" t="str">
        <x:v>Not Started</x:v>
      </x:c>
      <x:c r="G536" s="13"/>
      <x:c r="H536" s="30" t="str">
        <x:f>IF(AND(E536&lt;&gt;"",F536="Ready"),"Yes","No")</x:f>
        <x:v>No</x:v>
      </x:c>
      <x:c r="I536" s="11"/>
    </x:row>
    <x:row r="537" ht="58" customHeight="1">
      <x:c r="A537" s="30" t="str">
        <x:v>CL0533</x:v>
      </x:c>
      <x:c r="B537" s="30" t="str">
        <x:v>Behavioral &amp; Situational</x:v>
      </x:c>
      <x:c r="C537" s="31" t="str">
        <x:v>If you're walking into the meeting room for the clients but you suddenly realized a big mistake about the numbers, what will you do</x:v>
      </x:c>
      <x:c r="D537" s="32" t="n">
        <x:f>COUNTIF('All Questions'!$G$5:$G$1725,A537)</x:f>
        <x:v>1</x:v>
      </x:c>
      <x:c r="E537" s="11"/>
      <x:c r="F537" s="12" t="str">
        <x:v>Not Started</x:v>
      </x:c>
      <x:c r="G537" s="13"/>
      <x:c r="H537" s="30" t="str">
        <x:f>IF(AND(E537&lt;&gt;"",F537="Ready"),"Yes","No")</x:f>
        <x:v>No</x:v>
      </x:c>
      <x:c r="I537" s="11"/>
    </x:row>
    <x:row r="538" ht="38" customHeight="1">
      <x:c r="A538" s="30" t="str">
        <x:v>CL0534</x:v>
      </x:c>
      <x:c r="B538" s="30" t="str">
        <x:v>Private Equity &amp; LBO</x:v>
      </x:c>
      <x:c r="C538" s="31" t="str">
        <x:v>If your are a financial sponsor, what's the answer</x:v>
      </x:c>
      <x:c r="D538" s="32" t="n">
        <x:f>COUNTIF('All Questions'!$G$5:$G$1725,A538)</x:f>
        <x:v>1</x:v>
      </x:c>
      <x:c r="E538" s="11"/>
      <x:c r="F538" s="12" t="str">
        <x:v>Not Started</x:v>
      </x:c>
      <x:c r="G538" s="13"/>
      <x:c r="H538" s="30" t="str">
        <x:f>IF(AND(E538&lt;&gt;"",F538="Ready"),"Yes","No")</x:f>
        <x:v>No</x:v>
      </x:c>
      <x:c r="I538" s="11"/>
    </x:row>
    <x:row r="539" ht="112" customHeight="1">
      <x:c r="A539" s="30" t="str">
        <x:v>CL0535</x:v>
      </x:c>
      <x:c r="B539" s="30" t="str">
        <x:v>Accounting &amp; Financial Statements</x:v>
      </x:c>
      <x:c r="C539"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D539" s="32" t="n">
        <x:f>COUNTIF('All Questions'!$G$5:$G$1725,A539)</x:f>
        <x:v>1</x:v>
      </x:c>
      <x:c r="E539" s="11"/>
      <x:c r="F539" s="12" t="str">
        <x:v>Not Started</x:v>
      </x:c>
      <x:c r="G539" s="13"/>
      <x:c r="H539" s="30" t="str">
        <x:f>IF(AND(E539&lt;&gt;"",F539="Ready"),"Yes","No")</x:f>
        <x:v>No</x:v>
      </x:c>
      <x:c r="I539" s="11"/>
    </x:row>
    <x:row r="540" ht="38" customHeight="1">
      <x:c r="A540" s="30" t="str">
        <x:v>CL0536</x:v>
      </x:c>
      <x:c r="B540" s="30" t="str">
        <x:v>Private Equity &amp; LBO</x:v>
      </x:c>
      <x:c r="C540" s="31" t="str">
        <x:v>In an LBO model, what item comes below EBITDA lines, why</x:v>
      </x:c>
      <x:c r="D540" s="32" t="n">
        <x:f>COUNTIF('All Questions'!$G$5:$G$1725,A540)</x:f>
        <x:v>1</x:v>
      </x:c>
      <x:c r="E540" s="11"/>
      <x:c r="F540" s="12" t="str">
        <x:v>Not Started</x:v>
      </x:c>
      <x:c r="G540" s="13"/>
      <x:c r="H540" s="30" t="str">
        <x:f>IF(AND(E540&lt;&gt;"",F540="Ready"),"Yes","No")</x:f>
        <x:v>No</x:v>
      </x:c>
      <x:c r="I540" s="11"/>
    </x:row>
    <x:row r="541" ht="80" customHeight="1">
      <x:c r="A541" s="30" t="str">
        <x:v>CL0537</x:v>
      </x:c>
      <x:c r="B541" s="30" t="str">
        <x:v>Accounting &amp; Financial Statements</x:v>
      </x:c>
      <x:c r="C541" s="31" t="str">
        <x:v>In anticipation of macro and geopolitical uncertainties such as outcome of US presidential election, what do you think is the key for investment banks to stay relevant and competitive</x:v>
      </x:c>
      <x:c r="D541" s="32" t="n">
        <x:f>COUNTIF('All Questions'!$G$5:$G$1725,A541)</x:f>
        <x:v>1</x:v>
      </x:c>
      <x:c r="E541" s="11"/>
      <x:c r="F541" s="12" t="str">
        <x:v>Not Started</x:v>
      </x:c>
      <x:c r="G541" s="13"/>
      <x:c r="H541" s="30" t="str">
        <x:f>IF(AND(E541&lt;&gt;"",F541="Ready"),"Yes","No")</x:f>
        <x:v>No</x:v>
      </x:c>
      <x:c r="I541" s="11"/>
    </x:row>
    <x:row r="542" ht="58" customHeight="1">
      <x:c r="A542" s="30" t="str">
        <x:v>CL0538</x:v>
      </x:c>
      <x:c r="B542" s="30" t="str">
        <x:v>Accounting &amp; Financial Statements</x:v>
      </x:c>
      <x:c r="C542" s="31" t="str">
        <x:v>In current market, what is current valuation level of different asset classes? Which one do you prefer to invest</x:v>
      </x:c>
      <x:c r="D542" s="32" t="n">
        <x:f>COUNTIF('All Questions'!$G$5:$G$1725,A542)</x:f>
        <x:v>1</x:v>
      </x:c>
      <x:c r="E542" s="11"/>
      <x:c r="F542" s="12" t="str">
        <x:v>Not Started</x:v>
      </x:c>
      <x:c r="G542" s="13"/>
      <x:c r="H542" s="30" t="str">
        <x:f>IF(AND(E542&lt;&gt;"",F542="Ready"),"Yes","No")</x:f>
        <x:v>No</x:v>
      </x:c>
      <x:c r="I542" s="11"/>
    </x:row>
    <x:row r="543" ht="58" customHeight="1">
      <x:c r="A543" s="30" t="str">
        <x:v>CL0539</x:v>
      </x:c>
      <x:c r="B543" s="30" t="str">
        <x:v>Accounting &amp; Financial Statements</x:v>
      </x:c>
      <x:c r="C543" s="31" t="str">
        <x:v>In light of decent deglobalisation trends, what is your view of the role of HK as a global financial hub going forward</x:v>
      </x:c>
      <x:c r="D543" s="32" t="n">
        <x:f>COUNTIF('All Questions'!$G$5:$G$1725,A543)</x:f>
        <x:v>1</x:v>
      </x:c>
      <x:c r="E543" s="11"/>
      <x:c r="F543" s="12" t="str">
        <x:v>Not Started</x:v>
      </x:c>
      <x:c r="G543" s="13"/>
      <x:c r="H543" s="30" t="str">
        <x:f>IF(AND(E543&lt;&gt;"",F543="Ready"),"Yes","No")</x:f>
        <x:v>No</x:v>
      </x:c>
      <x:c r="I543" s="11"/>
    </x:row>
    <x:row r="544" ht="80" customHeight="1">
      <x:c r="A544" s="30" t="str">
        <x:v>CL0540</x:v>
      </x:c>
      <x:c r="B544" s="30" t="str">
        <x:v>M&amp;A</x:v>
      </x:c>
      <x:c r="C544" s="31" t="str">
        <x:v>In most of the cases, involving debt financing, cash, e.g., acquisition involves all three, what are some of the impacts that have to encounter for the merger model</x:v>
      </x:c>
      <x:c r="D544" s="32" t="n">
        <x:f>COUNTIF('All Questions'!$G$5:$G$1725,A544)</x:f>
        <x:v>1</x:v>
      </x:c>
      <x:c r="E544" s="11"/>
      <x:c r="F544" s="12" t="str">
        <x:v>Not Started</x:v>
      </x:c>
      <x:c r="G544" s="13"/>
      <x:c r="H544" s="30" t="str">
        <x:f>IF(AND(E544&lt;&gt;"",F544="Ready"),"Yes","No")</x:f>
        <x:v>No</x:v>
      </x:c>
      <x:c r="I544" s="11"/>
    </x:row>
    <x:row r="545" ht="38" customHeight="1">
      <x:c r="A545" s="30" t="str">
        <x:v>CL0541</x:v>
      </x:c>
      <x:c r="B545" s="30" t="str">
        <x:v>Company, Industry &amp; Deals</x:v>
      </x:c>
      <x:c r="C545" s="31" t="str">
        <x:v>Industry Group (2 interviewers, TMT and Energy)</x:v>
      </x:c>
      <x:c r="D545" s="32" t="n">
        <x:f>COUNTIF('All Questions'!$G$5:$G$1725,A545)</x:f>
        <x:v>1</x:v>
      </x:c>
      <x:c r="E545" s="11"/>
      <x:c r="F545" s="12" t="str">
        <x:v>Not Started</x:v>
      </x:c>
      <x:c r="G545" s="13"/>
      <x:c r="H545" s="30" t="str">
        <x:f>IF(AND(E545&lt;&gt;"",F545="Ready"),"Yes","No")</x:f>
        <x:v>No</x:v>
      </x:c>
      <x:c r="I545" s="11"/>
    </x:row>
    <x:row r="546" ht="38" customHeight="1">
      <x:c r="A546" s="30" t="str">
        <x:v>CL0542</x:v>
      </x:c>
      <x:c r="B546" s="30" t="str">
        <x:v>Company, Industry &amp; Deals</x:v>
      </x:c>
      <x:c r="C546" s="31" t="str">
        <x:v>Industry insights - healthcare verticals (basic)</x:v>
      </x:c>
      <x:c r="D546" s="32" t="n">
        <x:f>COUNTIF('All Questions'!$G$5:$G$1725,A546)</x:f>
        <x:v>1</x:v>
      </x:c>
      <x:c r="E546" s="11"/>
      <x:c r="F546" s="12" t="str">
        <x:v>Not Started</x:v>
      </x:c>
      <x:c r="G546" s="13"/>
      <x:c r="H546" s="30" t="str">
        <x:f>IF(AND(E546&lt;&gt;"",F546="Ready"),"Yes","No")</x:f>
        <x:v>No</x:v>
      </x:c>
      <x:c r="I546" s="11"/>
    </x:row>
    <x:row r="547" ht="38" customHeight="1">
      <x:c r="A547" s="30" t="str">
        <x:v>CL0543</x:v>
      </x:c>
      <x:c r="B547" s="30" t="str">
        <x:v>Company, Industry &amp; Deals</x:v>
      </x:c>
      <x:c r="C547" s="31" t="str">
        <x:v>Industry overview of energy storage (globally)</x:v>
      </x:c>
      <x:c r="D547" s="32" t="n">
        <x:f>COUNTIF('All Questions'!$G$5:$G$1725,A547)</x:f>
        <x:v>1</x:v>
      </x:c>
      <x:c r="E547" s="11"/>
      <x:c r="F547" s="12" t="str">
        <x:v>Not Started</x:v>
      </x:c>
      <x:c r="G547" s="13"/>
      <x:c r="H547" s="30" t="str">
        <x:f>IF(AND(E547&lt;&gt;"",F547="Ready"),"Yes","No")</x:f>
        <x:v>No</x:v>
      </x:c>
      <x:c r="I547" s="11"/>
    </x:row>
    <x:row r="548" ht="38" customHeight="1">
      <x:c r="A548" s="30" t="str">
        <x:v>CL0544</x:v>
      </x:c>
      <x:c r="B548" s="30" t="str">
        <x:v>Company, Industry &amp; Deals</x:v>
      </x:c>
      <x:c r="C548" s="31" t="str">
        <x:v>Industry you familiar with (I talked about EV, as they have worked on deals in EV)</x:v>
      </x:c>
      <x:c r="D548" s="32" t="n">
        <x:f>COUNTIF('All Questions'!$G$5:$G$1725,A548)</x:f>
        <x:v>1</x:v>
      </x:c>
      <x:c r="E548" s="11"/>
      <x:c r="F548" s="12" t="str">
        <x:v>Not Started</x:v>
      </x:c>
      <x:c r="G548" s="13"/>
      <x:c r="H548" s="30" t="str">
        <x:f>IF(AND(E548&lt;&gt;"",F548="Ready"),"Yes","No")</x:f>
        <x:v>No</x:v>
      </x:c>
      <x:c r="I548" s="11"/>
    </x:row>
    <x:row r="549" ht="80" customHeight="1">
      <x:c r="A549" s="30" t="str">
        <x:v>CL0545</x:v>
      </x:c>
      <x:c r="B549" s="30" t="str">
        <x:v>Accounting &amp; Financial Statements</x:v>
      </x:c>
      <x:c r="C549" s="31" t="str">
        <x:v>Industry: how is the growth rate being justified? What are the key growth drivers, what was the growth rate before COVID, grwoth rate for oil, what drives the demand for oil</x:v>
      </x:c>
      <x:c r="D549" s="32" t="n">
        <x:f>COUNTIF('All Questions'!$G$5:$G$1725,A549)</x:f>
        <x:v>1</x:v>
      </x:c>
      <x:c r="E549" s="11"/>
      <x:c r="F549" s="12" t="str">
        <x:v>Not Started</x:v>
      </x:c>
      <x:c r="G549" s="13"/>
      <x:c r="H549" s="30" t="str">
        <x:f>IF(AND(E549&lt;&gt;"",F549="Ready"),"Yes","No")</x:f>
        <x:v>No</x:v>
      </x:c>
      <x:c r="I549" s="11"/>
    </x:row>
    <x:row r="550" ht="58" customHeight="1">
      <x:c r="A550" s="30" t="str">
        <x:v>CL0546</x:v>
      </x:c>
      <x:c r="B550" s="30" t="str">
        <x:v>Valuation</x:v>
      </x:c>
      <x:c r="C550" s="31" t="str">
        <x:v>Initiation on the electroplating company, how do you do valuation, investment thesis, comparables and DCF</x:v>
      </x:c>
      <x:c r="D550" s="32" t="n">
        <x:f>COUNTIF('All Questions'!$G$5:$G$1725,A550)</x:f>
        <x:v>1</x:v>
      </x:c>
      <x:c r="E550" s="11"/>
      <x:c r="F550" s="12" t="str">
        <x:v>Not Started</x:v>
      </x:c>
      <x:c r="G550" s="13"/>
      <x:c r="H550" s="30" t="str">
        <x:f>IF(AND(E550&lt;&gt;"",F550="Ready"),"Yes","No")</x:f>
        <x:v>No</x:v>
      </x:c>
      <x:c r="I550" s="11"/>
    </x:row>
    <x:row r="551" ht="38" customHeight="1">
      <x:c r="A551" s="30" t="str">
        <x:v>CL0547</x:v>
      </x:c>
      <x:c r="B551" s="30" t="str">
        <x:v>Markets &amp; Macro</x:v>
      </x:c>
      <x:c r="C551" s="31" t="str">
        <x:v>Interest rate</x:v>
      </x:c>
      <x:c r="D551" s="32" t="n">
        <x:f>COUNTIF('All Questions'!$G$5:$G$1725,A551)</x:f>
        <x:v>1</x:v>
      </x:c>
      <x:c r="E551" s="11"/>
      <x:c r="F551" s="12" t="str">
        <x:v>Not Started</x:v>
      </x:c>
      <x:c r="G551" s="13"/>
      <x:c r="H551" s="30" t="str">
        <x:f>IF(AND(E551&lt;&gt;"",F551="Ready"),"Yes","No")</x:f>
        <x:v>No</x:v>
      </x:c>
      <x:c r="I551" s="11"/>
    </x:row>
    <x:row r="552" ht="58" customHeight="1">
      <x:c r="A552" s="30" t="str">
        <x:v>CL0548</x:v>
      </x:c>
      <x:c r="B552" s="30" t="str">
        <x:v>Resume &amp; Experience</x:v>
      </x:c>
      <x:c r="C552" s="31" t="str">
        <x:v>Internship at SFC - ad hoc research on China property market and HK tick size regime - what did you do</x:v>
      </x:c>
      <x:c r="D552" s="32" t="n">
        <x:f>COUNTIF('All Questions'!$G$5:$G$1725,A552)</x:f>
        <x:v>1</x:v>
      </x:c>
      <x:c r="E552" s="11"/>
      <x:c r="F552" s="12" t="str">
        <x:v>Not Started</x:v>
      </x:c>
      <x:c r="G552" s="13"/>
      <x:c r="H552" s="30" t="str">
        <x:f>IF(AND(E552&lt;&gt;"",F552="Ready"),"Yes","No")</x:f>
        <x:v>No</x:v>
      </x:c>
      <x:c r="I552" s="11"/>
    </x:row>
    <x:row r="553" ht="58" customHeight="1">
      <x:c r="A553" s="30" t="str">
        <x:v>CL0549</x:v>
      </x:c>
      <x:c r="B553" s="30" t="str">
        <x:v>Fit &amp; Motivation</x:v>
      </x:c>
      <x:c r="C553" s="31" t="str">
        <x:v>Interrupted again when I mentioned SOTP → asked why SOTP and how I mapped the 4 comp sets, how the business model matches</x:v>
      </x:c>
      <x:c r="D553" s="32" t="n">
        <x:f>COUNTIF('All Questions'!$G$5:$G$1725,A553)</x:f>
        <x:v>1</x:v>
      </x:c>
      <x:c r="E553" s="11"/>
      <x:c r="F553" s="12" t="str">
        <x:v>Not Started</x:v>
      </x:c>
      <x:c r="G553" s="13"/>
      <x:c r="H553" s="30" t="str">
        <x:f>IF(AND(E553&lt;&gt;"",F553="Ready"),"Yes","No")</x:f>
        <x:v>No</x:v>
      </x:c>
      <x:c r="I553" s="11"/>
    </x:row>
    <x:row r="554" ht="38" customHeight="1">
      <x:c r="A554" s="30" t="str">
        <x:v>CL0550</x:v>
      </x:c>
      <x:c r="B554" s="30" t="str">
        <x:v>Fit &amp; Motivation</x:v>
      </x:c>
      <x:c r="C554" s="31" t="str">
        <x:v>Introduce one recent headline that you follow (in mandarin)</x:v>
      </x:c>
      <x:c r="D554" s="32" t="n">
        <x:f>COUNTIF('All Questions'!$G$5:$G$1725,A554)</x:f>
        <x:v>1</x:v>
      </x:c>
      <x:c r="E554" s="11"/>
      <x:c r="F554" s="12" t="str">
        <x:v>Not Started</x:v>
      </x:c>
      <x:c r="G554" s="13"/>
      <x:c r="H554" s="30" t="str">
        <x:f>IF(AND(E554&lt;&gt;"",F554="Ready"),"Yes","No")</x:f>
        <x:v>No</x:v>
      </x:c>
      <x:c r="I554" s="11"/>
    </x:row>
    <x:row r="555" ht="38" customHeight="1">
      <x:c r="A555" s="30" t="str">
        <x:v>CL0551</x:v>
      </x:c>
      <x:c r="B555" s="30" t="str">
        <x:v>Company, Industry &amp; Deals</x:v>
      </x:c>
      <x:c r="C555" s="31" t="str">
        <x:v>Introduce the UBS deal and what you have done</x:v>
      </x:c>
      <x:c r="D555" s="32" t="n">
        <x:f>COUNTIF('All Questions'!$G$5:$G$1725,A555)</x:f>
        <x:v>1</x:v>
      </x:c>
      <x:c r="E555" s="11"/>
      <x:c r="F555" s="12" t="str">
        <x:v>Not Started</x:v>
      </x:c>
      <x:c r="G555" s="13"/>
      <x:c r="H555" s="30" t="str">
        <x:f>IF(AND(E555&lt;&gt;"",F555="Ready"),"Yes","No")</x:f>
        <x:v>No</x:v>
      </x:c>
      <x:c r="I555" s="11"/>
    </x:row>
    <x:row r="556" ht="58" customHeight="1">
      <x:c r="A556" s="30" t="str">
        <x:v>CL0552</x:v>
      </x:c>
      <x:c r="B556" s="30" t="str">
        <x:v>Fit &amp; Motivation</x:v>
      </x:c>
      <x:c r="C556" s="31" t="str">
        <x:v>Investment accounting (why did i not revise this): company A acquire 30% of a company B with 100 dollars, effect on 3 statement</x:v>
      </x:c>
      <x:c r="D556" s="32" t="n">
        <x:f>COUNTIF('All Questions'!$G$5:$G$1725,A556)</x:f>
        <x:v>1</x:v>
      </x:c>
      <x:c r="E556" s="11"/>
      <x:c r="F556" s="12" t="str">
        <x:v>Not Started</x:v>
      </x:c>
      <x:c r="G556" s="13"/>
      <x:c r="H556" s="30" t="str">
        <x:f>IF(AND(E556&lt;&gt;"",F556="Ready"),"Yes","No")</x:f>
        <x:v>No</x:v>
      </x:c>
      <x:c r="I556" s="11"/>
    </x:row>
    <x:row r="557" ht="38" customHeight="1">
      <x:c r="A557" s="30" t="str">
        <x:v>CL0553</x:v>
      </x:c>
      <x:c r="B557" s="30" t="str">
        <x:v>Accounting &amp; Financial Statements</x:v>
      </x:c>
      <x:c r="C557" s="31" t="str">
        <x:v>Is AMPB a specialized program</x:v>
      </x:c>
      <x:c r="D557" s="32" t="n">
        <x:f>COUNTIF('All Questions'!$G$5:$G$1725,A557)</x:f>
        <x:v>1</x:v>
      </x:c>
      <x:c r="E557" s="11"/>
      <x:c r="F557" s="12" t="str">
        <x:v>Not Started</x:v>
      </x:c>
      <x:c r="G557" s="13"/>
      <x:c r="H557" s="30" t="str">
        <x:f>IF(AND(E557&lt;&gt;"",F557="Ready"),"Yes","No")</x:f>
        <x:v>No</x:v>
      </x:c>
      <x:c r="I557" s="11"/>
    </x:row>
    <x:row r="558" ht="38" customHeight="1">
      <x:c r="A558" s="30" t="str">
        <x:v>CL0554</x:v>
      </x:c>
      <x:c r="B558" s="30" t="str">
        <x:v>Accounting &amp; Financial Statements</x:v>
      </x:c>
      <x:c r="C558" s="31" t="str">
        <x:v>Is it common for people with your degree to pursue ibd</x:v>
      </x:c>
      <x:c r="D558" s="32" t="n">
        <x:f>COUNTIF('All Questions'!$G$5:$G$1725,A558)</x:f>
        <x:v>1</x:v>
      </x:c>
      <x:c r="E558" s="11"/>
      <x:c r="F558" s="12" t="str">
        <x:v>Not Started</x:v>
      </x:c>
      <x:c r="G558" s="13"/>
      <x:c r="H558" s="30" t="str">
        <x:f>IF(AND(E558&lt;&gt;"",F558="Ready"),"Yes","No")</x:f>
        <x:v>No</x:v>
      </x:c>
      <x:c r="I558" s="11"/>
    </x:row>
    <x:row r="559" ht="38" customHeight="1">
      <x:c r="A559" s="30" t="str">
        <x:v>CL0555</x:v>
      </x:c>
      <x:c r="B559" s="30" t="str">
        <x:v>Accounting &amp; Financial Statements</x:v>
      </x:c>
      <x:c r="C559" s="31" t="str">
        <x:v>Is lottery prize in FCFF and why</x:v>
      </x:c>
      <x:c r="D559" s="32" t="n">
        <x:f>COUNTIF('All Questions'!$G$5:$G$1725,A559)</x:f>
        <x:v>1</x:v>
      </x:c>
      <x:c r="E559" s="11"/>
      <x:c r="F559" s="12" t="str">
        <x:v>Not Started</x:v>
      </x:c>
      <x:c r="G559" s="13"/>
      <x:c r="H559" s="30" t="str">
        <x:f>IF(AND(E559&lt;&gt;"",F559="Ready"),"Yes","No")</x:f>
        <x:v>No</x:v>
      </x:c>
      <x:c r="I559" s="11"/>
    </x:row>
    <x:row r="560" ht="38" customHeight="1">
      <x:c r="A560" s="30" t="str">
        <x:v>CL0556</x:v>
      </x:c>
      <x:c r="B560" s="30" t="str">
        <x:v>Resume &amp; Experience</x:v>
      </x:c>
      <x:c r="C560" s="31" t="str">
        <x:v>Is Nomura a formal internship? (lmao)</x:v>
      </x:c>
      <x:c r="D560" s="32" t="n">
        <x:f>COUNTIF('All Questions'!$G$5:$G$1725,A560)</x:f>
        <x:v>1</x:v>
      </x:c>
      <x:c r="E560" s="11"/>
      <x:c r="F560" s="12" t="str">
        <x:v>Not Started</x:v>
      </x:c>
      <x:c r="G560" s="13"/>
      <x:c r="H560" s="30" t="str">
        <x:f>IF(AND(E560&lt;&gt;"",F560="Ready"),"Yes","No")</x:f>
        <x:v>No</x:v>
      </x:c>
      <x:c r="I560" s="11"/>
    </x:row>
    <x:row r="561" ht="58" customHeight="1">
      <x:c r="A561" s="30" t="str">
        <x:v>CL0557</x:v>
      </x:c>
      <x:c r="B561" s="30" t="str">
        <x:v>Accounting &amp; Financial Statements</x:v>
      </x:c>
      <x:c r="C561" s="31" t="str">
        <x:v>Is risk free rate truly risk free? For example US investor investing in China companies? (wtf use China yield - US yield? i dont get)</x:v>
      </x:c>
      <x:c r="D561" s="32" t="n">
        <x:f>COUNTIF('All Questions'!$G$5:$G$1725,A561)</x:f>
        <x:v>1</x:v>
      </x:c>
      <x:c r="E561" s="11"/>
      <x:c r="F561" s="12" t="str">
        <x:v>Not Started</x:v>
      </x:c>
      <x:c r="G561" s="13"/>
      <x:c r="H561" s="30" t="str">
        <x:f>IF(AND(E561&lt;&gt;"",F561="Ready"),"Yes","No")</x:f>
        <x:v>No</x:v>
      </x:c>
      <x:c r="I561" s="11"/>
    </x:row>
    <x:row r="562" ht="38" customHeight="1">
      <x:c r="A562" s="30" t="str">
        <x:v>CL0558</x:v>
      </x:c>
      <x:c r="B562" s="30" t="str">
        <x:v>Accounting &amp; Financial Statements</x:v>
      </x:c>
      <x:c r="C562" s="31" t="str">
        <x:v>Is terminal value discounted</x:v>
      </x:c>
      <x:c r="D562" s="32" t="n">
        <x:f>COUNTIF('All Questions'!$G$5:$G$1725,A562)</x:f>
        <x:v>1</x:v>
      </x:c>
      <x:c r="E562" s="11"/>
      <x:c r="F562" s="12" t="str">
        <x:v>Not Started</x:v>
      </x:c>
      <x:c r="G562" s="13"/>
      <x:c r="H562" s="30" t="str">
        <x:f>IF(AND(E562&lt;&gt;"",F562="Ready"),"Yes","No")</x:f>
        <x:v>No</x:v>
      </x:c>
      <x:c r="I562" s="11"/>
    </x:row>
    <x:row r="563" ht="38" customHeight="1">
      <x:c r="A563" s="30" t="str">
        <x:v>CL0559</x:v>
      </x:c>
      <x:c r="B563" s="30" t="str">
        <x:v>Accounting &amp; Financial Statements</x:v>
      </x:c>
      <x:c r="C563" s="31" t="str">
        <x:v>Is the electricity connected to the grid</x:v>
      </x:c>
      <x:c r="D563" s="32" t="n">
        <x:f>COUNTIF('All Questions'!$G$5:$G$1725,A563)</x:f>
        <x:v>1</x:v>
      </x:c>
      <x:c r="E563" s="11"/>
      <x:c r="F563" s="12" t="str">
        <x:v>Not Started</x:v>
      </x:c>
      <x:c r="G563" s="13"/>
      <x:c r="H563" s="30" t="str">
        <x:f>IF(AND(E563&lt;&gt;"",F563="Ready"),"Yes","No")</x:f>
        <x:v>No</x:v>
      </x:c>
      <x:c r="I563" s="11"/>
    </x:row>
    <x:row r="564" ht="38" customHeight="1">
      <x:c r="A564" s="30" t="str">
        <x:v>CL0560</x:v>
      </x:c>
      <x:c r="B564" s="30" t="str">
        <x:v>Resume &amp; Experience</x:v>
      </x:c>
      <x:c r="C564" s="31" t="str">
        <x:v>Is there a time when your approach to a task was not ok, and what did you do</x:v>
      </x:c>
      <x:c r="D564" s="32" t="n">
        <x:f>COUNTIF('All Questions'!$G$5:$G$1725,A564)</x:f>
        <x:v>1</x:v>
      </x:c>
      <x:c r="E564" s="11"/>
      <x:c r="F564" s="12" t="str">
        <x:v>Not Started</x:v>
      </x:c>
      <x:c r="G564" s="13"/>
      <x:c r="H564" s="30" t="str">
        <x:f>IF(AND(E564&lt;&gt;"",F564="Ready"),"Yes","No")</x:f>
        <x:v>No</x:v>
      </x:c>
      <x:c r="I564" s="11"/>
    </x:row>
    <x:row r="565" ht="58" customHeight="1">
      <x:c r="A565" s="30" t="str">
        <x:v>CL0561</x:v>
      </x:c>
      <x:c r="B565" s="30" t="str">
        <x:v>Resume &amp; Experience</x:v>
      </x:c>
      <x:c r="C565" s="31" t="str">
        <x:v>Is there any particularly project that you're doing and find interesting during the current internship</x:v>
      </x:c>
      <x:c r="D565" s="32" t="n">
        <x:f>COUNTIF('All Questions'!$G$5:$G$1725,A565)</x:f>
        <x:v>1</x:v>
      </x:c>
      <x:c r="E565" s="11"/>
      <x:c r="F565" s="12" t="str">
        <x:v>Not Started</x:v>
      </x:c>
      <x:c r="G565" s="13"/>
      <x:c r="H565" s="30" t="str">
        <x:f>IF(AND(E565&lt;&gt;"",F565="Ready"),"Yes","No")</x:f>
        <x:v>No</x:v>
      </x:c>
      <x:c r="I565" s="11"/>
    </x:row>
    <x:row r="566" ht="38" customHeight="1">
      <x:c r="A566" s="30" t="str">
        <x:v>CL0562</x:v>
      </x:c>
      <x:c r="B566" s="30" t="str">
        <x:v>Accounting &amp; Financial Statements</x:v>
      </x:c>
      <x:c r="C566" s="31" t="str">
        <x:v>Is there anything you think you have done well in UBS but not recognized</x:v>
      </x:c>
      <x:c r="D566" s="32" t="n">
        <x:f>COUNTIF('All Questions'!$G$5:$G$1725,A566)</x:f>
        <x:v>1</x:v>
      </x:c>
      <x:c r="E566" s="11"/>
      <x:c r="F566" s="12" t="str">
        <x:v>Not Started</x:v>
      </x:c>
      <x:c r="G566" s="13"/>
      <x:c r="H566" s="30" t="str">
        <x:f>IF(AND(E566&lt;&gt;"",F566="Ready"),"Yes","No")</x:f>
        <x:v>No</x:v>
      </x:c>
      <x:c r="I566" s="11"/>
    </x:row>
    <x:row r="567" ht="38" customHeight="1">
      <x:c r="A567" s="30" t="str">
        <x:v>CL0563</x:v>
      </x:c>
      <x:c r="B567" s="30" t="str">
        <x:v>Accounting &amp; Financial Statements</x:v>
      </x:c>
      <x:c r="C567" s="31" t="str">
        <x:v>Is this stock value stock or growth stock</x:v>
      </x:c>
      <x:c r="D567" s="32" t="n">
        <x:f>COUNTIF('All Questions'!$G$5:$G$1725,A567)</x:f>
        <x:v>1</x:v>
      </x:c>
      <x:c r="E567" s="11"/>
      <x:c r="F567" s="12" t="str">
        <x:v>Not Started</x:v>
      </x:c>
      <x:c r="G567" s="13"/>
      <x:c r="H567" s="30" t="str">
        <x:f>IF(AND(E567&lt;&gt;"",F567="Ready"),"Yes","No")</x:f>
        <x:v>No</x:v>
      </x:c>
      <x:c r="I567" s="11"/>
    </x:row>
    <x:row r="568" ht="38" customHeight="1">
      <x:c r="A568" s="30" t="str">
        <x:v>CL0564</x:v>
      </x:c>
      <x:c r="B568" s="30" t="str">
        <x:v>Accounting &amp; Financial Statements</x:v>
      </x:c>
      <x:c r="C568" s="31" t="str">
        <x:v>Is your name an English name</x:v>
      </x:c>
      <x:c r="D568" s="32" t="n">
        <x:f>COUNTIF('All Questions'!$G$5:$G$1725,A568)</x:f>
        <x:v>1</x:v>
      </x:c>
      <x:c r="E568" s="11"/>
      <x:c r="F568" s="12" t="str">
        <x:v>Not Started</x:v>
      </x:c>
      <x:c r="G568" s="13"/>
      <x:c r="H568" s="30" t="str">
        <x:f>IF(AND(E568&lt;&gt;"",F568="Ready"),"Yes","No")</x:f>
        <x:v>No</x:v>
      </x:c>
      <x:c r="I568" s="11"/>
    </x:row>
    <x:row r="569" ht="58" customHeight="1">
      <x:c r="A569" s="30" t="str">
        <x:v>CL0565</x:v>
      </x:c>
      <x:c r="B569" s="30" t="str">
        <x:v>Wealth &amp; Asset Management</x:v>
      </x:c>
      <x:c r="C569" s="31" t="str">
        <x:v>It's also recommended to prepare for PB client demand trends, situational questions, and some investment assessment technical knowledge</x:v>
      </x:c>
      <x:c r="D569" s="32" t="n">
        <x:f>COUNTIF('All Questions'!$G$5:$G$1725,A569)</x:f>
        <x:v>1</x:v>
      </x:c>
      <x:c r="E569" s="11"/>
      <x:c r="F569" s="12" t="str">
        <x:v>Not Started</x:v>
      </x:c>
      <x:c r="G569" s="13"/>
      <x:c r="H569" s="30" t="str">
        <x:f>IF(AND(E569&lt;&gt;"",F569="Ready"),"Yes","No")</x:f>
        <x:v>No</x:v>
      </x:c>
      <x:c r="I569" s="11"/>
    </x:row>
    <x:row r="570" ht="112" customHeight="1">
      <x:c r="A570" s="30" t="str">
        <x:v>CL0566</x:v>
      </x:c>
      <x:c r="B570" s="30" t="str">
        <x:v>Fit &amp; Motivation</x:v>
      </x:c>
      <x:c r="C570"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D570" s="32" t="n">
        <x:f>COUNTIF('All Questions'!$G$5:$G$1725,A570)</x:f>
        <x:v>1</x:v>
      </x:c>
      <x:c r="E570" s="11"/>
      <x:c r="F570" s="12" t="str">
        <x:v>Not Started</x:v>
      </x:c>
      <x:c r="G570" s="13"/>
      <x:c r="H570" s="30" t="str">
        <x:f>IF(AND(E570&lt;&gt;"",F570="Ready"),"Yes","No")</x:f>
        <x:v>No</x:v>
      </x:c>
      <x:c r="I570" s="11"/>
    </x:row>
    <x:row r="571" ht="38" customHeight="1">
      <x:c r="A571" s="30" t="str">
        <x:v>CL0567</x:v>
      </x:c>
      <x:c r="B571" s="30" t="str">
        <x:v>Accounting &amp; Financial Statements</x:v>
      </x:c>
      <x:c r="C571" s="31" t="str">
        <x:v>Key diff between cash balance and free cash flow</x:v>
      </x:c>
      <x:c r="D571" s="32" t="n">
        <x:f>COUNTIF('All Questions'!$G$5:$G$1725,A571)</x:f>
        <x:v>1</x:v>
      </x:c>
      <x:c r="E571" s="11"/>
      <x:c r="F571" s="12" t="str">
        <x:v>Not Started</x:v>
      </x:c>
      <x:c r="G571" s="13"/>
      <x:c r="H571" s="30" t="str">
        <x:f>IF(AND(E571&lt;&gt;"",F571="Ready"),"Yes","No")</x:f>
        <x:v>No</x:v>
      </x:c>
      <x:c r="I571" s="11"/>
    </x:row>
    <x:row r="572" ht="38" customHeight="1">
      <x:c r="A572" s="30" t="str">
        <x:v>CL0568</x:v>
      </x:c>
      <x:c r="B572" s="30" t="str">
        <x:v>Valuation</x:v>
      </x:c>
      <x:c r="C572" s="31" t="str">
        <x:v>Key drivers in the DCF</x:v>
      </x:c>
      <x:c r="D572" s="32" t="n">
        <x:f>COUNTIF('All Questions'!$G$5:$G$1725,A572)</x:f>
        <x:v>1</x:v>
      </x:c>
      <x:c r="E572" s="11"/>
      <x:c r="F572" s="12" t="str">
        <x:v>Not Started</x:v>
      </x:c>
      <x:c r="G572" s="13"/>
      <x:c r="H572" s="30" t="str">
        <x:f>IF(AND(E572&lt;&gt;"",F572="Ready"),"Yes","No")</x:f>
        <x:v>No</x:v>
      </x:c>
      <x:c r="I572" s="11"/>
    </x:row>
    <x:row r="573" ht="38" customHeight="1">
      <x:c r="A573" s="30" t="str">
        <x:v>CL0569</x:v>
      </x:c>
      <x:c r="B573" s="30" t="str">
        <x:v>Resume &amp; Experience</x:v>
      </x:c>
      <x:c r="C573" s="31" t="str">
        <x:v>L (I said a pitch) What did you do (+ explanation)</x:v>
      </x:c>
      <x:c r="D573" s="32" t="n">
        <x:f>COUNTIF('All Questions'!$G$5:$G$1725,A573)</x:f>
        <x:v>1</x:v>
      </x:c>
      <x:c r="E573" s="11"/>
      <x:c r="F573" s="12" t="str">
        <x:v>Not Started</x:v>
      </x:c>
      <x:c r="G573" s="13"/>
      <x:c r="H573" s="30" t="str">
        <x:f>IF(AND(E573&lt;&gt;"",F573="Ready"),"Yes","No")</x:f>
        <x:v>No</x:v>
      </x:c>
      <x:c r="I573" s="11"/>
    </x:row>
    <x:row r="574" ht="38" customHeight="1">
      <x:c r="A574" s="30" t="str">
        <x:v>CL0570</x:v>
      </x:c>
      <x:c r="B574" s="30" t="str">
        <x:v>Resume &amp; Experience</x:v>
      </x:c>
      <x:c r="C574" s="31" t="str">
        <x:v>L Any deal experience</x:v>
      </x:c>
      <x:c r="D574" s="32" t="n">
        <x:f>COUNTIF('All Questions'!$G$5:$G$1725,A574)</x:f>
        <x:v>1</x:v>
      </x:c>
      <x:c r="E574" s="11"/>
      <x:c r="F574" s="12" t="str">
        <x:v>Not Started</x:v>
      </x:c>
      <x:c r="G574" s="13"/>
      <x:c r="H574" s="30" t="str">
        <x:f>IF(AND(E574&lt;&gt;"",F574="Ready"),"Yes","No")</x:f>
        <x:v>No</x:v>
      </x:c>
      <x:c r="I574" s="11"/>
    </x:row>
    <x:row r="575" ht="38" customHeight="1">
      <x:c r="A575" s="30" t="str">
        <x:v>CL0571</x:v>
      </x:c>
      <x:c r="B575" s="30" t="str">
        <x:v>Valuation</x:v>
      </x:c>
      <x:c r="C575" s="31" t="str">
        <x:v>L DCF</x:v>
      </x:c>
      <x:c r="D575" s="32" t="n">
        <x:f>COUNTIF('All Questions'!$G$5:$G$1725,A575)</x:f>
        <x:v>1</x:v>
      </x:c>
      <x:c r="E575" s="11"/>
      <x:c r="F575" s="12" t="str">
        <x:v>Not Started</x:v>
      </x:c>
      <x:c r="G575" s="13"/>
      <x:c r="H575" s="30" t="str">
        <x:f>IF(AND(E575&lt;&gt;"",F575="Ready"),"Yes","No")</x:f>
        <x:v>No</x:v>
      </x:c>
      <x:c r="I575" s="11"/>
    </x:row>
    <x:row r="576" ht="38" customHeight="1">
      <x:c r="A576" s="30" t="str">
        <x:v>CL0572</x:v>
      </x:c>
      <x:c r="B576" s="30" t="str">
        <x:v>Other Technical</x:v>
      </x:c>
      <x:c r="C576" s="31" t="str">
        <x:v>L Did you do any modelling</x:v>
      </x:c>
      <x:c r="D576" s="32" t="n">
        <x:f>COUNTIF('All Questions'!$G$5:$G$1725,A576)</x:f>
        <x:v>1</x:v>
      </x:c>
      <x:c r="E576" s="11"/>
      <x:c r="F576" s="12" t="str">
        <x:v>Not Started</x:v>
      </x:c>
      <x:c r="G576" s="13"/>
      <x:c r="H576" s="30" t="str">
        <x:f>IF(AND(E576&lt;&gt;"",F576="Ready"),"Yes","No")</x:f>
        <x:v>No</x:v>
      </x:c>
      <x:c r="I576" s="11"/>
    </x:row>
    <x:row r="577" ht="38" customHeight="1">
      <x:c r="A577" s="30" t="str">
        <x:v>CL0573</x:v>
      </x:c>
      <x:c r="B577" s="30" t="str">
        <x:v>Other Question</x:v>
      </x:c>
      <x:c r="C577" s="31" t="str">
        <x:v>L Did you go through SPA</x:v>
      </x:c>
      <x:c r="D577" s="32" t="n">
        <x:f>COUNTIF('All Questions'!$G$5:$G$1725,A577)</x:f>
        <x:v>1</x:v>
      </x:c>
      <x:c r="E577" s="11"/>
      <x:c r="F577" s="12" t="str">
        <x:v>Not Started</x:v>
      </x:c>
      <x:c r="G577" s="13"/>
      <x:c r="H577" s="30" t="str">
        <x:f>IF(AND(E577&lt;&gt;"",F577="Ready"),"Yes","No")</x:f>
        <x:v>No</x:v>
      </x:c>
      <x:c r="I577" s="11"/>
    </x:row>
    <x:row r="578" ht="38" customHeight="1">
      <x:c r="A578" s="30" t="str">
        <x:v>CL0574</x:v>
      </x:c>
      <x:c r="B578" s="30" t="str">
        <x:v>Valuation</x:v>
      </x:c>
      <x:c r="C578" s="31" t="str">
        <x:v>L EV pitch – what’s the value chain? How are the valuation multiples</x:v>
      </x:c>
      <x:c r="D578" s="32" t="n">
        <x:f>COUNTIF('All Questions'!$G$5:$G$1725,A578)</x:f>
        <x:v>1</x:v>
      </x:c>
      <x:c r="E578" s="11"/>
      <x:c r="F578" s="12" t="str">
        <x:v>Not Started</x:v>
      </x:c>
      <x:c r="G578" s="13"/>
      <x:c r="H578" s="30" t="str">
        <x:f>IF(AND(E578&lt;&gt;"",F578="Ready"),"Yes","No")</x:f>
        <x:v>No</x:v>
      </x:c>
      <x:c r="I578" s="11"/>
    </x:row>
    <x:row r="579" ht="58" customHeight="1">
      <x:c r="A579" s="30" t="str">
        <x:v>CL0575</x:v>
      </x:c>
      <x:c r="B579" s="30" t="str">
        <x:v>Valuation</x:v>
      </x:c>
      <x:c r="C579" s="31" t="str">
        <x:v>L For trading comps, did you do the adjustments? (She said probably Jefferies has different standards)</x:v>
      </x:c>
      <x:c r="D579" s="32" t="n">
        <x:f>COUNTIF('All Questions'!$G$5:$G$1725,A579)</x:f>
        <x:v>1</x:v>
      </x:c>
      <x:c r="E579" s="11"/>
      <x:c r="F579" s="12" t="str">
        <x:v>Not Started</x:v>
      </x:c>
      <x:c r="G579" s="13"/>
      <x:c r="H579" s="30" t="str">
        <x:f>IF(AND(E579&lt;&gt;"",F579="Ready"),"Yes","No")</x:f>
        <x:v>No</x:v>
      </x:c>
      <x:c r="I579" s="11"/>
    </x:row>
    <x:row r="580" ht="38" customHeight="1">
      <x:c r="A580" s="30" t="str">
        <x:v>CL0576</x:v>
      </x:c>
      <x:c r="B580" s="30" t="str">
        <x:v>Other Question</x:v>
      </x:c>
      <x:c r="C580" s="31" t="str">
        <x:v>L Given this situation, how would you negotiate in the SPA</x:v>
      </x:c>
      <x:c r="D580" s="32" t="n">
        <x:f>COUNTIF('All Questions'!$G$5:$G$1725,A580)</x:f>
        <x:v>1</x:v>
      </x:c>
      <x:c r="E580" s="11"/>
      <x:c r="F580" s="12" t="str">
        <x:v>Not Started</x:v>
      </x:c>
      <x:c r="G580" s="13"/>
      <x:c r="H580" s="30" t="str">
        <x:f>IF(AND(E580&lt;&gt;"",F580="Ready"),"Yes","No")</x:f>
        <x:v>No</x:v>
      </x:c>
      <x:c r="I580" s="11"/>
    </x:row>
    <x:row r="581" ht="38" customHeight="1">
      <x:c r="A581" s="30" t="str">
        <x:v>CL0577</x:v>
      </x:c>
      <x:c r="B581" s="30" t="str">
        <x:v>Behavioral &amp; Situational</x:v>
      </x:c>
      <x:c r="C581" s="31" t="str">
        <x:v>L He’s from TMT team so he’s interested in the OTA project as well</x:v>
      </x:c>
      <x:c r="D581" s="32" t="n">
        <x:f>COUNTIF('All Questions'!$G$5:$G$1725,A581)</x:f>
        <x:v>1</x:v>
      </x:c>
      <x:c r="E581" s="11"/>
      <x:c r="F581" s="12" t="str">
        <x:v>Not Started</x:v>
      </x:c>
      <x:c r="G581" s="13"/>
      <x:c r="H581" s="30" t="str">
        <x:f>IF(AND(E581&lt;&gt;"",F581="Ready"),"Yes","No")</x:f>
        <x:v>No</x:v>
      </x:c>
      <x:c r="I581" s="11"/>
    </x:row>
    <x:row r="582" ht="38" customHeight="1">
      <x:c r="A582" s="30" t="str">
        <x:v>CL0578</x:v>
      </x:c>
      <x:c r="B582" s="30" t="str">
        <x:v>Other Question</x:v>
      </x:c>
      <x:c r="C582" s="31" t="str">
        <x:v>L If you are given only two statements, which two will you choose</x:v>
      </x:c>
      <x:c r="D582" s="32" t="n">
        <x:f>COUNTIF('All Questions'!$G$5:$G$1725,A582)</x:f>
        <x:v>1</x:v>
      </x:c>
      <x:c r="E582" s="11"/>
      <x:c r="F582" s="12" t="str">
        <x:v>Not Started</x:v>
      </x:c>
      <x:c r="G582" s="13"/>
      <x:c r="H582" s="30" t="str">
        <x:f>IF(AND(E582&lt;&gt;"",F582="Ready"),"Yes","No")</x:f>
        <x:v>No</x:v>
      </x:c>
      <x:c r="I582" s="11"/>
    </x:row>
    <x:row r="583" ht="38" customHeight="1">
      <x:c r="A583" s="30" t="str">
        <x:v>CL0579</x:v>
      </x:c>
      <x:c r="B583" s="30" t="str">
        <x:v>Other Question</x:v>
      </x:c>
      <x:c r="C583" s="31" t="str">
        <x:v>L If you are only given one statement, which statement will you look at</x:v>
      </x:c>
      <x:c r="D583" s="32" t="n">
        <x:f>COUNTIF('All Questions'!$G$5:$G$1725,A583)</x:f>
        <x:v>1</x:v>
      </x:c>
      <x:c r="E583" s="11"/>
      <x:c r="F583" s="12" t="str">
        <x:v>Not Started</x:v>
      </x:c>
      <x:c r="G583" s="13"/>
      <x:c r="H583" s="30" t="str">
        <x:f>IF(AND(E583&lt;&gt;"",F583="Ready"),"Yes","No")</x:f>
        <x:v>No</x:v>
      </x:c>
      <x:c r="I583" s="11"/>
    </x:row>
    <x:row r="584" ht="112" customHeight="1">
      <x:c r="A584" s="30" t="str">
        <x:v>CL0580</x:v>
      </x:c>
      <x:c r="B584" s="30" t="str">
        <x:v>Accounting &amp; Financial Statements</x:v>
      </x:c>
      <x:c r="C584"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D584" s="32" t="n">
        <x:f>COUNTIF('All Questions'!$G$5:$G$1725,A584)</x:f>
        <x:v>1</x:v>
      </x:c>
      <x:c r="E584" s="11"/>
      <x:c r="F584" s="12" t="str">
        <x:v>Not Started</x:v>
      </x:c>
      <x:c r="G584" s="13"/>
      <x:c r="H584" s="30" t="str">
        <x:f>IF(AND(E584&lt;&gt;"",F584="Ready"),"Yes","No")</x:f>
        <x:v>No</x:v>
      </x:c>
      <x:c r="I584" s="11"/>
    </x:row>
    <x:row r="585" ht="38" customHeight="1">
      <x:c r="A585" s="30" t="str">
        <x:v>CL0581</x:v>
      </x:c>
      <x:c r="B585" s="30" t="str">
        <x:v>Accounting &amp; Financial Statements</x:v>
      </x:c>
      <x:c r="C585" s="31" t="str">
        <x:v>L Progress with other banks? Is Jefferies your top preference</x:v>
      </x:c>
      <x:c r="D585" s="32" t="n">
        <x:f>COUNTIF('All Questions'!$G$5:$G$1725,A585)</x:f>
        <x:v>1</x:v>
      </x:c>
      <x:c r="E585" s="11"/>
      <x:c r="F585" s="12" t="str">
        <x:v>Not Started</x:v>
      </x:c>
      <x:c r="G585" s="13"/>
      <x:c r="H585" s="30" t="str">
        <x:f>IF(AND(E585&lt;&gt;"",F585="Ready"),"Yes","No")</x:f>
        <x:v>No</x:v>
      </x:c>
      <x:c r="I585" s="11"/>
    </x:row>
    <x:row r="586" ht="58" customHeight="1">
      <x:c r="A586" s="30" t="str">
        <x:v>CL0582</x:v>
      </x:c>
      <x:c r="B586" s="30" t="str">
        <x:v>Company, Industry &amp; Deals</x:v>
      </x:c>
      <x:c r="C586" s="31" t="str">
        <x:v>L Shared a pitch on a Cambodia-based insurance company -&gt; was surprised that Cambodia has a huge potential in insurance market due to its under penetration rate</x:v>
      </x:c>
      <x:c r="D586" s="32" t="n">
        <x:f>COUNTIF('All Questions'!$G$5:$G$1725,A586)</x:f>
        <x:v>1</x:v>
      </x:c>
      <x:c r="E586" s="11"/>
      <x:c r="F586" s="12" t="str">
        <x:v>Not Started</x:v>
      </x:c>
      <x:c r="G586" s="13"/>
      <x:c r="H586" s="30" t="str">
        <x:f>IF(AND(E586&lt;&gt;"",F586="Ready"),"Yes","No")</x:f>
        <x:v>No</x:v>
      </x:c>
      <x:c r="I586" s="11"/>
    </x:row>
    <x:row r="587" ht="58" customHeight="1">
      <x:c r="A587" s="30" t="str">
        <x:v>CL0583</x:v>
      </x:c>
      <x:c r="B587" s="30" t="str">
        <x:v>Other Question</x:v>
      </x:c>
      <x:c r="C587" s="31" t="str">
        <x:v>L The China’s economy was not going well, what are some reasons behind? Are there any mitigants</x:v>
      </x:c>
      <x:c r="D587" s="32" t="n">
        <x:f>COUNTIF('All Questions'!$G$5:$G$1725,A587)</x:f>
        <x:v>1</x:v>
      </x:c>
      <x:c r="E587" s="11"/>
      <x:c r="F587" s="12" t="str">
        <x:v>Not Started</x:v>
      </x:c>
      <x:c r="G587" s="13"/>
      <x:c r="H587" s="30" t="str">
        <x:f>IF(AND(E587&lt;&gt;"",F587="Ready"),"Yes","No")</x:f>
        <x:v>No</x:v>
      </x:c>
      <x:c r="I587" s="11"/>
    </x:row>
    <x:row r="588" ht="38" customHeight="1">
      <x:c r="A588" s="30" t="str">
        <x:v>CL0584</x:v>
      </x:c>
      <x:c r="B588" s="30" t="str">
        <x:v>Valuation</x:v>
      </x:c>
      <x:c r="C588" s="31" t="str">
        <x:v>L What are the methodologies used in valuation</x:v>
      </x:c>
      <x:c r="D588" s="32" t="n">
        <x:f>COUNTIF('All Questions'!$G$5:$G$1725,A588)</x:f>
        <x:v>1</x:v>
      </x:c>
      <x:c r="E588" s="11"/>
      <x:c r="F588" s="12" t="str">
        <x:v>Not Started</x:v>
      </x:c>
      <x:c r="G588" s="13"/>
      <x:c r="H588" s="30" t="str">
        <x:f>IF(AND(E588&lt;&gt;"",F588="Ready"),"Yes","No")</x:f>
        <x:v>No</x:v>
      </x:c>
      <x:c r="I588" s="11"/>
    </x:row>
    <x:row r="589" ht="38" customHeight="1">
      <x:c r="A589" s="30" t="str">
        <x:v>CL0585</x:v>
      </x:c>
      <x:c r="B589" s="30" t="str">
        <x:v>Resume &amp; Experience</x:v>
      </x:c>
      <x:c r="C589" s="31" t="str">
        <x:v>L What did you do in the deal</x:v>
      </x:c>
      <x:c r="D589" s="32" t="n">
        <x:f>COUNTIF('All Questions'!$G$5:$G$1725,A589)</x:f>
        <x:v>1</x:v>
      </x:c>
      <x:c r="E589" s="11"/>
      <x:c r="F589" s="12" t="str">
        <x:v>Not Started</x:v>
      </x:c>
      <x:c r="G589" s="13"/>
      <x:c r="H589" s="30" t="str">
        <x:f>IF(AND(E589&lt;&gt;"",F589="Ready"),"Yes","No")</x:f>
        <x:v>No</x:v>
      </x:c>
      <x:c r="I589" s="11"/>
    </x:row>
    <x:row r="590" ht="38" customHeight="1">
      <x:c r="A590" s="30" t="str">
        <x:v>CL0586</x:v>
      </x:c>
      <x:c r="B590" s="30" t="str">
        <x:v>Fit &amp; Motivation</x:v>
      </x:c>
      <x:c r="C590" s="31" t="str">
        <x:v>L Why do you subtract cash from EV calculation</x:v>
      </x:c>
      <x:c r="D590" s="32" t="n">
        <x:f>COUNTIF('All Questions'!$G$5:$G$1725,A590)</x:f>
        <x:v>1</x:v>
      </x:c>
      <x:c r="E590" s="11"/>
      <x:c r="F590" s="12" t="str">
        <x:v>Not Started</x:v>
      </x:c>
      <x:c r="G590" s="13"/>
      <x:c r="H590" s="30" t="str">
        <x:f>IF(AND(E590&lt;&gt;"",F590="Ready"),"Yes","No")</x:f>
        <x:v>No</x:v>
      </x:c>
      <x:c r="I590" s="11"/>
    </x:row>
    <x:row r="591" ht="38" customHeight="1">
      <x:c r="A591" s="30" t="str">
        <x:v>CL0587</x:v>
      </x:c>
      <x:c r="B591" s="30" t="str">
        <x:v>Fit &amp; Motivation</x:v>
      </x:c>
      <x:c r="C591" s="31" t="str">
        <x:v>L Why Jefferies? Vs BNP</x:v>
      </x:c>
      <x:c r="D591" s="32" t="n">
        <x:f>COUNTIF('All Questions'!$G$5:$G$1725,A591)</x:f>
        <x:v>1</x:v>
      </x:c>
      <x:c r="E591" s="11"/>
      <x:c r="F591" s="12" t="str">
        <x:v>Not Started</x:v>
      </x:c>
      <x:c r="G591" s="13"/>
      <x:c r="H591" s="30" t="str">
        <x:f>IF(AND(E591&lt;&gt;"",F591="Ready"),"Yes","No")</x:f>
        <x:v>No</x:v>
      </x:c>
      <x:c r="I591" s="11"/>
    </x:row>
    <x:row r="592" ht="38" customHeight="1">
      <x:c r="A592" s="30" t="str">
        <x:v>CL0588</x:v>
      </x:c>
      <x:c r="B592" s="30" t="str">
        <x:v>Resume &amp; Experience</x:v>
      </x:c>
      <x:c r="C592" s="31" t="str">
        <x:v>L You did an exchange in PKU</x:v>
      </x:c>
      <x:c r="D592" s="32" t="n">
        <x:f>COUNTIF('All Questions'!$G$5:$G$1725,A592)</x:f>
        <x:v>1</x:v>
      </x:c>
      <x:c r="E592" s="11"/>
      <x:c r="F592" s="12" t="str">
        <x:v>Not Started</x:v>
      </x:c>
      <x:c r="G592" s="13"/>
      <x:c r="H592" s="30" t="str">
        <x:f>IF(AND(E592&lt;&gt;"",F592="Ready"),"Yes","No")</x:f>
        <x:v>No</x:v>
      </x:c>
      <x:c r="I592" s="11"/>
    </x:row>
    <x:row r="593" ht="58" customHeight="1">
      <x:c r="A593" s="30" t="str">
        <x:v>CL0589</x:v>
      </x:c>
      <x:c r="B593" s="30" t="str">
        <x:v>Other Question</x:v>
      </x:c>
      <x:c r="C593" s="31" t="str">
        <x:v>L You mentioned that you will be more aggressive, would you be more aggressive in the sales price projection or the volume projection</x:v>
      </x:c>
      <x:c r="D593" s="32" t="n">
        <x:f>COUNTIF('All Questions'!$G$5:$G$1725,A593)</x:f>
        <x:v>1</x:v>
      </x:c>
      <x:c r="E593" s="11"/>
      <x:c r="F593" s="12" t="str">
        <x:v>Not Started</x:v>
      </x:c>
      <x:c r="G593" s="13"/>
      <x:c r="H593" s="30" t="str">
        <x:f>IF(AND(E593&lt;&gt;"",F593="Ready"),"Yes","No")</x:f>
        <x:v>No</x:v>
      </x:c>
      <x:c r="I593" s="11"/>
    </x:row>
    <x:row r="594" ht="38" customHeight="1">
      <x:c r="A594" s="30" t="str">
        <x:v>CL0590</x:v>
      </x:c>
      <x:c r="B594" s="30" t="str">
        <x:v>Other Question</x:v>
      </x:c>
      <x:c r="C594" s="31" t="str">
        <x:v>Landscape of China express delivery market</x:v>
      </x:c>
      <x:c r="D594" s="32" t="n">
        <x:f>COUNTIF('All Questions'!$G$5:$G$1725,A594)</x:f>
        <x:v>1</x:v>
      </x:c>
      <x:c r="E594" s="11"/>
      <x:c r="F594" s="12" t="str">
        <x:v>Not Started</x:v>
      </x:c>
      <x:c r="G594" s="13"/>
      <x:c r="H594" s="30" t="str">
        <x:f>IF(AND(E594&lt;&gt;"",F594="Ready"),"Yes","No")</x:f>
        <x:v>No</x:v>
      </x:c>
      <x:c r="I594" s="11"/>
    </x:row>
    <x:row r="595" ht="38" customHeight="1">
      <x:c r="A595" s="30" t="str">
        <x:v>CL0591</x:v>
      </x:c>
      <x:c r="B595" s="30" t="str">
        <x:v>Other Question</x:v>
      </x:c>
      <x:c r="C595" s="31" t="str">
        <x:v>Landscape of SEA logistic market</x:v>
      </x:c>
      <x:c r="D595" s="32" t="n">
        <x:f>COUNTIF('All Questions'!$G$5:$G$1725,A595)</x:f>
        <x:v>1</x:v>
      </x:c>
      <x:c r="E595" s="11"/>
      <x:c r="F595" s="12" t="str">
        <x:v>Not Started</x:v>
      </x:c>
      <x:c r="G595" s="13"/>
      <x:c r="H595" s="30" t="str">
        <x:f>IF(AND(E595&lt;&gt;"",F595="Ready"),"Yes","No")</x:f>
        <x:v>No</x:v>
      </x:c>
      <x:c r="I595" s="11"/>
    </x:row>
    <x:row r="596" ht="38" customHeight="1">
      <x:c r="A596" s="30" t="str">
        <x:v>CL0592</x:v>
      </x:c>
      <x:c r="B596" s="30" t="str">
        <x:v>Markets &amp; Macro</x:v>
      </x:c>
      <x:c r="C596" s="31" t="str">
        <x:v>Liquidity issue with USD 1B debt due in 8 months, but only 300m cash in hand</x:v>
      </x:c>
      <x:c r="D596" s="32" t="n">
        <x:f>COUNTIF('All Questions'!$G$5:$G$1725,A596)</x:f>
        <x:v>1</x:v>
      </x:c>
      <x:c r="E596" s="11"/>
      <x:c r="F596" s="12" t="str">
        <x:v>Not Started</x:v>
      </x:c>
      <x:c r="G596" s="13"/>
      <x:c r="H596" s="30" t="str">
        <x:f>IF(AND(E596&lt;&gt;"",F596="Ready"),"Yes","No")</x:f>
        <x:v>No</x:v>
      </x:c>
      <x:c r="I596" s="11"/>
    </x:row>
    <x:row r="597" ht="58" customHeight="1">
      <x:c r="A597" s="30" t="str">
        <x:v>CL0593</x:v>
      </x:c>
      <x:c r="B597" s="30" t="str">
        <x:v>Resume &amp; Experience</x:v>
      </x:c>
      <x:c r="C597" s="31" t="str">
        <x:v>Lots of CV-based questions but more on the project/leadership/voluntary related experiences but not internship ones</x:v>
      </x:c>
      <x:c r="D597" s="32" t="n">
        <x:f>COUNTIF('All Questions'!$G$5:$G$1725,A597)</x:f>
        <x:v>1</x:v>
      </x:c>
      <x:c r="E597" s="11"/>
      <x:c r="F597" s="12" t="str">
        <x:v>Not Started</x:v>
      </x:c>
      <x:c r="G597" s="13"/>
      <x:c r="H597" s="30" t="str">
        <x:f>IF(AND(E597&lt;&gt;"",F597="Ready"),"Yes","No")</x:f>
        <x:v>No</x:v>
      </x:c>
      <x:c r="I597" s="11"/>
    </x:row>
    <x:row r="598" ht="38" customHeight="1">
      <x:c r="A598" s="30" t="str">
        <x:v>CL0594</x:v>
      </x:c>
      <x:c r="B598" s="30" t="str">
        <x:v>Company, Industry &amp; Deals</x:v>
      </x:c>
      <x:c r="C598" s="31" t="str">
        <x:v>Lots of follow-ups cause she's working on a deal in the same sector</x:v>
      </x:c>
      <x:c r="D598" s="32" t="n">
        <x:f>COUNTIF('All Questions'!$G$5:$G$1725,A598)</x:f>
        <x:v>1</x:v>
      </x:c>
      <x:c r="E598" s="11"/>
      <x:c r="F598" s="12" t="str">
        <x:v>Not Started</x:v>
      </x:c>
      <x:c r="G598" s="13"/>
      <x:c r="H598" s="30" t="str">
        <x:f>IF(AND(E598&lt;&gt;"",F598="Ready"),"Yes","No")</x:f>
        <x:v>No</x:v>
      </x:c>
      <x:c r="I598" s="11"/>
    </x:row>
    <x:row r="599" ht="38" customHeight="1">
      <x:c r="A599" s="30" t="str">
        <x:v>CL0595</x:v>
      </x:c>
      <x:c r="B599" s="30" t="str">
        <x:v>Company, Industry &amp; Deals</x:v>
      </x:c>
      <x:c r="C599" s="31" t="str">
        <x:v>M&amp;A deal involving an Indian pharma company acquiring a French counterpart</x:v>
      </x:c>
      <x:c r="D599" s="32" t="n">
        <x:f>COUNTIF('All Questions'!$G$5:$G$1725,A599)</x:f>
        <x:v>1</x:v>
      </x:c>
      <x:c r="E599" s="11"/>
      <x:c r="F599" s="12" t="str">
        <x:v>Not Started</x:v>
      </x:c>
      <x:c r="G599" s="13"/>
      <x:c r="H599" s="30" t="str">
        <x:f>IF(AND(E599&lt;&gt;"",F599="Ready"),"Yes","No")</x:f>
        <x:v>No</x:v>
      </x:c>
      <x:c r="I599" s="11"/>
    </x:row>
    <x:row r="600" ht="38" customHeight="1">
      <x:c r="A600" s="30" t="str">
        <x:v>CL0596</x:v>
      </x:c>
      <x:c r="B600" s="30" t="str">
        <x:v>Valuation</x:v>
      </x:c>
      <x:c r="C600" s="31" t="str">
        <x:v>M&amp;A deal walk through, how to do valuation, any insights, what comparables</x:v>
      </x:c>
      <x:c r="D600" s="32" t="n">
        <x:f>COUNTIF('All Questions'!$G$5:$G$1725,A600)</x:f>
        <x:v>1</x:v>
      </x:c>
      <x:c r="E600" s="11"/>
      <x:c r="F600" s="12" t="str">
        <x:v>Not Started</x:v>
      </x:c>
      <x:c r="G600" s="13"/>
      <x:c r="H600" s="30" t="str">
        <x:f>IF(AND(E600&lt;&gt;"",F600="Ready"),"Yes","No")</x:f>
        <x:v>No</x:v>
      </x:c>
      <x:c r="I600" s="11"/>
    </x:row>
    <x:row r="601" ht="38" customHeight="1">
      <x:c r="A601" s="30" t="str">
        <x:v>CL0597</x:v>
      </x:c>
      <x:c r="B601" s="30" t="str">
        <x:v>Markets &amp; Macro</x:v>
      </x:c>
      <x:c r="C601" s="31" t="str">
        <x:v>Macro: how the current market would affect the company’s share price and why</x:v>
      </x:c>
      <x:c r="D601" s="32" t="n">
        <x:f>COUNTIF('All Questions'!$G$5:$G$1725,A601)</x:f>
        <x:v>1</x:v>
      </x:c>
      <x:c r="E601" s="11"/>
      <x:c r="F601" s="12" t="str">
        <x:v>Not Started</x:v>
      </x:c>
      <x:c r="G601" s="13"/>
      <x:c r="H601" s="30" t="str">
        <x:f>IF(AND(E601&lt;&gt;"",F601="Ready"),"Yes","No")</x:f>
        <x:v>No</x:v>
      </x:c>
      <x:c r="I601" s="11"/>
    </x:row>
    <x:row r="602" ht="38" customHeight="1">
      <x:c r="A602" s="30" t="str">
        <x:v>CL0598</x:v>
      </x:c>
      <x:c r="B602" s="30" t="str">
        <x:v>Fit &amp; Motivation</x:v>
      </x:c>
      <x:c r="C602" s="31" t="str">
        <x:v>Market Asset Allocation Q</x:v>
      </x:c>
      <x:c r="D602" s="32" t="n">
        <x:f>COUNTIF('All Questions'!$G$5:$G$1725,A602)</x:f>
        <x:v>1</x:v>
      </x:c>
      <x:c r="E602" s="11"/>
      <x:c r="F602" s="12" t="str">
        <x:v>Not Started</x:v>
      </x:c>
      <x:c r="G602" s="13"/>
      <x:c r="H602" s="30" t="str">
        <x:f>IF(AND(E602&lt;&gt;"",F602="Ready"),"Yes","No")</x:f>
        <x:v>No</x:v>
      </x:c>
      <x:c r="I602" s="11"/>
    </x:row>
    <x:row r="603" ht="38" customHeight="1">
      <x:c r="A603" s="30" t="str">
        <x:v>CL0599</x:v>
      </x:c>
      <x:c r="B603" s="30" t="str">
        <x:v>Accounting &amp; Financial Statements</x:v>
      </x:c>
      <x:c r="C603" s="31" t="str">
        <x:v>Market beta questions &amp; what happens if economy is sluggish</x:v>
      </x:c>
      <x:c r="D603" s="32" t="n">
        <x:f>COUNTIF('All Questions'!$G$5:$G$1725,A603)</x:f>
        <x:v>1</x:v>
      </x:c>
      <x:c r="E603" s="11"/>
      <x:c r="F603" s="12" t="str">
        <x:v>Not Started</x:v>
      </x:c>
      <x:c r="G603" s="13"/>
      <x:c r="H603" s="30" t="str">
        <x:f>IF(AND(E603&lt;&gt;"",F603="Ready"),"Yes","No")</x:f>
        <x:v>No</x:v>
      </x:c>
      <x:c r="I603" s="11"/>
    </x:row>
    <x:row r="604" ht="38" customHeight="1">
      <x:c r="A604" s="30" t="str">
        <x:v>CL0600</x:v>
      </x:c>
      <x:c r="B604" s="30" t="str">
        <x:v>Consulting &amp; Case</x:v>
      </x:c>
      <x:c r="C604" s="31" t="str">
        <x:v>Market entry and market sizing case question of an OEM manufacturer</x:v>
      </x:c>
      <x:c r="D604" s="32" t="n">
        <x:f>COUNTIF('All Questions'!$G$5:$G$1725,A604)</x:f>
        <x:v>1</x:v>
      </x:c>
      <x:c r="E604" s="11"/>
      <x:c r="F604" s="12" t="str">
        <x:v>Not Started</x:v>
      </x:c>
      <x:c r="G604" s="13"/>
      <x:c r="H604" s="30" t="str">
        <x:f>IF(AND(E604&lt;&gt;"",F604="Ready"),"Yes","No")</x:f>
        <x:v>No</x:v>
      </x:c>
      <x:c r="I604" s="11"/>
    </x:row>
    <x:row r="605" ht="38" customHeight="1">
      <x:c r="A605" s="30" t="str">
        <x:v>CL0601</x:v>
      </x:c>
      <x:c r="B605" s="30" t="str">
        <x:v>Markets &amp; Macro</x:v>
      </x:c>
      <x:c r="C605" s="31" t="str">
        <x:v>Market grill (forgot the question, prob about interest rate)</x:v>
      </x:c>
      <x:c r="D605" s="32" t="n">
        <x:f>COUNTIF('All Questions'!$G$5:$G$1725,A605)</x:f>
        <x:v>1</x:v>
      </x:c>
      <x:c r="E605" s="11"/>
      <x:c r="F605" s="12" t="str">
        <x:v>Not Started</x:v>
      </x:c>
      <x:c r="G605" s="13"/>
      <x:c r="H605" s="30" t="str">
        <x:f>IF(AND(E605&lt;&gt;"",F605="Ready"),"Yes","No")</x:f>
        <x:v>No</x:v>
      </x:c>
      <x:c r="I605" s="11"/>
    </x:row>
    <x:row r="606" ht="38" customHeight="1">
      <x:c r="A606" s="30" t="str">
        <x:v>CL0602</x:v>
      </x:c>
      <x:c r="B606" s="30" t="str">
        <x:v>Other Question</x:v>
      </x:c>
      <x:c r="C606" s="31" t="str">
        <x:v>Market Q: How do you view the HK- China Memorendum</x:v>
      </x:c>
      <x:c r="D606" s="32" t="n">
        <x:f>COUNTIF('All Questions'!$G$5:$G$1725,A606)</x:f>
        <x:v>1</x:v>
      </x:c>
      <x:c r="E606" s="11"/>
      <x:c r="F606" s="12" t="str">
        <x:v>Not Started</x:v>
      </x:c>
      <x:c r="G606" s="13"/>
      <x:c r="H606" s="30" t="str">
        <x:f>IF(AND(E606&lt;&gt;"",F606="Ready"),"Yes","No")</x:f>
        <x:v>No</x:v>
      </x:c>
      <x:c r="I606" s="11"/>
    </x:row>
    <x:row r="607" ht="38" customHeight="1">
      <x:c r="A607" s="30" t="str">
        <x:v>CL0603</x:v>
      </x:c>
      <x:c r="B607" s="30" t="str">
        <x:v>Consulting &amp; Case</x:v>
      </x:c>
      <x:c r="C607" s="31" t="str">
        <x:v>Market Sizing: Estimate the annual revenue of GS PWM in APAC</x:v>
      </x:c>
      <x:c r="D607" s="32" t="n">
        <x:f>COUNTIF('All Questions'!$G$5:$G$1725,A607)</x:f>
        <x:v>1</x:v>
      </x:c>
      <x:c r="E607" s="11"/>
      <x:c r="F607" s="12" t="str">
        <x:v>Not Started</x:v>
      </x:c>
      <x:c r="G607" s="13"/>
      <x:c r="H607" s="30" t="str">
        <x:f>IF(AND(E607&lt;&gt;"",F607="Ready"),"Yes","No")</x:f>
        <x:v>No</x:v>
      </x:c>
      <x:c r="I607" s="11"/>
    </x:row>
    <x:row r="608" ht="38" customHeight="1">
      <x:c r="A608" s="30" t="str">
        <x:v>CL0604</x:v>
      </x:c>
      <x:c r="B608" s="30" t="str">
        <x:v>Other Question</x:v>
      </x:c>
      <x:c r="C608" s="31" t="str">
        <x:v>Markets outlook</x:v>
      </x:c>
      <x:c r="D608" s="32" t="n">
        <x:f>COUNTIF('All Questions'!$G$5:$G$1725,A608)</x:f>
        <x:v>1</x:v>
      </x:c>
      <x:c r="E608" s="11"/>
      <x:c r="F608" s="12" t="str">
        <x:v>Not Started</x:v>
      </x:c>
      <x:c r="G608" s="13"/>
      <x:c r="H608" s="30" t="str">
        <x:f>IF(AND(E608&lt;&gt;"",F608="Ready"),"Yes","No")</x:f>
        <x:v>No</x:v>
      </x:c>
      <x:c r="I608" s="11"/>
    </x:row>
    <x:row r="609" ht="58" customHeight="1">
      <x:c r="A609" s="30" t="str">
        <x:v>CL0605</x:v>
      </x:c>
      <x:c r="B609" s="30" t="str">
        <x:v>Other Technical</x:v>
      </x:c>
      <x:c r="C609" s="31" t="str">
        <x:v>Math question: 类似If a frog jumps half the distance to a pond with each leap, how many jumps would it need to reach the water</x:v>
      </x:c>
      <x:c r="D609" s="32" t="n">
        <x:f>COUNTIF('All Questions'!$G$5:$G$1725,A609)</x:f>
        <x:v>1</x:v>
      </x:c>
      <x:c r="E609" s="11"/>
      <x:c r="F609" s="12" t="str">
        <x:v>Not Started</x:v>
      </x:c>
      <x:c r="G609" s="13"/>
      <x:c r="H609" s="30" t="str">
        <x:f>IF(AND(E609&lt;&gt;"",F609="Ready"),"Yes","No")</x:f>
        <x:v>No</x:v>
      </x:c>
      <x:c r="I609" s="11"/>
    </x:row>
    <x:row r="610" ht="38" customHeight="1">
      <x:c r="A610" s="30" t="str">
        <x:v>CL0606</x:v>
      </x:c>
      <x:c r="B610" s="30" t="str">
        <x:v>Valuation</x:v>
      </x:c>
      <x:c r="C610" s="31" t="str">
        <x:v>Mining valuation multiples</x:v>
      </x:c>
      <x:c r="D610" s="32" t="n">
        <x:f>COUNTIF('All Questions'!$G$5:$G$1725,A610)</x:f>
        <x:v>1</x:v>
      </x:c>
      <x:c r="E610" s="11"/>
      <x:c r="F610" s="12" t="str">
        <x:v>Not Started</x:v>
      </x:c>
      <x:c r="G610" s="13"/>
      <x:c r="H610" s="30" t="str">
        <x:f>IF(AND(E610&lt;&gt;"",F610="Ready"),"Yes","No")</x:f>
        <x:v>No</x:v>
      </x:c>
      <x:c r="I610" s="11"/>
    </x:row>
    <x:row r="611" ht="38" customHeight="1">
      <x:c r="A611" s="30" t="str">
        <x:v>CL0607</x:v>
      </x:c>
      <x:c r="B611" s="30" t="str">
        <x:v>Resume &amp; Experience</x:v>
      </x:c>
      <x:c r="C611" s="31" t="str">
        <x:v>Most memorable internship experience</x:v>
      </x:c>
      <x:c r="D611" s="32" t="n">
        <x:f>COUNTIF('All Questions'!$G$5:$G$1725,A611)</x:f>
        <x:v>1</x:v>
      </x:c>
      <x:c r="E611" s="11"/>
      <x:c r="F611" s="12" t="str">
        <x:v>Not Started</x:v>
      </x:c>
      <x:c r="G611" s="13"/>
      <x:c r="H611" s="30" t="str">
        <x:f>IF(AND(E611&lt;&gt;"",F611="Ready"),"Yes","No")</x:f>
        <x:v>No</x:v>
      </x:c>
      <x:c r="I611" s="11"/>
    </x:row>
    <x:row r="612" ht="38" customHeight="1">
      <x:c r="A612" s="30" t="str">
        <x:v>CL0608</x:v>
      </x:c>
      <x:c r="B612" s="30" t="str">
        <x:v>Resume &amp; Experience</x:v>
      </x:c>
      <x:c r="C612" s="31" t="str">
        <x:v>Most memorable internship experience and why</x:v>
      </x:c>
      <x:c r="D612" s="32" t="n">
        <x:f>COUNTIF('All Questions'!$G$5:$G$1725,A612)</x:f>
        <x:v>1</x:v>
      </x:c>
      <x:c r="E612" s="11"/>
      <x:c r="F612" s="12" t="str">
        <x:v>Not Started</x:v>
      </x:c>
      <x:c r="G612" s="13"/>
      <x:c r="H612" s="30" t="str">
        <x:f>IF(AND(E612&lt;&gt;"",F612="Ready"),"Yes","No")</x:f>
        <x:v>No</x:v>
      </x:c>
      <x:c r="I612" s="11"/>
    </x:row>
    <x:row r="613" ht="38" customHeight="1">
      <x:c r="A613" s="30" t="str">
        <x:v>CL0609</x:v>
      </x:c>
      <x:c r="B613" s="30" t="str">
        <x:v>Fit &amp; Motivation</x:v>
      </x:c>
      <x:c r="C613" s="31" t="str">
        <x:v>Most of your experience is IPO-related — why M&amp;A</x:v>
      </x:c>
      <x:c r="D613" s="32" t="n">
        <x:f>COUNTIF('All Questions'!$G$5:$G$1725,A613)</x:f>
        <x:v>1</x:v>
      </x:c>
      <x:c r="E613" s="11"/>
      <x:c r="F613" s="12" t="str">
        <x:v>Not Started</x:v>
      </x:c>
      <x:c r="G613" s="13"/>
      <x:c r="H613" s="30" t="str">
        <x:f>IF(AND(E613&lt;&gt;"",F613="Ready"),"Yes","No")</x:f>
        <x:v>No</x:v>
      </x:c>
      <x:c r="I613" s="11"/>
    </x:row>
    <x:row r="614" ht="38" customHeight="1">
      <x:c r="A614" s="30" t="str">
        <x:v>CL0610</x:v>
      </x:c>
      <x:c r="B614" s="30" t="str">
        <x:v>Fit &amp; Motivation</x:v>
      </x:c>
      <x:c r="C614" s="31" t="str">
        <x:v>Motivation Qs: why payment</x:v>
      </x:c>
      <x:c r="D614" s="32" t="n">
        <x:f>COUNTIF('All Questions'!$G$5:$G$1725,A614)</x:f>
        <x:v>1</x:v>
      </x:c>
      <x:c r="E614" s="11"/>
      <x:c r="F614" s="12" t="str">
        <x:v>Not Started</x:v>
      </x:c>
      <x:c r="G614" s="13"/>
      <x:c r="H614" s="30" t="str">
        <x:f>IF(AND(E614&lt;&gt;"",F614="Ready"),"Yes","No")</x:f>
        <x:v>No</x:v>
      </x:c>
      <x:c r="I614" s="11"/>
    </x:row>
    <x:row r="615" ht="38" customHeight="1">
      <x:c r="A615" s="30" t="str">
        <x:v>CL0611</x:v>
      </x:c>
      <x:c r="B615" s="30" t="str">
        <x:v>Consulting &amp; Case</x:v>
      </x:c>
      <x:c r="C615" s="31" t="str">
        <x:v>MS return, summer</x:v>
      </x:c>
      <x:c r="D615" s="32" t="n">
        <x:f>COUNTIF('All Questions'!$G$5:$G$1725,A615)</x:f>
        <x:v>1</x:v>
      </x:c>
      <x:c r="E615" s="11"/>
      <x:c r="F615" s="12" t="str">
        <x:v>Not Started</x:v>
      </x:c>
      <x:c r="G615" s="13"/>
      <x:c r="H615" s="30" t="str">
        <x:f>IF(AND(E615&lt;&gt;"",F615="Ready"),"Yes","No")</x:f>
        <x:v>No</x:v>
      </x:c>
      <x:c r="I615" s="11"/>
    </x:row>
    <x:row r="616" ht="38" customHeight="1">
      <x:c r="A616" s="30" t="str">
        <x:v>CL0612</x:v>
      </x:c>
      <x:c r="B616" s="30" t="str">
        <x:v>Valuation</x:v>
      </x:c>
      <x:c r="C616" s="31" t="str">
        <x:v>Multiples used in comps</x:v>
      </x:c>
      <x:c r="D616" s="32" t="n">
        <x:f>COUNTIF('All Questions'!$G$5:$G$1725,A616)</x:f>
        <x:v>1</x:v>
      </x:c>
      <x:c r="E616" s="11"/>
      <x:c r="F616" s="12" t="str">
        <x:v>Not Started</x:v>
      </x:c>
      <x:c r="G616" s="13"/>
      <x:c r="H616" s="30" t="str">
        <x:f>IF(AND(E616&lt;&gt;"",F616="Ready"),"Yes","No")</x:f>
        <x:v>No</x:v>
      </x:c>
      <x:c r="I616" s="11"/>
    </x:row>
    <x:row r="617" ht="38" customHeight="1">
      <x:c r="A617" s="30" t="str">
        <x:v>CL0613</x:v>
      </x:c>
      <x:c r="B617" s="30" t="str">
        <x:v>Other Question</x:v>
      </x:c>
      <x:c r="C617" s="31" t="str">
        <x:v>N do you know the market cap of Jefferies</x:v>
      </x:c>
      <x:c r="D617" s="32" t="n">
        <x:f>COUNTIF('All Questions'!$G$5:$G$1725,A617)</x:f>
        <x:v>1</x:v>
      </x:c>
      <x:c r="E617" s="11"/>
      <x:c r="F617" s="12" t="str">
        <x:v>Not Started</x:v>
      </x:c>
      <x:c r="G617" s="13"/>
      <x:c r="H617" s="30" t="str">
        <x:f>IF(AND(E617&lt;&gt;"",F617="Ready"),"Yes","No")</x:f>
        <x:v>No</x:v>
      </x:c>
      <x:c r="I617" s="11"/>
    </x:row>
    <x:row r="618" ht="38" customHeight="1">
      <x:c r="A618" s="30" t="str">
        <x:v>CL0614</x:v>
      </x:c>
      <x:c r="B618" s="30" t="str">
        <x:v>Other Question</x:v>
      </x:c>
      <x:c r="C618" s="31" t="str">
        <x:v>N You contacted the MD, and he didn’t respond, what would you do</x:v>
      </x:c>
      <x:c r="D618" s="32" t="n">
        <x:f>COUNTIF('All Questions'!$G$5:$G$1725,A618)</x:f>
        <x:v>1</x:v>
      </x:c>
      <x:c r="E618" s="11"/>
      <x:c r="F618" s="12" t="str">
        <x:v>Not Started</x:v>
      </x:c>
      <x:c r="G618" s="13"/>
      <x:c r="H618" s="30" t="str">
        <x:f>IF(AND(E618&lt;&gt;"",F618="Ready"),"Yes","No")</x:f>
        <x:v>No</x:v>
      </x:c>
      <x:c r="I618" s="11"/>
    </x:row>
    <x:row r="619" ht="38" customHeight="1">
      <x:c r="A619" s="30" t="str">
        <x:v>CL0615</x:v>
      </x:c>
      <x:c r="B619" s="30" t="str">
        <x:v>Company, Industry &amp; Deals</x:v>
      </x:c>
      <x:c r="C619" s="31" t="str">
        <x:v>Name 3 Chinese unicorns</x:v>
      </x:c>
      <x:c r="D619" s="32" t="n">
        <x:f>COUNTIF('All Questions'!$G$5:$G$1725,A619)</x:f>
        <x:v>1</x:v>
      </x:c>
      <x:c r="E619" s="11"/>
      <x:c r="F619" s="12" t="str">
        <x:v>Not Started</x:v>
      </x:c>
      <x:c r="G619" s="13"/>
      <x:c r="H619" s="30" t="str">
        <x:f>IF(AND(E619&lt;&gt;"",F619="Ready"),"Yes","No")</x:f>
        <x:v>No</x:v>
      </x:c>
      <x:c r="I619" s="11"/>
    </x:row>
    <x:row r="620" ht="38" customHeight="1">
      <x:c r="A620" s="30" t="str">
        <x:v>CL0616</x:v>
      </x:c>
      <x:c r="B620" s="30" t="str">
        <x:v>Valuation</x:v>
      </x:c>
      <x:c r="C620" s="31" t="str">
        <x:v>Name 5 listed Chinese TMT comps</x:v>
      </x:c>
      <x:c r="D620" s="32" t="n">
        <x:f>COUNTIF('All Questions'!$G$5:$G$1725,A620)</x:f>
        <x:v>1</x:v>
      </x:c>
      <x:c r="E620" s="11"/>
      <x:c r="F620" s="12" t="str">
        <x:v>Not Started</x:v>
      </x:c>
      <x:c r="G620" s="13"/>
      <x:c r="H620" s="30" t="str">
        <x:f>IF(AND(E620&lt;&gt;"",F620="Ready"),"Yes","No")</x:f>
        <x:v>No</x:v>
      </x:c>
      <x:c r="I620" s="11"/>
    </x:row>
    <x:row r="621" ht="38" customHeight="1">
      <x:c r="A621" s="30" t="str">
        <x:v>CL0617</x:v>
      </x:c>
      <x:c r="B621" s="30" t="str">
        <x:v>Resume &amp; Experience</x:v>
      </x:c>
      <x:c r="C621" s="31" t="str">
        <x:v>NB internship detail, sector I'm working on and investment thesis</x:v>
      </x:c>
      <x:c r="D621" s="32" t="n">
        <x:f>COUNTIF('All Questions'!$G$5:$G$1725,A621)</x:f>
        <x:v>1</x:v>
      </x:c>
      <x:c r="E621" s="11"/>
      <x:c r="F621" s="12" t="str">
        <x:v>Not Started</x:v>
      </x:c>
      <x:c r="G621" s="13"/>
      <x:c r="H621" s="30" t="str">
        <x:f>IF(AND(E621&lt;&gt;"",F621="Ready"),"Yes","No")</x:f>
        <x:v>No</x:v>
      </x:c>
      <x:c r="I621" s="11"/>
    </x:row>
    <x:row r="622" ht="58" customHeight="1">
      <x:c r="A622" s="30" t="str">
        <x:v>CL0618</x:v>
      </x:c>
      <x:c r="B622" s="30" t="str">
        <x:v>Company, Industry &amp; Deals</x:v>
      </x:c>
      <x:c r="C622" s="31" t="str">
        <x:v>Need to do PPT on the company overview, stock price performance, key financials, SWOT analysis</x:v>
      </x:c>
      <x:c r="D622" s="32" t="n">
        <x:f>COUNTIF('All Questions'!$G$5:$G$1725,A622)</x:f>
        <x:v>1</x:v>
      </x:c>
      <x:c r="E622" s="11"/>
      <x:c r="F622" s="12" t="str">
        <x:v>Not Started</x:v>
      </x:c>
      <x:c r="G622" s="13"/>
      <x:c r="H622" s="30" t="str">
        <x:f>IF(AND(E622&lt;&gt;"",F622="Ready"),"Yes","No")</x:f>
        <x:v>No</x:v>
      </x:c>
      <x:c r="I622" s="11"/>
    </x:row>
    <x:row r="623" ht="38" customHeight="1">
      <x:c r="A623" s="30" t="str">
        <x:v>CL0619</x:v>
      </x:c>
      <x:c r="B623" s="30" t="str">
        <x:v>Other Question</x:v>
      </x:c>
      <x:c r="C623" s="31" t="str">
        <x:v>Need to sacrifice your private time doing ibd, are you ready for this</x:v>
      </x:c>
      <x:c r="D623" s="32" t="n">
        <x:f>COUNTIF('All Questions'!$G$5:$G$1725,A623)</x:f>
        <x:v>1</x:v>
      </x:c>
      <x:c r="E623" s="11"/>
      <x:c r="F623" s="12" t="str">
        <x:v>Not Started</x:v>
      </x:c>
      <x:c r="G623" s="13"/>
      <x:c r="H623" s="30" t="str">
        <x:f>IF(AND(E623&lt;&gt;"",F623="Ready"),"Yes","No")</x:f>
        <x:v>No</x:v>
      </x:c>
      <x:c r="I623" s="11"/>
    </x:row>
    <x:row r="624" ht="80" customHeight="1">
      <x:c r="A624" s="30" t="str">
        <x:v>CL0620</x:v>
      </x:c>
      <x:c r="B624" s="30" t="str">
        <x:v>Resume &amp; Experience</x:v>
      </x:c>
      <x:c r="C624" s="31" t="str">
        <x:v>Nike and Starbucks both just changed CEOs and their stock price rose, what do you think is the reason behind? (it's like their new CEOs are all F&amp;B veterans whereas their old ones came from consulting background and didn't understand the industry in real life)</x:v>
      </x:c>
      <x:c r="D624" s="32" t="n">
        <x:f>COUNTIF('All Questions'!$G$5:$G$1725,A624)</x:f>
        <x:v>1</x:v>
      </x:c>
      <x:c r="E624" s="11"/>
      <x:c r="F624" s="12" t="str">
        <x:v>Not Started</x:v>
      </x:c>
      <x:c r="G624" s="13"/>
      <x:c r="H624" s="30" t="str">
        <x:f>IF(AND(E624&lt;&gt;"",F624="Ready"),"Yes","No")</x:f>
        <x:v>No</x:v>
      </x:c>
      <x:c r="I624" s="11"/>
    </x:row>
    <x:row r="625" ht="80" customHeight="1">
      <x:c r="A625" s="30" t="str">
        <x:v>CL0621</x:v>
      </x:c>
      <x:c r="B625" s="30" t="str">
        <x:v>Accounting &amp; Financial Statements</x:v>
      </x:c>
      <x:c r="C625" s="31" t="str">
        <x:v>Notes: HKEX’s website is very informative, look up as much information as you can before the interview, show your familiarity with the company to the interviewers</x:v>
      </x:c>
      <x:c r="D625" s="32" t="n">
        <x:f>COUNTIF('All Questions'!$G$5:$G$1725,A625)</x:f>
        <x:v>1</x:v>
      </x:c>
      <x:c r="E625" s="11"/>
      <x:c r="F625" s="12" t="str">
        <x:v>Not Started</x:v>
      </x:c>
      <x:c r="G625" s="13"/>
      <x:c r="H625" s="30" t="str">
        <x:f>IF(AND(E625&lt;&gt;"",F625="Ready"),"Yes","No")</x:f>
        <x:v>No</x:v>
      </x:c>
      <x:c r="I625" s="11"/>
    </x:row>
    <x:row r="626" ht="58" customHeight="1">
      <x:c r="A626" s="30" t="str">
        <x:v>CL0622</x:v>
      </x:c>
      <x:c r="B626" s="30" t="str">
        <x:v>Other Question</x:v>
      </x:c>
      <x:c r="C626" s="31" t="str">
        <x:v>Now investors raise their pricing, but the issuers' expectations are still high, how would you convince the issuers</x:v>
      </x:c>
      <x:c r="D626" s="32" t="n">
        <x:f>COUNTIF('All Questions'!$G$5:$G$1725,A626)</x:f>
        <x:v>1</x:v>
      </x:c>
      <x:c r="E626" s="11"/>
      <x:c r="F626" s="12" t="str">
        <x:v>Not Started</x:v>
      </x:c>
      <x:c r="G626" s="13"/>
      <x:c r="H626" s="30" t="str">
        <x:f>IF(AND(E626&lt;&gt;"",F626="Ready"),"Yes","No")</x:f>
        <x:v>No</x:v>
      </x:c>
      <x:c r="I626" s="11"/>
    </x:row>
    <x:row r="627" ht="38" customHeight="1">
      <x:c r="A627" s="30" t="str">
        <x:v>CL0623</x:v>
      </x:c>
      <x:c r="B627" s="30" t="str">
        <x:v>Valuation</x:v>
      </x:c>
      <x:c r="C627" s="31" t="str">
        <x:v>Odysseus projects - valuation work, multiples used</x:v>
      </x:c>
      <x:c r="D627" s="32" t="n">
        <x:f>COUNTIF('All Questions'!$G$5:$G$1725,A627)</x:f>
        <x:v>1</x:v>
      </x:c>
      <x:c r="E627" s="11"/>
      <x:c r="F627" s="12" t="str">
        <x:v>Not Started</x:v>
      </x:c>
      <x:c r="G627" s="13"/>
      <x:c r="H627" s="30" t="str">
        <x:f>IF(AND(E627&lt;&gt;"",F627="Ready"),"Yes","No")</x:f>
        <x:v>No</x:v>
      </x:c>
      <x:c r="I627" s="11"/>
    </x:row>
    <x:row r="628" ht="38" customHeight="1">
      <x:c r="A628" s="30" t="str">
        <x:v>CL0624</x:v>
      </x:c>
      <x:c r="B628" s="30" t="str">
        <x:v>Resume &amp; Experience</x:v>
      </x:c>
      <x:c r="C628" s="31" t="str">
        <x:v>Of all the internships you've done, which one do you like best</x:v>
      </x:c>
      <x:c r="D628" s="32" t="n">
        <x:f>COUNTIF('All Questions'!$G$5:$G$1725,A628)</x:f>
        <x:v>1</x:v>
      </x:c>
      <x:c r="E628" s="11"/>
      <x:c r="F628" s="12" t="str">
        <x:v>Not Started</x:v>
      </x:c>
      <x:c r="G628" s="13"/>
      <x:c r="H628" s="30" t="str">
        <x:f>IF(AND(E628&lt;&gt;"",F628="Ready"),"Yes","No")</x:f>
        <x:v>No</x:v>
      </x:c>
      <x:c r="I628" s="11"/>
    </x:row>
    <x:row r="629" ht="38" customHeight="1">
      <x:c r="A629" s="30" t="str">
        <x:v>CL0625</x:v>
      </x:c>
      <x:c r="B629" s="30" t="str">
        <x:v>Valuation</x:v>
      </x:c>
      <x:c r="C629" s="31" t="str">
        <x:v>One specific LBO question (calculate equity value)</x:v>
      </x:c>
      <x:c r="D629" s="32" t="n">
        <x:f>COUNTIF('All Questions'!$G$5:$G$1725,A629)</x:f>
        <x:v>1</x:v>
      </x:c>
      <x:c r="E629" s="11"/>
      <x:c r="F629" s="12" t="str">
        <x:v>Not Started</x:v>
      </x:c>
      <x:c r="G629" s="13"/>
      <x:c r="H629" s="30" t="str">
        <x:f>IF(AND(E629&lt;&gt;"",F629="Ready"),"Yes","No")</x:f>
        <x:v>No</x:v>
      </x:c>
      <x:c r="I629" s="11"/>
    </x:row>
    <x:row r="630" ht="38" customHeight="1">
      <x:c r="A630" s="30" t="str">
        <x:v>CL0626</x:v>
      </x:c>
      <x:c r="B630" s="30" t="str">
        <x:v>Valuation</x:v>
      </x:c>
      <x:c r="C630" s="31" t="str">
        <x:v>One very specific deal (investment thesis, valuation, comps)</x:v>
      </x:c>
      <x:c r="D630" s="32" t="n">
        <x:f>COUNTIF('All Questions'!$G$5:$G$1725,A630)</x:f>
        <x:v>1</x:v>
      </x:c>
      <x:c r="E630" s="11"/>
      <x:c r="F630" s="12" t="str">
        <x:v>Not Started</x:v>
      </x:c>
      <x:c r="G630" s="13"/>
      <x:c r="H630" s="30" t="str">
        <x:f>IF(AND(E630&lt;&gt;"",F630="Ready"),"Yes","No")</x:f>
        <x:v>No</x:v>
      </x:c>
      <x:c r="I630" s="11"/>
    </x:row>
    <x:row r="631" ht="38" customHeight="1">
      <x:c r="A631" s="30" t="str">
        <x:v>CL0627</x:v>
      </x:c>
      <x:c r="B631" s="30" t="str">
        <x:v>Resume &amp; Experience</x:v>
      </x:c>
      <x:c r="C631" s="31" t="str">
        <x:v>Only asked about one internship experience but asked about all the bullet points</x:v>
      </x:c>
      <x:c r="D631" s="32" t="n">
        <x:f>COUNTIF('All Questions'!$G$5:$G$1725,A631)</x:f>
        <x:v>1</x:v>
      </x:c>
      <x:c r="E631" s="11"/>
      <x:c r="F631" s="12" t="str">
        <x:v>Not Started</x:v>
      </x:c>
      <x:c r="G631" s="13"/>
      <x:c r="H631" s="30" t="str">
        <x:f>IF(AND(E631&lt;&gt;"",F631="Ready"),"Yes","No")</x:f>
        <x:v>No</x:v>
      </x:c>
      <x:c r="I631" s="11"/>
    </x:row>
    <x:row r="632" ht="38" customHeight="1">
      <x:c r="A632" s="30" t="str">
        <x:v>CL0628</x:v>
      </x:c>
      <x:c r="B632" s="30" t="str">
        <x:v>Valuation</x:v>
      </x:c>
      <x:c r="C632" s="31" t="str">
        <x:v>Optimal wacc</x:v>
      </x:c>
      <x:c r="D632" s="32" t="n">
        <x:f>COUNTIF('All Questions'!$G$5:$G$1725,A632)</x:f>
        <x:v>1</x:v>
      </x:c>
      <x:c r="E632" s="11"/>
      <x:c r="F632" s="12" t="str">
        <x:v>Not Started</x:v>
      </x:c>
      <x:c r="G632" s="13"/>
      <x:c r="H632" s="30" t="str">
        <x:f>IF(AND(E632&lt;&gt;"",F632="Ready"),"Yes","No")</x:f>
        <x:v>No</x:v>
      </x:c>
      <x:c r="I632" s="11"/>
    </x:row>
    <x:row r="633" ht="38" customHeight="1">
      <x:c r="A633" s="30" t="str">
        <x:v>CL0629</x:v>
      </x:c>
      <x:c r="B633" s="30" t="str">
        <x:v>Investment Pitch</x:v>
      </x:c>
      <x:c r="C633" s="31" t="str">
        <x:v>Outlook for the company, investment thesis, company overview</x:v>
      </x:c>
      <x:c r="D633" s="32" t="n">
        <x:f>COUNTIF('All Questions'!$G$5:$G$1725,A633)</x:f>
        <x:v>1</x:v>
      </x:c>
      <x:c r="E633" s="11"/>
      <x:c r="F633" s="12" t="str">
        <x:v>Not Started</x:v>
      </x:c>
      <x:c r="G633" s="13"/>
      <x:c r="H633" s="30" t="str">
        <x:f>IF(AND(E633&lt;&gt;"",F633="Ready"),"Yes","No")</x:f>
        <x:v>No</x:v>
      </x:c>
      <x:c r="I633" s="11"/>
    </x:row>
    <x:row r="634" ht="38" customHeight="1">
      <x:c r="A634" s="30" t="str">
        <x:v>CL0630</x:v>
      </x:c>
      <x:c r="B634" s="30" t="str">
        <x:v>Fit &amp; Motivation</x:v>
      </x:c>
      <x:c r="C634" s="31" t="str">
        <x:v>Over the 3 locations, which do you think performs the best and why</x:v>
      </x:c>
      <x:c r="D634" s="32" t="n">
        <x:f>COUNTIF('All Questions'!$G$5:$G$1725,A634)</x:f>
        <x:v>1</x:v>
      </x:c>
      <x:c r="E634" s="11"/>
      <x:c r="F634" s="12" t="str">
        <x:v>Not Started</x:v>
      </x:c>
      <x:c r="G634" s="13"/>
      <x:c r="H634" s="30" t="str">
        <x:f>IF(AND(E634&lt;&gt;"",F634="Ready"),"Yes","No")</x:f>
        <x:v>No</x:v>
      </x:c>
      <x:c r="I634" s="11"/>
    </x:row>
    <x:row r="635" ht="38" customHeight="1">
      <x:c r="A635" s="30" t="str">
        <x:v>CL0631</x:v>
      </x:c>
      <x:c r="B635" s="30" t="str">
        <x:v>Company, Industry &amp; Deals</x:v>
      </x:c>
      <x:c r="C635" s="31" t="str">
        <x:v>Own 51% of a healthcare listed company (went public 4yrs ago when healthcare was hot)</x:v>
      </x:c>
      <x:c r="D635" s="32" t="n">
        <x:f>COUNTIF('All Questions'!$G$5:$G$1725,A635)</x:f>
        <x:v>1</x:v>
      </x:c>
      <x:c r="E635" s="11"/>
      <x:c r="F635" s="12" t="str">
        <x:v>Not Started</x:v>
      </x:c>
      <x:c r="G635" s="13"/>
      <x:c r="H635" s="30" t="str">
        <x:f>IF(AND(E635&lt;&gt;"",F635="Ready"),"Yes","No")</x:f>
        <x:v>No</x:v>
      </x:c>
      <x:c r="I635" s="11"/>
    </x:row>
    <x:row r="636" ht="38" customHeight="1">
      <x:c r="A636" s="30" t="str">
        <x:v>CL0632</x:v>
      </x:c>
      <x:c r="B636" s="30" t="str">
        <x:v>Resume &amp; Experience</x:v>
      </x:c>
      <x:c r="C636" s="31" t="str">
        <x:v>Pitch a thematic in my previous internship (with follow-up questions)</x:v>
      </x:c>
      <x:c r="D636" s="32" t="n">
        <x:f>COUNTIF('All Questions'!$G$5:$G$1725,A636)</x:f>
        <x:v>1</x:v>
      </x:c>
      <x:c r="E636" s="11"/>
      <x:c r="F636" s="12" t="str">
        <x:v>Not Started</x:v>
      </x:c>
      <x:c r="G636" s="13"/>
      <x:c r="H636" s="30" t="str">
        <x:f>IF(AND(E636&lt;&gt;"",F636="Ready"),"Yes","No")</x:f>
        <x:v>No</x:v>
      </x:c>
      <x:c r="I636" s="11"/>
    </x:row>
    <x:row r="637" ht="38" customHeight="1">
      <x:c r="A637" s="30" t="str">
        <x:v>CL0633</x:v>
      </x:c>
      <x:c r="B637" s="30" t="str">
        <x:v>Investment Pitch</x:v>
      </x:c>
      <x:c r="C637" s="31" t="str">
        <x:v>Pitch me a company</x:v>
      </x:c>
      <x:c r="D637" s="32" t="n">
        <x:f>COUNTIF('All Questions'!$G$5:$G$1725,A637)</x:f>
        <x:v>1</x:v>
      </x:c>
      <x:c r="E637" s="11"/>
      <x:c r="F637" s="12" t="str">
        <x:v>Not Started</x:v>
      </x:c>
      <x:c r="G637" s="13"/>
      <x:c r="H637" s="30" t="str">
        <x:f>IF(AND(E637&lt;&gt;"",F637="Ready"),"Yes","No")</x:f>
        <x:v>No</x:v>
      </x:c>
      <x:c r="I637" s="11"/>
    </x:row>
    <x:row r="638" ht="38" customHeight="1">
      <x:c r="A638" s="30" t="str">
        <x:v>CL0634</x:v>
      </x:c>
      <x:c r="B638" s="30" t="str">
        <x:v>Company, Industry &amp; Deals</x:v>
      </x:c>
      <x:c r="C638" s="31" t="str">
        <x:v>Pitch me an industry</x:v>
      </x:c>
      <x:c r="D638" s="32" t="n">
        <x:f>COUNTIF('All Questions'!$G$5:$G$1725,A638)</x:f>
        <x:v>1</x:v>
      </x:c>
      <x:c r="E638" s="11"/>
      <x:c r="F638" s="12" t="str">
        <x:v>Not Started</x:v>
      </x:c>
      <x:c r="G638" s="13"/>
      <x:c r="H638" s="30" t="str">
        <x:f>IF(AND(E638&lt;&gt;"",F638="Ready"),"Yes","No")</x:f>
        <x:v>No</x:v>
      </x:c>
      <x:c r="I638" s="11"/>
    </x:row>
    <x:row r="639" ht="38" customHeight="1">
      <x:c r="A639" s="30" t="str">
        <x:v>CL0635</x:v>
      </x:c>
      <x:c r="B639" s="30" t="str">
        <x:v>Investment Pitch</x:v>
      </x:c>
      <x:c r="C639" s="31" t="str">
        <x:v>Pitch me an investment idea</x:v>
      </x:c>
      <x:c r="D639" s="32" t="n">
        <x:f>COUNTIF('All Questions'!$G$5:$G$1725,A639)</x:f>
        <x:v>1</x:v>
      </x:c>
      <x:c r="E639" s="11"/>
      <x:c r="F639" s="12" t="str">
        <x:v>Not Started</x:v>
      </x:c>
      <x:c r="G639" s="13"/>
      <x:c r="H639" s="30" t="str">
        <x:f>IF(AND(E639&lt;&gt;"",F639="Ready"),"Yes","No")</x:f>
        <x:v>No</x:v>
      </x:c>
      <x:c r="I639" s="11"/>
    </x:row>
    <x:row r="640" ht="38" customHeight="1">
      <x:c r="A640" s="30" t="str">
        <x:v>CL0636</x:v>
      </x:c>
      <x:c r="B640" s="30" t="str">
        <x:v>Other Question</x:v>
      </x:c>
      <x:c r="C640" s="31" t="str">
        <x:v>Pitch me another stock</x:v>
      </x:c>
      <x:c r="D640" s="32" t="n">
        <x:f>COUNTIF('All Questions'!$G$5:$G$1725,A640)</x:f>
        <x:v>1</x:v>
      </x:c>
      <x:c r="E640" s="11"/>
      <x:c r="F640" s="12" t="str">
        <x:v>Not Started</x:v>
      </x:c>
      <x:c r="G640" s="13"/>
      <x:c r="H640" s="30" t="str">
        <x:f>IF(AND(E640&lt;&gt;"",F640="Ready"),"Yes","No")</x:f>
        <x:v>No</x:v>
      </x:c>
      <x:c r="I640" s="11"/>
    </x:row>
    <x:row r="641" ht="58" customHeight="1">
      <x:c r="A641" s="30" t="str">
        <x:v>CL0637</x:v>
      </x:c>
      <x:c r="B641" s="30" t="str">
        <x:v>Company, Industry &amp; Deals</x:v>
      </x:c>
      <x:c r="C641" s="31" t="str">
        <x:v>Pitch me one sector or asset class and what's your expectation for it in the future and 5 years horizon</x:v>
      </x:c>
      <x:c r="D641" s="32" t="n">
        <x:f>COUNTIF('All Questions'!$G$5:$G$1725,A641)</x:f>
        <x:v>1</x:v>
      </x:c>
      <x:c r="E641" s="11"/>
      <x:c r="F641" s="12" t="str">
        <x:v>Not Started</x:v>
      </x:c>
      <x:c r="G641" s="13"/>
      <x:c r="H641" s="30" t="str">
        <x:f>IF(AND(E641&lt;&gt;"",F641="Ready"),"Yes","No")</x:f>
        <x:v>No</x:v>
      </x:c>
      <x:c r="I641" s="11"/>
    </x:row>
    <x:row r="642" ht="58" customHeight="1">
      <x:c r="A642" s="30" t="str">
        <x:v>CL0638</x:v>
      </x:c>
      <x:c r="B642" s="30" t="str">
        <x:v>Resume &amp; Experience</x:v>
      </x:c>
      <x:c r="C642" s="31" t="str">
        <x:v>Pitch me yourself, what is the advantage for someone with PE experience compared to someone with ib experience in doing IDB roles</x:v>
      </x:c>
      <x:c r="D642" s="32" t="n">
        <x:f>COUNTIF('All Questions'!$G$5:$G$1725,A642)</x:f>
        <x:v>1</x:v>
      </x:c>
      <x:c r="E642" s="11"/>
      <x:c r="F642" s="12" t="str">
        <x:v>Not Started</x:v>
      </x:c>
      <x:c r="G642" s="13"/>
      <x:c r="H642" s="30" t="str">
        <x:f>IF(AND(E642&lt;&gt;"",F642="Ready"),"Yes","No")</x:f>
        <x:v>No</x:v>
      </x:c>
      <x:c r="I642" s="11"/>
    </x:row>
    <x:row r="643" ht="38" customHeight="1">
      <x:c r="A643" s="30" t="str">
        <x:v>CL0639</x:v>
      </x:c>
      <x:c r="B643" s="30" t="str">
        <x:v>Other Question</x:v>
      </x:c>
      <x:c r="C643" s="31" t="str">
        <x:v>Plan for studies</x:v>
      </x:c>
      <x:c r="D643" s="32" t="n">
        <x:f>COUNTIF('All Questions'!$G$5:$G$1725,A643)</x:f>
        <x:v>1</x:v>
      </x:c>
      <x:c r="E643" s="11"/>
      <x:c r="F643" s="12" t="str">
        <x:v>Not Started</x:v>
      </x:c>
      <x:c r="G643" s="13"/>
      <x:c r="H643" s="30" t="str">
        <x:f>IF(AND(E643&lt;&gt;"",F643="Ready"),"Yes","No")</x:f>
        <x:v>No</x:v>
      </x:c>
      <x:c r="I643" s="11"/>
    </x:row>
    <x:row r="644" ht="80" customHeight="1">
      <x:c r="A644" s="30" t="str">
        <x:v>CL0640</x:v>
      </x:c>
      <x:c r="B644" s="30" t="str">
        <x:v>Valuation</x:v>
      </x:c>
      <x:c r="C644" s="31" t="str">
        <x:v>Please complete a company analysis report for 乐歌股份 (300729). The analysis report should consist of industry analysis, business attractiveness, financials and valuation</x:v>
      </x:c>
      <x:c r="D644" s="32" t="n">
        <x:f>COUNTIF('All Questions'!$G$5:$G$1725,A644)</x:f>
        <x:v>1</x:v>
      </x:c>
      <x:c r="E644" s="11"/>
      <x:c r="F644" s="12" t="str">
        <x:v>Not Started</x:v>
      </x:c>
      <x:c r="G644" s="13"/>
      <x:c r="H644" s="30" t="str">
        <x:f>IF(AND(E644&lt;&gt;"",F644="Ready"),"Yes","No")</x:f>
        <x:v>No</x:v>
      </x:c>
      <x:c r="I644" s="11"/>
    </x:row>
    <x:row r="645" ht="80" customHeight="1">
      <x:c r="A645" s="30" t="str">
        <x:v>CL0641</x:v>
      </x:c>
      <x:c r="B645" s="30" t="str">
        <x:v>Markets &amp; Macro</x:v>
      </x:c>
      <x:c r="C645" s="31" t="str">
        <x:v>Please discuss how the US' current account and fiscal deficits, coupled with its increasing national debt burden, will impact its role in the global economy and monetary system, in particular the role of USD as the world's reserve currency</x:v>
      </x:c>
      <x:c r="D645" s="32" t="n">
        <x:f>COUNTIF('All Questions'!$G$5:$G$1725,A645)</x:f>
        <x:v>1</x:v>
      </x:c>
      <x:c r="E645" s="11"/>
      <x:c r="F645" s="12" t="str">
        <x:v>Not Started</x:v>
      </x:c>
      <x:c r="G645" s="13"/>
      <x:c r="H645" s="30" t="str">
        <x:f>IF(AND(E645&lt;&gt;"",F645="Ready"),"Yes","No")</x:f>
        <x:v>No</x:v>
      </x:c>
      <x:c r="I645" s="11"/>
    </x:row>
    <x:row r="646" ht="38" customHeight="1">
      <x:c r="A646" s="30" t="str">
        <x:v>CL0642</x:v>
      </x:c>
      <x:c r="B646" s="30" t="str">
        <x:v>Valuation</x:v>
      </x:c>
      <x:c r="C646" s="31" t="str">
        <x:v>Post-money valuation of the company</x:v>
      </x:c>
      <x:c r="D646" s="32" t="n">
        <x:f>COUNTIF('All Questions'!$G$5:$G$1725,A646)</x:f>
        <x:v>1</x:v>
      </x:c>
      <x:c r="E646" s="11"/>
      <x:c r="F646" s="12" t="str">
        <x:v>Not Started</x:v>
      </x:c>
      <x:c r="G646" s="13"/>
      <x:c r="H646" s="30" t="str">
        <x:f>IF(AND(E646&lt;&gt;"",F646="Ready"),"Yes","No")</x:f>
        <x:v>No</x:v>
      </x:c>
      <x:c r="I646" s="11"/>
    </x:row>
    <x:row r="647" ht="38" customHeight="1">
      <x:c r="A647" s="30" t="str">
        <x:v>CL0643</x:v>
      </x:c>
      <x:c r="B647" s="30" t="str">
        <x:v>Accounting &amp; Financial Statements</x:v>
      </x:c>
      <x:c r="C647" s="31" t="str">
        <x:v>PP&amp;E increase by 10 thousand, 3 statement</x:v>
      </x:c>
      <x:c r="D647" s="32" t="n">
        <x:f>COUNTIF('All Questions'!$G$5:$G$1725,A647)</x:f>
        <x:v>1</x:v>
      </x:c>
      <x:c r="E647" s="11"/>
      <x:c r="F647" s="12" t="str">
        <x:v>Not Started</x:v>
      </x:c>
      <x:c r="G647" s="13"/>
      <x:c r="H647" s="30" t="str">
        <x:f>IF(AND(E647&lt;&gt;"",F647="Ready"),"Yes","No")</x:f>
        <x:v>No</x:v>
      </x:c>
      <x:c r="I647" s="11"/>
    </x:row>
    <x:row r="648" ht="38" customHeight="1">
      <x:c r="A648" s="30" t="str">
        <x:v>CL0644</x:v>
      </x:c>
      <x:c r="B648" s="30" t="str">
        <x:v>Other Technical</x:v>
      </x:c>
      <x:c r="C648" s="31" t="str">
        <x:v>PPT person or Excel person</x:v>
      </x:c>
      <x:c r="D648" s="32" t="n">
        <x:f>COUNTIF('All Questions'!$G$5:$G$1725,A648)</x:f>
        <x:v>1</x:v>
      </x:c>
      <x:c r="E648" s="11"/>
      <x:c r="F648" s="12" t="str">
        <x:v>Not Started</x:v>
      </x:c>
      <x:c r="G648" s="13"/>
      <x:c r="H648" s="30" t="str">
        <x:f>IF(AND(E648&lt;&gt;"",F648="Ready"),"Yes","No")</x:f>
        <x:v>No</x:v>
      </x:c>
      <x:c r="I648" s="11"/>
    </x:row>
    <x:row r="649" ht="38" customHeight="1">
      <x:c r="A649" s="30" t="str">
        <x:v>CL0645</x:v>
      </x:c>
      <x:c r="B649" s="30" t="str">
        <x:v>Valuation</x:v>
      </x:c>
      <x:c r="C649" s="31" t="str">
        <x:v>Pre money and post money valuation for cross border b2b platform</x:v>
      </x:c>
      <x:c r="D649" s="32" t="n">
        <x:f>COUNTIF('All Questions'!$G$5:$G$1725,A649)</x:f>
        <x:v>1</x:v>
      </x:c>
      <x:c r="E649" s="11"/>
      <x:c r="F649" s="12" t="str">
        <x:v>Not Started</x:v>
      </x:c>
      <x:c r="G649" s="13"/>
      <x:c r="H649" s="30" t="str">
        <x:f>IF(AND(E649&lt;&gt;"",F649="Ready"),"Yes","No")</x:f>
        <x:v>No</x:v>
      </x:c>
      <x:c r="I649" s="11"/>
    </x:row>
    <x:row r="650" ht="38" customHeight="1">
      <x:c r="A650" s="30" t="str">
        <x:v>CL0646</x:v>
      </x:c>
      <x:c r="B650" s="30" t="str">
        <x:v>Valuation</x:v>
      </x:c>
      <x:c r="C650" s="31" t="str">
        <x:v>Precedent transactions – what are the pros and cons</x:v>
      </x:c>
      <x:c r="D650" s="32" t="n">
        <x:f>COUNTIF('All Questions'!$G$5:$G$1725,A650)</x:f>
        <x:v>1</x:v>
      </x:c>
      <x:c r="E650" s="11"/>
      <x:c r="F650" s="12" t="str">
        <x:v>Not Started</x:v>
      </x:c>
      <x:c r="G650" s="13"/>
      <x:c r="H650" s="30" t="str">
        <x:f>IF(AND(E650&lt;&gt;"",F650="Ready"),"Yes","No")</x:f>
        <x:v>No</x:v>
      </x:c>
      <x:c r="I650" s="11"/>
    </x:row>
    <x:row r="651" ht="38" customHeight="1">
      <x:c r="A651" s="30" t="str">
        <x:v>CL0647</x:v>
      </x:c>
      <x:c r="B651" s="30" t="str">
        <x:v>Other Question</x:v>
      </x:c>
      <x:c r="C651" s="31" t="str">
        <x:v>Preference for team</x:v>
      </x:c>
      <x:c r="D651" s="32" t="n">
        <x:f>COUNTIF('All Questions'!$G$5:$G$1725,A651)</x:f>
        <x:v>1</x:v>
      </x:c>
      <x:c r="E651" s="11"/>
      <x:c r="F651" s="12" t="str">
        <x:v>Not Started</x:v>
      </x:c>
      <x:c r="G651" s="13"/>
      <x:c r="H651" s="30" t="str">
        <x:f>IF(AND(E651&lt;&gt;"",F651="Ready"),"Yes","No")</x:f>
        <x:v>No</x:v>
      </x:c>
      <x:c r="I651" s="11"/>
    </x:row>
    <x:row r="652" ht="38" customHeight="1">
      <x:c r="A652" s="30" t="str">
        <x:v>CL0648</x:v>
      </x:c>
      <x:c r="B652" s="30" t="str">
        <x:v>Capital Markets &amp; Financing</x:v>
      </x:c>
      <x:c r="C652" s="31" t="str">
        <x:v>Preference on capital market or coverage</x:v>
      </x:c>
      <x:c r="D652" s="32" t="n">
        <x:f>COUNTIF('All Questions'!$G$5:$G$1725,A652)</x:f>
        <x:v>1</x:v>
      </x:c>
      <x:c r="E652" s="11"/>
      <x:c r="F652" s="12" t="str">
        <x:v>Not Started</x:v>
      </x:c>
      <x:c r="G652" s="13"/>
      <x:c r="H652" s="30" t="str">
        <x:f>IF(AND(E652&lt;&gt;"",F652="Ready"),"Yes","No")</x:f>
        <x:v>No</x:v>
      </x:c>
      <x:c r="I652" s="11"/>
    </x:row>
    <x:row r="653" ht="38" customHeight="1">
      <x:c r="A653" s="30" t="str">
        <x:v>CL0649</x:v>
      </x:c>
      <x:c r="B653" s="30" t="str">
        <x:v>Company, Industry &amp; Deals</x:v>
      </x:c>
      <x:c r="C653" s="31" t="str">
        <x:v>Preference towards industry group</x:v>
      </x:c>
      <x:c r="D653" s="32" t="n">
        <x:f>COUNTIF('All Questions'!$G$5:$G$1725,A653)</x:f>
        <x:v>1</x:v>
      </x:c>
      <x:c r="E653" s="11"/>
      <x:c r="F653" s="12" t="str">
        <x:v>Not Started</x:v>
      </x:c>
      <x:c r="G653" s="13"/>
      <x:c r="H653" s="30" t="str">
        <x:f>IF(AND(E653&lt;&gt;"",F653="Ready"),"Yes","No")</x:f>
        <x:v>No</x:v>
      </x:c>
      <x:c r="I653" s="11"/>
    </x:row>
    <x:row r="654" ht="38" customHeight="1">
      <x:c r="A654" s="30" t="str">
        <x:v>CL0650</x:v>
      </x:c>
      <x:c r="B654" s="30" t="str">
        <x:v>Fit &amp; Motivation</x:v>
      </x:c>
      <x:c r="C654" s="31" t="str">
        <x:v>Pretend I am GS interviewer, why GS</x:v>
      </x:c>
      <x:c r="D654" s="32" t="n">
        <x:f>COUNTIF('All Questions'!$G$5:$G$1725,A654)</x:f>
        <x:v>1</x:v>
      </x:c>
      <x:c r="E654" s="11"/>
      <x:c r="F654" s="12" t="str">
        <x:v>Not Started</x:v>
      </x:c>
      <x:c r="G654" s="13"/>
      <x:c r="H654" s="30" t="str">
        <x:f>IF(AND(E654&lt;&gt;"",F654="Ready"),"Yes","No")</x:f>
        <x:v>No</x:v>
      </x:c>
      <x:c r="I654" s="11"/>
    </x:row>
    <x:row r="655" ht="38" customHeight="1">
      <x:c r="A655" s="30" t="str">
        <x:v>CL0651</x:v>
      </x:c>
      <x:c r="B655" s="30" t="str">
        <x:v>Sales &amp; Trading</x:v>
      </x:c>
      <x:c r="C655" s="31" t="str">
        <x:v>Previously you did lots of sales and research roles, any idea about trading roles</x:v>
      </x:c>
      <x:c r="D655" s="32" t="n">
        <x:f>COUNTIF('All Questions'!$G$5:$G$1725,A655)</x:f>
        <x:v>1</x:v>
      </x:c>
      <x:c r="E655" s="11"/>
      <x:c r="F655" s="12" t="str">
        <x:v>Not Started</x:v>
      </x:c>
      <x:c r="G655" s="13"/>
      <x:c r="H655" s="30" t="str">
        <x:f>IF(AND(E655&lt;&gt;"",F655="Ready"),"Yes","No")</x:f>
        <x:v>No</x:v>
      </x:c>
      <x:c r="I655" s="11"/>
    </x:row>
    <x:row r="656" ht="38" customHeight="1">
      <x:c r="A656" s="30" t="str">
        <x:v>CL0652</x:v>
      </x:c>
      <x:c r="B656" s="30" t="str">
        <x:v>Other Question</x:v>
      </x:c>
      <x:c r="C656" s="31" t="str">
        <x:v>Pro-forma EV/EBITDA, PE change</x:v>
      </x:c>
      <x:c r="D656" s="32" t="n">
        <x:f>COUNTIF('All Questions'!$G$5:$G$1725,A656)</x:f>
        <x:v>1</x:v>
      </x:c>
      <x:c r="E656" s="11"/>
      <x:c r="F656" s="12" t="str">
        <x:v>Not Started</x:v>
      </x:c>
      <x:c r="G656" s="13"/>
      <x:c r="H656" s="30" t="str">
        <x:f>IF(AND(E656&lt;&gt;"",F656="Ready"),"Yes","No")</x:f>
        <x:v>No</x:v>
      </x:c>
      <x:c r="I656" s="11"/>
    </x:row>
    <x:row r="657" ht="38" customHeight="1">
      <x:c r="A657" s="30" t="str">
        <x:v>CL0653</x:v>
      </x:c>
      <x:c r="B657" s="30" t="str">
        <x:v>Other Question</x:v>
      </x:c>
      <x:c r="C657" s="31" t="str">
        <x:v>Process of M&amp;A</x:v>
      </x:c>
      <x:c r="D657" s="32" t="n">
        <x:f>COUNTIF('All Questions'!$G$5:$G$1725,A657)</x:f>
        <x:v>1</x:v>
      </x:c>
      <x:c r="E657" s="11"/>
      <x:c r="F657" s="12" t="str">
        <x:v>Not Started</x:v>
      </x:c>
      <x:c r="G657" s="13"/>
      <x:c r="H657" s="30" t="str">
        <x:f>IF(AND(E657&lt;&gt;"",F657="Ready"),"Yes","No")</x:f>
        <x:v>No</x:v>
      </x:c>
      <x:c r="I657" s="11"/>
    </x:row>
    <x:row r="658" ht="38" customHeight="1">
      <x:c r="A658" s="30" t="str">
        <x:v>CL0654</x:v>
      </x:c>
      <x:c r="B658" s="30" t="str">
        <x:v>Other Question</x:v>
      </x:c>
      <x:c r="C658" s="31" t="str">
        <x:v>Progress with other banks and offers? How would you choose and why</x:v>
      </x:c>
      <x:c r="D658" s="32" t="n">
        <x:f>COUNTIF('All Questions'!$G$5:$G$1725,A658)</x:f>
        <x:v>1</x:v>
      </x:c>
      <x:c r="E658" s="11"/>
      <x:c r="F658" s="12" t="str">
        <x:v>Not Started</x:v>
      </x:c>
      <x:c r="G658" s="13"/>
      <x:c r="H658" s="30" t="str">
        <x:f>IF(AND(E658&lt;&gt;"",F658="Ready"),"Yes","No")</x:f>
        <x:v>No</x:v>
      </x:c>
      <x:c r="I658" s="11"/>
    </x:row>
    <x:row r="659" ht="38" customHeight="1">
      <x:c r="A659" s="30" t="str">
        <x:v>CL0655</x:v>
      </x:c>
      <x:c r="B659" s="30" t="str">
        <x:v>Valuation</x:v>
      </x:c>
      <x:c r="C659" s="31" t="str">
        <x:v>Pros and cons of dcf, trading comps, precedent transactions, when do u prefer which</x:v>
      </x:c>
      <x:c r="D659" s="32" t="n">
        <x:f>COUNTIF('All Questions'!$G$5:$G$1725,A659)</x:f>
        <x:v>1</x:v>
      </x:c>
      <x:c r="E659" s="11"/>
      <x:c r="F659" s="12" t="str">
        <x:v>Not Started</x:v>
      </x:c>
      <x:c r="G659" s="13"/>
      <x:c r="H659" s="30" t="str">
        <x:f>IF(AND(E659&lt;&gt;"",F659="Ready"),"Yes","No")</x:f>
        <x:v>No</x:v>
      </x:c>
      <x:c r="I659" s="11"/>
    </x:row>
    <x:row r="660" ht="38" customHeight="1">
      <x:c r="A660" s="30" t="str">
        <x:v>CL0656</x:v>
      </x:c>
      <x:c r="B660" s="30" t="str">
        <x:v>Other Question</x:v>
      </x:c>
      <x:c r="C660" s="31" t="str">
        <x:v>Q about intern: when can you start? How long can you work for</x:v>
      </x:c>
      <x:c r="D660" s="32" t="n">
        <x:f>COUNTIF('All Questions'!$G$5:$G$1725,A660)</x:f>
        <x:v>1</x:v>
      </x:c>
      <x:c r="E660" s="11"/>
      <x:c r="F660" s="12" t="str">
        <x:v>Not Started</x:v>
      </x:c>
      <x:c r="G660" s="13"/>
      <x:c r="H660" s="30" t="str">
        <x:f>IF(AND(E660&lt;&gt;"",F660="Ready"),"Yes","No")</x:f>
        <x:v>No</x:v>
      </x:c>
      <x:c r="I660" s="11"/>
    </x:row>
    <x:row r="661" ht="38" customHeight="1">
      <x:c r="A661" s="30" t="str">
        <x:v>CL0657</x:v>
      </x:c>
      <x:c r="B661" s="30" t="str">
        <x:v>Consulting &amp; Case</x:v>
      </x:c>
      <x:c r="C661" s="31" t="str">
        <x:v>Q1 By how much the company need to expand the production, what factors to consider</x:v>
      </x:c>
      <x:c r="D661" s="32" t="n">
        <x:f>COUNTIF('All Questions'!$G$5:$G$1725,A661)</x:f>
        <x:v>1</x:v>
      </x:c>
      <x:c r="E661" s="11"/>
      <x:c r="F661" s="12" t="str">
        <x:v>Not Started</x:v>
      </x:c>
      <x:c r="G661" s="13"/>
      <x:c r="H661" s="30" t="str">
        <x:f>IF(AND(E661&lt;&gt;"",F661="Ready"),"Yes","No")</x:f>
        <x:v>No</x:v>
      </x:c>
      <x:c r="I661" s="11"/>
    </x:row>
    <x:row r="662" ht="38" customHeight="1">
      <x:c r="A662" s="30" t="str">
        <x:v>CL0658</x:v>
      </x:c>
      <x:c r="B662" s="30" t="str">
        <x:v>Accounting &amp; Financial Statements</x:v>
      </x:c>
      <x:c r="C662" s="31" t="str">
        <x:v>Raise new debt in 2025, impacts on BS and IS this year and next year</x:v>
      </x:c>
      <x:c r="D662" s="32" t="n">
        <x:f>COUNTIF('All Questions'!$G$5:$G$1725,A662)</x:f>
        <x:v>1</x:v>
      </x:c>
      <x:c r="E662" s="11"/>
      <x:c r="F662" s="12" t="str">
        <x:v>Not Started</x:v>
      </x:c>
      <x:c r="G662" s="13"/>
      <x:c r="H662" s="30" t="str">
        <x:f>IF(AND(E662&lt;&gt;"",F662="Ready"),"Yes","No")</x:f>
        <x:v>No</x:v>
      </x:c>
      <x:c r="I662" s="11"/>
    </x:row>
    <x:row r="663" ht="38" customHeight="1">
      <x:c r="A663" s="30" t="str">
        <x:v>CL0659</x:v>
      </x:c>
      <x:c r="B663" s="30" t="str">
        <x:v>Private Equity &amp; LBO</x:v>
      </x:c>
      <x:c r="C663" s="31" t="str">
        <x:v>Recent LBO trend</x:v>
      </x:c>
      <x:c r="D663" s="32" t="n">
        <x:f>COUNTIF('All Questions'!$G$5:$G$1725,A663)</x:f>
        <x:v>1</x:v>
      </x:c>
      <x:c r="E663" s="11"/>
      <x:c r="F663" s="12" t="str">
        <x:v>Not Started</x:v>
      </x:c>
      <x:c r="G663" s="13"/>
      <x:c r="H663" s="30" t="str">
        <x:f>IF(AND(E663&lt;&gt;"",F663="Ready"),"Yes","No")</x:f>
        <x:v>No</x:v>
      </x:c>
      <x:c r="I663" s="11"/>
    </x:row>
    <x:row r="664" ht="38" customHeight="1">
      <x:c r="A664" s="30" t="str">
        <x:v>CL0660</x:v>
      </x:c>
      <x:c r="B664" s="30" t="str">
        <x:v>Resume &amp; Experience</x:v>
      </x:c>
      <x:c r="C664" s="31" t="str">
        <x:v>Relationship between my internships (same company different offices)</x:v>
      </x:c>
      <x:c r="D664" s="32" t="n">
        <x:f>COUNTIF('All Questions'!$G$5:$G$1725,A664)</x:f>
        <x:v>1</x:v>
      </x:c>
      <x:c r="E664" s="11"/>
      <x:c r="F664" s="12" t="str">
        <x:v>Not Started</x:v>
      </x:c>
      <x:c r="G664" s="13"/>
      <x:c r="H664" s="30" t="str">
        <x:f>IF(AND(E664&lt;&gt;"",F664="Ready"),"Yes","No")</x:f>
        <x:v>No</x:v>
      </x:c>
      <x:c r="I664" s="11"/>
    </x:row>
    <x:row r="665" ht="38" customHeight="1">
      <x:c r="A665" s="30" t="str">
        <x:v>CL0661</x:v>
      </x:c>
      <x:c r="B665" s="30" t="str">
        <x:v>Fit &amp; Motivation</x:v>
      </x:c>
      <x:c r="C665" s="31" t="str">
        <x:v>Return offer</x:v>
      </x:c>
      <x:c r="D665" s="32" t="n">
        <x:f>COUNTIF('All Questions'!$G$5:$G$1725,A665)</x:f>
        <x:v>1</x:v>
      </x:c>
      <x:c r="E665" s="11"/>
      <x:c r="F665" s="12" t="str">
        <x:v>Not Started</x:v>
      </x:c>
      <x:c r="G665" s="13"/>
      <x:c r="H665" s="30" t="str">
        <x:f>IF(AND(E665&lt;&gt;"",F665="Ready"),"Yes","No")</x:f>
        <x:v>No</x:v>
      </x:c>
      <x:c r="I665" s="11"/>
    </x:row>
    <x:row r="666" ht="38" customHeight="1">
      <x:c r="A666" s="30" t="str">
        <x:v>CL0662</x:v>
      </x:c>
      <x:c r="B666" s="30" t="str">
        <x:v>Fit &amp; Motivation</x:v>
      </x:c>
      <x:c r="C666" s="31" t="str">
        <x:v>Return offer? Why</x:v>
      </x:c>
      <x:c r="D666" s="32" t="n">
        <x:f>COUNTIF('All Questions'!$G$5:$G$1725,A666)</x:f>
        <x:v>1</x:v>
      </x:c>
      <x:c r="E666" s="11"/>
      <x:c r="F666" s="12" t="str">
        <x:v>Not Started</x:v>
      </x:c>
      <x:c r="G666" s="13"/>
      <x:c r="H666" s="30" t="str">
        <x:f>IF(AND(E666&lt;&gt;"",F666="Ready"),"Yes","No")</x:f>
        <x:v>No</x:v>
      </x:c>
      <x:c r="I666" s="11"/>
    </x:row>
    <x:row r="667" ht="38" customHeight="1">
      <x:c r="A667" s="30" t="str">
        <x:v>CL0663</x:v>
      </x:c>
      <x:c r="B667" s="30" t="str">
        <x:v>Company, Industry &amp; Deals</x:v>
      </x:c>
      <x:c r="C667" s="31" t="str">
        <x:v>Revenue forecast of the company</x:v>
      </x:c>
      <x:c r="D667" s="32" t="n">
        <x:f>COUNTIF('All Questions'!$G$5:$G$1725,A667)</x:f>
        <x:v>1</x:v>
      </x:c>
      <x:c r="E667" s="11"/>
      <x:c r="F667" s="12" t="str">
        <x:v>Not Started</x:v>
      </x:c>
      <x:c r="G667" s="13"/>
      <x:c r="H667" s="30" t="str">
        <x:f>IF(AND(E667&lt;&gt;"",F667="Ready"),"Yes","No")</x:f>
        <x:v>No</x:v>
      </x:c>
      <x:c r="I667" s="11"/>
    </x:row>
    <x:row r="668" ht="38" customHeight="1">
      <x:c r="A668" s="30" t="str">
        <x:v>CL0664</x:v>
      </x:c>
      <x:c r="B668" s="30" t="str">
        <x:v>Valuation</x:v>
      </x:c>
      <x:c r="C668" s="31" t="str">
        <x:v>Revenue to EBIT? WACC</x:v>
      </x:c>
      <x:c r="D668" s="32" t="n">
        <x:f>COUNTIF('All Questions'!$G$5:$G$1725,A668)</x:f>
        <x:v>1</x:v>
      </x:c>
      <x:c r="E668" s="11"/>
      <x:c r="F668" s="12" t="str">
        <x:v>Not Started</x:v>
      </x:c>
      <x:c r="G668" s="13"/>
      <x:c r="H668" s="30" t="str">
        <x:f>IF(AND(E668&lt;&gt;"",F668="Ready"),"Yes","No")</x:f>
        <x:v>No</x:v>
      </x:c>
      <x:c r="I668" s="11"/>
    </x:row>
    <x:row r="669" ht="38" customHeight="1">
      <x:c r="A669" s="30" t="str">
        <x:v>CL0665</x:v>
      </x:c>
      <x:c r="B669" s="30" t="str">
        <x:v>Other Question</x:v>
      </x:c>
      <x:c r="C669" s="31" t="str">
        <x:v>Rf for Chinese firm</x:v>
      </x:c>
      <x:c r="D669" s="32" t="n">
        <x:f>COUNTIF('All Questions'!$G$5:$G$1725,A669)</x:f>
        <x:v>1</x:v>
      </x:c>
      <x:c r="E669" s="11"/>
      <x:c r="F669" s="12" t="str">
        <x:v>Not Started</x:v>
      </x:c>
      <x:c r="G669" s="13"/>
      <x:c r="H669" s="30" t="str">
        <x:f>IF(AND(E669&lt;&gt;"",F669="Ready"),"Yes","No")</x:f>
        <x:v>No</x:v>
      </x:c>
      <x:c r="I669" s="11"/>
    </x:row>
    <x:row r="670" ht="58" customHeight="1">
      <x:c r="A670" s="30" t="str">
        <x:v>CL0666</x:v>
      </x:c>
      <x:c r="B670" s="30" t="str">
        <x:v>Fit &amp; Motivation</x:v>
      </x:c>
      <x:c r="C670" s="31" t="str">
        <x:v>Same revenue to profit for a coffee shop question again (coz they all just flip through the same question bank lol) except this time the coffee shop is in MS</x:v>
      </x:c>
      <x:c r="D670" s="32" t="n">
        <x:f>COUNTIF('All Questions'!$G$5:$G$1725,A670)</x:f>
        <x:v>1</x:v>
      </x:c>
      <x:c r="E670" s="11"/>
      <x:c r="F670" s="12" t="str">
        <x:v>Not Started</x:v>
      </x:c>
      <x:c r="G670" s="13"/>
      <x:c r="H670" s="30" t="str">
        <x:f>IF(AND(E670&lt;&gt;"",F670="Ready"),"Yes","No")</x:f>
        <x:v>No</x:v>
      </x:c>
      <x:c r="I670" s="11"/>
    </x:row>
    <x:row r="671" ht="58" customHeight="1">
      <x:c r="A671" s="30" t="str">
        <x:v>CL0667</x:v>
      </x:c>
      <x:c r="B671" s="30" t="str">
        <x:v>Fit &amp; Motivation</x:v>
      </x:c>
      <x:c r="C671" s="31" t="str">
        <x:v>Same situation, and company has 100 dollars profit, how is it reflected on company A 3 statement? (damn so the 30 NI is profit after tax no need tax damn)</x:v>
      </x:c>
      <x:c r="D671" s="32" t="n">
        <x:f>COUNTIF('All Questions'!$G$5:$G$1725,A671)</x:f>
        <x:v>1</x:v>
      </x:c>
      <x:c r="E671" s="11"/>
      <x:c r="F671" s="12" t="str">
        <x:v>Not Started</x:v>
      </x:c>
      <x:c r="G671" s="13"/>
      <x:c r="H671" s="30" t="str">
        <x:f>IF(AND(E671&lt;&gt;"",F671="Ready"),"Yes","No")</x:f>
        <x:v>No</x:v>
      </x:c>
      <x:c r="I671" s="11"/>
    </x:row>
    <x:row r="672" ht="38" customHeight="1">
      <x:c r="A672" s="30" t="str">
        <x:v>CL0668</x:v>
      </x:c>
      <x:c r="B672" s="30" t="str">
        <x:v>Other Question</x:v>
      </x:c>
      <x:c r="C672" s="31" t="str">
        <x:v>Scenarios with higher ev/ebitda, e.g. 900x</x:v>
      </x:c>
      <x:c r="D672" s="32" t="n">
        <x:f>COUNTIF('All Questions'!$G$5:$G$1725,A672)</x:f>
        <x:v>1</x:v>
      </x:c>
      <x:c r="E672" s="11"/>
      <x:c r="F672" s="12" t="str">
        <x:v>Not Started</x:v>
      </x:c>
      <x:c r="G672" s="13"/>
      <x:c r="H672" s="30" t="str">
        <x:f>IF(AND(E672&lt;&gt;"",F672="Ready"),"Yes","No")</x:f>
        <x:v>No</x:v>
      </x:c>
      <x:c r="I672" s="11"/>
    </x:row>
    <x:row r="673" ht="58" customHeight="1">
      <x:c r="A673" s="30" t="str">
        <x:v>CL0669</x:v>
      </x:c>
      <x:c r="B673" s="30" t="str">
        <x:v>Valuation</x:v>
      </x:c>
      <x:c r="C673" s="31" t="str">
        <x:v>Screensharing Excel, a few questions on FCF, NPV, multiples, and follow-up, Year 1: 50, Year 4: 175, Find the CAGR</x:v>
      </x:c>
      <x:c r="D673" s="32" t="n">
        <x:f>COUNTIF('All Questions'!$G$5:$G$1725,A673)</x:f>
        <x:v>1</x:v>
      </x:c>
      <x:c r="E673" s="11"/>
      <x:c r="F673" s="12" t="str">
        <x:v>Not Started</x:v>
      </x:c>
      <x:c r="G673" s="13"/>
      <x:c r="H673" s="30" t="str">
        <x:f>IF(AND(E673&lt;&gt;"",F673="Ready"),"Yes","No")</x:f>
        <x:v>No</x:v>
      </x:c>
      <x:c r="I673" s="11"/>
    </x:row>
    <x:row r="674" ht="38" customHeight="1">
      <x:c r="A674" s="30" t="str">
        <x:v>CL0670</x:v>
      </x:c>
      <x:c r="B674" s="30" t="str">
        <x:v>Valuation</x:v>
      </x:c>
      <x:c r="C674" s="31" t="str">
        <x:v>SEA logistic company, how did you do the dcf? How do you get the assumption of growth rate</x:v>
      </x:c>
      <x:c r="D674" s="32" t="n">
        <x:f>COUNTIF('All Questions'!$G$5:$G$1725,A674)</x:f>
        <x:v>1</x:v>
      </x:c>
      <x:c r="E674" s="11"/>
      <x:c r="F674" s="12" t="str">
        <x:v>Not Started</x:v>
      </x:c>
      <x:c r="G674" s="13"/>
      <x:c r="H674" s="30" t="str">
        <x:f>IF(AND(E674&lt;&gt;"",F674="Ready"),"Yes","No")</x:f>
        <x:v>No</x:v>
      </x:c>
      <x:c r="I674" s="11"/>
    </x:row>
    <x:row r="675" ht="38" customHeight="1">
      <x:c r="A675" s="30" t="str">
        <x:v>CL0671</x:v>
      </x:c>
      <x:c r="B675" s="30" t="str">
        <x:v>Other Question</x:v>
      </x:c>
      <x:c r="C675" s="31" t="str">
        <x:v>Seems like you are more keen on the sales side. Why</x:v>
      </x:c>
      <x:c r="D675" s="32" t="n">
        <x:f>COUNTIF('All Questions'!$G$5:$G$1725,A675)</x:f>
        <x:v>1</x:v>
      </x:c>
      <x:c r="E675" s="11"/>
      <x:c r="F675" s="12" t="str">
        <x:v>Not Started</x:v>
      </x:c>
      <x:c r="G675" s="13"/>
      <x:c r="H675" s="30" t="str">
        <x:f>IF(AND(E675&lt;&gt;"",F675="Ready"),"Yes","No")</x:f>
        <x:v>No</x:v>
      </x:c>
      <x:c r="I675" s="11"/>
    </x:row>
    <x:row r="676" ht="58" customHeight="1">
      <x:c r="A676" s="30" t="str">
        <x:v>CL0672</x:v>
      </x:c>
      <x:c r="B676" s="30" t="str">
        <x:v>Other Question</x:v>
      </x:c>
      <x:c r="C676" s="31" t="str">
        <x:v>Senario assumptions: do the right thing (stick to your self) or so things rightly (follow what your supervisor asked to do)</x:v>
      </x:c>
      <x:c r="D676" s="32" t="n">
        <x:f>COUNTIF('All Questions'!$G$5:$G$1725,A676)</x:f>
        <x:v>1</x:v>
      </x:c>
      <x:c r="E676" s="11"/>
      <x:c r="F676" s="12" t="str">
        <x:v>Not Started</x:v>
      </x:c>
      <x:c r="G676" s="13"/>
      <x:c r="H676" s="30" t="str">
        <x:f>IF(AND(E676&lt;&gt;"",F676="Ready"),"Yes","No")</x:f>
        <x:v>No</x:v>
      </x:c>
      <x:c r="I676" s="11"/>
    </x:row>
    <x:row r="677" ht="38" customHeight="1">
      <x:c r="A677" s="30" t="str">
        <x:v>CL0673</x:v>
      </x:c>
      <x:c r="B677" s="30" t="str">
        <x:v>Other Question</x:v>
      </x:c>
      <x:c r="C677" s="31" t="str">
        <x:v>Share a little bit more about the JPM AWMC you've done. How did you become the captain</x:v>
      </x:c>
      <x:c r="D677" s="32" t="n">
        <x:f>COUNTIF('All Questions'!$G$5:$G$1725,A677)</x:f>
        <x:v>1</x:v>
      </x:c>
      <x:c r="E677" s="11"/>
      <x:c r="F677" s="12" t="str">
        <x:v>Not Started</x:v>
      </x:c>
      <x:c r="G677" s="13"/>
      <x:c r="H677" s="30" t="str">
        <x:f>IF(AND(E677&lt;&gt;"",F677="Ready"),"Yes","No")</x:f>
        <x:v>No</x:v>
      </x:c>
      <x:c r="I677" s="11"/>
    </x:row>
    <x:row r="678" ht="38" customHeight="1">
      <x:c r="A678" s="30" t="str">
        <x:v>CL0674</x:v>
      </x:c>
      <x:c r="B678" s="30" t="str">
        <x:v>Behavioral &amp; Situational</x:v>
      </x:c>
      <x:c r="C678" s="31" t="str">
        <x:v>Share a piece of feedback that you've received before</x:v>
      </x:c>
      <x:c r="D678" s="32" t="n">
        <x:f>COUNTIF('All Questions'!$G$5:$G$1725,A678)</x:f>
        <x:v>1</x:v>
      </x:c>
      <x:c r="E678" s="11"/>
      <x:c r="F678" s="12" t="str">
        <x:v>Not Started</x:v>
      </x:c>
      <x:c r="G678" s="13"/>
      <x:c r="H678" s="30" t="str">
        <x:f>IF(AND(E678&lt;&gt;"",F678="Ready"),"Yes","No")</x:f>
        <x:v>No</x:v>
      </x:c>
      <x:c r="I678" s="11"/>
    </x:row>
    <x:row r="679" ht="38" customHeight="1">
      <x:c r="A679" s="30" t="str">
        <x:v>CL0675</x:v>
      </x:c>
      <x:c r="B679" s="30" t="str">
        <x:v>Fit &amp; Motivation</x:v>
      </x:c>
      <x:c r="C679" s="31" t="str">
        <x:v>She asked which segment I would spin off and why. Why not just do shares buy back</x:v>
      </x:c>
      <x:c r="D679" s="32" t="n">
        <x:f>COUNTIF('All Questions'!$G$5:$G$1725,A679)</x:f>
        <x:v>1</x:v>
      </x:c>
      <x:c r="E679" s="11"/>
      <x:c r="F679" s="12" t="str">
        <x:v>Not Started</x:v>
      </x:c>
      <x:c r="G679" s="13"/>
      <x:c r="H679" s="30" t="str">
        <x:f>IF(AND(E679&lt;&gt;"",F679="Ready"),"Yes","No")</x:f>
        <x:v>No</x:v>
      </x:c>
      <x:c r="I679" s="11"/>
    </x:row>
    <x:row r="680" ht="58" customHeight="1">
      <x:c r="A680" s="30" t="str">
        <x:v>CL0676</x:v>
      </x:c>
      <x:c r="B680" s="30" t="str">
        <x:v>Resume &amp; Experience</x:v>
      </x:c>
      <x:c r="C680" s="31" t="str">
        <x:v>She suddenly asked some behavioural questions like if you experience too much workload from seniors how do you manage</x:v>
      </x:c>
      <x:c r="D680" s="32" t="n">
        <x:f>COUNTIF('All Questions'!$G$5:$G$1725,A680)</x:f>
        <x:v>1</x:v>
      </x:c>
      <x:c r="E680" s="11"/>
      <x:c r="F680" s="12" t="str">
        <x:v>Not Started</x:v>
      </x:c>
      <x:c r="G680" s="13"/>
      <x:c r="H680" s="30" t="str">
        <x:f>IF(AND(E680&lt;&gt;"",F680="Ready"),"Yes","No")</x:f>
        <x:v>No</x:v>
      </x:c>
      <x:c r="I680" s="11"/>
    </x:row>
    <x:row r="681" ht="38" customHeight="1">
      <x:c r="A681" s="30" t="str">
        <x:v>CL0677</x:v>
      </x:c>
      <x:c r="B681" s="30" t="str">
        <x:v>Other Question</x:v>
      </x:c>
      <x:c r="C681" s="31" t="str">
        <x:v>Shouldn't you use interest expense / debt</x:v>
      </x:c>
      <x:c r="D681" s="32" t="n">
        <x:f>COUNTIF('All Questions'!$G$5:$G$1725,A681)</x:f>
        <x:v>1</x:v>
      </x:c>
      <x:c r="E681" s="11"/>
      <x:c r="F681" s="12" t="str">
        <x:v>Not Started</x:v>
      </x:c>
      <x:c r="G681" s="13"/>
      <x:c r="H681" s="30" t="str">
        <x:f>IF(AND(E681&lt;&gt;"",F681="Ready"),"Yes","No")</x:f>
        <x:v>No</x:v>
      </x:c>
      <x:c r="I681" s="11"/>
    </x:row>
    <x:row r="682" ht="58" customHeight="1">
      <x:c r="A682" s="30" t="str">
        <x:v>CL0678</x:v>
      </x:c>
      <x:c r="B682" s="30" t="str">
        <x:v>Accounting &amp; Financial Statements</x:v>
      </x:c>
      <x:c r="C682" s="31" t="str">
        <x:v>Since BofA is really a global bank with businesses across the world, what do you see in your future careers? Focus in HK or probably move to US/EU</x:v>
      </x:c>
      <x:c r="D682" s="32" t="n">
        <x:f>COUNTIF('All Questions'!$G$5:$G$1725,A682)</x:f>
        <x:v>1</x:v>
      </x:c>
      <x:c r="E682" s="11"/>
      <x:c r="F682" s="12" t="str">
        <x:v>Not Started</x:v>
      </x:c>
      <x:c r="G682" s="13"/>
      <x:c r="H682" s="30" t="str">
        <x:f>IF(AND(E682&lt;&gt;"",F682="Ready"),"Yes","No")</x:f>
        <x:v>No</x:v>
      </x:c>
      <x:c r="I682" s="11"/>
    </x:row>
    <x:row r="683" ht="38" customHeight="1">
      <x:c r="A683" s="30" t="str">
        <x:v>CL0679</x:v>
      </x:c>
      <x:c r="B683" s="30" t="str">
        <x:v>Accounting &amp; Financial Statements</x:v>
      </x:c>
      <x:c r="C683" s="31" t="str">
        <x:v>Since it is in a developing country, do you think WACC 11% is too low? Why</x:v>
      </x:c>
      <x:c r="D683" s="32" t="n">
        <x:f>COUNTIF('All Questions'!$G$5:$G$1725,A683)</x:f>
        <x:v>1</x:v>
      </x:c>
      <x:c r="E683" s="11"/>
      <x:c r="F683" s="12" t="str">
        <x:v>Not Started</x:v>
      </x:c>
      <x:c r="G683" s="13"/>
      <x:c r="H683" s="30" t="str">
        <x:f>IF(AND(E683&lt;&gt;"",F683="Ready"),"Yes","No")</x:f>
        <x:v>No</x:v>
      </x:c>
      <x:c r="I683" s="11"/>
    </x:row>
    <x:row r="684" ht="80" customHeight="1">
      <x:c r="A684" s="30" t="str">
        <x:v>CL0680</x:v>
      </x:c>
      <x:c r="B684" s="30" t="str">
        <x:v>Valuation</x:v>
      </x:c>
      <x:c r="C684" s="31" t="str">
        <x:v>Since you mentioned about getting some public info about the deal through reading news, suppose in the news they said the company acquired 70% stake, how would you find the enterprise value</x:v>
      </x:c>
      <x:c r="D684" s="32" t="n">
        <x:f>COUNTIF('All Questions'!$G$5:$G$1725,A684)</x:f>
        <x:v>1</x:v>
      </x:c>
      <x:c r="E684" s="11"/>
      <x:c r="F684" s="12" t="str">
        <x:v>Not Started</x:v>
      </x:c>
      <x:c r="G684" s="13"/>
      <x:c r="H684" s="30" t="str">
        <x:f>IF(AND(E684&lt;&gt;"",F684="Ready"),"Yes","No")</x:f>
        <x:v>No</x:v>
      </x:c>
      <x:c r="I684" s="11"/>
    </x:row>
    <x:row r="685" ht="58" customHeight="1">
      <x:c r="A685" s="30" t="str">
        <x:v>CL0681</x:v>
      </x:c>
      <x:c r="B685" s="30" t="str">
        <x:v>Capital Markets &amp; Financing</x:v>
      </x:c>
      <x:c r="C685" s="31" t="str">
        <x:v>Situational Q: asked about financing solution for a company that I followed during my ER intern</x:v>
      </x:c>
      <x:c r="D685" s="32" t="n">
        <x:f>COUNTIF('All Questions'!$G$5:$G$1725,A685)</x:f>
        <x:v>1</x:v>
      </x:c>
      <x:c r="E685" s="11"/>
      <x:c r="F685" s="12" t="str">
        <x:v>Not Started</x:v>
      </x:c>
      <x:c r="G685" s="13"/>
      <x:c r="H685" s="30" t="str">
        <x:f>IF(AND(E685&lt;&gt;"",F685="Ready"),"Yes","No")</x:f>
        <x:v>No</x:v>
      </x:c>
      <x:c r="I685" s="11"/>
    </x:row>
    <x:row r="686" ht="80" customHeight="1">
      <x:c r="A686" s="30" t="str">
        <x:v>CL0682</x:v>
      </x:c>
      <x:c r="B686" s="30" t="str">
        <x:v>Markets &amp; Macro</x:v>
      </x:c>
      <x:c r="C686" s="31" t="str">
        <x:v>Situational Q: if you expect a 20% in gold price rally in the future, what investment target will you choose: Gold; gold-mining companies - leading and big market player or small and just break-even one</x:v>
      </x:c>
      <x:c r="D686" s="32" t="n">
        <x:f>COUNTIF('All Questions'!$G$5:$G$1725,A686)</x:f>
        <x:v>1</x:v>
      </x:c>
      <x:c r="E686" s="11"/>
      <x:c r="F686" s="12" t="str">
        <x:v>Not Started</x:v>
      </x:c>
      <x:c r="G686" s="13"/>
      <x:c r="H686" s="30" t="str">
        <x:f>IF(AND(E686&lt;&gt;"",F686="Ready"),"Yes","No")</x:f>
        <x:v>No</x:v>
      </x:c>
      <x:c r="I686" s="11"/>
    </x:row>
    <x:row r="687" ht="38" customHeight="1">
      <x:c r="A687" s="30" t="str">
        <x:v>CL0683</x:v>
      </x:c>
      <x:c r="B687" s="30" t="str">
        <x:v>Resume &amp; Experience</x:v>
      </x:c>
      <x:c r="C687" s="31" t="str">
        <x:v>Slghtly asked on my M&amp;A Case com experience -am i still following SenseTime (said no)</x:v>
      </x:c>
      <x:c r="D687" s="32" t="n">
        <x:f>COUNTIF('All Questions'!$G$5:$G$1725,A687)</x:f>
        <x:v>1</x:v>
      </x:c>
      <x:c r="E687" s="11"/>
      <x:c r="F687" s="12" t="str">
        <x:v>Not Started</x:v>
      </x:c>
      <x:c r="G687" s="13"/>
      <x:c r="H687" s="30" t="str">
        <x:f>IF(AND(E687&lt;&gt;"",F687="Ready"),"Yes","No")</x:f>
        <x:v>No</x:v>
      </x:c>
      <x:c r="I687" s="11"/>
    </x:row>
    <x:row r="688" ht="38" customHeight="1">
      <x:c r="A688" s="30" t="str">
        <x:v>CL0684</x:v>
      </x:c>
      <x:c r="B688" s="30" t="str">
        <x:v>Accounting &amp; Financial Statements</x:v>
      </x:c>
      <x:c r="C688" s="31" t="str">
        <x:v>So based on the criteria you just mentioned, which one is the most important</x:v>
      </x:c>
      <x:c r="D688" s="32" t="n">
        <x:f>COUNTIF('All Questions'!$G$5:$G$1725,A688)</x:f>
        <x:v>1</x:v>
      </x:c>
      <x:c r="E688" s="11"/>
      <x:c r="F688" s="12" t="str">
        <x:v>Not Started</x:v>
      </x:c>
      <x:c r="G688" s="13"/>
      <x:c r="H688" s="30" t="str">
        <x:f>IF(AND(E688&lt;&gt;"",F688="Ready"),"Yes","No")</x:f>
        <x:v>No</x:v>
      </x:c>
      <x:c r="I688" s="11"/>
    </x:row>
    <x:row r="689" ht="80" customHeight="1">
      <x:c r="A689" s="30" t="str">
        <x:v>CL0685</x:v>
      </x:c>
      <x:c r="B689" s="30" t="str">
        <x:v>Accounting &amp; Financial Statements</x:v>
      </x:c>
      <x:c r="C689" s="31" t="str">
        <x:v>So please take the time to recall the numerical details of the valuation model, as well as the detailed data of the company's business. For example, how many monkeys does a CRO company reproduce in a year, and what is the price of a monkey</x:v>
      </x:c>
      <x:c r="D689" s="32" t="n">
        <x:f>COUNTIF('All Questions'!$G$5:$G$1725,A689)</x:f>
        <x:v>1</x:v>
      </x:c>
      <x:c r="E689" s="11"/>
      <x:c r="F689" s="12" t="str">
        <x:v>Not Started</x:v>
      </x:c>
      <x:c r="G689" s="13"/>
      <x:c r="H689" s="30" t="str">
        <x:f>IF(AND(E689&lt;&gt;"",F689="Ready"),"Yes","No")</x:f>
        <x:v>No</x:v>
      </x:c>
      <x:c r="I689" s="11"/>
    </x:row>
    <x:row r="690" ht="38" customHeight="1">
      <x:c r="A690" s="30" t="str">
        <x:v>CL0686</x:v>
      </x:c>
      <x:c r="B690" s="30" t="str">
        <x:v>Capital Markets &amp; Financing</x:v>
      </x:c>
      <x:c r="C690" s="31" t="str">
        <x:v>⁠⁠so whats the US treasury yield now</x:v>
      </x:c>
      <x:c r="D690" s="32" t="n">
        <x:f>COUNTIF('All Questions'!$G$5:$G$1725,A690)</x:f>
        <x:v>1</x:v>
      </x:c>
      <x:c r="E690" s="11"/>
      <x:c r="F690" s="12" t="str">
        <x:v>Not Started</x:v>
      </x:c>
      <x:c r="G690" s="13"/>
      <x:c r="H690" s="30" t="str">
        <x:f>IF(AND(E690&lt;&gt;"",F690="Ready"),"Yes","No")</x:f>
        <x:v>No</x:v>
      </x:c>
      <x:c r="I690" s="11"/>
    </x:row>
    <x:row r="691" ht="38" customHeight="1">
      <x:c r="A691" s="30" t="str">
        <x:v>CL0687</x:v>
      </x:c>
      <x:c r="B691" s="30" t="str">
        <x:v>Fit &amp; Motivation</x:v>
      </x:c>
      <x:c r="C691" s="31" t="str">
        <x:v>Soft quality like team work is prefered, rather than some hard skills</x:v>
      </x:c>
      <x:c r="D691" s="32" t="n">
        <x:f>COUNTIF('All Questions'!$G$5:$G$1725,A691)</x:f>
        <x:v>1</x:v>
      </x:c>
      <x:c r="E691" s="11"/>
      <x:c r="F691" s="12" t="str">
        <x:v>Not Started</x:v>
      </x:c>
      <x:c r="G691" s="13"/>
      <x:c r="H691" s="30" t="str">
        <x:f>IF(AND(E691&lt;&gt;"",F691="Ready"),"Yes","No")</x:f>
        <x:v>No</x:v>
      </x:c>
      <x:c r="I691" s="11"/>
    </x:row>
    <x:row r="692" ht="38" customHeight="1">
      <x:c r="A692" s="30" t="str">
        <x:v>CL0688</x:v>
      </x:c>
      <x:c r="B692" s="30" t="str">
        <x:v>Consulting &amp; Case</x:v>
      </x:c>
      <x:c r="C692" s="31" t="str">
        <x:v>Some basic market sizing questions</x:v>
      </x:c>
      <x:c r="D692" s="32" t="n">
        <x:f>COUNTIF('All Questions'!$G$5:$G$1725,A692)</x:f>
        <x:v>1</x:v>
      </x:c>
      <x:c r="E692" s="11"/>
      <x:c r="F692" s="12" t="str">
        <x:v>Not Started</x:v>
      </x:c>
      <x:c r="G692" s="13"/>
      <x:c r="H692" s="30" t="str">
        <x:f>IF(AND(E692&lt;&gt;"",F692="Ready"),"Yes","No")</x:f>
        <x:v>No</x:v>
      </x:c>
      <x:c r="I692" s="11"/>
    </x:row>
    <x:row r="693" ht="58" customHeight="1">
      <x:c r="A693" s="30" t="str">
        <x:v>CL0689</x:v>
      </x:c>
      <x:c r="B693" s="30" t="str">
        <x:v>Resume &amp; Experience</x:v>
      </x:c>
      <x:c r="C693" s="31" t="str">
        <x:v>Sometimes PB interviews seem simple, but you need to incorporate client-facing experience into your answers to make them more relevant</x:v>
      </x:c>
      <x:c r="D693" s="32" t="n">
        <x:f>COUNTIF('All Questions'!$G$5:$G$1725,A693)</x:f>
        <x:v>1</x:v>
      </x:c>
      <x:c r="E693" s="11"/>
      <x:c r="F693" s="12" t="str">
        <x:v>Not Started</x:v>
      </x:c>
      <x:c r="G693" s="13"/>
      <x:c r="H693" s="30" t="str">
        <x:f>IF(AND(E693&lt;&gt;"",F693="Ready"),"Yes","No")</x:f>
        <x:v>No</x:v>
      </x:c>
      <x:c r="I693" s="11"/>
    </x:row>
    <x:row r="694" ht="38" customHeight="1">
      <x:c r="A694" s="30" t="str">
        <x:v>CL0690</x:v>
      </x:c>
      <x:c r="B694" s="30" t="str">
        <x:v>Private Equity &amp; LBO</x:v>
      </x:c>
      <x:c r="C694" s="31" t="str">
        <x:v>Source and use table for LBO and M&amp;A</x:v>
      </x:c>
      <x:c r="D694" s="32" t="n">
        <x:f>COUNTIF('All Questions'!$G$5:$G$1725,A694)</x:f>
        <x:v>1</x:v>
      </x:c>
      <x:c r="E694" s="11"/>
      <x:c r="F694" s="12" t="str">
        <x:v>Not Started</x:v>
      </x:c>
      <x:c r="G694" s="13"/>
      <x:c r="H694" s="30" t="str">
        <x:f>IF(AND(E694&lt;&gt;"",F694="Ready"),"Yes","No")</x:f>
        <x:v>No</x:v>
      </x:c>
      <x:c r="I694" s="11"/>
    </x:row>
    <x:row r="695" ht="38" customHeight="1">
      <x:c r="A695" s="30" t="str">
        <x:v>CL0691</x:v>
      </x:c>
      <x:c r="B695" s="30" t="str">
        <x:v>Behavioral &amp; Situational</x:v>
      </x:c>
      <x:c r="C695" s="31" t="str">
        <x:v>Stock your team covered with the highest market cap ( and i pitched a stock)</x:v>
      </x:c>
      <x:c r="D695" s="32" t="n">
        <x:f>COUNTIF('All Questions'!$G$5:$G$1725,A695)</x:f>
        <x:v>1</x:v>
      </x:c>
      <x:c r="E695" s="11"/>
      <x:c r="F695" s="12" t="str">
        <x:v>Not Started</x:v>
      </x:c>
      <x:c r="G695" s="13"/>
      <x:c r="H695" s="30" t="str">
        <x:f>IF(AND(E695&lt;&gt;"",F695="Ready"),"Yes","No")</x:f>
        <x:v>No</x:v>
      </x:c>
      <x:c r="I695" s="11"/>
    </x:row>
    <x:row r="696" ht="38" customHeight="1">
      <x:c r="A696" s="30" t="str">
        <x:v>CL0692</x:v>
      </x:c>
      <x:c r="B696" s="30" t="str">
        <x:v>Accounting &amp; Financial Statements</x:v>
      </x:c>
      <x:c r="C696" s="31" t="str">
        <x:v>Subscription model for 1 year, $100m, 3 statement</x:v>
      </x:c>
      <x:c r="D696" s="32" t="n">
        <x:f>COUNTIF('All Questions'!$G$5:$G$1725,A696)</x:f>
        <x:v>1</x:v>
      </x:c>
      <x:c r="E696" s="11"/>
      <x:c r="F696" s="12" t="str">
        <x:v>Not Started</x:v>
      </x:c>
      <x:c r="G696" s="13"/>
      <x:c r="H696" s="30" t="str">
        <x:f>IF(AND(E696&lt;&gt;"",F696="Ready"),"Yes","No")</x:f>
        <x:v>No</x:v>
      </x:c>
      <x:c r="I696" s="11"/>
    </x:row>
    <x:row r="697" ht="58" customHeight="1">
      <x:c r="A697" s="30" t="str">
        <x:v>CL0693</x:v>
      </x:c>
      <x:c r="B697" s="30" t="str">
        <x:v>Private Equity &amp; LBO</x:v>
      </x:c>
      <x:c r="C697" s="31" t="str">
        <x:v>Suppose the target company (that KKR wants to invest in) has 100 cashflow per year, how much can we lend to KKR for LBO</x:v>
      </x:c>
      <x:c r="D697" s="32" t="n">
        <x:f>COUNTIF('All Questions'!$G$5:$G$1725,A697)</x:f>
        <x:v>1</x:v>
      </x:c>
      <x:c r="E697" s="11"/>
      <x:c r="F697" s="12" t="str">
        <x:v>Not Started</x:v>
      </x:c>
      <x:c r="G697" s="13"/>
      <x:c r="H697" s="30" t="str">
        <x:f>IF(AND(E697&lt;&gt;"",F697="Ready"),"Yes","No")</x:f>
        <x:v>No</x:v>
      </x:c>
      <x:c r="I697" s="11"/>
    </x:row>
    <x:row r="698" ht="80" customHeight="1">
      <x:c r="A698" s="30" t="str">
        <x:v>CL0694</x:v>
      </x:c>
      <x:c r="B698" s="30" t="str">
        <x:v>Other Question</x:v>
      </x:c>
      <x:c r="C698" s="31" t="str">
        <x:v>Suppose there's a client with his asset allcation 60% equities and 40% fixed income, now under the environment of bad economy and the trends of ai and stuff (dont remember lol), he lost a lot of money, what would you suggest him to do now</x:v>
      </x:c>
      <x:c r="D698" s="32" t="n">
        <x:f>COUNTIF('All Questions'!$G$5:$G$1725,A698)</x:f>
        <x:v>1</x:v>
      </x:c>
      <x:c r="E698" s="11"/>
      <x:c r="F698" s="12" t="str">
        <x:v>Not Started</x:v>
      </x:c>
      <x:c r="G698" s="13"/>
      <x:c r="H698" s="30" t="str">
        <x:f>IF(AND(E698&lt;&gt;"",F698="Ready"),"Yes","No")</x:f>
        <x:v>No</x:v>
      </x:c>
      <x:c r="I698" s="11"/>
    </x:row>
    <x:row r="699" ht="38" customHeight="1">
      <x:c r="A699" s="30" t="str">
        <x:v>CL0695</x:v>
      </x:c>
      <x:c r="B699" s="30" t="str">
        <x:v>Other Question</x:v>
      </x:c>
      <x:c r="C699" s="31" t="str">
        <x:v>Talk about a blackrock product</x:v>
      </x:c>
      <x:c r="D699" s="32" t="n">
        <x:f>COUNTIF('All Questions'!$G$5:$G$1725,A699)</x:f>
        <x:v>1</x:v>
      </x:c>
      <x:c r="E699" s="11"/>
      <x:c r="F699" s="12" t="str">
        <x:v>Not Started</x:v>
      </x:c>
      <x:c r="G699" s="13"/>
      <x:c r="H699" s="30" t="str">
        <x:f>IF(AND(E699&lt;&gt;"",F699="Ready"),"Yes","No")</x:f>
        <x:v>No</x:v>
      </x:c>
      <x:c r="I699" s="11"/>
    </x:row>
    <x:row r="700" ht="38" customHeight="1">
      <x:c r="A700" s="30" t="str">
        <x:v>CL0696</x:v>
      </x:c>
      <x:c r="B700" s="30" t="str">
        <x:v>Resume &amp; Experience</x:v>
      </x:c>
      <x:c r="C700" s="31" t="str">
        <x:v>Talk about previous internships, what have you learnt</x:v>
      </x:c>
      <x:c r="D700" s="32" t="n">
        <x:f>COUNTIF('All Questions'!$G$5:$G$1725,A700)</x:f>
        <x:v>1</x:v>
      </x:c>
      <x:c r="E700" s="11"/>
      <x:c r="F700" s="12" t="str">
        <x:v>Not Started</x:v>
      </x:c>
      <x:c r="G700" s="13"/>
      <x:c r="H700" s="30" t="str">
        <x:f>IF(AND(E700&lt;&gt;"",F700="Ready"),"Yes","No")</x:f>
        <x:v>No</x:v>
      </x:c>
      <x:c r="I700" s="11"/>
    </x:row>
    <x:row r="701" ht="38" customHeight="1">
      <x:c r="A701" s="30" t="str">
        <x:v>CL0697</x:v>
      </x:c>
      <x:c r="B701" s="30" t="str">
        <x:v>Company, Industry &amp; Deals</x:v>
      </x:c>
      <x:c r="C701" s="31" t="str">
        <x:v>Talk about the healthcare deal mentioned</x:v>
      </x:c>
      <x:c r="D701" s="32" t="n">
        <x:f>COUNTIF('All Questions'!$G$5:$G$1725,A701)</x:f>
        <x:v>1</x:v>
      </x:c>
      <x:c r="E701" s="11"/>
      <x:c r="F701" s="12" t="str">
        <x:v>Not Started</x:v>
      </x:c>
      <x:c r="G701" s="13"/>
      <x:c r="H701" s="30" t="str">
        <x:f>IF(AND(E701&lt;&gt;"",F701="Ready"),"Yes","No")</x:f>
        <x:v>No</x:v>
      </x:c>
      <x:c r="I701" s="11"/>
    </x:row>
    <x:row r="702" ht="38" customHeight="1">
      <x:c r="A702" s="30" t="str">
        <x:v>CL0698</x:v>
      </x:c>
      <x:c r="B702" s="30" t="str">
        <x:v>Resume &amp; Experience</x:v>
      </x:c>
      <x:c r="C702" s="31" t="str">
        <x:v>Talk more about internships, projects you worked on in the last internship</x:v>
      </x:c>
      <x:c r="D702" s="32" t="n">
        <x:f>COUNTIF('All Questions'!$G$5:$G$1725,A702)</x:f>
        <x:v>1</x:v>
      </x:c>
      <x:c r="E702" s="11"/>
      <x:c r="F702" s="12" t="str">
        <x:v>Not Started</x:v>
      </x:c>
      <x:c r="G702" s="13"/>
      <x:c r="H702" s="30" t="str">
        <x:f>IF(AND(E702&lt;&gt;"",F702="Ready"),"Yes","No")</x:f>
        <x:v>No</x:v>
      </x:c>
      <x:c r="I702" s="11"/>
    </x:row>
    <x:row r="703" ht="38" customHeight="1">
      <x:c r="A703" s="30" t="str">
        <x:v>CL0699</x:v>
      </x:c>
      <x:c r="B703" s="30" t="str">
        <x:v>Capital Markets &amp; Financing</x:v>
      </x:c>
      <x:c r="C703" s="31" t="str">
        <x:v>Technical (bond coupon and interest rate related)</x:v>
      </x:c>
      <x:c r="D703" s="32" t="n">
        <x:f>COUNTIF('All Questions'!$G$5:$G$1725,A703)</x:f>
        <x:v>1</x:v>
      </x:c>
      <x:c r="E703" s="11"/>
      <x:c r="F703" s="12" t="str">
        <x:v>Not Started</x:v>
      </x:c>
      <x:c r="G703" s="13"/>
      <x:c r="H703" s="30" t="str">
        <x:f>IF(AND(E703&lt;&gt;"",F703="Ready"),"Yes","No")</x:f>
        <x:v>No</x:v>
      </x:c>
      <x:c r="I703" s="11"/>
    </x:row>
    <x:row r="704" ht="58" customHeight="1">
      <x:c r="A704" s="30" t="str">
        <x:v>CL0700</x:v>
      </x:c>
      <x:c r="B704" s="30" t="str">
        <x:v>Accounting &amp; Financial Statements</x:v>
      </x:c>
      <x:c r="C704" s="31" t="str">
        <x:v>Technical: Growth Perpetuity method, if 0 growth rate, 10% WACC, 100CF, what is terminal value</x:v>
      </x:c>
      <x:c r="D704" s="32" t="n">
        <x:f>COUNTIF('All Questions'!$G$5:$G$1725,A704)</x:f>
        <x:v>1</x:v>
      </x:c>
      <x:c r="E704" s="11"/>
      <x:c r="F704" s="12" t="str">
        <x:v>Not Started</x:v>
      </x:c>
      <x:c r="G704" s="13"/>
      <x:c r="H704" s="30" t="str">
        <x:f>IF(AND(E704&lt;&gt;"",F704="Ready"),"Yes","No")</x:f>
        <x:v>No</x:v>
      </x:c>
      <x:c r="I704" s="11"/>
    </x:row>
    <x:row r="705" ht="38" customHeight="1">
      <x:c r="A705" s="30" t="str">
        <x:v>CL0701</x:v>
      </x:c>
      <x:c r="B705" s="30" t="str">
        <x:v>Other Technical</x:v>
      </x:c>
      <x:c r="C705" s="31" t="str">
        <x:v>Technical: 什么样的产品是带有杠杆的</x:v>
      </x:c>
      <x:c r="D705" s="32" t="n">
        <x:f>COUNTIF('All Questions'!$G$5:$G$1725,A705)</x:f>
        <x:v>1</x:v>
      </x:c>
      <x:c r="E705" s="11"/>
      <x:c r="F705" s="12" t="str">
        <x:v>Not Started</x:v>
      </x:c>
      <x:c r="G705" s="13"/>
      <x:c r="H705" s="30" t="str">
        <x:f>IF(AND(E705&lt;&gt;"",F705="Ready"),"Yes","No")</x:f>
        <x:v>No</x:v>
      </x:c>
      <x:c r="I705" s="11"/>
    </x:row>
    <x:row r="706" ht="38" customHeight="1">
      <x:c r="A706" s="30" t="str">
        <x:v>CL0702</x:v>
      </x:c>
      <x:c r="B706" s="30" t="str">
        <x:v>Markets &amp; Macro</x:v>
      </x:c>
      <x:c r="C706" s="31" t="str">
        <x:v>Tell me 2 macro news</x:v>
      </x:c>
      <x:c r="D706" s="32" t="n">
        <x:f>COUNTIF('All Questions'!$G$5:$G$1725,A706)</x:f>
        <x:v>1</x:v>
      </x:c>
      <x:c r="E706" s="11"/>
      <x:c r="F706" s="12" t="str">
        <x:v>Not Started</x:v>
      </x:c>
      <x:c r="G706" s="13"/>
      <x:c r="H706" s="30" t="str">
        <x:f>IF(AND(E706&lt;&gt;"",F706="Ready"),"Yes","No")</x:f>
        <x:v>No</x:v>
      </x:c>
      <x:c r="I706" s="11"/>
    </x:row>
    <x:row r="707" ht="38" customHeight="1">
      <x:c r="A707" s="30" t="str">
        <x:v>CL0703</x:v>
      </x:c>
      <x:c r="B707" s="30" t="str">
        <x:v>Resume &amp; Experience</x:v>
      </x:c>
      <x:c r="C707" s="31" t="str">
        <x:v>Tell me a company on your resume, and how do you evaluate the company</x:v>
      </x:c>
      <x:c r="D707" s="32" t="n">
        <x:f>COUNTIF('All Questions'!$G$5:$G$1725,A707)</x:f>
        <x:v>1</x:v>
      </x:c>
      <x:c r="E707" s="11"/>
      <x:c r="F707" s="12" t="str">
        <x:v>Not Started</x:v>
      </x:c>
      <x:c r="G707" s="13"/>
      <x:c r="H707" s="30" t="str">
        <x:f>IF(AND(E707&lt;&gt;"",F707="Ready"),"Yes","No")</x:f>
        <x:v>No</x:v>
      </x:c>
      <x:c r="I707" s="11"/>
    </x:row>
    <x:row r="708" ht="38" customHeight="1">
      <x:c r="A708" s="30" t="str">
        <x:v>CL0704</x:v>
      </x:c>
      <x:c r="B708" s="30" t="str">
        <x:v>Other Question</x:v>
      </x:c>
      <x:c r="C708" s="31" t="str">
        <x:v>Tell me a investment highlight in CIM</x:v>
      </x:c>
      <x:c r="D708" s="32" t="n">
        <x:f>COUNTIF('All Questions'!$G$5:$G$1725,A708)</x:f>
        <x:v>1</x:v>
      </x:c>
      <x:c r="E708" s="11"/>
      <x:c r="F708" s="12" t="str">
        <x:v>Not Started</x:v>
      </x:c>
      <x:c r="G708" s="13"/>
      <x:c r="H708" s="30" t="str">
        <x:f>IF(AND(E708&lt;&gt;"",F708="Ready"),"Yes","No")</x:f>
        <x:v>No</x:v>
      </x:c>
      <x:c r="I708" s="11"/>
    </x:row>
    <x:row r="709" ht="38" customHeight="1">
      <x:c r="A709" s="30" t="str">
        <x:v>CL0705</x:v>
      </x:c>
      <x:c r="B709" s="30" t="str">
        <x:v>Other Question</x:v>
      </x:c>
      <x:c r="C709" s="31" t="str">
        <x:v>Tell me a piece of article you read about JPM</x:v>
      </x:c>
      <x:c r="D709" s="32" t="n">
        <x:f>COUNTIF('All Questions'!$G$5:$G$1725,A709)</x:f>
        <x:v>1</x:v>
      </x:c>
      <x:c r="E709" s="11"/>
      <x:c r="F709" s="12" t="str">
        <x:v>Not Started</x:v>
      </x:c>
      <x:c r="G709" s="13"/>
      <x:c r="H709" s="30" t="str">
        <x:f>IF(AND(E709&lt;&gt;"",F709="Ready"),"Yes","No")</x:f>
        <x:v>No</x:v>
      </x:c>
      <x:c r="I709" s="11"/>
    </x:row>
    <x:row r="710" ht="38" customHeight="1">
      <x:c r="A710" s="30" t="str">
        <x:v>CL0706</x:v>
      </x:c>
      <x:c r="B710" s="30" t="str">
        <x:v>Resume &amp; Experience</x:v>
      </x:c>
      <x:c r="C710" s="31" t="str">
        <x:v>Tell me a project thats more complicated, not just making slides (bruh......)</x:v>
      </x:c>
      <x:c r="D710" s="32" t="n">
        <x:f>COUNTIF('All Questions'!$G$5:$G$1725,A710)</x:f>
        <x:v>1</x:v>
      </x:c>
      <x:c r="E710" s="11"/>
      <x:c r="F710" s="12" t="str">
        <x:v>Not Started</x:v>
      </x:c>
      <x:c r="G710" s="13"/>
      <x:c r="H710" s="30" t="str">
        <x:f>IF(AND(E710&lt;&gt;"",F710="Ready"),"Yes","No")</x:f>
        <x:v>No</x:v>
      </x:c>
      <x:c r="I710" s="11"/>
    </x:row>
    <x:row r="711" ht="38" customHeight="1">
      <x:c r="A711" s="30" t="str">
        <x:v>CL0707</x:v>
      </x:c>
      <x:c r="B711" s="30" t="str">
        <x:v>Resume &amp; Experience</x:v>
      </x:c>
      <x:c r="C711" s="31" t="str">
        <x:v>Tell me a story in your fencing experience</x:v>
      </x:c>
      <x:c r="D711" s="32" t="n">
        <x:f>COUNTIF('All Questions'!$G$5:$G$1725,A711)</x:f>
        <x:v>1</x:v>
      </x:c>
      <x:c r="E711" s="11"/>
      <x:c r="F711" s="12" t="str">
        <x:v>Not Started</x:v>
      </x:c>
      <x:c r="G711" s="13"/>
      <x:c r="H711" s="30" t="str">
        <x:f>IF(AND(E711&lt;&gt;"",F711="Ready"),"Yes","No")</x:f>
        <x:v>No</x:v>
      </x:c>
      <x:c r="I711" s="11"/>
    </x:row>
    <x:row r="712" ht="38" customHeight="1">
      <x:c r="A712" s="30" t="str">
        <x:v>CL0708</x:v>
      </x:c>
      <x:c r="B712" s="30" t="str">
        <x:v>Other Question</x:v>
      </x:c>
      <x:c r="C712" s="31" t="str">
        <x:v>Tell me a time about when u took a risk without knowing the outcome</x:v>
      </x:c>
      <x:c r="D712" s="32" t="n">
        <x:f>COUNTIF('All Questions'!$G$5:$G$1725,A712)</x:f>
        <x:v>1</x:v>
      </x:c>
      <x:c r="E712" s="11"/>
      <x:c r="F712" s="12" t="str">
        <x:v>Not Started</x:v>
      </x:c>
      <x:c r="G712" s="13"/>
      <x:c r="H712" s="30" t="str">
        <x:f>IF(AND(E712&lt;&gt;"",F712="Ready"),"Yes","No")</x:f>
        <x:v>No</x:v>
      </x:c>
      <x:c r="I712" s="11"/>
    </x:row>
    <x:row r="713" ht="38" customHeight="1">
      <x:c r="A713" s="30" t="str">
        <x:v>CL0709</x:v>
      </x:c>
      <x:c r="B713" s="30" t="str">
        <x:v>Other Question</x:v>
      </x:c>
      <x:c r="C713" s="31" t="str">
        <x:v>Tell me a time when you XXX</x:v>
      </x:c>
      <x:c r="D713" s="32" t="n">
        <x:f>COUNTIF('All Questions'!$G$5:$G$1725,A713)</x:f>
        <x:v>1</x:v>
      </x:c>
      <x:c r="E713" s="11"/>
      <x:c r="F713" s="12" t="str">
        <x:v>Not Started</x:v>
      </x:c>
      <x:c r="G713" s="13"/>
      <x:c r="H713" s="30" t="str">
        <x:f>IF(AND(E713&lt;&gt;"",F713="Ready"),"Yes","No")</x:f>
        <x:v>No</x:v>
      </x:c>
      <x:c r="I713" s="11"/>
    </x:row>
    <x:row r="714" ht="58" customHeight="1">
      <x:c r="A714" s="30" t="str">
        <x:v>CL0710</x:v>
      </x:c>
      <x:c r="B714" s="30" t="str">
        <x:v>Behavioral &amp; Situational</x:v>
      </x:c>
      <x:c r="C714" s="31" t="str">
        <x:v>Tell me a time where you added added the most value/learnt the most? 2-3 takeaways/add value points</x:v>
      </x:c>
      <x:c r="D714" s="32" t="n">
        <x:f>COUNTIF('All Questions'!$G$5:$G$1725,A714)</x:f>
        <x:v>1</x:v>
      </x:c>
      <x:c r="E714" s="11"/>
      <x:c r="F714" s="12" t="str">
        <x:v>Not Started</x:v>
      </x:c>
      <x:c r="G714" s="13"/>
      <x:c r="H714" s="30" t="str">
        <x:f>IF(AND(E714&lt;&gt;"",F714="Ready"),"Yes","No")</x:f>
        <x:v>No</x:v>
      </x:c>
      <x:c r="I714" s="11"/>
    </x:row>
    <x:row r="715" ht="38" customHeight="1">
      <x:c r="A715" s="30" t="str">
        <x:v>CL0711</x:v>
      </x:c>
      <x:c r="B715" s="30" t="str">
        <x:v>Behavioral &amp; Situational</x:v>
      </x:c>
      <x:c r="C715" s="31" t="str">
        <x:v>Tell me a time you created an innovative approach to solve a problem</x:v>
      </x:c>
      <x:c r="D715" s="32" t="n">
        <x:f>COUNTIF('All Questions'!$G$5:$G$1725,A715)</x:f>
        <x:v>1</x:v>
      </x:c>
      <x:c r="E715" s="11"/>
      <x:c r="F715" s="12" t="str">
        <x:v>Not Started</x:v>
      </x:c>
      <x:c r="G715" s="13"/>
      <x:c r="H715" s="30" t="str">
        <x:f>IF(AND(E715&lt;&gt;"",F715="Ready"),"Yes","No")</x:f>
        <x:v>No</x:v>
      </x:c>
      <x:c r="I715" s="11"/>
    </x:row>
    <x:row r="716" ht="38" customHeight="1">
      <x:c r="A716" s="30" t="str">
        <x:v>CL0712</x:v>
      </x:c>
      <x:c r="B716" s="30" t="str">
        <x:v>Other Question</x:v>
      </x:c>
      <x:c r="C716" s="31" t="str">
        <x:v>Tell me a time you faced an issue at work and how you solved it</x:v>
      </x:c>
      <x:c r="D716" s="32" t="n">
        <x:f>COUNTIF('All Questions'!$G$5:$G$1725,A716)</x:f>
        <x:v>1</x:v>
      </x:c>
      <x:c r="E716" s="11"/>
      <x:c r="F716" s="12" t="str">
        <x:v>Not Started</x:v>
      </x:c>
      <x:c r="G716" s="13"/>
      <x:c r="H716" s="30" t="str">
        <x:f>IF(AND(E716&lt;&gt;"",F716="Ready"),"Yes","No")</x:f>
        <x:v>No</x:v>
      </x:c>
      <x:c r="I716" s="11"/>
    </x:row>
    <x:row r="717" ht="38" customHeight="1">
      <x:c r="A717" s="30" t="str">
        <x:v>CL0713</x:v>
      </x:c>
      <x:c r="B717" s="30" t="str">
        <x:v>Behavioral &amp; Situational</x:v>
      </x:c>
      <x:c r="C717" s="31" t="str">
        <x:v>Tell me a time you had to make a decision with risks</x:v>
      </x:c>
      <x:c r="D717" s="32" t="n">
        <x:f>COUNTIF('All Questions'!$G$5:$G$1725,A717)</x:f>
        <x:v>1</x:v>
      </x:c>
      <x:c r="E717" s="11"/>
      <x:c r="F717" s="12" t="str">
        <x:v>Not Started</x:v>
      </x:c>
      <x:c r="G717" s="13"/>
      <x:c r="H717" s="30" t="str">
        <x:f>IF(AND(E717&lt;&gt;"",F717="Ready"),"Yes","No")</x:f>
        <x:v>No</x:v>
      </x:c>
      <x:c r="I717" s="11"/>
    </x:row>
    <x:row r="718" ht="58" customHeight="1">
      <x:c r="A718" s="30" t="str">
        <x:v>CL0714</x:v>
      </x:c>
      <x:c r="B718" s="30" t="str">
        <x:v>Company, Industry &amp; Deals</x:v>
      </x:c>
      <x:c r="C718" s="31" t="str">
        <x:v>Tell me a time you had to to face conflciting and high pressure deadline? How do you deal with it</x:v>
      </x:c>
      <x:c r="D718" s="32" t="n">
        <x:f>COUNTIF('All Questions'!$G$5:$G$1725,A718)</x:f>
        <x:v>1</x:v>
      </x:c>
      <x:c r="E718" s="11"/>
      <x:c r="F718" s="12" t="str">
        <x:v>Not Started</x:v>
      </x:c>
      <x:c r="G718" s="13"/>
      <x:c r="H718" s="30" t="str">
        <x:f>IF(AND(E718&lt;&gt;"",F718="Ready"),"Yes","No")</x:f>
        <x:v>No</x:v>
      </x:c>
      <x:c r="I718" s="11"/>
    </x:row>
    <x:row r="719" ht="38" customHeight="1">
      <x:c r="A719" s="30" t="str">
        <x:v>CL0715</x:v>
      </x:c>
      <x:c r="B719" s="30" t="str">
        <x:v>Other Question</x:v>
      </x:c>
      <x:c r="C719" s="31" t="str">
        <x:v>Tell me a time you have worked with different teams</x:v>
      </x:c>
      <x:c r="D719" s="32" t="n">
        <x:f>COUNTIF('All Questions'!$G$5:$G$1725,A719)</x:f>
        <x:v>1</x:v>
      </x:c>
      <x:c r="E719" s="11"/>
      <x:c r="F719" s="12" t="str">
        <x:v>Not Started</x:v>
      </x:c>
      <x:c r="G719" s="13"/>
      <x:c r="H719" s="30" t="str">
        <x:f>IF(AND(E719&lt;&gt;"",F719="Ready"),"Yes","No")</x:f>
        <x:v>No</x:v>
      </x:c>
      <x:c r="I719" s="11"/>
    </x:row>
    <x:row r="720" ht="38" customHeight="1">
      <x:c r="A720" s="30" t="str">
        <x:v>CL0716</x:v>
      </x:c>
      <x:c r="B720" s="30" t="str">
        <x:v>Behavioral &amp; Situational</x:v>
      </x:c>
      <x:c r="C720" s="31" t="str">
        <x:v>Tell me a time you have worked with difficult people</x:v>
      </x:c>
      <x:c r="D720" s="32" t="n">
        <x:f>COUNTIF('All Questions'!$G$5:$G$1725,A720)</x:f>
        <x:v>1</x:v>
      </x:c>
      <x:c r="E720" s="11"/>
      <x:c r="F720" s="12" t="str">
        <x:v>Not Started</x:v>
      </x:c>
      <x:c r="G720" s="13"/>
      <x:c r="H720" s="30" t="str">
        <x:f>IF(AND(E720&lt;&gt;"",F720="Ready"),"Yes","No")</x:f>
        <x:v>No</x:v>
      </x:c>
      <x:c r="I720" s="11"/>
    </x:row>
    <x:row r="721" ht="38" customHeight="1">
      <x:c r="A721" s="30" t="str">
        <x:v>CL0717</x:v>
      </x:c>
      <x:c r="B721" s="30" t="str">
        <x:v>Other Question</x:v>
      </x:c>
      <x:c r="C721" s="31" t="str">
        <x:v>Tell me a time you made a sustainable decision</x:v>
      </x:c>
      <x:c r="D721" s="32" t="n">
        <x:f>COUNTIF('All Questions'!$G$5:$G$1725,A721)</x:f>
        <x:v>1</x:v>
      </x:c>
      <x:c r="E721" s="11"/>
      <x:c r="F721" s="12" t="str">
        <x:v>Not Started</x:v>
      </x:c>
      <x:c r="G721" s="13"/>
      <x:c r="H721" s="30" t="str">
        <x:f>IF(AND(E721&lt;&gt;"",F721="Ready"),"Yes","No")</x:f>
        <x:v>No</x:v>
      </x:c>
      <x:c r="I721" s="11"/>
    </x:row>
    <x:row r="722" ht="38" customHeight="1">
      <x:c r="A722" s="30" t="str">
        <x:v>CL0718</x:v>
      </x:c>
      <x:c r="B722" s="30" t="str">
        <x:v>Resume &amp; Experience</x:v>
      </x:c>
      <x:c r="C722" s="31" t="str">
        <x:v>Tell me a time you noticed a mistake and what did you do</x:v>
      </x:c>
      <x:c r="D722" s="32" t="n">
        <x:f>COUNTIF('All Questions'!$G$5:$G$1725,A722)</x:f>
        <x:v>1</x:v>
      </x:c>
      <x:c r="E722" s="11"/>
      <x:c r="F722" s="12" t="str">
        <x:v>Not Started</x:v>
      </x:c>
      <x:c r="G722" s="13"/>
      <x:c r="H722" s="30" t="str">
        <x:f>IF(AND(E722&lt;&gt;"",F722="Ready"),"Yes","No")</x:f>
        <x:v>No</x:v>
      </x:c>
      <x:c r="I722" s="11"/>
    </x:row>
    <x:row r="723" ht="38" customHeight="1">
      <x:c r="A723" s="30" t="str">
        <x:v>CL0719</x:v>
      </x:c>
      <x:c r="B723" s="30" t="str">
        <x:v>Other Question</x:v>
      </x:c>
      <x:c r="C723" s="31" t="str">
        <x:v>Tell me a time you worked with a team</x:v>
      </x:c>
      <x:c r="D723" s="32" t="n">
        <x:f>COUNTIF('All Questions'!$G$5:$G$1725,A723)</x:f>
        <x:v>1</x:v>
      </x:c>
      <x:c r="E723" s="11"/>
      <x:c r="F723" s="12" t="str">
        <x:v>Not Started</x:v>
      </x:c>
      <x:c r="G723" s="13"/>
      <x:c r="H723" s="30" t="str">
        <x:f>IF(AND(E723&lt;&gt;"",F723="Ready"),"Yes","No")</x:f>
        <x:v>No</x:v>
      </x:c>
      <x:c r="I723" s="11"/>
    </x:row>
    <x:row r="724" ht="38" customHeight="1">
      <x:c r="A724" s="30" t="str">
        <x:v>CL0720</x:v>
      </x:c>
      <x:c r="B724" s="30" t="str">
        <x:v>Other Question</x:v>
      </x:c>
      <x:c r="C724" s="31" t="str">
        <x:v>Tell me a transaction that you were deeply involved</x:v>
      </x:c>
      <x:c r="D724" s="32" t="n">
        <x:f>COUNTIF('All Questions'!$G$5:$G$1725,A724)</x:f>
        <x:v>1</x:v>
      </x:c>
      <x:c r="E724" s="11"/>
      <x:c r="F724" s="12" t="str">
        <x:v>Not Started</x:v>
      </x:c>
      <x:c r="G724" s="13"/>
      <x:c r="H724" s="30" t="str">
        <x:f>IF(AND(E724&lt;&gt;"",F724="Ready"),"Yes","No")</x:f>
        <x:v>No</x:v>
      </x:c>
      <x:c r="I724" s="11"/>
    </x:row>
    <x:row r="725" ht="38" customHeight="1">
      <x:c r="A725" s="30" t="str">
        <x:v>CL0721</x:v>
      </x:c>
      <x:c r="B725" s="30" t="str">
        <x:v>Company, Industry &amp; Deals</x:v>
      </x:c>
      <x:c r="C725" s="31" t="str">
        <x:v>Tell me about a company you researched on for 3 mins</x:v>
      </x:c>
      <x:c r="D725" s="32" t="n">
        <x:f>COUNTIF('All Questions'!$G$5:$G$1725,A725)</x:f>
        <x:v>1</x:v>
      </x:c>
      <x:c r="E725" s="11"/>
      <x:c r="F725" s="12" t="str">
        <x:v>Not Started</x:v>
      </x:c>
      <x:c r="G725" s="13"/>
      <x:c r="H725" s="30" t="str">
        <x:f>IF(AND(E725&lt;&gt;"",F725="Ready"),"Yes","No")</x:f>
        <x:v>No</x:v>
      </x:c>
      <x:c r="I725" s="11"/>
    </x:row>
    <x:row r="726" ht="38" customHeight="1">
      <x:c r="A726" s="30" t="str">
        <x:v>CL0722</x:v>
      </x:c>
      <x:c r="B726" s="30" t="str">
        <x:v>Company, Industry &amp; Deals</x:v>
      </x:c>
      <x:c r="C726" s="31" t="str">
        <x:v>Tell me about a deal you've down at BlackRock</x:v>
      </x:c>
      <x:c r="D726" s="32" t="n">
        <x:f>COUNTIF('All Questions'!$G$5:$G$1725,A726)</x:f>
        <x:v>1</x:v>
      </x:c>
      <x:c r="E726" s="11"/>
      <x:c r="F726" s="12" t="str">
        <x:v>Not Started</x:v>
      </x:c>
      <x:c r="G726" s="13"/>
      <x:c r="H726" s="30" t="str">
        <x:f>IF(AND(E726&lt;&gt;"",F726="Ready"),"Yes","No")</x:f>
        <x:v>No</x:v>
      </x:c>
      <x:c r="I726" s="11"/>
    </x:row>
    <x:row r="727" ht="38" customHeight="1">
      <x:c r="A727" s="30" t="str">
        <x:v>CL0723</x:v>
      </x:c>
      <x:c r="B727" s="30" t="str">
        <x:v>Resume &amp; Experience</x:v>
      </x:c>
      <x:c r="C727" s="31" t="str">
        <x:v>Tell me about a leadership experiences in your societies</x:v>
      </x:c>
      <x:c r="D727" s="32" t="n">
        <x:f>COUNTIF('All Questions'!$G$5:$G$1725,A727)</x:f>
        <x:v>1</x:v>
      </x:c>
      <x:c r="E727" s="11"/>
      <x:c r="F727" s="12" t="str">
        <x:v>Not Started</x:v>
      </x:c>
      <x:c r="G727" s="13"/>
      <x:c r="H727" s="30" t="str">
        <x:f>IF(AND(E727&lt;&gt;"",F727="Ready"),"Yes","No")</x:f>
        <x:v>No</x:v>
      </x:c>
      <x:c r="I727" s="11"/>
    </x:row>
    <x:row r="728" ht="38" customHeight="1">
      <x:c r="A728" s="30" t="str">
        <x:v>CL0724</x:v>
      </x:c>
      <x:c r="B728" s="30" t="str">
        <x:v>Valuation</x:v>
      </x:c>
      <x:c r="C728" s="31" t="str">
        <x:v>Tell me about a project which involves valuation</x:v>
      </x:c>
      <x:c r="D728" s="32" t="n">
        <x:f>COUNTIF('All Questions'!$G$5:$G$1725,A728)</x:f>
        <x:v>1</x:v>
      </x:c>
      <x:c r="E728" s="11"/>
      <x:c r="F728" s="12" t="str">
        <x:v>Not Started</x:v>
      </x:c>
      <x:c r="G728" s="13"/>
      <x:c r="H728" s="30" t="str">
        <x:f>IF(AND(E728&lt;&gt;"",F728="Ready"),"Yes","No")</x:f>
        <x:v>No</x:v>
      </x:c>
      <x:c r="I728" s="11"/>
    </x:row>
    <x:row r="729" ht="58" customHeight="1">
      <x:c r="A729" s="30" t="str">
        <x:v>CL0725</x:v>
      </x:c>
      <x:c r="B729" s="30" t="str">
        <x:v>Accounting &amp; Financial Statements</x:v>
      </x:c>
      <x:c r="C729" s="31" t="str">
        <x:v>Tell me about a recent investment you made that you think is very attractive? Tell me about the industry and highlights</x:v>
      </x:c>
      <x:c r="D729" s="32" t="n">
        <x:f>COUNTIF('All Questions'!$G$5:$G$1725,A729)</x:f>
        <x:v>1</x:v>
      </x:c>
      <x:c r="E729" s="11"/>
      <x:c r="F729" s="12" t="str">
        <x:v>Not Started</x:v>
      </x:c>
      <x:c r="G729" s="13"/>
      <x:c r="H729" s="30" t="str">
        <x:f>IF(AND(E729&lt;&gt;"",F729="Ready"),"Yes","No")</x:f>
        <x:v>No</x:v>
      </x:c>
      <x:c r="I729" s="11"/>
    </x:row>
    <x:row r="730" ht="38" customHeight="1">
      <x:c r="A730" s="30" t="str">
        <x:v>CL0726</x:v>
      </x:c>
      <x:c r="B730" s="30" t="str">
        <x:v>Company, Industry &amp; Deals</x:v>
      </x:c>
      <x:c r="C730" s="31" t="str">
        <x:v>Tell me about a recent news event and your understanding of its impact on HKEX</x:v>
      </x:c>
      <x:c r="D730" s="32" t="n">
        <x:f>COUNTIF('All Questions'!$G$5:$G$1725,A730)</x:f>
        <x:v>1</x:v>
      </x:c>
      <x:c r="E730" s="11"/>
      <x:c r="F730" s="12" t="str">
        <x:v>Not Started</x:v>
      </x:c>
      <x:c r="G730" s="13"/>
      <x:c r="H730" s="30" t="str">
        <x:f>IF(AND(E730&lt;&gt;"",F730="Ready"),"Yes","No")</x:f>
        <x:v>No</x:v>
      </x:c>
      <x:c r="I730" s="11"/>
    </x:row>
    <x:row r="731" ht="38" customHeight="1">
      <x:c r="A731" s="30" t="str">
        <x:v>CL0727</x:v>
      </x:c>
      <x:c r="B731" s="30" t="str">
        <x:v>Other Question</x:v>
      </x:c>
      <x:c r="C731" s="31" t="str">
        <x:v>Tell me about a recent piece of news in Chinese</x:v>
      </x:c>
      <x:c r="D731" s="32" t="n">
        <x:f>COUNTIF('All Questions'!$G$5:$G$1725,A731)</x:f>
        <x:v>1</x:v>
      </x:c>
      <x:c r="E731" s="11"/>
      <x:c r="F731" s="12" t="str">
        <x:v>Not Started</x:v>
      </x:c>
      <x:c r="G731" s="13"/>
      <x:c r="H731" s="30" t="str">
        <x:f>IF(AND(E731&lt;&gt;"",F731="Ready"),"Yes","No")</x:f>
        <x:v>No</x:v>
      </x:c>
      <x:c r="I731" s="11"/>
    </x:row>
    <x:row r="732" ht="38" customHeight="1">
      <x:c r="A732" s="30" t="str">
        <x:v>CL0728</x:v>
      </x:c>
      <x:c r="B732" s="30" t="str">
        <x:v>Fit &amp; Motivation</x:v>
      </x:c>
      <x:c r="C732" s="31" t="str">
        <x:v>Tell me about a story when you OT, can you accept long hours</x:v>
      </x:c>
      <x:c r="D732" s="32" t="n">
        <x:f>COUNTIF('All Questions'!$G$5:$G$1725,A732)</x:f>
        <x:v>1</x:v>
      </x:c>
      <x:c r="E732" s="11"/>
      <x:c r="F732" s="12" t="str">
        <x:v>Not Started</x:v>
      </x:c>
      <x:c r="G732" s="13"/>
      <x:c r="H732" s="30" t="str">
        <x:f>IF(AND(E732&lt;&gt;"",F732="Ready"),"Yes","No")</x:f>
        <x:v>No</x:v>
      </x:c>
      <x:c r="I732" s="11"/>
    </x:row>
    <x:row r="733" ht="58" customHeight="1">
      <x:c r="A733" s="30" t="str">
        <x:v>CL0729</x:v>
      </x:c>
      <x:c r="B733" s="30" t="str">
        <x:v>Behavioral &amp; Situational</x:v>
      </x:c>
      <x:c r="C733" s="31" t="str">
        <x:v>Tell me about a time of teamwork (I said JPM's AWM case and i said we used data to construct the entire portfolio)</x:v>
      </x:c>
      <x:c r="D733" s="32" t="n">
        <x:f>COUNTIF('All Questions'!$G$5:$G$1725,A733)</x:f>
        <x:v>1</x:v>
      </x:c>
      <x:c r="E733" s="11"/>
      <x:c r="F733" s="12" t="str">
        <x:v>Not Started</x:v>
      </x:c>
      <x:c r="G733" s="13"/>
      <x:c r="H733" s="30" t="str">
        <x:f>IF(AND(E733&lt;&gt;"",F733="Ready"),"Yes","No")</x:f>
        <x:v>No</x:v>
      </x:c>
      <x:c r="I733" s="11"/>
    </x:row>
    <x:row r="734" ht="38" customHeight="1">
      <x:c r="A734" s="30" t="str">
        <x:v>CL0730</x:v>
      </x:c>
      <x:c r="B734" s="30" t="str">
        <x:v>Other Question</x:v>
      </x:c>
      <x:c r="C734" s="31" t="str">
        <x:v>Tell me about a time u explain a complex stuff to others</x:v>
      </x:c>
      <x:c r="D734" s="32" t="n">
        <x:f>COUNTIF('All Questions'!$G$5:$G$1725,A734)</x:f>
        <x:v>1</x:v>
      </x:c>
      <x:c r="E734" s="11"/>
      <x:c r="F734" s="12" t="str">
        <x:v>Not Started</x:v>
      </x:c>
      <x:c r="G734" s="13"/>
      <x:c r="H734" s="30" t="str">
        <x:f>IF(AND(E734&lt;&gt;"",F734="Ready"),"Yes","No")</x:f>
        <x:v>No</x:v>
      </x:c>
      <x:c r="I734" s="11"/>
    </x:row>
    <x:row r="735" ht="58" customHeight="1">
      <x:c r="A735" s="30" t="str">
        <x:v>CL0731</x:v>
      </x:c>
      <x:c r="B735" s="30" t="str">
        <x:v>Other Question</x:v>
      </x:c>
      <x:c r="C735" s="31" t="str">
        <x:v>Tell me about a time when your teammates did not contribute/cooperate a lot, how did you handle that</x:v>
      </x:c>
      <x:c r="D735" s="32" t="n">
        <x:f>COUNTIF('All Questions'!$G$5:$G$1725,A735)</x:f>
        <x:v>1</x:v>
      </x:c>
      <x:c r="E735" s="11"/>
      <x:c r="F735" s="12" t="str">
        <x:v>Not Started</x:v>
      </x:c>
      <x:c r="G735" s="13"/>
      <x:c r="H735" s="30" t="str">
        <x:f>IF(AND(E735&lt;&gt;"",F735="Ready"),"Yes","No")</x:f>
        <x:v>No</x:v>
      </x:c>
      <x:c r="I735" s="11"/>
    </x:row>
    <x:row r="736" ht="38" customHeight="1">
      <x:c r="A736" s="30" t="str">
        <x:v>CL0732</x:v>
      </x:c>
      <x:c r="B736" s="30" t="str">
        <x:v>Other Question</x:v>
      </x:c>
      <x:c r="C736" s="31" t="str">
        <x:v>Tell me about a time where you are in a group setting, and acted as a significant role</x:v>
      </x:c>
      <x:c r="D736" s="32" t="n">
        <x:f>COUNTIF('All Questions'!$G$5:$G$1725,A736)</x:f>
        <x:v>1</x:v>
      </x:c>
      <x:c r="E736" s="11"/>
      <x:c r="F736" s="12" t="str">
        <x:v>Not Started</x:v>
      </x:c>
      <x:c r="G736" s="13"/>
      <x:c r="H736" s="30" t="str">
        <x:f>IF(AND(E736&lt;&gt;"",F736="Ready"),"Yes","No")</x:f>
        <x:v>No</x:v>
      </x:c>
      <x:c r="I736" s="11"/>
    </x:row>
    <x:row r="737" ht="38" customHeight="1">
      <x:c r="A737" s="30" t="str">
        <x:v>CL0733</x:v>
      </x:c>
      <x:c r="B737" s="30" t="str">
        <x:v>Behavioral &amp; Situational</x:v>
      </x:c>
      <x:c r="C737" s="31" t="str">
        <x:v>Tell me about a time you encounter difficulty</x:v>
      </x:c>
      <x:c r="D737" s="32" t="n">
        <x:f>COUNTIF('All Questions'!$G$5:$G$1725,A737)</x:f>
        <x:v>1</x:v>
      </x:c>
      <x:c r="E737" s="11"/>
      <x:c r="F737" s="12" t="str">
        <x:v>Not Started</x:v>
      </x:c>
      <x:c r="G737" s="13"/>
      <x:c r="H737" s="30" t="str">
        <x:f>IF(AND(E737&lt;&gt;"",F737="Ready"),"Yes","No")</x:f>
        <x:v>No</x:v>
      </x:c>
      <x:c r="I737" s="11"/>
    </x:row>
    <x:row r="738" ht="58" customHeight="1">
      <x:c r="A738" s="30" t="str">
        <x:v>CL0734</x:v>
      </x:c>
      <x:c r="B738" s="30" t="str">
        <x:v>Company, Industry &amp; Deals</x:v>
      </x:c>
      <x:c r="C738" s="31" t="str">
        <x:v>Tell me about an industry that you would like to pitch to an investor to invest in? What are some risks also</x:v>
      </x:c>
      <x:c r="D738" s="32" t="n">
        <x:f>COUNTIF('All Questions'!$G$5:$G$1725,A738)</x:f>
        <x:v>1</x:v>
      </x:c>
      <x:c r="E738" s="11"/>
      <x:c r="F738" s="12" t="str">
        <x:v>Not Started</x:v>
      </x:c>
      <x:c r="G738" s="13"/>
      <x:c r="H738" s="30" t="str">
        <x:f>IF(AND(E738&lt;&gt;"",F738="Ready"),"Yes","No")</x:f>
        <x:v>No</x:v>
      </x:c>
      <x:c r="I738" s="11"/>
    </x:row>
    <x:row r="739" ht="58" customHeight="1">
      <x:c r="A739" s="30" t="str">
        <x:v>CL0735</x:v>
      </x:c>
      <x:c r="B739" s="30" t="str">
        <x:v>Company, Industry &amp; Deals</x:v>
      </x:c>
      <x:c r="C739" s="31" t="str">
        <x:v>Tell me about an industry, industry trends, key deals in the industry and trends in dealmaking</x:v>
      </x:c>
      <x:c r="D739" s="32" t="n">
        <x:f>COUNTIF('All Questions'!$G$5:$G$1725,A739)</x:f>
        <x:v>1</x:v>
      </x:c>
      <x:c r="E739" s="11"/>
      <x:c r="F739" s="12" t="str">
        <x:v>Not Started</x:v>
      </x:c>
      <x:c r="G739" s="13"/>
      <x:c r="H739" s="30" t="str">
        <x:f>IF(AND(E739&lt;&gt;"",F739="Ready"),"Yes","No")</x:f>
        <x:v>No</x:v>
      </x:c>
      <x:c r="I739" s="11"/>
    </x:row>
    <x:row r="740" ht="38" customHeight="1">
      <x:c r="A740" s="30" t="str">
        <x:v>CL0736</x:v>
      </x:c>
      <x:c r="B740" s="30" t="str">
        <x:v>Valuation</x:v>
      </x:c>
      <x:c r="C740" s="31" t="str">
        <x:v>Tell me about how you value the company (DCF, PE)</x:v>
      </x:c>
      <x:c r="D740" s="32" t="n">
        <x:f>COUNTIF('All Questions'!$G$5:$G$1725,A740)</x:f>
        <x:v>1</x:v>
      </x:c>
      <x:c r="E740" s="11"/>
      <x:c r="F740" s="12" t="str">
        <x:v>Not Started</x:v>
      </x:c>
      <x:c r="G740" s="13"/>
      <x:c r="H740" s="30" t="str">
        <x:f>IF(AND(E740&lt;&gt;"",F740="Ready"),"Yes","No")</x:f>
        <x:v>No</x:v>
      </x:c>
      <x:c r="I740" s="11"/>
    </x:row>
    <x:row r="741" ht="38" customHeight="1">
      <x:c r="A741" s="30" t="str">
        <x:v>CL0737</x:v>
      </x:c>
      <x:c r="B741" s="30" t="str">
        <x:v>Resume &amp; Experience</x:v>
      </x:c>
      <x:c r="C741" s="31" t="str">
        <x:v>Tell me about one project you worked on in Nomura</x:v>
      </x:c>
      <x:c r="D741" s="32" t="n">
        <x:f>COUNTIF('All Questions'!$G$5:$G$1725,A741)</x:f>
        <x:v>1</x:v>
      </x:c>
      <x:c r="E741" s="11"/>
      <x:c r="F741" s="12" t="str">
        <x:v>Not Started</x:v>
      </x:c>
      <x:c r="G741" s="13"/>
      <x:c r="H741" s="30" t="str">
        <x:f>IF(AND(E741&lt;&gt;"",F741="Ready"),"Yes","No")</x:f>
        <x:v>No</x:v>
      </x:c>
      <x:c r="I741" s="11"/>
    </x:row>
    <x:row r="742" ht="38" customHeight="1">
      <x:c r="A742" s="30" t="str">
        <x:v>CL0738</x:v>
      </x:c>
      <x:c r="B742" s="30" t="str">
        <x:v>Resume &amp; Experience</x:v>
      </x:c>
      <x:c r="C742" s="31" t="str">
        <x:v>Tell me about one project you worked on in UBS, your responsibilities and its valuation</x:v>
      </x:c>
      <x:c r="D742" s="32" t="n">
        <x:f>COUNTIF('All Questions'!$G$5:$G$1725,A742)</x:f>
        <x:v>1</x:v>
      </x:c>
      <x:c r="E742" s="11"/>
      <x:c r="F742" s="12" t="str">
        <x:v>Not Started</x:v>
      </x:c>
      <x:c r="G742" s="13"/>
      <x:c r="H742" s="30" t="str">
        <x:f>IF(AND(E742&lt;&gt;"",F742="Ready"),"Yes","No")</x:f>
        <x:v>No</x:v>
      </x:c>
      <x:c r="I742" s="11"/>
    </x:row>
    <x:row r="743" ht="38" customHeight="1">
      <x:c r="A743" s="30" t="str">
        <x:v>CL0739</x:v>
      </x:c>
      <x:c r="B743" s="30" t="str">
        <x:v>Valuation</x:v>
      </x:c>
      <x:c r="C743" s="31" t="str">
        <x:v>Tell me about the dcf you did for the esport company</x:v>
      </x:c>
      <x:c r="D743" s="32" t="n">
        <x:f>COUNTIF('All Questions'!$G$5:$G$1725,A743)</x:f>
        <x:v>1</x:v>
      </x:c>
      <x:c r="E743" s="11"/>
      <x:c r="F743" s="12" t="str">
        <x:v>Not Started</x:v>
      </x:c>
      <x:c r="G743" s="13"/>
      <x:c r="H743" s="30" t="str">
        <x:f>IF(AND(E743&lt;&gt;"",F743="Ready"),"Yes","No")</x:f>
        <x:v>No</x:v>
      </x:c>
      <x:c r="I743" s="11"/>
    </x:row>
    <x:row r="744" ht="58" customHeight="1">
      <x:c r="A744" s="30" t="str">
        <x:v>CL0740</x:v>
      </x:c>
      <x:c r="B744" s="30" t="str">
        <x:v>Capital Markets &amp; Financing</x:v>
      </x:c>
      <x:c r="C744" s="31" t="str">
        <x:v>Tell me about the different methods china companies can IPO in HK (H shares, Red chip, P share)</x:v>
      </x:c>
      <x:c r="D744" s="32" t="n">
        <x:f>COUNTIF('All Questions'!$G$5:$G$1725,A744)</x:f>
        <x:v>1</x:v>
      </x:c>
      <x:c r="E744" s="11"/>
      <x:c r="F744" s="12" t="str">
        <x:v>Not Started</x:v>
      </x:c>
      <x:c r="G744" s="13"/>
      <x:c r="H744" s="30" t="str">
        <x:f>IF(AND(E744&lt;&gt;"",F744="Ready"),"Yes","No")</x:f>
        <x:v>No</x:v>
      </x:c>
      <x:c r="I744" s="11"/>
    </x:row>
    <x:row r="745" ht="38" customHeight="1">
      <x:c r="A745" s="30" t="str">
        <x:v>CL0741</x:v>
      </x:c>
      <x:c r="B745" s="30" t="str">
        <x:v>Company, Industry &amp; Deals</x:v>
      </x:c>
      <x:c r="C745" s="31" t="str">
        <x:v>Tell me about the energy storage company and industry dynamic</x:v>
      </x:c>
      <x:c r="D745" s="32" t="n">
        <x:f>COUNTIF('All Questions'!$G$5:$G$1725,A745)</x:f>
        <x:v>1</x:v>
      </x:c>
      <x:c r="E745" s="11"/>
      <x:c r="F745" s="12" t="str">
        <x:v>Not Started</x:v>
      </x:c>
      <x:c r="G745" s="13"/>
      <x:c r="H745" s="30" t="str">
        <x:f>IF(AND(E745&lt;&gt;"",F745="Ready"),"Yes","No")</x:f>
        <x:v>No</x:v>
      </x:c>
      <x:c r="I745" s="11"/>
    </x:row>
    <x:row r="746" ht="38" customHeight="1">
      <x:c r="A746" s="30" t="str">
        <x:v>CL0742</x:v>
      </x:c>
      <x:c r="B746" s="30" t="str">
        <x:v>Company, Industry &amp; Deals</x:v>
      </x:c>
      <x:c r="C746" s="31" t="str">
        <x:v>Tell me about the industry</x:v>
      </x:c>
      <x:c r="D746" s="32" t="n">
        <x:f>COUNTIF('All Questions'!$G$5:$G$1725,A746)</x:f>
        <x:v>1</x:v>
      </x:c>
      <x:c r="E746" s="11"/>
      <x:c r="F746" s="12" t="str">
        <x:v>Not Started</x:v>
      </x:c>
      <x:c r="G746" s="13"/>
      <x:c r="H746" s="30" t="str">
        <x:f>IF(AND(E746&lt;&gt;"",F746="Ready"),"Yes","No")</x:f>
        <x:v>No</x:v>
      </x:c>
      <x:c r="I746" s="11"/>
    </x:row>
    <x:row r="747" ht="58" customHeight="1">
      <x:c r="A747" s="30" t="str">
        <x:v>CL0743</x:v>
      </x:c>
      <x:c r="B747" s="30" t="str">
        <x:v>Company, Industry &amp; Deals</x:v>
      </x:c>
      <x:c r="C747" s="31" t="str">
        <x:v>Tell me about the IT service company you did in BLK, what kind of IT service does it provide</x:v>
      </x:c>
      <x:c r="D747" s="32" t="n">
        <x:f>COUNTIF('All Questions'!$G$5:$G$1725,A747)</x:f>
        <x:v>1</x:v>
      </x:c>
      <x:c r="E747" s="11"/>
      <x:c r="F747" s="12" t="str">
        <x:v>Not Started</x:v>
      </x:c>
      <x:c r="G747" s="13"/>
      <x:c r="H747" s="30" t="str">
        <x:f>IF(AND(E747&lt;&gt;"",F747="Ready"),"Yes","No")</x:f>
        <x:v>No</x:v>
      </x:c>
      <x:c r="I747" s="11"/>
    </x:row>
    <x:row r="748" ht="38" customHeight="1">
      <x:c r="A748" s="30" t="str">
        <x:v>CL0744</x:v>
      </x:c>
      <x:c r="B748" s="30" t="str">
        <x:v>Capital Markets &amp; Financing</x:v>
      </x:c>
      <x:c r="C748" s="31" t="str">
        <x:v>Tell me about the product teams under GCM. Their functions</x:v>
      </x:c>
      <x:c r="D748" s="32" t="n">
        <x:f>COUNTIF('All Questions'!$G$5:$G$1725,A748)</x:f>
        <x:v>1</x:v>
      </x:c>
      <x:c r="E748" s="11"/>
      <x:c r="F748" s="12" t="str">
        <x:v>Not Started</x:v>
      </x:c>
      <x:c r="G748" s="13"/>
      <x:c r="H748" s="30" t="str">
        <x:f>IF(AND(E748&lt;&gt;"",F748="Ready"),"Yes","No")</x:f>
        <x:v>No</x:v>
      </x:c>
      <x:c r="I748" s="11"/>
    </x:row>
    <x:row r="749" ht="58" customHeight="1">
      <x:c r="A749" s="30" t="str">
        <x:v>CL0745</x:v>
      </x:c>
      <x:c r="B749" s="30" t="str">
        <x:v>Behavioral &amp; Situational</x:v>
      </x:c>
      <x:c r="C749" s="31" t="str">
        <x:v>Tell me about the robotics team ( I kinda emphasize that when answering the first question...)</x:v>
      </x:c>
      <x:c r="D749" s="32" t="n">
        <x:f>COUNTIF('All Questions'!$G$5:$G$1725,A749)</x:f>
        <x:v>1</x:v>
      </x:c>
      <x:c r="E749" s="11"/>
      <x:c r="F749" s="12" t="str">
        <x:v>Not Started</x:v>
      </x:c>
      <x:c r="G749" s="13"/>
      <x:c r="H749" s="30" t="str">
        <x:f>IF(AND(E749&lt;&gt;"",F749="Ready"),"Yes","No")</x:f>
        <x:v>No</x:v>
      </x:c>
      <x:c r="I749" s="11"/>
    </x:row>
    <x:row r="750" ht="38" customHeight="1">
      <x:c r="A750" s="30" t="str">
        <x:v>CL0746</x:v>
      </x:c>
      <x:c r="B750" s="30" t="str">
        <x:v>Accounting &amp; Financial Statements</x:v>
      </x:c>
      <x:c r="C750" s="31" t="str">
        <x:v>Tell me about the SEA hospital platform, is it RSD</x:v>
      </x:c>
      <x:c r="D750" s="32" t="n">
        <x:f>COUNTIF('All Questions'!$G$5:$G$1725,A750)</x:f>
        <x:v>1</x:v>
      </x:c>
      <x:c r="E750" s="11"/>
      <x:c r="F750" s="12" t="str">
        <x:v>Not Started</x:v>
      </x:c>
      <x:c r="G750" s="13"/>
      <x:c r="H750" s="30" t="str">
        <x:f>IF(AND(E750&lt;&gt;"",F750="Ready"),"Yes","No")</x:f>
        <x:v>No</x:v>
      </x:c>
      <x:c r="I750" s="11"/>
    </x:row>
    <x:row r="751" ht="38" customHeight="1">
      <x:c r="A751" s="30" t="str">
        <x:v>CL0747</x:v>
      </x:c>
      <x:c r="B751" s="30" t="str">
        <x:v>Other Question</x:v>
      </x:c>
      <x:c r="C751" s="31" t="str">
        <x:v>Tell me about the tech startup you worked in</x:v>
      </x:c>
      <x:c r="D751" s="32" t="n">
        <x:f>COUNTIF('All Questions'!$G$5:$G$1725,A751)</x:f>
        <x:v>1</x:v>
      </x:c>
      <x:c r="E751" s="11"/>
      <x:c r="F751" s="12" t="str">
        <x:v>Not Started</x:v>
      </x:c>
      <x:c r="G751" s="13"/>
      <x:c r="H751" s="30" t="str">
        <x:f>IF(AND(E751&lt;&gt;"",F751="Ready"),"Yes","No")</x:f>
        <x:v>No</x:v>
      </x:c>
      <x:c r="I751" s="11"/>
    </x:row>
    <x:row r="752" ht="38" customHeight="1">
      <x:c r="A752" s="30" t="str">
        <x:v>CL0748</x:v>
      </x:c>
      <x:c r="B752" s="30" t="str">
        <x:v>Company, Industry &amp; Deals</x:v>
      </x:c>
      <x:c r="C752" s="31" t="str">
        <x:v>Tell me about this deal</x:v>
      </x:c>
      <x:c r="D752" s="32" t="n">
        <x:f>COUNTIF('All Questions'!$G$5:$G$1725,A752)</x:f>
        <x:v>1</x:v>
      </x:c>
      <x:c r="E752" s="11"/>
      <x:c r="F752" s="12" t="str">
        <x:v>Not Started</x:v>
      </x:c>
      <x:c r="G752" s="13"/>
      <x:c r="H752" s="30" t="str">
        <x:f>IF(AND(E752&lt;&gt;"",F752="Ready"),"Yes","No")</x:f>
        <x:v>No</x:v>
      </x:c>
      <x:c r="I752" s="11"/>
    </x:row>
    <x:row r="753" ht="38" customHeight="1">
      <x:c r="A753" s="30" t="str">
        <x:v>CL0749</x:v>
      </x:c>
      <x:c r="B753" s="30" t="str">
        <x:v>Capital Markets &amp; Financing</x:v>
      </x:c>
      <x:c r="C753" s="31" t="str">
        <x:v>Tell me about whats happening in the capital market this year</x:v>
      </x:c>
      <x:c r="D753" s="32" t="n">
        <x:f>COUNTIF('All Questions'!$G$5:$G$1725,A753)</x:f>
        <x:v>1</x:v>
      </x:c>
      <x:c r="E753" s="11"/>
      <x:c r="F753" s="12" t="str">
        <x:v>Not Started</x:v>
      </x:c>
      <x:c r="G753" s="13"/>
      <x:c r="H753" s="30" t="str">
        <x:f>IF(AND(E753&lt;&gt;"",F753="Ready"),"Yes","No")</x:f>
        <x:v>No</x:v>
      </x:c>
      <x:c r="I753" s="11"/>
    </x:row>
    <x:row r="754" ht="38" customHeight="1">
      <x:c r="A754" s="30" t="str">
        <x:v>CL0750</x:v>
      </x:c>
      <x:c r="B754" s="30" t="str">
        <x:v>Resume &amp; Experience</x:v>
      </x:c>
      <x:c r="C754" s="31" t="str">
        <x:v>Tell me about your aibc experience, is it an ongoing conference</x:v>
      </x:c>
      <x:c r="D754" s="32" t="n">
        <x:f>COUNTIF('All Questions'!$G$5:$G$1725,A754)</x:f>
        <x:v>1</x:v>
      </x:c>
      <x:c r="E754" s="11"/>
      <x:c r="F754" s="12" t="str">
        <x:v>Not Started</x:v>
      </x:c>
      <x:c r="G754" s="13"/>
      <x:c r="H754" s="30" t="str">
        <x:f>IF(AND(E754&lt;&gt;"",F754="Ready"),"Yes","No")</x:f>
        <x:v>No</x:v>
      </x:c>
      <x:c r="I754" s="11"/>
    </x:row>
    <x:row r="755" ht="38" customHeight="1">
      <x:c r="A755" s="30" t="str">
        <x:v>CL0751</x:v>
      </x:c>
      <x:c r="B755" s="30" t="str">
        <x:v>Company, Industry &amp; Deals</x:v>
      </x:c>
      <x:c r="C755" s="31" t="str">
        <x:v>Tell me about your deal exp</x:v>
      </x:c>
      <x:c r="D755" s="32" t="n">
        <x:f>COUNTIF('All Questions'!$G$5:$G$1725,A755)</x:f>
        <x:v>1</x:v>
      </x:c>
      <x:c r="E755" s="11"/>
      <x:c r="F755" s="12" t="str">
        <x:v>Not Started</x:v>
      </x:c>
      <x:c r="G755" s="13"/>
      <x:c r="H755" s="30" t="str">
        <x:f>IF(AND(E755&lt;&gt;"",F755="Ready"),"Yes","No")</x:f>
        <x:v>No</x:v>
      </x:c>
      <x:c r="I755" s="11"/>
    </x:row>
    <x:row r="756" ht="38" customHeight="1">
      <x:c r="A756" s="30" t="str">
        <x:v>CL0752</x:v>
      </x:c>
      <x:c r="B756" s="30" t="str">
        <x:v>Resume &amp; Experience</x:v>
      </x:c>
      <x:c r="C756" s="31" t="str">
        <x:v>Tell me about your experience in the US</x:v>
      </x:c>
      <x:c r="D756" s="32" t="n">
        <x:f>COUNTIF('All Questions'!$G$5:$G$1725,A756)</x:f>
        <x:v>1</x:v>
      </x:c>
      <x:c r="E756" s="11"/>
      <x:c r="F756" s="12" t="str">
        <x:v>Not Started</x:v>
      </x:c>
      <x:c r="G756" s="13"/>
      <x:c r="H756" s="30" t="str">
        <x:f>IF(AND(E756&lt;&gt;"",F756="Ready"),"Yes","No")</x:f>
        <x:v>No</x:v>
      </x:c>
      <x:c r="I756" s="11"/>
    </x:row>
    <x:row r="757" ht="38" customHeight="1">
      <x:c r="A757" s="30" t="str">
        <x:v>CL0753</x:v>
      </x:c>
      <x:c r="B757" s="30" t="str">
        <x:v>Other Question</x:v>
      </x:c>
      <x:c r="C757" s="31" t="str">
        <x:v>Tell me about your first job - tech startup</x:v>
      </x:c>
      <x:c r="D757" s="32" t="n">
        <x:f>COUNTIF('All Questions'!$G$5:$G$1725,A757)</x:f>
        <x:v>1</x:v>
      </x:c>
      <x:c r="E757" s="11"/>
      <x:c r="F757" s="12" t="str">
        <x:v>Not Started</x:v>
      </x:c>
      <x:c r="G757" s="13"/>
      <x:c r="H757" s="30" t="str">
        <x:f>IF(AND(E757&lt;&gt;"",F757="Ready"),"Yes","No")</x:f>
        <x:v>No</x:v>
      </x:c>
      <x:c r="I757" s="11"/>
    </x:row>
    <x:row r="758" ht="38" customHeight="1">
      <x:c r="A758" s="30" t="str">
        <x:v>CL0754</x:v>
      </x:c>
      <x:c r="B758" s="30" t="str">
        <x:v>Resume &amp; Experience</x:v>
      </x:c>
      <x:c r="C758" s="31" t="str">
        <x:v>Tell me about your leadership or teamwork in a case competition experience</x:v>
      </x:c>
      <x:c r="D758" s="32" t="n">
        <x:f>COUNTIF('All Questions'!$G$5:$G$1725,A758)</x:f>
        <x:v>1</x:v>
      </x:c>
      <x:c r="E758" s="11"/>
      <x:c r="F758" s="12" t="str">
        <x:v>Not Started</x:v>
      </x:c>
      <x:c r="G758" s="13"/>
      <x:c r="H758" s="30" t="str">
        <x:f>IF(AND(E758&lt;&gt;"",F758="Ready"),"Yes","No")</x:f>
        <x:v>No</x:v>
      </x:c>
      <x:c r="I758" s="11"/>
    </x:row>
    <x:row r="759" ht="38" customHeight="1">
      <x:c r="A759" s="30" t="str">
        <x:v>CL0755</x:v>
      </x:c>
      <x:c r="B759" s="30" t="str">
        <x:v>Other Question</x:v>
      </x:c>
      <x:c r="C759" s="31" t="str">
        <x:v>Tell me about your self</x:v>
      </x:c>
      <x:c r="D759" s="32" t="n">
        <x:f>COUNTIF('All Questions'!$G$5:$G$1725,A759)</x:f>
        <x:v>1</x:v>
      </x:c>
      <x:c r="E759" s="11"/>
      <x:c r="F759" s="12" t="str">
        <x:v>Not Started</x:v>
      </x:c>
      <x:c r="G759" s="13"/>
      <x:c r="H759" s="30" t="str">
        <x:f>IF(AND(E759&lt;&gt;"",F759="Ready"),"Yes","No")</x:f>
        <x:v>No</x:v>
      </x:c>
      <x:c r="I759" s="11"/>
    </x:row>
    <x:row r="760" ht="38" customHeight="1">
      <x:c r="A760" s="30" t="str">
        <x:v>CL0756</x:v>
      </x:c>
      <x:c r="B760" s="30" t="str">
        <x:v>Behavioral &amp; Situational</x:v>
      </x:c>
      <x:c r="C760" s="31" t="str">
        <x:v>Tell me about your sports jouney/ or any difficulty you’ve encountered</x:v>
      </x:c>
      <x:c r="D760" s="32" t="n">
        <x:f>COUNTIF('All Questions'!$G$5:$G$1725,A760)</x:f>
        <x:v>1</x:v>
      </x:c>
      <x:c r="E760" s="11"/>
      <x:c r="F760" s="12" t="str">
        <x:v>Not Started</x:v>
      </x:c>
      <x:c r="G760" s="13"/>
      <x:c r="H760" s="30" t="str">
        <x:f>IF(AND(E760&lt;&gt;"",F760="Ready"),"Yes","No")</x:f>
        <x:v>No</x:v>
      </x:c>
      <x:c r="I760" s="11"/>
    </x:row>
    <x:row r="761" ht="38" customHeight="1">
      <x:c r="A761" s="30" t="str">
        <x:v>CL0757</x:v>
      </x:c>
      <x:c r="B761" s="30" t="str">
        <x:v>Behavioral &amp; Situational</x:v>
      </x:c>
      <x:c r="C761" s="31" t="str">
        <x:v>Tell me about your weakness</x:v>
      </x:c>
      <x:c r="D761" s="32" t="n">
        <x:f>COUNTIF('All Questions'!$G$5:$G$1725,A761)</x:f>
        <x:v>1</x:v>
      </x:c>
      <x:c r="E761" s="11"/>
      <x:c r="F761" s="12" t="str">
        <x:v>Not Started</x:v>
      </x:c>
      <x:c r="G761" s="13"/>
      <x:c r="H761" s="30" t="str">
        <x:f>IF(AND(E761&lt;&gt;"",F761="Ready"),"Yes","No")</x:f>
        <x:v>No</x:v>
      </x:c>
      <x:c r="I761" s="11"/>
    </x:row>
    <x:row r="762" ht="38" customHeight="1">
      <x:c r="A762" s="30" t="str">
        <x:v>CL0758</x:v>
      </x:c>
      <x:c r="B762" s="30" t="str">
        <x:v>Other Question</x:v>
      </x:c>
      <x:c r="C762" s="31" t="str">
        <x:v>Tell me about your work in odysseus</x:v>
      </x:c>
      <x:c r="D762" s="32" t="n">
        <x:f>COUNTIF('All Questions'!$G$5:$G$1725,A762)</x:f>
        <x:v>1</x:v>
      </x:c>
      <x:c r="E762" s="11"/>
      <x:c r="F762" s="12" t="str">
        <x:v>Not Started</x:v>
      </x:c>
      <x:c r="G762" s="13"/>
      <x:c r="H762" s="30" t="str">
        <x:f>IF(AND(E762&lt;&gt;"",F762="Ready"),"Yes","No")</x:f>
        <x:v>No</x:v>
      </x:c>
      <x:c r="I762" s="11"/>
    </x:row>
    <x:row r="763" ht="38" customHeight="1">
      <x:c r="A763" s="30" t="str">
        <x:v>CL0759</x:v>
      </x:c>
      <x:c r="B763" s="30" t="str">
        <x:v>Company, Industry &amp; Deals</x:v>
      </x:c>
      <x:c r="C763" s="31" t="str">
        <x:v>Tell me another industry that you worked on before that you find attractive</x:v>
      </x:c>
      <x:c r="D763" s="32" t="n">
        <x:f>COUNTIF('All Questions'!$G$5:$G$1725,A763)</x:f>
        <x:v>1</x:v>
      </x:c>
      <x:c r="E763" s="11"/>
      <x:c r="F763" s="12" t="str">
        <x:v>Not Started</x:v>
      </x:c>
      <x:c r="G763" s="13"/>
      <x:c r="H763" s="30" t="str">
        <x:f>IF(AND(E763&lt;&gt;"",F763="Ready"),"Yes","No")</x:f>
        <x:v>No</x:v>
      </x:c>
      <x:c r="I763" s="11"/>
    </x:row>
    <x:row r="764" ht="38" customHeight="1">
      <x:c r="A764" s="30" t="str">
        <x:v>CL0760</x:v>
      </x:c>
      <x:c r="B764" s="30" t="str">
        <x:v>Resume &amp; Experience</x:v>
      </x:c>
      <x:c r="C764" s="31" t="str">
        <x:v>Tell me concisely what’s the transaction background and structure</x:v>
      </x:c>
      <x:c r="D764" s="32" t="n">
        <x:f>COUNTIF('All Questions'!$G$5:$G$1725,A764)</x:f>
        <x:v>1</x:v>
      </x:c>
      <x:c r="E764" s="11"/>
      <x:c r="F764" s="12" t="str">
        <x:v>Not Started</x:v>
      </x:c>
      <x:c r="G764" s="13"/>
      <x:c r="H764" s="30" t="str">
        <x:f>IF(AND(E764&lt;&gt;"",F764="Ready"),"Yes","No")</x:f>
        <x:v>No</x:v>
      </x:c>
      <x:c r="I764" s="11"/>
    </x:row>
    <x:row r="765" ht="38" customHeight="1">
      <x:c r="A765" s="30" t="str">
        <x:v>CL0761</x:v>
      </x:c>
      <x:c r="B765" s="30" t="str">
        <x:v>Other Question</x:v>
      </x:c>
      <x:c r="C765" s="31" t="str">
        <x:v>Tell me ESG in the investing perspective</x:v>
      </x:c>
      <x:c r="D765" s="32" t="n">
        <x:f>COUNTIF('All Questions'!$G$5:$G$1725,A765)</x:f>
        <x:v>1</x:v>
      </x:c>
      <x:c r="E765" s="11"/>
      <x:c r="F765" s="12" t="str">
        <x:v>Not Started</x:v>
      </x:c>
      <x:c r="G765" s="13"/>
      <x:c r="H765" s="30" t="str">
        <x:f>IF(AND(E765&lt;&gt;"",F765="Ready"),"Yes","No")</x:f>
        <x:v>No</x:v>
      </x:c>
      <x:c r="I765" s="11"/>
    </x:row>
    <x:row r="766" ht="38" customHeight="1">
      <x:c r="A766" s="30" t="str">
        <x:v>CL0762</x:v>
      </x:c>
      <x:c r="B766" s="30" t="str">
        <x:v>Company, Industry &amp; Deals</x:v>
      </x:c>
      <x:c r="C766" s="31" t="str">
        <x:v>Tell me how you do due dilligence in one of your deals</x:v>
      </x:c>
      <x:c r="D766" s="32" t="n">
        <x:f>COUNTIF('All Questions'!$G$5:$G$1725,A766)</x:f>
        <x:v>1</x:v>
      </x:c>
      <x:c r="E766" s="11"/>
      <x:c r="F766" s="12" t="str">
        <x:v>Not Started</x:v>
      </x:c>
      <x:c r="G766" s="13"/>
      <x:c r="H766" s="30" t="str">
        <x:f>IF(AND(E766&lt;&gt;"",F766="Ready"),"Yes","No")</x:f>
        <x:v>No</x:v>
      </x:c>
      <x:c r="I766" s="11"/>
    </x:row>
    <x:row r="767" ht="38" customHeight="1">
      <x:c r="A767" s="30" t="str">
        <x:v>CL0763</x:v>
      </x:c>
      <x:c r="B767" s="30" t="str">
        <x:v>Company, Industry &amp; Deals</x:v>
      </x:c>
      <x:c r="C767" s="31" t="str">
        <x:v>Tell me more about china esport industry</x:v>
      </x:c>
      <x:c r="D767" s="32" t="n">
        <x:f>COUNTIF('All Questions'!$G$5:$G$1725,A767)</x:f>
        <x:v>1</x:v>
      </x:c>
      <x:c r="E767" s="11"/>
      <x:c r="F767" s="12" t="str">
        <x:v>Not Started</x:v>
      </x:c>
      <x:c r="G767" s="13"/>
      <x:c r="H767" s="30" t="str">
        <x:f>IF(AND(E767&lt;&gt;"",F767="Ready"),"Yes","No")</x:f>
        <x:v>No</x:v>
      </x:c>
      <x:c r="I767" s="11"/>
    </x:row>
    <x:row r="768" ht="38" customHeight="1">
      <x:c r="A768" s="30" t="str">
        <x:v>CL0764</x:v>
      </x:c>
      <x:c r="B768" s="30" t="str">
        <x:v>Other Question</x:v>
      </x:c>
      <x:c r="C768" s="31" t="str">
        <x:v>Tell me more about ESG and what’s your view on it</x:v>
      </x:c>
      <x:c r="D768" s="32" t="n">
        <x:f>COUNTIF('All Questions'!$G$5:$G$1725,A768)</x:f>
        <x:v>1</x:v>
      </x:c>
      <x:c r="E768" s="11"/>
      <x:c r="F768" s="12" t="str">
        <x:v>Not Started</x:v>
      </x:c>
      <x:c r="G768" s="13"/>
      <x:c r="H768" s="30" t="str">
        <x:f>IF(AND(E768&lt;&gt;"",F768="Ready"),"Yes","No")</x:f>
        <x:v>No</x:v>
      </x:c>
      <x:c r="I768" s="11"/>
    </x:row>
    <x:row r="769" ht="38" customHeight="1">
      <x:c r="A769" s="30" t="str">
        <x:v>CL0765</x:v>
      </x:c>
      <x:c r="B769" s="30" t="str">
        <x:v>Accounting &amp; Financial Statements</x:v>
      </x:c>
      <x:c r="C769" s="31" t="str">
        <x:v>Tell me more about S and G since it is not really viewed upon a lot by others</x:v>
      </x:c>
      <x:c r="D769" s="32" t="n">
        <x:f>COUNTIF('All Questions'!$G$5:$G$1725,A769)</x:f>
        <x:v>1</x:v>
      </x:c>
      <x:c r="E769" s="11"/>
      <x:c r="F769" s="12" t="str">
        <x:v>Not Started</x:v>
      </x:c>
      <x:c r="G769" s="13"/>
      <x:c r="H769" s="30" t="str">
        <x:f>IF(AND(E769&lt;&gt;"",F769="Ready"),"Yes","No")</x:f>
        <x:v>No</x:v>
      </x:c>
      <x:c r="I769" s="11"/>
    </x:row>
    <x:row r="770" ht="38" customHeight="1">
      <x:c r="A770" s="30" t="str">
        <x:v>CL0766</x:v>
      </x:c>
      <x:c r="B770" s="30" t="str">
        <x:v>Company, Industry &amp; Deals</x:v>
      </x:c>
      <x:c r="C770" s="31" t="str">
        <x:v>Tell me more about the healthcare industry</x:v>
      </x:c>
      <x:c r="D770" s="32" t="n">
        <x:f>COUNTIF('All Questions'!$G$5:$G$1725,A770)</x:f>
        <x:v>1</x:v>
      </x:c>
      <x:c r="E770" s="11"/>
      <x:c r="F770" s="12" t="str">
        <x:v>Not Started</x:v>
      </x:c>
      <x:c r="G770" s="13"/>
      <x:c r="H770" s="30" t="str">
        <x:f>IF(AND(E770&lt;&gt;"",F770="Ready"),"Yes","No")</x:f>
        <x:v>No</x:v>
      </x:c>
      <x:c r="I770" s="11"/>
    </x:row>
    <x:row r="771" ht="38" customHeight="1">
      <x:c r="A771" s="30" t="str">
        <x:v>CL0767</x:v>
      </x:c>
      <x:c r="B771" s="30" t="str">
        <x:v>Valuation</x:v>
      </x:c>
      <x:c r="C771" s="31" t="str">
        <x:v>Tell me more about wacc, how did you calculate it in the project</x:v>
      </x:c>
      <x:c r="D771" s="32" t="n">
        <x:f>COUNTIF('All Questions'!$G$5:$G$1725,A771)</x:f>
        <x:v>1</x:v>
      </x:c>
      <x:c r="E771" s="11"/>
      <x:c r="F771" s="12" t="str">
        <x:v>Not Started</x:v>
      </x:c>
      <x:c r="G771" s="13"/>
      <x:c r="H771" s="30" t="str">
        <x:f>IF(AND(E771&lt;&gt;"",F771="Ready"),"Yes","No")</x:f>
        <x:v>No</x:v>
      </x:c>
      <x:c r="I771" s="11"/>
    </x:row>
    <x:row r="772" ht="38" customHeight="1">
      <x:c r="A772" s="30" t="str">
        <x:v>CL0768</x:v>
      </x:c>
      <x:c r="B772" s="30" t="str">
        <x:v>Fit &amp; Motivation</x:v>
      </x:c>
      <x:c r="C772" s="31" t="str">
        <x:v>Tell me more about you, why up to this role (5 min)</x:v>
      </x:c>
      <x:c r="D772" s="32" t="n">
        <x:f>COUNTIF('All Questions'!$G$5:$G$1725,A772)</x:f>
        <x:v>1</x:v>
      </x:c>
      <x:c r="E772" s="11"/>
      <x:c r="F772" s="12" t="str">
        <x:v>Not Started</x:v>
      </x:c>
      <x:c r="G772" s="13"/>
      <x:c r="H772" s="30" t="str">
        <x:f>IF(AND(E772&lt;&gt;"",F772="Ready"),"Yes","No")</x:f>
        <x:v>No</x:v>
      </x:c>
      <x:c r="I772" s="11"/>
    </x:row>
    <x:row r="773" ht="58" customHeight="1">
      <x:c r="A773" s="30" t="str">
        <x:v>CL0769</x:v>
      </x:c>
      <x:c r="B773" s="30" t="str">
        <x:v>Resume &amp; Experience</x:v>
      </x:c>
      <x:c r="C773" s="31" t="str">
        <x:v>Tell me more about your case competition experience, what is your role in that case competition and in a team setting</x:v>
      </x:c>
      <x:c r="D773" s="32" t="n">
        <x:f>COUNTIF('All Questions'!$G$5:$G$1725,A773)</x:f>
        <x:v>1</x:v>
      </x:c>
      <x:c r="E773" s="11"/>
      <x:c r="F773" s="12" t="str">
        <x:v>Not Started</x:v>
      </x:c>
      <x:c r="G773" s="13"/>
      <x:c r="H773" s="30" t="str">
        <x:f>IF(AND(E773&lt;&gt;"",F773="Ready"),"Yes","No")</x:f>
        <x:v>No</x:v>
      </x:c>
      <x:c r="I773" s="11"/>
    </x:row>
    <x:row r="774" ht="38" customHeight="1">
      <x:c r="A774" s="30" t="str">
        <x:v>CL0770</x:v>
      </x:c>
      <x:c r="B774" s="30" t="str">
        <x:v>Company, Industry &amp; Deals</x:v>
      </x:c>
      <x:c r="C774" s="31" t="str">
        <x:v>Tell me more about your research task on the healthcare supplement industry</x:v>
      </x:c>
      <x:c r="D774" s="32" t="n">
        <x:f>COUNTIF('All Questions'!$G$5:$G$1725,A774)</x:f>
        <x:v>1</x:v>
      </x:c>
      <x:c r="E774" s="11"/>
      <x:c r="F774" s="12" t="str">
        <x:v>Not Started</x:v>
      </x:c>
      <x:c r="G774" s="13"/>
      <x:c r="H774" s="30" t="str">
        <x:f>IF(AND(E774&lt;&gt;"",F774="Ready"),"Yes","No")</x:f>
        <x:v>No</x:v>
      </x:c>
      <x:c r="I774" s="11"/>
    </x:row>
    <x:row r="775" ht="38" customHeight="1">
      <x:c r="A775" s="30" t="str">
        <x:v>CL0771</x:v>
      </x:c>
      <x:c r="B775" s="30" t="str">
        <x:v>Other Question</x:v>
      </x:c>
      <x:c r="C775" s="31" t="str">
        <x:v>Tell me move about the logistic market, did you identify any trends or market dynamics</x:v>
      </x:c>
      <x:c r="D775" s="32" t="n">
        <x:f>COUNTIF('All Questions'!$G$5:$G$1725,A775)</x:f>
        <x:v>1</x:v>
      </x:c>
      <x:c r="E775" s="11"/>
      <x:c r="F775" s="12" t="str">
        <x:v>Not Started</x:v>
      </x:c>
      <x:c r="G775" s="13"/>
      <x:c r="H775" s="30" t="str">
        <x:f>IF(AND(E775&lt;&gt;"",F775="Ready"),"Yes","No")</x:f>
        <x:v>No</x:v>
      </x:c>
      <x:c r="I775" s="11"/>
    </x:row>
    <x:row r="776" ht="38" customHeight="1">
      <x:c r="A776" s="30" t="str">
        <x:v>CL0772</x:v>
      </x:c>
      <x:c r="B776" s="30" t="str">
        <x:v>Fit &amp; Motivation</x:v>
      </x:c>
      <x:c r="C776" s="31" t="str">
        <x:v>Tell me one project you did at Nomura, your role and why you picked it</x:v>
      </x:c>
      <x:c r="D776" s="32" t="n">
        <x:f>COUNTIF('All Questions'!$G$5:$G$1725,A776)</x:f>
        <x:v>1</x:v>
      </x:c>
      <x:c r="E776" s="11"/>
      <x:c r="F776" s="12" t="str">
        <x:v>Not Started</x:v>
      </x:c>
      <x:c r="G776" s="13"/>
      <x:c r="H776" s="30" t="str">
        <x:f>IF(AND(E776&lt;&gt;"",F776="Ready"),"Yes","No")</x:f>
        <x:v>No</x:v>
      </x:c>
      <x:c r="I776" s="11"/>
    </x:row>
    <x:row r="777" ht="38" customHeight="1">
      <x:c r="A777" s="30" t="str">
        <x:v>CL0773</x:v>
      </x:c>
      <x:c r="B777" s="30" t="str">
        <x:v>Resume &amp; Experience</x:v>
      </x:c>
      <x:c r="C777" s="31" t="str">
        <x:v>Tell me something not on your cv</x:v>
      </x:c>
      <x:c r="D777" s="32" t="n">
        <x:f>COUNTIF('All Questions'!$G$5:$G$1725,A777)</x:f>
        <x:v>1</x:v>
      </x:c>
      <x:c r="E777" s="11"/>
      <x:c r="F777" s="12" t="str">
        <x:v>Not Started</x:v>
      </x:c>
      <x:c r="G777" s="13"/>
      <x:c r="H777" s="30" t="str">
        <x:f>IF(AND(E777&lt;&gt;"",F777="Ready"),"Yes","No")</x:f>
        <x:v>No</x:v>
      </x:c>
      <x:c r="I777" s="11"/>
    </x:row>
    <x:row r="778" ht="38" customHeight="1">
      <x:c r="A778" s="30" t="str">
        <x:v>CL0774</x:v>
      </x:c>
      <x:c r="B778" s="30" t="str">
        <x:v>Resume &amp; Experience</x:v>
      </x:c>
      <x:c r="C778" s="31" t="str">
        <x:v>Tell me something not on your resume, what do you do in your free time</x:v>
      </x:c>
      <x:c r="D778" s="32" t="n">
        <x:f>COUNTIF('All Questions'!$G$5:$G$1725,A778)</x:f>
        <x:v>1</x:v>
      </x:c>
      <x:c r="E778" s="11"/>
      <x:c r="F778" s="12" t="str">
        <x:v>Not Started</x:v>
      </x:c>
      <x:c r="G778" s="13"/>
      <x:c r="H778" s="30" t="str">
        <x:f>IF(AND(E778&lt;&gt;"",F778="Ready"),"Yes","No")</x:f>
        <x:v>No</x:v>
      </x:c>
      <x:c r="I778" s="11"/>
    </x:row>
    <x:row r="779" ht="38" customHeight="1">
      <x:c r="A779" s="30" t="str">
        <x:v>CL0775</x:v>
      </x:c>
      <x:c r="B779" s="30" t="str">
        <x:v>Markets &amp; Macro</x:v>
      </x:c>
      <x:c r="C779" s="31" t="str">
        <x:v>Tell me the current state of the world</x:v>
      </x:c>
      <x:c r="D779" s="32" t="n">
        <x:f>COUNTIF('All Questions'!$G$5:$G$1725,A779)</x:f>
        <x:v>1</x:v>
      </x:c>
      <x:c r="E779" s="11"/>
      <x:c r="F779" s="12" t="str">
        <x:v>Not Started</x:v>
      </x:c>
      <x:c r="G779" s="13"/>
      <x:c r="H779" s="30" t="str">
        <x:f>IF(AND(E779&lt;&gt;"",F779="Ready"),"Yes","No")</x:f>
        <x:v>No</x:v>
      </x:c>
      <x:c r="I779" s="11"/>
    </x:row>
    <x:row r="780" ht="58" customHeight="1">
      <x:c r="A780" s="30" t="str">
        <x:v>CL0776</x:v>
      </x:c>
      <x:c r="B780" s="30" t="str">
        <x:v>Markets &amp; Macro</x:v>
      </x:c>
      <x:c r="C780" s="31" t="str">
        <x:v>Tell me what you know about the China policy pivot (detail such as size of the swap facility)</x:v>
      </x:c>
      <x:c r="D780" s="32" t="n">
        <x:f>COUNTIF('All Questions'!$G$5:$G$1725,A780)</x:f>
        <x:v>1</x:v>
      </x:c>
      <x:c r="E780" s="11"/>
      <x:c r="F780" s="12" t="str">
        <x:v>Not Started</x:v>
      </x:c>
      <x:c r="G780" s="13"/>
      <x:c r="H780" s="30" t="str">
        <x:f>IF(AND(E780&lt;&gt;"",F780="Ready"),"Yes","No")</x:f>
        <x:v>No</x:v>
      </x:c>
      <x:c r="I780" s="11"/>
    </x:row>
    <x:row r="781" ht="38" customHeight="1">
      <x:c r="A781" s="30" t="str">
        <x:v>CL0777</x:v>
      </x:c>
      <x:c r="B781" s="30" t="str">
        <x:v>Other Question</x:v>
      </x:c>
      <x:c r="C781" s="31" t="str">
        <x:v>Tell me your understanding of our department, what does group strategy do</x:v>
      </x:c>
      <x:c r="D781" s="32" t="n">
        <x:f>COUNTIF('All Questions'!$G$5:$G$1725,A781)</x:f>
        <x:v>1</x:v>
      </x:c>
      <x:c r="E781" s="11"/>
      <x:c r="F781" s="12" t="str">
        <x:v>Not Started</x:v>
      </x:c>
      <x:c r="G781" s="13"/>
      <x:c r="H781" s="30" t="str">
        <x:f>IF(AND(E781&lt;&gt;"",F781="Ready"),"Yes","No")</x:f>
        <x:v>No</x:v>
      </x:c>
      <x:c r="I781" s="11"/>
    </x:row>
    <x:row r="782" ht="38" customHeight="1">
      <x:c r="A782" s="30" t="str">
        <x:v>CL0778</x:v>
      </x:c>
      <x:c r="B782" s="30" t="str">
        <x:v>Company, Industry &amp; Deals</x:v>
      </x:c>
      <x:c r="C782" s="31" t="str">
        <x:v>Tell more about PCB industry outlook and observation</x:v>
      </x:c>
      <x:c r="D782" s="32" t="n">
        <x:f>COUNTIF('All Questions'!$G$5:$G$1725,A782)</x:f>
        <x:v>1</x:v>
      </x:c>
      <x:c r="E782" s="11"/>
      <x:c r="F782" s="12" t="str">
        <x:v>Not Started</x:v>
      </x:c>
      <x:c r="G782" s="13"/>
      <x:c r="H782" s="30" t="str">
        <x:f>IF(AND(E782&lt;&gt;"",F782="Ready"),"Yes","No")</x:f>
        <x:v>No</x:v>
      </x:c>
      <x:c r="I782" s="11"/>
    </x:row>
    <x:row r="783" ht="58" customHeight="1">
      <x:c r="A783" s="30" t="str">
        <x:v>CL0779</x:v>
      </x:c>
      <x:c r="B783" s="30" t="str">
        <x:v>Accounting &amp; Financial Statements</x:v>
      </x:c>
      <x:c r="C783" s="31" t="str">
        <x:v>Terminal growth value use what number for a Chinese company? (I said GDP, he said it's too high), and asked what is terminal value and what's the purpose of it</x:v>
      </x:c>
      <x:c r="D783" s="32" t="n">
        <x:f>COUNTIF('All Questions'!$G$5:$G$1725,A783)</x:f>
        <x:v>1</x:v>
      </x:c>
      <x:c r="E783" s="11"/>
      <x:c r="F783" s="12" t="str">
        <x:v>Not Started</x:v>
      </x:c>
      <x:c r="G783" s="13"/>
      <x:c r="H783" s="30" t="str">
        <x:f>IF(AND(E783&lt;&gt;"",F783="Ready"),"Yes","No")</x:f>
        <x:v>No</x:v>
      </x:c>
      <x:c r="I783" s="11"/>
    </x:row>
    <x:row r="784" ht="38" customHeight="1">
      <x:c r="A784" s="30" t="str">
        <x:v>CL0780</x:v>
      </x:c>
      <x:c r="B784" s="30" t="str">
        <x:v>Valuation</x:v>
      </x:c>
      <x:c r="C784" s="31" t="str">
        <x:v>The conversion between EV, equity value, and company market capitalization</x:v>
      </x:c>
      <x:c r="D784" s="32" t="n">
        <x:f>COUNTIF('All Questions'!$G$5:$G$1725,A784)</x:f>
        <x:v>1</x:v>
      </x:c>
      <x:c r="E784" s="11"/>
      <x:c r="F784" s="12" t="str">
        <x:v>Not Started</x:v>
      </x:c>
      <x:c r="G784" s="13"/>
      <x:c r="H784" s="30" t="str">
        <x:f>IF(AND(E784&lt;&gt;"",F784="Ready"),"Yes","No")</x:f>
        <x:v>No</x:v>
      </x:c>
      <x:c r="I784" s="11"/>
    </x:row>
    <x:row r="785" ht="38" customHeight="1">
      <x:c r="A785" s="30" t="str">
        <x:v>CL0781</x:v>
      </x:c>
      <x:c r="B785" s="30" t="str">
        <x:v>Valuation</x:v>
      </x:c>
      <x:c r="C785" s="31" t="str">
        <x:v>The result of the dcf and comp</x:v>
      </x:c>
      <x:c r="D785" s="32" t="n">
        <x:f>COUNTIF('All Questions'!$G$5:$G$1725,A785)</x:f>
        <x:v>1</x:v>
      </x:c>
      <x:c r="E785" s="11"/>
      <x:c r="F785" s="12" t="str">
        <x:v>Not Started</x:v>
      </x:c>
      <x:c r="G785" s="13"/>
      <x:c r="H785" s="30" t="str">
        <x:f>IF(AND(E785&lt;&gt;"",F785="Ready"),"Yes","No")</x:f>
        <x:v>No</x:v>
      </x:c>
      <x:c r="I785" s="11"/>
    </x:row>
    <x:row r="786" ht="80" customHeight="1">
      <x:c r="A786" s="30" t="str">
        <x:v>CL0782</x:v>
      </x:c>
      <x:c r="B786" s="30" t="str">
        <x:v>Capital Markets &amp; Financing</x:v>
      </x:c>
      <x:c r="C786" s="31" t="str">
        <x:v>The stock I pitched wants to do an IPO. However, investors are only willing to pay a price much lower than what the issuer expects. How would you convince the investors</x:v>
      </x:c>
      <x:c r="D786" s="32" t="n">
        <x:f>COUNTIF('All Questions'!$G$5:$G$1725,A786)</x:f>
        <x:v>1</x:v>
      </x:c>
      <x:c r="E786" s="11"/>
      <x:c r="F786" s="12" t="str">
        <x:v>Not Started</x:v>
      </x:c>
      <x:c r="G786" s="13"/>
      <x:c r="H786" s="30" t="str">
        <x:f>IF(AND(E786&lt;&gt;"",F786="Ready"),"Yes","No")</x:f>
        <x:v>No</x:v>
      </x:c>
      <x:c r="I786" s="11"/>
    </x:row>
    <x:row r="787" ht="58" customHeight="1">
      <x:c r="A787" s="30" t="str">
        <x:v>CL0783</x:v>
      </x:c>
      <x:c r="B787" s="30" t="str">
        <x:v>Investment Pitch</x:v>
      </x:c>
      <x:c r="C787" s="31" t="str">
        <x:v>The stock you pitched just suffered a 5% price slump this morning. Any ideas on what's going on</x:v>
      </x:c>
      <x:c r="D787" s="32" t="n">
        <x:f>COUNTIF('All Questions'!$G$5:$G$1725,A787)</x:f>
        <x:v>1</x:v>
      </x:c>
      <x:c r="E787" s="11"/>
      <x:c r="F787" s="12" t="str">
        <x:v>Not Started</x:v>
      </x:c>
      <x:c r="G787" s="13"/>
      <x:c r="H787" s="30" t="str">
        <x:f>IF(AND(E787&lt;&gt;"",F787="Ready"),"Yes","No")</x:f>
        <x:v>No</x:v>
      </x:c>
      <x:c r="I787" s="11"/>
    </x:row>
    <x:row r="788" ht="58" customHeight="1">
      <x:c r="A788" s="30" t="str">
        <x:v>CL0784</x:v>
      </x:c>
      <x:c r="B788" s="30" t="str">
        <x:v>Behavioral &amp; Situational</x:v>
      </x:c>
      <x:c r="C788" s="31" t="str">
        <x:v>The work in investment bank is very stressful and demanding, with concurrent demands from supervisors, how do you deal with that</x:v>
      </x:c>
      <x:c r="D788" s="32" t="n">
        <x:f>COUNTIF('All Questions'!$G$5:$G$1725,A788)</x:f>
        <x:v>1</x:v>
      </x:c>
      <x:c r="E788" s="11"/>
      <x:c r="F788" s="12" t="str">
        <x:v>Not Started</x:v>
      </x:c>
      <x:c r="G788" s="13"/>
      <x:c r="H788" s="30" t="str">
        <x:f>IF(AND(E788&lt;&gt;"",F788="Ready"),"Yes","No")</x:f>
        <x:v>No</x:v>
      </x:c>
      <x:c r="I788" s="11"/>
    </x:row>
    <x:row r="789" ht="38" customHeight="1">
      <x:c r="A789" s="30" t="str">
        <x:v>CL0785</x:v>
      </x:c>
      <x:c r="B789" s="30" t="str">
        <x:v>Accounting &amp; Financial Statements</x:v>
      </x:c>
      <x:c r="C789" s="31" t="str">
        <x:v>The world is inflationary or deflationary right now</x:v>
      </x:c>
      <x:c r="D789" s="32" t="n">
        <x:f>COUNTIF('All Questions'!$G$5:$G$1725,A789)</x:f>
        <x:v>1</x:v>
      </x:c>
      <x:c r="E789" s="11"/>
      <x:c r="F789" s="12" t="str">
        <x:v>Not Started</x:v>
      </x:c>
      <x:c r="G789" s="13"/>
      <x:c r="H789" s="30" t="str">
        <x:f>IF(AND(E789&lt;&gt;"",F789="Ready"),"Yes","No")</x:f>
        <x:v>No</x:v>
      </x:c>
      <x:c r="I789" s="11"/>
    </x:row>
    <x:row r="790" ht="58" customHeight="1">
      <x:c r="A790" s="30" t="str">
        <x:v>CL0786</x:v>
      </x:c>
      <x:c r="B790" s="30" t="str">
        <x:v>Fit &amp; Motivation</x:v>
      </x:c>
      <x:c r="C790" s="31" t="str">
        <x:v>Then if I let you choose the three rotational desk, what would you choose? Why? (I said mostly sales-related)</x:v>
      </x:c>
      <x:c r="D790" s="32" t="n">
        <x:f>COUNTIF('All Questions'!$G$5:$G$1725,A790)</x:f>
        <x:v>1</x:v>
      </x:c>
      <x:c r="E790" s="11"/>
      <x:c r="F790" s="12" t="str">
        <x:v>Not Started</x:v>
      </x:c>
      <x:c r="G790" s="13"/>
      <x:c r="H790" s="30" t="str">
        <x:f>IF(AND(E790&lt;&gt;"",F790="Ready"),"Yes","No")</x:f>
        <x:v>No</x:v>
      </x:c>
      <x:c r="I790" s="11"/>
    </x:row>
    <x:row r="791" ht="80" customHeight="1">
      <x:c r="A791" s="30" t="str">
        <x:v>CL0787</x:v>
      </x:c>
      <x:c r="B791" s="30" t="str">
        <x:v>Valuation</x:v>
      </x:c>
      <x:c r="C791" s="31" t="str">
        <x:v>Then spent about half an hour asking questions about a project. It required going from the company's logic to how the specific valuation model's figures were derived</x:v>
      </x:c>
      <x:c r="D791" s="32" t="n">
        <x:f>COUNTIF('All Questions'!$G$5:$G$1725,A791)</x:f>
        <x:v>1</x:v>
      </x:c>
      <x:c r="E791" s="11"/>
      <x:c r="F791" s="12" t="str">
        <x:v>Not Started</x:v>
      </x:c>
      <x:c r="G791" s="13"/>
      <x:c r="H791" s="30" t="str">
        <x:f>IF(AND(E791&lt;&gt;"",F791="Ready"),"Yes","No")</x:f>
        <x:v>No</x:v>
      </x:c>
      <x:c r="I791" s="11"/>
    </x:row>
    <x:row r="792" ht="38" customHeight="1">
      <x:c r="A792" s="30" t="str">
        <x:v>CL0788</x:v>
      </x:c>
      <x:c r="B792" s="30" t="str">
        <x:v>Fit &amp; Motivation</x:v>
      </x:c>
      <x:c r="C792" s="31" t="str">
        <x:v>Then why do you believe you can become a successful sales in BofA</x:v>
      </x:c>
      <x:c r="D792" s="32" t="n">
        <x:f>COUNTIF('All Questions'!$G$5:$G$1725,A792)</x:f>
        <x:v>1</x:v>
      </x:c>
      <x:c r="E792" s="11"/>
      <x:c r="F792" s="12" t="str">
        <x:v>Not Started</x:v>
      </x:c>
      <x:c r="G792" s="13"/>
      <x:c r="H792" s="30" t="str">
        <x:f>IF(AND(E792&lt;&gt;"",F792="Ready"),"Yes","No")</x:f>
        <x:v>No</x:v>
      </x:c>
      <x:c r="I792" s="11"/>
    </x:row>
    <x:row r="793" ht="58" customHeight="1">
      <x:c r="A793" s="30" t="str">
        <x:v>CL0789</x:v>
      </x:c>
      <x:c r="B793" s="30" t="str">
        <x:v>Company, Industry &amp; Deals</x:v>
      </x:c>
      <x:c r="C793" s="31" t="str">
        <x:v>There's a steep learning curve in investment bank (need to learn about an industry really quickly and also company), what's your methodology in doing that</x:v>
      </x:c>
      <x:c r="D793" s="32" t="n">
        <x:f>COUNTIF('All Questions'!$G$5:$G$1725,A793)</x:f>
        <x:v>1</x:v>
      </x:c>
      <x:c r="E793" s="11"/>
      <x:c r="F793" s="12" t="str">
        <x:v>Not Started</x:v>
      </x:c>
      <x:c r="G793" s="13"/>
      <x:c r="H793" s="30" t="str">
        <x:f>IF(AND(E793&lt;&gt;"",F793="Ready"),"Yes","No")</x:f>
        <x:v>No</x:v>
      </x:c>
      <x:c r="I793" s="11"/>
    </x:row>
    <x:row r="794" ht="58" customHeight="1">
      <x:c r="A794" s="30" t="str">
        <x:v>CL0790</x:v>
      </x:c>
      <x:c r="B794" s="30" t="str">
        <x:v>Resume &amp; Experience</x:v>
      </x:c>
      <x:c r="C794" s="31" t="str">
        <x:v>They are interested in my experience in the pharmaceutical industry, curious about my methodologies, and importantly, the logic must be sound</x:v>
      </x:c>
      <x:c r="D794" s="32" t="n">
        <x:f>COUNTIF('All Questions'!$G$5:$G$1725,A794)</x:f>
        <x:v>1</x:v>
      </x:c>
      <x:c r="E794" s="11"/>
      <x:c r="F794" s="12" t="str">
        <x:v>Not Started</x:v>
      </x:c>
      <x:c r="G794" s="13"/>
      <x:c r="H794" s="30" t="str">
        <x:f>IF(AND(E794&lt;&gt;"",F794="Ready"),"Yes","No")</x:f>
        <x:v>No</x:v>
      </x:c>
      <x:c r="I794" s="11"/>
    </x:row>
    <x:row r="795" ht="58" customHeight="1">
      <x:c r="A795" s="30" t="str">
        <x:v>CL0791</x:v>
      </x:c>
      <x:c r="B795" s="30" t="str">
        <x:v>Company, Industry &amp; Deals</x:v>
      </x:c>
      <x:c r="C795" s="31" t="str">
        <x:v>They'll ask some questions about industries I've worked in before; mine was the stablecoin industry, but not in great depth</x:v>
      </x:c>
      <x:c r="D795" s="32" t="n">
        <x:f>COUNTIF('All Questions'!$G$5:$G$1725,A795)</x:f>
        <x:v>1</x:v>
      </x:c>
      <x:c r="E795" s="11"/>
      <x:c r="F795" s="12" t="str">
        <x:v>Not Started</x:v>
      </x:c>
      <x:c r="G795" s="13"/>
      <x:c r="H795" s="30" t="str">
        <x:f>IF(AND(E795&lt;&gt;"",F795="Ready"),"Yes","No")</x:f>
        <x:v>No</x:v>
      </x:c>
      <x:c r="I795" s="11"/>
    </x:row>
    <x:row r="796" ht="38" customHeight="1">
      <x:c r="A796" s="30" t="str">
        <x:v>CL0792</x:v>
      </x:c>
      <x:c r="B796" s="30" t="str">
        <x:v>Resume &amp; Experience</x:v>
      </x:c>
      <x:c r="C796" s="31" t="str">
        <x:v>This “Photovatics” means solar right? (I use this word in my CV)</x:v>
      </x:c>
      <x:c r="D796" s="32" t="n">
        <x:f>COUNTIF('All Questions'!$G$5:$G$1725,A796)</x:f>
        <x:v>1</x:v>
      </x:c>
      <x:c r="E796" s="11"/>
      <x:c r="F796" s="12" t="str">
        <x:v>Not Started</x:v>
      </x:c>
      <x:c r="G796" s="13"/>
      <x:c r="H796" s="30" t="str">
        <x:f>IF(AND(E796&lt;&gt;"",F796="Ready"),"Yes","No")</x:f>
        <x:v>No</x:v>
      </x:c>
      <x:c r="I796" s="11"/>
    </x:row>
    <x:row r="797" ht="38" customHeight="1">
      <x:c r="A797" s="30" t="str">
        <x:v>CL0793</x:v>
      </x:c>
      <x:c r="B797" s="30" t="str">
        <x:v>Accounting &amp; Financial Statements</x:v>
      </x:c>
      <x:c r="C797" s="31" t="str">
        <x:v>This company is private, there's no EBITDA? where can you find this number</x:v>
      </x:c>
      <x:c r="D797" s="32" t="n">
        <x:f>COUNTIF('All Questions'!$G$5:$G$1725,A797)</x:f>
        <x:v>1</x:v>
      </x:c>
      <x:c r="E797" s="11"/>
      <x:c r="F797" s="12" t="str">
        <x:v>Not Started</x:v>
      </x:c>
      <x:c r="G797" s="13"/>
      <x:c r="H797" s="30" t="str">
        <x:f>IF(AND(E797&lt;&gt;"",F797="Ready"),"Yes","No")</x:f>
        <x:v>No</x:v>
      </x:c>
      <x:c r="I797" s="11"/>
    </x:row>
    <x:row r="798" ht="80" customHeight="1">
      <x:c r="A798" s="30" t="str">
        <x:v>CL0794</x:v>
      </x:c>
      <x:c r="B798" s="30" t="str">
        <x:v>Accounting &amp; Financial Statements</x:v>
      </x:c>
      <x:c r="C798" s="31" t="str">
        <x:v>This year we saw a substantial surge in USD/JPY, until an abrupt correction in July. What do you think is the cause and how do you see this impacting businesses in Japan and financial markets around the world</x:v>
      </x:c>
      <x:c r="D798" s="32" t="n">
        <x:f>COUNTIF('All Questions'!$G$5:$G$1725,A798)</x:f>
        <x:v>1</x:v>
      </x:c>
      <x:c r="E798" s="11"/>
      <x:c r="F798" s="12" t="str">
        <x:v>Not Started</x:v>
      </x:c>
      <x:c r="G798" s="13"/>
      <x:c r="H798" s="30" t="str">
        <x:f>IF(AND(E798&lt;&gt;"",F798="Ready"),"Yes","No")</x:f>
        <x:v>No</x:v>
      </x:c>
      <x:c r="I798" s="11"/>
    </x:row>
    <x:row r="799" ht="38" customHeight="1">
      <x:c r="A799" s="30" t="str">
        <x:v>CL0795</x:v>
      </x:c>
      <x:c r="B799" s="30" t="str">
        <x:v>Other Question</x:v>
      </x:c>
      <x:c r="C799" s="31" t="str">
        <x:v>Timeline and planning</x:v>
      </x:c>
      <x:c r="D799" s="32" t="n">
        <x:f>COUNTIF('All Questions'!$G$5:$G$1725,A799)</x:f>
        <x:v>1</x:v>
      </x:c>
      <x:c r="E799" s="11"/>
      <x:c r="F799" s="12" t="str">
        <x:v>Not Started</x:v>
      </x:c>
      <x:c r="G799" s="13"/>
      <x:c r="H799" s="30" t="str">
        <x:f>IF(AND(E799&lt;&gt;"",F799="Ready"),"Yes","No")</x:f>
        <x:v>No</x:v>
      </x:c>
      <x:c r="I799" s="11"/>
    </x:row>
    <x:row r="800" ht="38" customHeight="1">
      <x:c r="A800" s="30" t="str">
        <x:v>CL0796</x:v>
      </x:c>
      <x:c r="B800" s="30" t="str">
        <x:v>Behavioral &amp; Situational</x:v>
      </x:c>
      <x:c r="C800" s="31" t="str">
        <x:v>Tony - MD from Investment Team; ? - Snr Mgmt Role; ? - Operation Role</x:v>
      </x:c>
      <x:c r="D800" s="32" t="n">
        <x:f>COUNTIF('All Questions'!$G$5:$G$1725,A800)</x:f>
        <x:v>1</x:v>
      </x:c>
      <x:c r="E800" s="11"/>
      <x:c r="F800" s="12" t="str">
        <x:v>Not Started</x:v>
      </x:c>
      <x:c r="G800" s="13"/>
      <x:c r="H800" s="30" t="str">
        <x:f>IF(AND(E800&lt;&gt;"",F800="Ready"),"Yes","No")</x:f>
        <x:v>No</x:v>
      </x:c>
      <x:c r="I800" s="11"/>
    </x:row>
    <x:row r="801" ht="38" customHeight="1">
      <x:c r="A801" s="30" t="str">
        <x:v>CL0797</x:v>
      </x:c>
      <x:c r="B801" s="30" t="str">
        <x:v>Valuation</x:v>
      </x:c>
      <x:c r="C801" s="31" t="str">
        <x:v>Trading comps - 汽車零部件公司 怎麼做怎麼著peers 什麼multiples</x:v>
      </x:c>
      <x:c r="D801" s="32" t="n">
        <x:f>COUNTIF('All Questions'!$G$5:$G$1725,A801)</x:f>
        <x:v>1</x:v>
      </x:c>
      <x:c r="E801" s="11"/>
      <x:c r="F801" s="12" t="str">
        <x:v>Not Started</x:v>
      </x:c>
      <x:c r="G801" s="13"/>
      <x:c r="H801" s="30" t="str">
        <x:f>IF(AND(E801&lt;&gt;"",F801="Ready"),"Yes","No")</x:f>
        <x:v>No</x:v>
      </x:c>
      <x:c r="I801" s="11"/>
    </x:row>
    <x:row r="802" ht="58" customHeight="1">
      <x:c r="A802" s="30" t="str">
        <x:v>CL0798</x:v>
      </x:c>
      <x:c r="B802" s="30" t="str">
        <x:v>Fit &amp; Motivation</x:v>
      </x:c>
      <x:c r="C802" s="31" t="str">
        <x:v>Trading comps – what are some common multiples used? Why would two companies with same growth profile have different multiples</x:v>
      </x:c>
      <x:c r="D802" s="32" t="n">
        <x:f>COUNTIF('All Questions'!$G$5:$G$1725,A802)</x:f>
        <x:v>1</x:v>
      </x:c>
      <x:c r="E802" s="11"/>
      <x:c r="F802" s="12" t="str">
        <x:v>Not Started</x:v>
      </x:c>
      <x:c r="G802" s="13"/>
      <x:c r="H802" s="30" t="str">
        <x:f>IF(AND(E802&lt;&gt;"",F802="Ready"),"Yes","No")</x:f>
        <x:v>No</x:v>
      </x:c>
      <x:c r="I802" s="11"/>
    </x:row>
    <x:row r="803" ht="38" customHeight="1">
      <x:c r="A803" s="30" t="str">
        <x:v>CL0799</x:v>
      </x:c>
      <x:c r="B803" s="30" t="str">
        <x:v>Valuation</x:v>
      </x:c>
      <x:c r="C803" s="31" t="str">
        <x:v>Trading comps valuation walk through</x:v>
      </x:c>
      <x:c r="D803" s="32" t="n">
        <x:f>COUNTIF('All Questions'!$G$5:$G$1725,A803)</x:f>
        <x:v>1</x:v>
      </x:c>
      <x:c r="E803" s="11"/>
      <x:c r="F803" s="12" t="str">
        <x:v>Not Started</x:v>
      </x:c>
      <x:c r="G803" s="13"/>
      <x:c r="H803" s="30" t="str">
        <x:f>IF(AND(E803&lt;&gt;"",F803="Ready"),"Yes","No")</x:f>
        <x:v>No</x:v>
      </x:c>
      <x:c r="I803" s="11"/>
    </x:row>
    <x:row r="804" ht="38" customHeight="1">
      <x:c r="A804" s="30" t="str">
        <x:v>CL0800</x:v>
      </x:c>
      <x:c r="B804" s="30" t="str">
        <x:v>Sales &amp; Trading</x:v>
      </x:c>
      <x:c r="C804" s="31" t="str">
        <x:v>Trading cops - manufacturing company, find peers, what data source to find p/s</x:v>
      </x:c>
      <x:c r="D804" s="32" t="n">
        <x:f>COUNTIF('All Questions'!$G$5:$G$1725,A804)</x:f>
        <x:v>1</x:v>
      </x:c>
      <x:c r="E804" s="11"/>
      <x:c r="F804" s="12" t="str">
        <x:v>Not Started</x:v>
      </x:c>
      <x:c r="G804" s="13"/>
      <x:c r="H804" s="30" t="str">
        <x:f>IF(AND(E804&lt;&gt;"",F804="Ready"),"Yes","No")</x:f>
        <x:v>No</x:v>
      </x:c>
      <x:c r="I804" s="11"/>
    </x:row>
    <x:row r="805" ht="38" customHeight="1">
      <x:c r="A805" s="30" t="str">
        <x:v>CL0801</x:v>
      </x:c>
      <x:c r="B805" s="30" t="str">
        <x:v>Other Question</x:v>
      </x:c>
      <x:c r="C805" s="31" t="str">
        <x:v>Trailing or forward</x:v>
      </x:c>
      <x:c r="D805" s="32" t="n">
        <x:f>COUNTIF('All Questions'!$G$5:$G$1725,A805)</x:f>
        <x:v>1</x:v>
      </x:c>
      <x:c r="E805" s="11"/>
      <x:c r="F805" s="12" t="str">
        <x:v>Not Started</x:v>
      </x:c>
      <x:c r="G805" s="13"/>
      <x:c r="H805" s="30" t="str">
        <x:f>IF(AND(E805&lt;&gt;"",F805="Ready"),"Yes","No")</x:f>
        <x:v>No</x:v>
      </x:c>
      <x:c r="I805" s="11"/>
    </x:row>
    <x:row r="806" ht="38" customHeight="1">
      <x:c r="A806" s="30" t="str">
        <x:v>CL0802</x:v>
      </x:c>
      <x:c r="B806" s="30" t="str">
        <x:v>Behavioral &amp; Situational</x:v>
      </x:c>
      <x:c r="C806" s="31" t="str">
        <x:v>Transaction comps - key priorities</x:v>
      </x:c>
      <x:c r="D806" s="32" t="n">
        <x:f>COUNTIF('All Questions'!$G$5:$G$1725,A806)</x:f>
        <x:v>1</x:v>
      </x:c>
      <x:c r="E806" s="11"/>
      <x:c r="F806" s="12" t="str">
        <x:v>Not Started</x:v>
      </x:c>
      <x:c r="G806" s="13"/>
      <x:c r="H806" s="30" t="str">
        <x:f>IF(AND(E806&lt;&gt;"",F806="Ready"),"Yes","No")</x:f>
        <x:v>No</x:v>
      </x:c>
      <x:c r="I806" s="11"/>
    </x:row>
    <x:row r="807" ht="38" customHeight="1">
      <x:c r="A807" s="30" t="str">
        <x:v>CL0803</x:v>
      </x:c>
      <x:c r="B807" s="30" t="str">
        <x:v>Valuation</x:v>
      </x:c>
      <x:c r="C807" s="31" t="str">
        <x:v>Transaction comps - 按照A股的披露標準，什麼valuation multiples比較難拿到</x:v>
      </x:c>
      <x:c r="D807" s="32" t="n">
        <x:f>COUNTIF('All Questions'!$G$5:$G$1725,A807)</x:f>
        <x:v>1</x:v>
      </x:c>
      <x:c r="E807" s="11"/>
      <x:c r="F807" s="12" t="str">
        <x:v>Not Started</x:v>
      </x:c>
      <x:c r="G807" s="13"/>
      <x:c r="H807" s="30" t="str">
        <x:f>IF(AND(E807&lt;&gt;"",F807="Ready"),"Yes","No")</x:f>
        <x:v>No</x:v>
      </x:c>
      <x:c r="I807" s="11"/>
    </x:row>
    <x:row r="808" ht="38" customHeight="1">
      <x:c r="A808" s="30" t="str">
        <x:v>CL0804</x:v>
      </x:c>
      <x:c r="B808" s="30" t="str">
        <x:v>Valuation</x:v>
      </x:c>
      <x:c r="C808" s="31" t="str">
        <x:v>TV in mining DCF</x:v>
      </x:c>
      <x:c r="D808" s="32" t="n">
        <x:f>COUNTIF('All Questions'!$G$5:$G$1725,A808)</x:f>
        <x:v>1</x:v>
      </x:c>
      <x:c r="E808" s="11"/>
      <x:c r="F808" s="12" t="str">
        <x:v>Not Started</x:v>
      </x:c>
      <x:c r="G808" s="13"/>
      <x:c r="H808" s="30" t="str">
        <x:f>IF(AND(E808&lt;&gt;"",F808="Ready"),"Yes","No")</x:f>
        <x:v>No</x:v>
      </x:c>
      <x:c r="I808" s="11"/>
    </x:row>
    <x:row r="809" ht="80" customHeight="1">
      <x:c r="A809" s="30" t="str">
        <x:v>CL0805</x:v>
      </x:c>
      <x:c r="B809" s="30" t="str">
        <x:v>Accounting &amp; Financial Statements</x:v>
      </x:c>
      <x:c r="C809" s="31" t="str">
        <x:v>Two companies A has $100 Asset, $60 Liability, $40 Equity, B has $60 Asset, $40 Liability, $20 Equity, A acquires 50% equity in B for $30 and gains control, what is the change in balance sheet</x:v>
      </x:c>
      <x:c r="D809" s="32" t="n">
        <x:f>COUNTIF('All Questions'!$G$5:$G$1725,A809)</x:f>
        <x:v>1</x:v>
      </x:c>
      <x:c r="E809" s="11"/>
      <x:c r="F809" s="12" t="str">
        <x:v>Not Started</x:v>
      </x:c>
      <x:c r="G809" s="13"/>
      <x:c r="H809" s="30" t="str">
        <x:f>IF(AND(E809&lt;&gt;"",F809="Ready"),"Yes","No")</x:f>
        <x:v>No</x:v>
      </x:c>
      <x:c r="I809" s="11"/>
    </x:row>
    <x:row r="810" ht="58" customHeight="1">
      <x:c r="A810" s="30" t="str">
        <x:v>CL0806</x:v>
      </x:c>
      <x:c r="B810" s="30" t="str">
        <x:v>Consulting &amp; Case</x:v>
      </x:c>
      <x:c r="C810" s="31" t="str">
        <x:v>Two super long market sizing questions, 5 minutes for thinking and calculation and then present it</x:v>
      </x:c>
      <x:c r="D810" s="32" t="n">
        <x:f>COUNTIF('All Questions'!$G$5:$G$1725,A810)</x:f>
        <x:v>1</x:v>
      </x:c>
      <x:c r="E810" s="11"/>
      <x:c r="F810" s="12" t="str">
        <x:v>Not Started</x:v>
      </x:c>
      <x:c r="G810" s="13"/>
      <x:c r="H810" s="30" t="str">
        <x:f>IF(AND(E810&lt;&gt;"",F810="Ready"),"Yes","No")</x:f>
        <x:v>No</x:v>
      </x:c>
      <x:c r="I810" s="11"/>
    </x:row>
    <x:row r="811" ht="58" customHeight="1">
      <x:c r="A811" s="30" t="str">
        <x:v>CL0807</x:v>
      </x:c>
      <x:c r="B811" s="30" t="str">
        <x:v>Fit &amp; Motivation</x:v>
      </x:c>
      <x:c r="C811" s="31" t="str">
        <x:v>Typical Asset Allocation Question: construct a 100 million investment portfolio for a client</x:v>
      </x:c>
      <x:c r="D811" s="32" t="n">
        <x:f>COUNTIF('All Questions'!$G$5:$G$1725,A811)</x:f>
        <x:v>1</x:v>
      </x:c>
      <x:c r="E811" s="11"/>
      <x:c r="F811" s="12" t="str">
        <x:v>Not Started</x:v>
      </x:c>
      <x:c r="G811" s="13"/>
      <x:c r="H811" s="30" t="str">
        <x:f>IF(AND(E811&lt;&gt;"",F811="Ready"),"Yes","No")</x:f>
        <x:v>No</x:v>
      </x:c>
      <x:c r="I811" s="11"/>
    </x:row>
    <x:row r="812" ht="38" customHeight="1">
      <x:c r="A812" s="30" t="str">
        <x:v>CL0808</x:v>
      </x:c>
      <x:c r="B812" s="30" t="str">
        <x:v>Other Question</x:v>
      </x:c>
      <x:c r="C812" s="31" t="str">
        <x:v>Under what circumstances use EV/EBITDA instead of PE</x:v>
      </x:c>
      <x:c r="D812" s="32" t="n">
        <x:f>COUNTIF('All Questions'!$G$5:$G$1725,A812)</x:f>
        <x:v>1</x:v>
      </x:c>
      <x:c r="E812" s="11"/>
      <x:c r="F812" s="12" t="str">
        <x:v>Not Started</x:v>
      </x:c>
      <x:c r="G812" s="13"/>
      <x:c r="H812" s="30" t="str">
        <x:f>IF(AND(E812&lt;&gt;"",F812="Ready"),"Yes","No")</x:f>
        <x:v>No</x:v>
      </x:c>
      <x:c r="I812" s="11"/>
    </x:row>
    <x:row r="813" ht="58" customHeight="1">
      <x:c r="A813" s="30" t="str">
        <x:v>CL0809</x:v>
      </x:c>
      <x:c r="B813" s="30" t="str">
        <x:v>Other Question</x:v>
      </x:c>
      <x:c r="C813" s="31" t="str">
        <x:v>Use 2 minutes to quickly comment on the current market movements and what are you investment recommendations</x:v>
      </x:c>
      <x:c r="D813" s="32" t="n">
        <x:f>COUNTIF('All Questions'!$G$5:$G$1725,A813)</x:f>
        <x:v>1</x:v>
      </x:c>
      <x:c r="E813" s="11"/>
      <x:c r="F813" s="12" t="str">
        <x:v>Not Started</x:v>
      </x:c>
      <x:c r="G813" s="13"/>
      <x:c r="H813" s="30" t="str">
        <x:f>IF(AND(E813&lt;&gt;"",F813="Ready"),"Yes","No")</x:f>
        <x:v>No</x:v>
      </x:c>
      <x:c r="I813" s="11"/>
    </x:row>
    <x:row r="814" ht="38" customHeight="1">
      <x:c r="A814" s="30" t="str">
        <x:v>CL0810</x:v>
      </x:c>
      <x:c r="B814" s="30" t="str">
        <x:v>Fit &amp; Motivation</x:v>
      </x:c>
      <x:c r="C814" s="31" t="str">
        <x:v>Use Mandarin to talk about the market for 2 minutes</x:v>
      </x:c>
      <x:c r="D814" s="32" t="n">
        <x:f>COUNTIF('All Questions'!$G$5:$G$1725,A814)</x:f>
        <x:v>1</x:v>
      </x:c>
      <x:c r="E814" s="11"/>
      <x:c r="F814" s="12" t="str">
        <x:v>Not Started</x:v>
      </x:c>
      <x:c r="G814" s="13"/>
      <x:c r="H814" s="30" t="str">
        <x:f>IF(AND(E814&lt;&gt;"",F814="Ready"),"Yes","No")</x:f>
        <x:v>No</x:v>
      </x:c>
      <x:c r="I814" s="11"/>
    </x:row>
    <x:row r="815" ht="38" customHeight="1">
      <x:c r="A815" s="30" t="str">
        <x:v>CL0811</x:v>
      </x:c>
      <x:c r="B815" s="30" t="str">
        <x:v>Valuation</x:v>
      </x:c>
      <x:c r="C815" s="31" t="str">
        <x:v>Use which year multiple for exit multiple</x:v>
      </x:c>
      <x:c r="D815" s="32" t="n">
        <x:f>COUNTIF('All Questions'!$G$5:$G$1725,A815)</x:f>
        <x:v>1</x:v>
      </x:c>
      <x:c r="E815" s="11"/>
      <x:c r="F815" s="12" t="str">
        <x:v>Not Started</x:v>
      </x:c>
      <x:c r="G815" s="13"/>
      <x:c r="H815" s="30" t="str">
        <x:f>IF(AND(E815&lt;&gt;"",F815="Ready"),"Yes","No")</x:f>
        <x:v>No</x:v>
      </x:c>
      <x:c r="I815" s="11"/>
    </x:row>
    <x:row r="816" ht="58" customHeight="1">
      <x:c r="A816" s="30" t="str">
        <x:v>CL0812</x:v>
      </x:c>
      <x:c r="B816" s="30" t="str">
        <x:v>Accounting &amp; Financial Statements</x:v>
      </x:c>
      <x:c r="C816" s="31" t="str">
        <x:v>Valuation multiples - how did you get your comparable companies and what is your client's competitive edge</x:v>
      </x:c>
      <x:c r="D816" s="32" t="n">
        <x:f>COUNTIF('All Questions'!$G$5:$G$1725,A816)</x:f>
        <x:v>1</x:v>
      </x:c>
      <x:c r="E816" s="11"/>
      <x:c r="F816" s="12" t="str">
        <x:v>Not Started</x:v>
      </x:c>
      <x:c r="G816" s="13"/>
      <x:c r="H816" s="30" t="str">
        <x:f>IF(AND(E816&lt;&gt;"",F816="Ready"),"Yes","No")</x:f>
        <x:v>No</x:v>
      </x:c>
      <x:c r="I816" s="11"/>
    </x:row>
    <x:row r="817" ht="38" customHeight="1">
      <x:c r="A817" s="30" t="str">
        <x:v>CL0813</x:v>
      </x:c>
      <x:c r="B817" s="30" t="str">
        <x:v>Valuation</x:v>
      </x:c>
      <x:c r="C817" s="31" t="str">
        <x:v>Valuation Multiples of the Deal and how to get</x:v>
      </x:c>
      <x:c r="D817" s="32" t="n">
        <x:f>COUNTIF('All Questions'!$G$5:$G$1725,A817)</x:f>
        <x:v>1</x:v>
      </x:c>
      <x:c r="E817" s="11"/>
      <x:c r="F817" s="12" t="str">
        <x:v>Not Started</x:v>
      </x:c>
      <x:c r="G817" s="13"/>
      <x:c r="H817" s="30" t="str">
        <x:f>IF(AND(E817&lt;&gt;"",F817="Ready"),"Yes","No")</x:f>
        <x:v>No</x:v>
      </x:c>
      <x:c r="I817" s="11"/>
    </x:row>
    <x:row r="818" ht="38" customHeight="1">
      <x:c r="A818" s="30" t="str">
        <x:v>CL0814</x:v>
      </x:c>
      <x:c r="B818" s="30" t="str">
        <x:v>Valuation</x:v>
      </x:c>
      <x:c r="C818" s="31" t="str">
        <x:v>Valuation now: EV / FY+1 EBITDA, for 2030 exit multiple, which year’s EV should you use</x:v>
      </x:c>
      <x:c r="D818" s="32" t="n">
        <x:f>COUNTIF('All Questions'!$G$5:$G$1725,A818)</x:f>
        <x:v>1</x:v>
      </x:c>
      <x:c r="E818" s="11"/>
      <x:c r="F818" s="12" t="str">
        <x:v>Not Started</x:v>
      </x:c>
      <x:c r="G818" s="13"/>
      <x:c r="H818" s="30" t="str">
        <x:f>IF(AND(E818&lt;&gt;"",F818="Ready"),"Yes","No")</x:f>
        <x:v>No</x:v>
      </x:c>
      <x:c r="I818" s="11"/>
    </x:row>
    <x:row r="819" ht="38" customHeight="1">
      <x:c r="A819" s="30" t="str">
        <x:v>CL0815</x:v>
      </x:c>
      <x:c r="B819" s="30" t="str">
        <x:v>Behavioral &amp; Situational</x:v>
      </x:c>
      <x:c r="C819" s="31" t="str">
        <x:v>Views are conflicting for the effect on ESG investing, what are your views</x:v>
      </x:c>
      <x:c r="D819" s="32" t="n">
        <x:f>COUNTIF('All Questions'!$G$5:$G$1725,A819)</x:f>
        <x:v>1</x:v>
      </x:c>
      <x:c r="E819" s="11"/>
      <x:c r="F819" s="12" t="str">
        <x:v>Not Started</x:v>
      </x:c>
      <x:c r="G819" s="13"/>
      <x:c r="H819" s="30" t="str">
        <x:f>IF(AND(E819&lt;&gt;"",F819="Ready"),"Yes","No")</x:f>
        <x:v>No</x:v>
      </x:c>
      <x:c r="I819" s="11"/>
    </x:row>
    <x:row r="820" ht="38" customHeight="1">
      <x:c r="A820" s="30" t="str">
        <x:v>CL0816</x:v>
      </x:c>
      <x:c r="B820" s="30" t="str">
        <x:v>Other Question</x:v>
      </x:c>
      <x:c r="C820" s="31" t="str">
        <x:v>W/ a British White Guy from the Tele Implementation</x:v>
      </x:c>
      <x:c r="D820" s="32" t="n">
        <x:f>COUNTIF('All Questions'!$G$5:$G$1725,A820)</x:f>
        <x:v>1</x:v>
      </x:c>
      <x:c r="E820" s="11"/>
      <x:c r="F820" s="12" t="str">
        <x:v>Not Started</x:v>
      </x:c>
      <x:c r="G820" s="13"/>
      <x:c r="H820" s="30" t="str">
        <x:f>IF(AND(E820&lt;&gt;"",F820="Ready"),"Yes","No")</x:f>
        <x:v>No</x:v>
      </x:c>
      <x:c r="I820" s="11"/>
    </x:row>
    <x:row r="821" ht="38" customHeight="1">
      <x:c r="A821" s="30" t="str">
        <x:v>CL0817</x:v>
      </x:c>
      <x:c r="B821" s="30" t="str">
        <x:v>Other Question</x:v>
      </x:c>
      <x:c r="C821" s="31" t="str">
        <x:v>W/ Clara Tan, Client Advisor in Global Strategic Clients Team</x:v>
      </x:c>
      <x:c r="D821" s="32" t="n">
        <x:f>COUNTIF('All Questions'!$G$5:$G$1725,A821)</x:f>
        <x:v>1</x:v>
      </x:c>
      <x:c r="E821" s="11"/>
      <x:c r="F821" s="12" t="str">
        <x:v>Not Started</x:v>
      </x:c>
      <x:c r="G821" s="13"/>
      <x:c r="H821" s="30" t="str">
        <x:f>IF(AND(E821&lt;&gt;"",F821="Ready"),"Yes","No")</x:f>
        <x:v>No</x:v>
      </x:c>
      <x:c r="I821" s="11"/>
    </x:row>
    <x:row r="822" ht="38" customHeight="1">
      <x:c r="A822" s="30" t="str">
        <x:v>CL0818</x:v>
      </x:c>
      <x:c r="B822" s="30" t="str">
        <x:v>Other Question</x:v>
      </x:c>
      <x:c r="C822" s="31" t="str">
        <x:v>W/ Natalie, from Product Strategy</x:v>
      </x:c>
      <x:c r="D822" s="32" t="n">
        <x:f>COUNTIF('All Questions'!$G$5:$G$1725,A822)</x:f>
        <x:v>1</x:v>
      </x:c>
      <x:c r="E822" s="11"/>
      <x:c r="F822" s="12" t="str">
        <x:v>Not Started</x:v>
      </x:c>
      <x:c r="G822" s="13"/>
      <x:c r="H822" s="30" t="str">
        <x:f>IF(AND(E822&lt;&gt;"",F822="Ready"),"Yes","No")</x:f>
        <x:v>No</x:v>
      </x:c>
      <x:c r="I822" s="11"/>
    </x:row>
    <x:row r="823" ht="38" customHeight="1">
      <x:c r="A823" s="30" t="str">
        <x:v>CL0819</x:v>
      </x:c>
      <x:c r="B823" s="30" t="str">
        <x:v>Valuation</x:v>
      </x:c>
      <x:c r="C823" s="31" t="str">
        <x:v>WACC</x:v>
      </x:c>
      <x:c r="D823" s="32" t="n">
        <x:f>COUNTIF('All Questions'!$G$5:$G$1725,A823)</x:f>
        <x:v>1</x:v>
      </x:c>
      <x:c r="E823" s="11"/>
      <x:c r="F823" s="12" t="str">
        <x:v>Not Started</x:v>
      </x:c>
      <x:c r="G823" s="13"/>
      <x:c r="H823" s="30" t="str">
        <x:f>IF(AND(E823&lt;&gt;"",F823="Ready"),"Yes","No")</x:f>
        <x:v>No</x:v>
      </x:c>
      <x:c r="I823" s="11"/>
    </x:row>
    <x:row r="824" ht="38" customHeight="1">
      <x:c r="A824" s="30" t="str">
        <x:v>CL0820</x:v>
      </x:c>
      <x:c r="B824" s="30" t="str">
        <x:v>Valuation</x:v>
      </x:c>
      <x:c r="C824" s="31" t="str">
        <x:v>WACC formula</x:v>
      </x:c>
      <x:c r="D824" s="32" t="n">
        <x:f>COUNTIF('All Questions'!$G$5:$G$1725,A824)</x:f>
        <x:v>1</x:v>
      </x:c>
      <x:c r="E824" s="11"/>
      <x:c r="F824" s="12" t="str">
        <x:v>Not Started</x:v>
      </x:c>
      <x:c r="G824" s="13"/>
      <x:c r="H824" s="30" t="str">
        <x:f>IF(AND(E824&lt;&gt;"",F824="Ready"),"Yes","No")</x:f>
        <x:v>No</x:v>
      </x:c>
      <x:c r="I824" s="11"/>
    </x:row>
    <x:row r="825" ht="38" customHeight="1">
      <x:c r="A825" s="30" t="str">
        <x:v>CL0821</x:v>
      </x:c>
      <x:c r="B825" s="30" t="str">
        <x:v>Valuation</x:v>
      </x:c>
      <x:c r="C825" s="31" t="str">
        <x:v>WACC? (actual number + how to get the number)</x:v>
      </x:c>
      <x:c r="D825" s="32" t="n">
        <x:f>COUNTIF('All Questions'!$G$5:$G$1725,A825)</x:f>
        <x:v>1</x:v>
      </x:c>
      <x:c r="E825" s="11"/>
      <x:c r="F825" s="12" t="str">
        <x:v>Not Started</x:v>
      </x:c>
      <x:c r="G825" s="13"/>
      <x:c r="H825" s="30" t="str">
        <x:f>IF(AND(E825&lt;&gt;"",F825="Ready"),"Yes","No")</x:f>
        <x:v>No</x:v>
      </x:c>
      <x:c r="I825" s="11"/>
    </x:row>
    <x:row r="826" ht="38" customHeight="1">
      <x:c r="A826" s="30" t="str">
        <x:v>CL0822</x:v>
      </x:c>
      <x:c r="B826" s="30" t="str">
        <x:v>Valuation</x:v>
      </x:c>
      <x:c r="C826" s="31" t="str">
        <x:v>WACC公式，Rd公式，Rf用的是什么，CF用的是哪个如何蓉revenue开始求，β是什么；</x:v>
      </x:c>
      <x:c r="D826" s="32" t="n">
        <x:f>COUNTIF('All Questions'!$G$5:$G$1725,A826)</x:f>
        <x:v>1</x:v>
      </x:c>
      <x:c r="E826" s="11"/>
      <x:c r="F826" s="12" t="str">
        <x:v>Not Started</x:v>
      </x:c>
      <x:c r="G826" s="13"/>
      <x:c r="H826" s="30" t="str">
        <x:f>IF(AND(E826&lt;&gt;"",F826="Ready"),"Yes","No")</x:f>
        <x:v>No</x:v>
      </x:c>
      <x:c r="I826" s="11"/>
    </x:row>
    <x:row r="827" ht="38" customHeight="1">
      <x:c r="A827" s="30" t="str">
        <x:v>CL0823</x:v>
      </x:c>
      <x:c r="B827" s="30" t="str">
        <x:v>Fit &amp; Motivation</x:v>
      </x:c>
      <x:c r="C827" s="31" t="str">
        <x:v>Walk me though valuation in Mandarin</x:v>
      </x:c>
      <x:c r="D827" s="32" t="n">
        <x:f>COUNTIF('All Questions'!$G$5:$G$1725,A827)</x:f>
        <x:v>1</x:v>
      </x:c>
      <x:c r="E827" s="11"/>
      <x:c r="F827" s="12" t="str">
        <x:v>Not Started</x:v>
      </x:c>
      <x:c r="G827" s="13"/>
      <x:c r="H827" s="30" t="str">
        <x:f>IF(AND(E827&lt;&gt;"",F827="Ready"),"Yes","No")</x:f>
        <x:v>No</x:v>
      </x:c>
      <x:c r="I827" s="11"/>
    </x:row>
    <x:row r="828" ht="38" customHeight="1">
      <x:c r="A828" s="30" t="str">
        <x:v>CL0824</x:v>
      </x:c>
      <x:c r="B828" s="30" t="str">
        <x:v>Valuation</x:v>
      </x:c>
      <x:c r="C828" s="31" t="str">
        <x:v>Walk me through a DCF model</x:v>
      </x:c>
      <x:c r="D828" s="32" t="n">
        <x:f>COUNTIF('All Questions'!$G$5:$G$1725,A828)</x:f>
        <x:v>1</x:v>
      </x:c>
      <x:c r="E828" s="11"/>
      <x:c r="F828" s="12" t="str">
        <x:v>Not Started</x:v>
      </x:c>
      <x:c r="G828" s="13"/>
      <x:c r="H828" s="30" t="str">
        <x:f>IF(AND(E828&lt;&gt;"",F828="Ready"),"Yes","No")</x:f>
        <x:v>No</x:v>
      </x:c>
      <x:c r="I828" s="11"/>
    </x:row>
    <x:row r="829" ht="38" customHeight="1">
      <x:c r="A829" s="30" t="str">
        <x:v>CL0825</x:v>
      </x:c>
      <x:c r="B829" s="30" t="str">
        <x:v>Valuation</x:v>
      </x:c>
      <x:c r="C829" s="31" t="str">
        <x:v>Walk me through a DCF, and how to get the FCF and everything</x:v>
      </x:c>
      <x:c r="D829" s="32" t="n">
        <x:f>COUNTIF('All Questions'!$G$5:$G$1725,A829)</x:f>
        <x:v>1</x:v>
      </x:c>
      <x:c r="E829" s="11"/>
      <x:c r="F829" s="12" t="str">
        <x:v>Not Started</x:v>
      </x:c>
      <x:c r="G829" s="13"/>
      <x:c r="H829" s="30" t="str">
        <x:f>IF(AND(E829&lt;&gt;"",F829="Ready"),"Yes","No")</x:f>
        <x:v>No</x:v>
      </x:c>
      <x:c r="I829" s="11"/>
    </x:row>
    <x:row r="830" ht="38" customHeight="1">
      <x:c r="A830" s="30" t="str">
        <x:v>CL0826</x:v>
      </x:c>
      <x:c r="B830" s="30" t="str">
        <x:v>Accounting &amp; Financial Statements</x:v>
      </x:c>
      <x:c r="C830" s="31" t="str">
        <x:v>Walk me through a DCF, purpose, what is WACC, what is beta, assumptions</x:v>
      </x:c>
      <x:c r="D830" s="32" t="n">
        <x:f>COUNTIF('All Questions'!$G$5:$G$1725,A830)</x:f>
        <x:v>1</x:v>
      </x:c>
      <x:c r="E830" s="11"/>
      <x:c r="F830" s="12" t="str">
        <x:v>Not Started</x:v>
      </x:c>
      <x:c r="G830" s="13"/>
      <x:c r="H830" s="30" t="str">
        <x:f>IF(AND(E830&lt;&gt;"",F830="Ready"),"Yes","No")</x:f>
        <x:v>No</x:v>
      </x:c>
      <x:c r="I830" s="11"/>
    </x:row>
    <x:row r="831" ht="58" customHeight="1">
      <x:c r="A831" s="30" t="str">
        <x:v>CL0827</x:v>
      </x:c>
      <x:c r="B831" s="30" t="str">
        <x:v>Valuation</x:v>
      </x:c>
      <x:c r="C831" s="31" t="str">
        <x:v>Walk me through a DCF, suppose you’re doing for a Chinese EV manufacturer, what would you look at</x:v>
      </x:c>
      <x:c r="D831" s="32" t="n">
        <x:f>COUNTIF('All Questions'!$G$5:$G$1725,A831)</x:f>
        <x:v>1</x:v>
      </x:c>
      <x:c r="E831" s="11"/>
      <x:c r="F831" s="12" t="str">
        <x:v>Not Started</x:v>
      </x:c>
      <x:c r="G831" s="13"/>
      <x:c r="H831" s="30" t="str">
        <x:f>IF(AND(E831&lt;&gt;"",F831="Ready"),"Yes","No")</x:f>
        <x:v>No</x:v>
      </x:c>
      <x:c r="I831" s="11"/>
    </x:row>
    <x:row r="832" ht="38" customHeight="1">
      <x:c r="A832" s="30" t="str">
        <x:v>CL0828</x:v>
      </x:c>
      <x:c r="B832" s="30" t="str">
        <x:v>Other Question</x:v>
      </x:c>
      <x:c r="C832" s="31" t="str">
        <x:v>Walk me through a project</x:v>
      </x:c>
      <x:c r="D832" s="32" t="n">
        <x:f>COUNTIF('All Questions'!$G$5:$G$1725,A832)</x:f>
        <x:v>1</x:v>
      </x:c>
      <x:c r="E832" s="11"/>
      <x:c r="F832" s="12" t="str">
        <x:v>Not Started</x:v>
      </x:c>
      <x:c r="G832" s="13"/>
      <x:c r="H832" s="30" t="str">
        <x:f>IF(AND(E832&lt;&gt;"",F832="Ready"),"Yes","No")</x:f>
        <x:v>No</x:v>
      </x:c>
      <x:c r="I832" s="11"/>
    </x:row>
    <x:row r="833" ht="38" customHeight="1">
      <x:c r="A833" s="30" t="str">
        <x:v>CL0829</x:v>
      </x:c>
      <x:c r="B833" s="30" t="str">
        <x:v>Capital Markets &amp; Financing</x:v>
      </x:c>
      <x:c r="C833" s="31" t="str">
        <x:v>Walk me through a typical process of a HK IPO</x:v>
      </x:c>
      <x:c r="D833" s="32" t="n">
        <x:f>COUNTIF('All Questions'!$G$5:$G$1725,A833)</x:f>
        <x:v>1</x:v>
      </x:c>
      <x:c r="E833" s="11"/>
      <x:c r="F833" s="12" t="str">
        <x:v>Not Started</x:v>
      </x:c>
      <x:c r="G833" s="13"/>
      <x:c r="H833" s="30" t="str">
        <x:f>IF(AND(E833&lt;&gt;"",F833="Ready"),"Yes","No")</x:f>
        <x:v>No</x:v>
      </x:c>
      <x:c r="I833" s="11"/>
    </x:row>
    <x:row r="834" ht="38" customHeight="1">
      <x:c r="A834" s="30" t="str">
        <x:v>CL0830</x:v>
      </x:c>
      <x:c r="B834" s="30" t="str">
        <x:v>Resume &amp; Experience</x:v>
      </x:c>
      <x:c r="C834" s="31" t="str">
        <x:v>Walk me through a valuation project you had</x:v>
      </x:c>
      <x:c r="D834" s="32" t="n">
        <x:f>COUNTIF('All Questions'!$G$5:$G$1725,A834)</x:f>
        <x:v>1</x:v>
      </x:c>
      <x:c r="E834" s="11"/>
      <x:c r="F834" s="12" t="str">
        <x:v>Not Started</x:v>
      </x:c>
      <x:c r="G834" s="13"/>
      <x:c r="H834" s="30" t="str">
        <x:f>IF(AND(E834&lt;&gt;"",F834="Ready"),"Yes","No")</x:f>
        <x:v>No</x:v>
      </x:c>
      <x:c r="I834" s="11"/>
    </x:row>
    <x:row r="835" ht="38" customHeight="1">
      <x:c r="A835" s="30" t="str">
        <x:v>CL0831</x:v>
      </x:c>
      <x:c r="B835" s="30" t="str">
        <x:v>Valuation</x:v>
      </x:c>
      <x:c r="C835" s="31" t="str">
        <x:v>Walk me through DCF and WACC for formula</x:v>
      </x:c>
      <x:c r="D835" s="32" t="n">
        <x:f>COUNTIF('All Questions'!$G$5:$G$1725,A835)</x:f>
        <x:v>1</x:v>
      </x:c>
      <x:c r="E835" s="11"/>
      <x:c r="F835" s="12" t="str">
        <x:v>Not Started</x:v>
      </x:c>
      <x:c r="G835" s="13"/>
      <x:c r="H835" s="30" t="str">
        <x:f>IF(AND(E835&lt;&gt;"",F835="Ready"),"Yes","No")</x:f>
        <x:v>No</x:v>
      </x:c>
      <x:c r="I835" s="11"/>
    </x:row>
    <x:row r="836" ht="58" customHeight="1">
      <x:c r="A836" s="30" t="str">
        <x:v>CL0832</x:v>
      </x:c>
      <x:c r="B836" s="30" t="str">
        <x:v>Other Question</x:v>
      </x:c>
      <x:c r="C836" s="31" t="str">
        <x:v>Walk me through impact of dividend and NI of A if A holds 30% of B. How about if A holds 80% of B? (Only qualitative walk through)</x:v>
      </x:c>
      <x:c r="D836" s="32" t="n">
        <x:f>COUNTIF('All Questions'!$G$5:$G$1725,A836)</x:f>
        <x:v>1</x:v>
      </x:c>
      <x:c r="E836" s="11"/>
      <x:c r="F836" s="12" t="str">
        <x:v>Not Started</x:v>
      </x:c>
      <x:c r="G836" s="13"/>
      <x:c r="H836" s="30" t="str">
        <x:f>IF(AND(E836&lt;&gt;"",F836="Ready"),"Yes","No")</x:f>
        <x:v>No</x:v>
      </x:c>
      <x:c r="I836" s="11"/>
    </x:row>
    <x:row r="837" ht="38" customHeight="1">
      <x:c r="A837" s="30" t="str">
        <x:v>CL0833</x:v>
      </x:c>
      <x:c r="B837" s="30" t="str">
        <x:v>Accounting &amp; Financial Statements</x:v>
      </x:c>
      <x:c r="C837" s="31" t="str">
        <x:v>Walk me through its IS</x:v>
      </x:c>
      <x:c r="D837" s="32" t="n">
        <x:f>COUNTIF('All Questions'!$G$5:$G$1725,A837)</x:f>
        <x:v>1</x:v>
      </x:c>
      <x:c r="E837" s="11"/>
      <x:c r="F837" s="12" t="str">
        <x:v>Not Started</x:v>
      </x:c>
      <x:c r="G837" s="13"/>
      <x:c r="H837" s="30" t="str">
        <x:f>IF(AND(E837&lt;&gt;"",F837="Ready"),"Yes","No")</x:f>
        <x:v>No</x:v>
      </x:c>
      <x:c r="I837" s="11"/>
    </x:row>
    <x:row r="838" ht="38" customHeight="1">
      <x:c r="A838" s="30" t="str">
        <x:v>CL0834</x:v>
      </x:c>
      <x:c r="B838" s="30" t="str">
        <x:v>Resume &amp; Experience</x:v>
      </x:c>
      <x:c r="C838" s="31" t="str">
        <x:v>Walk me through one of your internship experiences</x:v>
      </x:c>
      <x:c r="D838" s="32" t="n">
        <x:f>COUNTIF('All Questions'!$G$5:$G$1725,A838)</x:f>
        <x:v>1</x:v>
      </x:c>
      <x:c r="E838" s="11"/>
      <x:c r="F838" s="12" t="str">
        <x:v>Not Started</x:v>
      </x:c>
      <x:c r="G838" s="13"/>
      <x:c r="H838" s="30" t="str">
        <x:f>IF(AND(E838&lt;&gt;"",F838="Ready"),"Yes","No")</x:f>
        <x:v>No</x:v>
      </x:c>
      <x:c r="I838" s="11"/>
    </x:row>
    <x:row r="839" ht="38" customHeight="1">
      <x:c r="A839" s="30" t="str">
        <x:v>CL0835</x:v>
      </x:c>
      <x:c r="B839" s="30" t="str">
        <x:v>Resume &amp; Experience</x:v>
      </x:c>
      <x:c r="C839" s="31" t="str">
        <x:v>Walk me through one project you did that involved valuation</x:v>
      </x:c>
      <x:c r="D839" s="32" t="n">
        <x:f>COUNTIF('All Questions'!$G$5:$G$1725,A839)</x:f>
        <x:v>1</x:v>
      </x:c>
      <x:c r="E839" s="11"/>
      <x:c r="F839" s="12" t="str">
        <x:v>Not Started</x:v>
      </x:c>
      <x:c r="G839" s="13"/>
      <x:c r="H839" s="30" t="str">
        <x:f>IF(AND(E839&lt;&gt;"",F839="Ready"),"Yes","No")</x:f>
        <x:v>No</x:v>
      </x:c>
      <x:c r="I839" s="11"/>
    </x:row>
    <x:row r="840" ht="38" customHeight="1">
      <x:c r="A840" s="30" t="str">
        <x:v>CL0836</x:v>
      </x:c>
      <x:c r="B840" s="30" t="str">
        <x:v>Valuation</x:v>
      </x:c>
      <x:c r="C840" s="31" t="str">
        <x:v>Walk me through the DCF and key assumptions</x:v>
      </x:c>
      <x:c r="D840" s="32" t="n">
        <x:f>COUNTIF('All Questions'!$G$5:$G$1725,A840)</x:f>
        <x:v>1</x:v>
      </x:c>
      <x:c r="E840" s="11"/>
      <x:c r="F840" s="12" t="str">
        <x:v>Not Started</x:v>
      </x:c>
      <x:c r="G840" s="13"/>
      <x:c r="H840" s="30" t="str">
        <x:f>IF(AND(E840&lt;&gt;"",F840="Ready"),"Yes","No")</x:f>
        <x:v>No</x:v>
      </x:c>
      <x:c r="I840" s="11"/>
    </x:row>
    <x:row r="841" ht="38" customHeight="1">
      <x:c r="A841" s="30" t="str">
        <x:v>CL0837</x:v>
      </x:c>
      <x:c r="B841" s="30" t="str">
        <x:v>Valuation</x:v>
      </x:c>
      <x:c r="C841" s="31" t="str">
        <x:v>Walk me through the DCF for the biotech company u looked at</x:v>
      </x:c>
      <x:c r="D841" s="32" t="n">
        <x:f>COUNTIF('All Questions'!$G$5:$G$1725,A841)</x:f>
        <x:v>1</x:v>
      </x:c>
      <x:c r="E841" s="11"/>
      <x:c r="F841" s="12" t="str">
        <x:v>Not Started</x:v>
      </x:c>
      <x:c r="G841" s="13"/>
      <x:c r="H841" s="30" t="str">
        <x:f>IF(AND(E841&lt;&gt;"",F841="Ready"),"Yes","No")</x:f>
        <x:v>No</x:v>
      </x:c>
      <x:c r="I841" s="11"/>
    </x:row>
    <x:row r="842" ht="58" customHeight="1">
      <x:c r="A842" s="30" t="str">
        <x:v>CL0838</x:v>
      </x:c>
      <x:c r="B842" s="30" t="str">
        <x:v>Capital Markets &amp; Financing</x:v>
      </x:c>
      <x:c r="C842" s="31" t="str">
        <x:v>Walk me through the rights issue and your main considerations (e.g. dilution effect, subscription price considerations, timeline)</x:v>
      </x:c>
      <x:c r="D842" s="32" t="n">
        <x:f>COUNTIF('All Questions'!$G$5:$G$1725,A842)</x:f>
        <x:v>1</x:v>
      </x:c>
      <x:c r="E842" s="11"/>
      <x:c r="F842" s="12" t="str">
        <x:v>Not Started</x:v>
      </x:c>
      <x:c r="G842" s="13"/>
      <x:c r="H842" s="30" t="str">
        <x:f>IF(AND(E842&lt;&gt;"",F842="Ready"),"Yes","No")</x:f>
        <x:v>No</x:v>
      </x:c>
      <x:c r="I842" s="11"/>
    </x:row>
    <x:row r="843" ht="38" customHeight="1">
      <x:c r="A843" s="30" t="str">
        <x:v>CL0839</x:v>
      </x:c>
      <x:c r="B843" s="30" t="str">
        <x:v>Resume &amp; Experience</x:v>
      </x:c>
      <x:c r="C843" s="31" t="str">
        <x:v>Walk me through the sell side M&amp;A that you did during your previous internship</x:v>
      </x:c>
      <x:c r="D843" s="32" t="n">
        <x:f>COUNTIF('All Questions'!$G$5:$G$1725,A843)</x:f>
        <x:v>1</x:v>
      </x:c>
      <x:c r="E843" s="11"/>
      <x:c r="F843" s="12" t="str">
        <x:v>Not Started</x:v>
      </x:c>
      <x:c r="G843" s="13"/>
      <x:c r="H843" s="30" t="str">
        <x:f>IF(AND(E843&lt;&gt;"",F843="Ready"),"Yes","No")</x:f>
        <x:v>No</x:v>
      </x:c>
      <x:c r="I843" s="11"/>
    </x:row>
    <x:row r="844" ht="38" customHeight="1">
      <x:c r="A844" s="30" t="str">
        <x:v>CL0840</x:v>
      </x:c>
      <x:c r="B844" s="30" t="str">
        <x:v>Resume &amp; Experience</x:v>
      </x:c>
      <x:c r="C844" s="31" t="str">
        <x:v>Walk me through you CV</x:v>
      </x:c>
      <x:c r="D844" s="32" t="n">
        <x:f>COUNTIF('All Questions'!$G$5:$G$1725,A844)</x:f>
        <x:v>1</x:v>
      </x:c>
      <x:c r="E844" s="11"/>
      <x:c r="F844" s="12" t="str">
        <x:v>Not Started</x:v>
      </x:c>
      <x:c r="G844" s="13"/>
      <x:c r="H844" s="30" t="str">
        <x:f>IF(AND(E844&lt;&gt;"",F844="Ready"),"Yes","No")</x:f>
        <x:v>No</x:v>
      </x:c>
      <x:c r="I844" s="11"/>
    </x:row>
    <x:row r="845" ht="38" customHeight="1">
      <x:c r="A845" s="30" t="str">
        <x:v>CL0841</x:v>
      </x:c>
      <x:c r="B845" s="30" t="str">
        <x:v>Resume &amp; Experience</x:v>
      </x:c>
      <x:c r="C845" s="31" t="str">
        <x:v>Walk me through your internships (in chinese)</x:v>
      </x:c>
      <x:c r="D845" s="32" t="n">
        <x:f>COUNTIF('All Questions'!$G$5:$G$1725,A845)</x:f>
        <x:v>1</x:v>
      </x:c>
      <x:c r="E845" s="11"/>
      <x:c r="F845" s="12" t="str">
        <x:v>Not Started</x:v>
      </x:c>
      <x:c r="G845" s="13"/>
      <x:c r="H845" s="30" t="str">
        <x:f>IF(AND(E845&lt;&gt;"",F845="Ready"),"Yes","No")</x:f>
        <x:v>No</x:v>
      </x:c>
      <x:c r="I845" s="11"/>
    </x:row>
    <x:row r="846" ht="38" customHeight="1">
      <x:c r="A846" s="30" t="str">
        <x:v>CL0842</x:v>
      </x:c>
      <x:c r="B846" s="30" t="str">
        <x:v>Behavioral &amp; Situational</x:v>
      </x:c>
      <x:c r="C846" s="31" t="str">
        <x:v>Walk me through your most recent case comp. Team dynamic? Role? Valuation? - deep dive</x:v>
      </x:c>
      <x:c r="D846" s="32" t="n">
        <x:f>COUNTIF('All Questions'!$G$5:$G$1725,A846)</x:f>
        <x:v>1</x:v>
      </x:c>
      <x:c r="E846" s="11"/>
      <x:c r="F846" s="12" t="str">
        <x:v>Not Started</x:v>
      </x:c>
      <x:c r="G846" s="13"/>
      <x:c r="H846" s="30" t="str">
        <x:f>IF(AND(E846&lt;&gt;"",F846="Ready"),"Yes","No")</x:f>
        <x:v>No</x:v>
      </x:c>
      <x:c r="I846" s="11"/>
    </x:row>
    <x:row r="847" ht="58" customHeight="1">
      <x:c r="A847" s="30" t="str">
        <x:v>CL0843</x:v>
      </x:c>
      <x:c r="B847" s="30" t="str">
        <x:v>M&amp;A</x:v>
      </x:c>
      <x:c r="C847" s="31" t="str">
        <x:v>Walk me through your projects at Odysseus Capital Asia - brief me the pre-IPO roadshow as well as sell-side M&amp;A transaction</x:v>
      </x:c>
      <x:c r="D847" s="32" t="n">
        <x:f>COUNTIF('All Questions'!$G$5:$G$1725,A847)</x:f>
        <x:v>1</x:v>
      </x:c>
      <x:c r="E847" s="11"/>
      <x:c r="F847" s="12" t="str">
        <x:v>Not Started</x:v>
      </x:c>
      <x:c r="G847" s="13"/>
      <x:c r="H847" s="30" t="str">
        <x:f>IF(AND(E847&lt;&gt;"",F847="Ready"),"Yes","No")</x:f>
        <x:v>No</x:v>
      </x:c>
      <x:c r="I847" s="11"/>
    </x:row>
    <x:row r="848" ht="58" customHeight="1">
      <x:c r="A848" s="30" t="str">
        <x:v>CL0844</x:v>
      </x:c>
      <x:c r="B848" s="30" t="str">
        <x:v>Other Question</x:v>
      </x:c>
      <x:c r="C848" s="31" t="str">
        <x:v>Walk me thru impact on 3 FS, acquiring pp&amp;e at the start of the year, you can make your own assumptions</x:v>
      </x:c>
      <x:c r="D848" s="32" t="n">
        <x:f>COUNTIF('All Questions'!$G$5:$G$1725,A848)</x:f>
        <x:v>1</x:v>
      </x:c>
      <x:c r="E848" s="11"/>
      <x:c r="F848" s="12" t="str">
        <x:v>Not Started</x:v>
      </x:c>
      <x:c r="G848" s="13"/>
      <x:c r="H848" s="30" t="str">
        <x:f>IF(AND(E848&lt;&gt;"",F848="Ready"),"Yes","No")</x:f>
        <x:v>No</x:v>
      </x:c>
      <x:c r="I848" s="11"/>
    </x:row>
    <x:row r="849" ht="38" customHeight="1">
      <x:c r="A849" s="30" t="str">
        <x:v>CL0845</x:v>
      </x:c>
      <x:c r="B849" s="30" t="str">
        <x:v>Resume &amp; Experience</x:v>
      </x:c>
      <x:c r="C849" s="31" t="str">
        <x:v>Walk though current internships</x:v>
      </x:c>
      <x:c r="D849" s="32" t="n">
        <x:f>COUNTIF('All Questions'!$G$5:$G$1725,A849)</x:f>
        <x:v>1</x:v>
      </x:c>
      <x:c r="E849" s="11"/>
      <x:c r="F849" s="12" t="str">
        <x:v>Not Started</x:v>
      </x:c>
      <x:c r="G849" s="13"/>
      <x:c r="H849" s="30" t="str">
        <x:f>IF(AND(E849&lt;&gt;"",F849="Ready"),"Yes","No")</x:f>
        <x:v>No</x:v>
      </x:c>
      <x:c r="I849" s="11"/>
    </x:row>
    <x:row r="850" ht="38" customHeight="1">
      <x:c r="A850" s="30" t="str">
        <x:v>CL0846</x:v>
      </x:c>
      <x:c r="B850" s="30" t="str">
        <x:v>Other Question</x:v>
      </x:c>
      <x:c r="C850" s="31" t="str">
        <x:v>Walk through a project at Nomura</x:v>
      </x:c>
      <x:c r="D850" s="32" t="n">
        <x:f>COUNTIF('All Questions'!$G$5:$G$1725,A850)</x:f>
        <x:v>1</x:v>
      </x:c>
      <x:c r="E850" s="11"/>
      <x:c r="F850" s="12" t="str">
        <x:v>Not Started</x:v>
      </x:c>
      <x:c r="G850" s="13"/>
      <x:c r="H850" s="30" t="str">
        <x:f>IF(AND(E850&lt;&gt;"",F850="Ready"),"Yes","No")</x:f>
        <x:v>No</x:v>
      </x:c>
      <x:c r="I850" s="11"/>
    </x:row>
    <x:row r="851" ht="38" customHeight="1">
      <x:c r="A851" s="30" t="str">
        <x:v>CL0847</x:v>
      </x:c>
      <x:c r="B851" s="30" t="str">
        <x:v>Resume &amp; Experience</x:v>
      </x:c>
      <x:c r="C851" s="31" t="str">
        <x:v>Walk through experiences, show understanding of M&amp;A</x:v>
      </x:c>
      <x:c r="D851" s="32" t="n">
        <x:f>COUNTIF('All Questions'!$G$5:$G$1725,A851)</x:f>
        <x:v>1</x:v>
      </x:c>
      <x:c r="E851" s="11"/>
      <x:c r="F851" s="12" t="str">
        <x:v>Not Started</x:v>
      </x:c>
      <x:c r="G851" s="13"/>
      <x:c r="H851" s="30" t="str">
        <x:f>IF(AND(E851&lt;&gt;"",F851="Ready"),"Yes","No")</x:f>
        <x:v>No</x:v>
      </x:c>
      <x:c r="I851" s="11"/>
    </x:row>
    <x:row r="852" ht="38" customHeight="1">
      <x:c r="A852" s="30" t="str">
        <x:v>CL0848</x:v>
      </x:c>
      <x:c r="B852" s="30" t="str">
        <x:v>Other Question</x:v>
      </x:c>
      <x:c r="C852" s="31" t="str">
        <x:v>Walk through Market (with Elliotte - 20mins on this)</x:v>
      </x:c>
      <x:c r="D852" s="32" t="n">
        <x:f>COUNTIF('All Questions'!$G$5:$G$1725,A852)</x:f>
        <x:v>1</x:v>
      </x:c>
      <x:c r="E852" s="11"/>
      <x:c r="F852" s="12" t="str">
        <x:v>Not Started</x:v>
      </x:c>
      <x:c r="G852" s="13"/>
      <x:c r="H852" s="30" t="str">
        <x:f>IF(AND(E852&lt;&gt;"",F852="Ready"),"Yes","No")</x:f>
        <x:v>No</x:v>
      </x:c>
      <x:c r="I852" s="11"/>
    </x:row>
    <x:row r="853" ht="38" customHeight="1">
      <x:c r="A853" s="30" t="str">
        <x:v>CL0849</x:v>
      </x:c>
      <x:c r="B853" s="30" t="str">
        <x:v>Resume &amp; Experience</x:v>
      </x:c>
      <x:c r="C853" s="31" t="str">
        <x:v>Walk through of CV</x:v>
      </x:c>
      <x:c r="D853" s="32" t="n">
        <x:f>COUNTIF('All Questions'!$G$5:$G$1725,A853)</x:f>
        <x:v>1</x:v>
      </x:c>
      <x:c r="E853" s="11"/>
      <x:c r="F853" s="12" t="str">
        <x:v>Not Started</x:v>
      </x:c>
      <x:c r="G853" s="13"/>
      <x:c r="H853" s="30" t="str">
        <x:f>IF(AND(E853&lt;&gt;"",F853="Ready"),"Yes","No")</x:f>
        <x:v>No</x:v>
      </x:c>
      <x:c r="I853" s="11"/>
    </x:row>
    <x:row r="854" ht="38" customHeight="1">
      <x:c r="A854" s="30" t="str">
        <x:v>CL0850</x:v>
      </x:c>
      <x:c r="B854" s="30" t="str">
        <x:v>Other Question</x:v>
      </x:c>
      <x:c r="C854" s="31" t="str">
        <x:v>Walk through one of the projects you have engaged in</x:v>
      </x:c>
      <x:c r="D854" s="32" t="n">
        <x:f>COUNTIF('All Questions'!$G$5:$G$1725,A854)</x:f>
        <x:v>1</x:v>
      </x:c>
      <x:c r="E854" s="11"/>
      <x:c r="F854" s="12" t="str">
        <x:v>Not Started</x:v>
      </x:c>
      <x:c r="G854" s="13"/>
      <x:c r="H854" s="30" t="str">
        <x:f>IF(AND(E854&lt;&gt;"",F854="Ready"),"Yes","No")</x:f>
        <x:v>No</x:v>
      </x:c>
      <x:c r="I854" s="11"/>
    </x:row>
    <x:row r="855" ht="38" customHeight="1">
      <x:c r="A855" s="30" t="str">
        <x:v>CL0851</x:v>
      </x:c>
      <x:c r="B855" s="30" t="str">
        <x:v>Accounting &amp; Financial Statements</x:v>
      </x:c>
      <x:c r="C855" s="31" t="str">
        <x:v>Walk through the 3 financial statements</x:v>
      </x:c>
      <x:c r="D855" s="32" t="n">
        <x:f>COUNTIF('All Questions'!$G$5:$G$1725,A855)</x:f>
        <x:v>1</x:v>
      </x:c>
      <x:c r="E855" s="11"/>
      <x:c r="F855" s="12" t="str">
        <x:v>Not Started</x:v>
      </x:c>
      <x:c r="G855" s="13"/>
      <x:c r="H855" s="30" t="str">
        <x:f>IF(AND(E855&lt;&gt;"",F855="Ready"),"Yes","No")</x:f>
        <x:v>No</x:v>
      </x:c>
      <x:c r="I855" s="11"/>
    </x:row>
    <x:row r="856" ht="38" customHeight="1">
      <x:c r="A856" s="30" t="str">
        <x:v>CL0852</x:v>
      </x:c>
      <x:c r="B856" s="30" t="str">
        <x:v>Other Question</x:v>
      </x:c>
      <x:c r="C856" s="31" t="str">
        <x:v>Walk through the case com</x:v>
      </x:c>
      <x:c r="D856" s="32" t="n">
        <x:f>COUNTIF('All Questions'!$G$5:$G$1725,A856)</x:f>
        <x:v>1</x:v>
      </x:c>
      <x:c r="E856" s="11"/>
      <x:c r="F856" s="12" t="str">
        <x:v>Not Started</x:v>
      </x:c>
      <x:c r="G856" s="13"/>
      <x:c r="H856" s="30" t="str">
        <x:f>IF(AND(E856&lt;&gt;"",F856="Ready"),"Yes","No")</x:f>
        <x:v>No</x:v>
      </x:c>
      <x:c r="I856" s="11"/>
    </x:row>
    <x:row r="857" ht="38" customHeight="1">
      <x:c r="A857" s="30" t="str">
        <x:v>CL0853</x:v>
      </x:c>
      <x:c r="B857" s="30" t="str">
        <x:v>Company, Industry &amp; Deals</x:v>
      </x:c>
      <x:c r="C857" s="31" t="str">
        <x:v>Walk through the company’s P&amp;L structure</x:v>
      </x:c>
      <x:c r="D857" s="32" t="n">
        <x:f>COUNTIF('All Questions'!$G$5:$G$1725,A857)</x:f>
        <x:v>1</x:v>
      </x:c>
      <x:c r="E857" s="11"/>
      <x:c r="F857" s="12" t="str">
        <x:v>Not Started</x:v>
      </x:c>
      <x:c r="G857" s="13"/>
      <x:c r="H857" s="30" t="str">
        <x:f>IF(AND(E857&lt;&gt;"",F857="Ready"),"Yes","No")</x:f>
        <x:v>No</x:v>
      </x:c>
      <x:c r="I857" s="11"/>
    </x:row>
    <x:row r="858" ht="38" customHeight="1">
      <x:c r="A858" s="30" t="str">
        <x:v>CL0854</x:v>
      </x:c>
      <x:c r="B858" s="30" t="str">
        <x:v>Capital Markets &amp; Financing</x:v>
      </x:c>
      <x:c r="C858" s="31" t="str">
        <x:v>Was I allocated or I chose Capital Market at Nomura</x:v>
      </x:c>
      <x:c r="D858" s="32" t="n">
        <x:f>COUNTIF('All Questions'!$G$5:$G$1725,A858)</x:f>
        <x:v>1</x:v>
      </x:c>
      <x:c r="E858" s="11"/>
      <x:c r="F858" s="12" t="str">
        <x:v>Not Started</x:v>
      </x:c>
      <x:c r="G858" s="13"/>
      <x:c r="H858" s="30" t="str">
        <x:f>IF(AND(E858&lt;&gt;"",F858="Ready"),"Yes","No")</x:f>
        <x:v>No</x:v>
      </x:c>
      <x:c r="I858" s="11"/>
    </x:row>
    <x:row r="859" ht="38" customHeight="1">
      <x:c r="A859" s="30" t="str">
        <x:v>CL0855</x:v>
      </x:c>
      <x:c r="B859" s="30" t="str">
        <x:v>M&amp;A</x:v>
      </x:c>
      <x:c r="C859" s="31" t="str">
        <x:v>Was it a strategic or financial buyer that you were looking for</x:v>
      </x:c>
      <x:c r="D859" s="32" t="n">
        <x:f>COUNTIF('All Questions'!$G$5:$G$1725,A859)</x:f>
        <x:v>1</x:v>
      </x:c>
      <x:c r="E859" s="11"/>
      <x:c r="F859" s="12" t="str">
        <x:v>Not Started</x:v>
      </x:c>
      <x:c r="G859" s="13"/>
      <x:c r="H859" s="30" t="str">
        <x:f>IF(AND(E859&lt;&gt;"",F859="Ready"),"Yes","No")</x:f>
        <x:v>No</x:v>
      </x:c>
      <x:c r="I859" s="11"/>
    </x:row>
    <x:row r="860" ht="38" customHeight="1">
      <x:c r="A860" s="30" t="str">
        <x:v>CL0856</x:v>
      </x:c>
      <x:c r="B860" s="30" t="str">
        <x:v>Private Equity &amp; LBO</x:v>
      </x:c>
      <x:c r="C860" s="31" t="str">
        <x:v>Ways to boost the return of LBO investment</x:v>
      </x:c>
      <x:c r="D860" s="32" t="n">
        <x:f>COUNTIF('All Questions'!$G$5:$G$1725,A860)</x:f>
        <x:v>1</x:v>
      </x:c>
      <x:c r="E860" s="11"/>
      <x:c r="F860" s="12" t="str">
        <x:v>Not Started</x:v>
      </x:c>
      <x:c r="G860" s="13"/>
      <x:c r="H860" s="30" t="str">
        <x:f>IF(AND(E860&lt;&gt;"",F860="Ready"),"Yes","No")</x:f>
        <x:v>No</x:v>
      </x:c>
      <x:c r="I860" s="11"/>
    </x:row>
    <x:row r="861" ht="80" customHeight="1">
      <x:c r="A861" s="30" t="str">
        <x:v>CL0857</x:v>
      </x:c>
      <x:c r="B861" s="30" t="str">
        <x:v>Company, Industry &amp; Deals</x:v>
      </x:c>
      <x:c r="C861" s="31" t="str">
        <x:v>We have a company with 50% boring and stable business, lower margin, another 50% faster growing consultancy based higher margin business, which business unit will you value with higher value</x:v>
      </x:c>
      <x:c r="D861" s="32" t="n">
        <x:f>COUNTIF('All Questions'!$G$5:$G$1725,A861)</x:f>
        <x:v>1</x:v>
      </x:c>
      <x:c r="E861" s="11"/>
      <x:c r="F861" s="12" t="str">
        <x:v>Not Started</x:v>
      </x:c>
      <x:c r="G861" s="13"/>
      <x:c r="H861" s="30" t="str">
        <x:f>IF(AND(E861&lt;&gt;"",F861="Ready"),"Yes","No")</x:f>
        <x:v>No</x:v>
      </x:c>
      <x:c r="I861" s="11"/>
    </x:row>
    <x:row r="862" ht="38" customHeight="1">
      <x:c r="A862" s="30" t="str">
        <x:v>CL0858</x:v>
      </x:c>
      <x:c r="B862" s="30" t="str">
        <x:v>Other Question</x:v>
      </x:c>
      <x:c r="C862" s="31" t="str">
        <x:v>What advantage could you bring to our team</x:v>
      </x:c>
      <x:c r="D862" s="32" t="n">
        <x:f>COUNTIF('All Questions'!$G$5:$G$1725,A862)</x:f>
        <x:v>1</x:v>
      </x:c>
      <x:c r="E862" s="11"/>
      <x:c r="F862" s="12" t="str">
        <x:v>Not Started</x:v>
      </x:c>
      <x:c r="G862" s="13"/>
      <x:c r="H862" s="30" t="str">
        <x:f>IF(AND(E862&lt;&gt;"",F862="Ready"),"Yes","No")</x:f>
        <x:v>No</x:v>
      </x:c>
      <x:c r="I862" s="11"/>
    </x:row>
    <x:row r="863" ht="80" customHeight="1">
      <x:c r="A863" s="30" t="str">
        <x:v>CL0859</x:v>
      </x:c>
      <x:c r="B863" s="30" t="str">
        <x:v>Fit &amp; Motivation</x:v>
      </x:c>
      <x:c r="C863" s="31" t="str">
        <x:v>What affects gross profit margin? (I said, price, cost, volume). She said the utilisation rate of the machines will also affect the volume. More volume means fixed cost can be spread over more items due to economies of scale</x:v>
      </x:c>
      <x:c r="D863" s="32" t="n">
        <x:f>COUNTIF('All Questions'!$G$5:$G$1725,A863)</x:f>
        <x:v>1</x:v>
      </x:c>
      <x:c r="E863" s="11"/>
      <x:c r="F863" s="12" t="str">
        <x:v>Not Started</x:v>
      </x:c>
      <x:c r="G863" s="13"/>
      <x:c r="H863" s="30" t="str">
        <x:f>IF(AND(E863&lt;&gt;"",F863="Ready"),"Yes","No")</x:f>
        <x:v>No</x:v>
      </x:c>
      <x:c r="I863" s="11"/>
    </x:row>
    <x:row r="864" ht="58" customHeight="1">
      <x:c r="A864" s="30" t="str">
        <x:v>CL0860</x:v>
      </x:c>
      <x:c r="B864" s="30" t="str">
        <x:v>Fit &amp; Motivation</x:v>
      </x:c>
      <x:c r="C864" s="31" t="str">
        <x:v>What and why CPS? What are some terms in there? Type of debt (mezzanine) What are the current debt it holds, and is CPS on/senior/junior to it</x:v>
      </x:c>
      <x:c r="D864" s="32" t="n">
        <x:f>COUNTIF('All Questions'!$G$5:$G$1725,A864)</x:f>
        <x:v>1</x:v>
      </x:c>
      <x:c r="E864" s="11"/>
      <x:c r="F864" s="12" t="str">
        <x:v>Not Started</x:v>
      </x:c>
      <x:c r="G864" s="13"/>
      <x:c r="H864" s="30" t="str">
        <x:f>IF(AND(E864&lt;&gt;"",F864="Ready"),"Yes","No")</x:f>
        <x:v>No</x:v>
      </x:c>
      <x:c r="I864" s="11"/>
    </x:row>
    <x:row r="865" ht="58" customHeight="1">
      <x:c r="A865" s="30" t="str">
        <x:v>CL0861</x:v>
      </x:c>
      <x:c r="B865" s="30" t="str">
        <x:v>Accounting &amp; Financial Statements</x:v>
      </x:c>
      <x:c r="C865" s="31" t="str">
        <x:v>What approach should you take if you want the client to fund in more money into the account? (particularly if the performance of the portfolio is not good)</x:v>
      </x:c>
      <x:c r="D865" s="32" t="n">
        <x:f>COUNTIF('All Questions'!$G$5:$G$1725,A865)</x:f>
        <x:v>1</x:v>
      </x:c>
      <x:c r="E865" s="11"/>
      <x:c r="F865" s="12" t="str">
        <x:v>Not Started</x:v>
      </x:c>
      <x:c r="G865" s="13"/>
      <x:c r="H865" s="30" t="str">
        <x:f>IF(AND(E865&lt;&gt;"",F865="Ready"),"Yes","No")</x:f>
        <x:v>No</x:v>
      </x:c>
      <x:c r="I865" s="11"/>
    </x:row>
    <x:row r="866" ht="38" customHeight="1">
      <x:c r="A866" s="30" t="str">
        <x:v>CL0862</x:v>
      </x:c>
      <x:c r="B866" s="30" t="str">
        <x:v>Valuation</x:v>
      </x:c>
      <x:c r="C866" s="31" t="str">
        <x:v>What are commonly used comps</x:v>
      </x:c>
      <x:c r="D866" s="32" t="n">
        <x:f>COUNTIF('All Questions'!$G$5:$G$1725,A866)</x:f>
        <x:v>1</x:v>
      </x:c>
      <x:c r="E866" s="11"/>
      <x:c r="F866" s="12" t="str">
        <x:v>Not Started</x:v>
      </x:c>
      <x:c r="G866" s="13"/>
      <x:c r="H866" s="30" t="str">
        <x:f>IF(AND(E866&lt;&gt;"",F866="Ready"),"Yes","No")</x:f>
        <x:v>No</x:v>
      </x:c>
      <x:c r="I866" s="11"/>
    </x:row>
    <x:row r="867" ht="38" customHeight="1">
      <x:c r="A867" s="30" t="str">
        <x:v>CL0863</x:v>
      </x:c>
      <x:c r="B867" s="30" t="str">
        <x:v>Capital Markets &amp; Financing</x:v>
      </x:c>
      <x:c r="C867" s="31" t="str">
        <x:v>What are differences between different exit methods (IPO, strategic purchase...)</x:v>
      </x:c>
      <x:c r="D867" s="32" t="n">
        <x:f>COUNTIF('All Questions'!$G$5:$G$1725,A867)</x:f>
        <x:v>1</x:v>
      </x:c>
      <x:c r="E867" s="11"/>
      <x:c r="F867" s="12" t="str">
        <x:v>Not Started</x:v>
      </x:c>
      <x:c r="G867" s="13"/>
      <x:c r="H867" s="30" t="str">
        <x:f>IF(AND(E867&lt;&gt;"",F867="Ready"),"Yes","No")</x:f>
        <x:v>No</x:v>
      </x:c>
      <x:c r="I867" s="11"/>
    </x:row>
    <x:row r="868" ht="38" customHeight="1">
      <x:c r="A868" s="30" t="str">
        <x:v>CL0864</x:v>
      </x:c>
      <x:c r="B868" s="30" t="str">
        <x:v>Other Question</x:v>
      </x:c>
      <x:c r="C868" s="31" t="str">
        <x:v>What are other investment opportunities you are paying attention in the market</x:v>
      </x:c>
      <x:c r="D868" s="32" t="n">
        <x:f>COUNTIF('All Questions'!$G$5:$G$1725,A868)</x:f>
        <x:v>1</x:v>
      </x:c>
      <x:c r="E868" s="11"/>
      <x:c r="F868" s="12" t="str">
        <x:v>Not Started</x:v>
      </x:c>
      <x:c r="G868" s="13"/>
      <x:c r="H868" s="30" t="str">
        <x:f>IF(AND(E868&lt;&gt;"",F868="Ready"),"Yes","No")</x:f>
        <x:v>No</x:v>
      </x:c>
      <x:c r="I868" s="11"/>
    </x:row>
    <x:row r="869" ht="38" customHeight="1">
      <x:c r="A869" s="30" t="str">
        <x:v>CL0865</x:v>
      </x:c>
      <x:c r="B869" s="30" t="str">
        <x:v>Other Question</x:v>
      </x:c>
      <x:c r="C869" s="31" t="str">
        <x:v>What are other stocks in that value chain? pitch one (with follow-up questions)</x:v>
      </x:c>
      <x:c r="D869" s="32" t="n">
        <x:f>COUNTIF('All Questions'!$G$5:$G$1725,A869)</x:f>
        <x:v>1</x:v>
      </x:c>
      <x:c r="E869" s="11"/>
      <x:c r="F869" s="12" t="str">
        <x:v>Not Started</x:v>
      </x:c>
      <x:c r="G869" s="13"/>
      <x:c r="H869" s="30" t="str">
        <x:f>IF(AND(E869&lt;&gt;"",F869="Ready"),"Yes","No")</x:f>
        <x:v>No</x:v>
      </x:c>
      <x:c r="I869" s="11"/>
    </x:row>
    <x:row r="870" ht="38" customHeight="1">
      <x:c r="A870" s="30" t="str">
        <x:v>CL0866</x:v>
      </x:c>
      <x:c r="B870" s="30" t="str">
        <x:v>Company, Industry &amp; Deals</x:v>
      </x:c>
      <x:c r="C870" s="31" t="str">
        <x:v>What are some common credit ratios</x:v>
      </x:c>
      <x:c r="D870" s="32" t="n">
        <x:f>COUNTIF('All Questions'!$G$5:$G$1725,A870)</x:f>
        <x:v>1</x:v>
      </x:c>
      <x:c r="E870" s="11"/>
      <x:c r="F870" s="12" t="str">
        <x:v>Not Started</x:v>
      </x:c>
      <x:c r="G870" s="13"/>
      <x:c r="H870" s="30" t="str">
        <x:f>IF(AND(E870&lt;&gt;"",F870="Ready"),"Yes","No")</x:f>
        <x:v>No</x:v>
      </x:c>
      <x:c r="I870" s="11"/>
    </x:row>
    <x:row r="871" ht="38" customHeight="1">
      <x:c r="A871" s="30" t="str">
        <x:v>CL0867</x:v>
      </x:c>
      <x:c r="B871" s="30" t="str">
        <x:v>Fit &amp; Motivation</x:v>
      </x:c>
      <x:c r="C871" s="31" t="str">
        <x:v>What are some cultures u know of outside of malaysia and hong kong (anything to share?)</x:v>
      </x:c>
      <x:c r="D871" s="32" t="n">
        <x:f>COUNTIF('All Questions'!$G$5:$G$1725,A871)</x:f>
        <x:v>1</x:v>
      </x:c>
      <x:c r="E871" s="11"/>
      <x:c r="F871" s="12" t="str">
        <x:v>Not Started</x:v>
      </x:c>
      <x:c r="G871" s="13"/>
      <x:c r="H871" s="30" t="str">
        <x:f>IF(AND(E871&lt;&gt;"",F871="Ready"),"Yes","No")</x:f>
        <x:v>No</x:v>
      </x:c>
      <x:c r="I871" s="11"/>
    </x:row>
    <x:row r="872" ht="38" customHeight="1">
      <x:c r="A872" s="30" t="str">
        <x:v>CL0868</x:v>
      </x:c>
      <x:c r="B872" s="30" t="str">
        <x:v>Other Question</x:v>
      </x:c>
      <x:c r="C872" s="31" t="str">
        <x:v>What are some factors that will affect oil price</x:v>
      </x:c>
      <x:c r="D872" s="32" t="n">
        <x:f>COUNTIF('All Questions'!$G$5:$G$1725,A872)</x:f>
        <x:v>1</x:v>
      </x:c>
      <x:c r="E872" s="11"/>
      <x:c r="F872" s="12" t="str">
        <x:v>Not Started</x:v>
      </x:c>
      <x:c r="G872" s="13"/>
      <x:c r="H872" s="30" t="str">
        <x:f>IF(AND(E872&lt;&gt;"",F872="Ready"),"Yes","No")</x:f>
        <x:v>No</x:v>
      </x:c>
      <x:c r="I872" s="11"/>
    </x:row>
    <x:row r="873" ht="38" customHeight="1">
      <x:c r="A873" s="30" t="str">
        <x:v>CL0869</x:v>
      </x:c>
      <x:c r="B873" s="30" t="str">
        <x:v>Company, Industry &amp; Deals</x:v>
      </x:c>
      <x:c r="C873" s="31" t="str">
        <x:v>What are some financial services deutsche can provide to SenseTime? how about for Nomura</x:v>
      </x:c>
      <x:c r="D873" s="32" t="n">
        <x:f>COUNTIF('All Questions'!$G$5:$G$1725,A873)</x:f>
        <x:v>1</x:v>
      </x:c>
      <x:c r="E873" s="11"/>
      <x:c r="F873" s="12" t="str">
        <x:v>Not Started</x:v>
      </x:c>
      <x:c r="G873" s="13"/>
      <x:c r="H873" s="30" t="str">
        <x:f>IF(AND(E873&lt;&gt;"",F873="Ready"),"Yes","No")</x:f>
        <x:v>No</x:v>
      </x:c>
      <x:c r="I873" s="11"/>
    </x:row>
    <x:row r="874" ht="38" customHeight="1">
      <x:c r="A874" s="30" t="str">
        <x:v>CL0870</x:v>
      </x:c>
      <x:c r="B874" s="30" t="str">
        <x:v>Company, Industry &amp; Deals</x:v>
      </x:c>
      <x:c r="C874" s="31" t="str">
        <x:v>What are some impacts or catalysts for the store</x:v>
      </x:c>
      <x:c r="D874" s="32" t="n">
        <x:f>COUNTIF('All Questions'!$G$5:$G$1725,A874)</x:f>
        <x:v>1</x:v>
      </x:c>
      <x:c r="E874" s="11"/>
      <x:c r="F874" s="12" t="str">
        <x:v>Not Started</x:v>
      </x:c>
      <x:c r="G874" s="13"/>
      <x:c r="H874" s="30" t="str">
        <x:f>IF(AND(E874&lt;&gt;"",F874="Ready"),"Yes","No")</x:f>
        <x:v>No</x:v>
      </x:c>
      <x:c r="I874" s="11"/>
    </x:row>
    <x:row r="875" ht="58" customHeight="1">
      <x:c r="A875" s="30" t="str">
        <x:v>CL0871</x:v>
      </x:c>
      <x:c r="B875" s="30" t="str">
        <x:v>Company, Industry &amp; Deals</x:v>
      </x:c>
      <x:c r="C875" s="31" t="str">
        <x:v>What are some metrics you would look at to evaluate a debt ratio? Apart from these ratio, any qualitative measures</x:v>
      </x:c>
      <x:c r="D875" s="32" t="n">
        <x:f>COUNTIF('All Questions'!$G$5:$G$1725,A875)</x:f>
        <x:v>1</x:v>
      </x:c>
      <x:c r="E875" s="11"/>
      <x:c r="F875" s="12" t="str">
        <x:v>Not Started</x:v>
      </x:c>
      <x:c r="G875" s="13"/>
      <x:c r="H875" s="30" t="str">
        <x:f>IF(AND(E875&lt;&gt;"",F875="Ready"),"Yes","No")</x:f>
        <x:v>No</x:v>
      </x:c>
      <x:c r="I875" s="11"/>
    </x:row>
    <x:row r="876" ht="58" customHeight="1">
      <x:c r="A876" s="30" t="str">
        <x:v>CL0872</x:v>
      </x:c>
      <x:c r="B876" s="30" t="str">
        <x:v>Company, Industry &amp; Deals</x:v>
      </x:c>
      <x:c r="C876" s="31" t="str">
        <x:v>What are some points that investors will look into when investing in companies in this industry</x:v>
      </x:c>
      <x:c r="D876" s="32" t="n">
        <x:f>COUNTIF('All Questions'!$G$5:$G$1725,A876)</x:f>
        <x:v>1</x:v>
      </x:c>
      <x:c r="E876" s="11"/>
      <x:c r="F876" s="12" t="str">
        <x:v>Not Started</x:v>
      </x:c>
      <x:c r="G876" s="13"/>
      <x:c r="H876" s="30" t="str">
        <x:f>IF(AND(E876&lt;&gt;"",F876="Ready"),"Yes","No")</x:f>
        <x:v>No</x:v>
      </x:c>
      <x:c r="I876" s="11"/>
    </x:row>
    <x:row r="877" ht="38" customHeight="1">
      <x:c r="A877" s="30" t="str">
        <x:v>CL0873</x:v>
      </x:c>
      <x:c r="B877" s="30" t="str">
        <x:v>Company, Industry &amp; Deals</x:v>
      </x:c>
      <x:c r="C877" s="31" t="str">
        <x:v>What are some signs of company going through distress</x:v>
      </x:c>
      <x:c r="D877" s="32" t="n">
        <x:f>COUNTIF('All Questions'!$G$5:$G$1725,A877)</x:f>
        <x:v>1</x:v>
      </x:c>
      <x:c r="E877" s="11"/>
      <x:c r="F877" s="12" t="str">
        <x:v>Not Started</x:v>
      </x:c>
      <x:c r="G877" s="13"/>
      <x:c r="H877" s="30" t="str">
        <x:f>IF(AND(E877&lt;&gt;"",F877="Ready"),"Yes","No")</x:f>
        <x:v>No</x:v>
      </x:c>
      <x:c r="I877" s="11"/>
    </x:row>
    <x:row r="878" ht="38" customHeight="1">
      <x:c r="A878" s="30" t="str">
        <x:v>CL0874</x:v>
      </x:c>
      <x:c r="B878" s="30" t="str">
        <x:v>Capital Markets &amp; Financing</x:v>
      </x:c>
      <x:c r="C878" s="31" t="str">
        <x:v>What are some ways to raise funds</x:v>
      </x:c>
      <x:c r="D878" s="32" t="n">
        <x:f>COUNTIF('All Questions'!$G$5:$G$1725,A878)</x:f>
        <x:v>1</x:v>
      </x:c>
      <x:c r="E878" s="11"/>
      <x:c r="F878" s="12" t="str">
        <x:v>Not Started</x:v>
      </x:c>
      <x:c r="G878" s="13"/>
      <x:c r="H878" s="30" t="str">
        <x:f>IF(AND(E878&lt;&gt;"",F878="Ready"),"Yes","No")</x:f>
        <x:v>No</x:v>
      </x:c>
      <x:c r="I878" s="11"/>
    </x:row>
    <x:row r="879" ht="38" customHeight="1">
      <x:c r="A879" s="30" t="str">
        <x:v>CL0875</x:v>
      </x:c>
      <x:c r="B879" s="30" t="str">
        <x:v>Other Question</x:v>
      </x:c>
      <x:c r="C879" s="31" t="str">
        <x:v>What are the achievements that u've made</x:v>
      </x:c>
      <x:c r="D879" s="32" t="n">
        <x:f>COUNTIF('All Questions'!$G$5:$G$1725,A879)</x:f>
        <x:v>1</x:v>
      </x:c>
      <x:c r="E879" s="11"/>
      <x:c r="F879" s="12" t="str">
        <x:v>Not Started</x:v>
      </x:c>
      <x:c r="G879" s="13"/>
      <x:c r="H879" s="30" t="str">
        <x:f>IF(AND(E879&lt;&gt;"",F879="Ready"),"Yes","No")</x:f>
        <x:v>No</x:v>
      </x:c>
      <x:c r="I879" s="11"/>
    </x:row>
    <x:row r="880" ht="38" customHeight="1">
      <x:c r="A880" s="30" t="str">
        <x:v>CL0876</x:v>
      </x:c>
      <x:c r="B880" s="30" t="str">
        <x:v>Valuation</x:v>
      </x:c>
      <x:c r="C880" s="31" t="str">
        <x:v>What are the comps used (name some)</x:v>
      </x:c>
      <x:c r="D880" s="32" t="n">
        <x:f>COUNTIF('All Questions'!$G$5:$G$1725,A880)</x:f>
        <x:v>1</x:v>
      </x:c>
      <x:c r="E880" s="11"/>
      <x:c r="F880" s="12" t="str">
        <x:v>Not Started</x:v>
      </x:c>
      <x:c r="G880" s="13"/>
      <x:c r="H880" s="30" t="str">
        <x:f>IF(AND(E880&lt;&gt;"",F880="Ready"),"Yes","No")</x:f>
        <x:v>No</x:v>
      </x:c>
      <x:c r="I880" s="11"/>
    </x:row>
    <x:row r="881" ht="38" customHeight="1">
      <x:c r="A881" s="30" t="str">
        <x:v>CL0877</x:v>
      </x:c>
      <x:c r="B881" s="30" t="str">
        <x:v>Other Question</x:v>
      </x:c>
      <x:c r="C881" s="31" t="str">
        <x:v>What are the credit analysis metrics</x:v>
      </x:c>
      <x:c r="D881" s="32" t="n">
        <x:f>COUNTIF('All Questions'!$G$5:$G$1725,A881)</x:f>
        <x:v>1</x:v>
      </x:c>
      <x:c r="E881" s="11"/>
      <x:c r="F881" s="12" t="str">
        <x:v>Not Started</x:v>
      </x:c>
      <x:c r="G881" s="13"/>
      <x:c r="H881" s="30" t="str">
        <x:f>IF(AND(E881&lt;&gt;"",F881="Ready"),"Yes","No")</x:f>
        <x:v>No</x:v>
      </x:c>
      <x:c r="I881" s="11"/>
    </x:row>
    <x:row r="882" ht="80" customHeight="1">
      <x:c r="A882" s="30" t="str">
        <x:v>CL0878</x:v>
      </x:c>
      <x:c r="B882" s="30" t="str">
        <x:v>Fit &amp; Motivation</x:v>
      </x:c>
      <x:c r="C882" s="31" t="str">
        <x:v>What are the differences between HKEX, SSE, SZSE, NASDAQ, NYSE in terms of their scope of business, pros and cons. Why would a company choose HKEX? (consider not only listing, but also the derivative market, preferences of different industries)</x:v>
      </x:c>
      <x:c r="D882" s="32" t="n">
        <x:f>COUNTIF('All Questions'!$G$5:$G$1725,A882)</x:f>
        <x:v>1</x:v>
      </x:c>
      <x:c r="E882" s="11"/>
      <x:c r="F882" s="12" t="str">
        <x:v>Not Started</x:v>
      </x:c>
      <x:c r="G882" s="13"/>
      <x:c r="H882" s="30" t="str">
        <x:f>IF(AND(E882&lt;&gt;"",F882="Ready"),"Yes","No")</x:f>
        <x:v>No</x:v>
      </x:c>
      <x:c r="I882" s="11"/>
    </x:row>
    <x:row r="883" ht="38" customHeight="1">
      <x:c r="A883" s="30" t="str">
        <x:v>CL0879</x:v>
      </x:c>
      <x:c r="B883" s="30" t="str">
        <x:v>Private Equity &amp; LBO</x:v>
      </x:c>
      <x:c r="C883" s="31" t="str">
        <x:v>What are the differences in primary markets investment compared to secondary markets</x:v>
      </x:c>
      <x:c r="D883" s="32" t="n">
        <x:f>COUNTIF('All Questions'!$G$5:$G$1725,A883)</x:f>
        <x:v>1</x:v>
      </x:c>
      <x:c r="E883" s="11"/>
      <x:c r="F883" s="12" t="str">
        <x:v>Not Started</x:v>
      </x:c>
      <x:c r="G883" s="13"/>
      <x:c r="H883" s="30" t="str">
        <x:f>IF(AND(E883&lt;&gt;"",F883="Ready"),"Yes","No")</x:f>
        <x:v>No</x:v>
      </x:c>
      <x:c r="I883" s="11"/>
    </x:row>
    <x:row r="884" ht="58" customHeight="1">
      <x:c r="A884" s="30" t="str">
        <x:v>CL0880</x:v>
      </x:c>
      <x:c r="B884" s="30" t="str">
        <x:v>Other Question</x:v>
      </x:c>
      <x:c r="C884" s="31" t="str">
        <x:v>What are the differences of a day-to-day of working in IBD and ER? Which one do you like more</x:v>
      </x:c>
      <x:c r="D884" s="32" t="n">
        <x:f>COUNTIF('All Questions'!$G$5:$G$1725,A884)</x:f>
        <x:v>1</x:v>
      </x:c>
      <x:c r="E884" s="11"/>
      <x:c r="F884" s="12" t="str">
        <x:v>Not Started</x:v>
      </x:c>
      <x:c r="G884" s="13"/>
      <x:c r="H884" s="30" t="str">
        <x:f>IF(AND(E884&lt;&gt;"",F884="Ready"),"Yes","No")</x:f>
        <x:v>No</x:v>
      </x:c>
      <x:c r="I884" s="11"/>
    </x:row>
    <x:row r="885" ht="38" customHeight="1">
      <x:c r="A885" s="30" t="str">
        <x:v>CL0881</x:v>
      </x:c>
      <x:c r="B885" s="30" t="str">
        <x:v>Company, Industry &amp; Deals</x:v>
      </x:c>
      <x:c r="C885" s="31" t="str">
        <x:v>What are the factors that will affect the NPV of the company</x:v>
      </x:c>
      <x:c r="D885" s="32" t="n">
        <x:f>COUNTIF('All Questions'!$G$5:$G$1725,A885)</x:f>
        <x:v>1</x:v>
      </x:c>
      <x:c r="E885" s="11"/>
      <x:c r="F885" s="12" t="str">
        <x:v>Not Started</x:v>
      </x:c>
      <x:c r="G885" s="13"/>
      <x:c r="H885" s="30" t="str">
        <x:f>IF(AND(E885&lt;&gt;"",F885="Ready"),"Yes","No")</x:f>
        <x:v>No</x:v>
      </x:c>
      <x:c r="I885" s="11"/>
    </x:row>
    <x:row r="886" ht="38" customHeight="1">
      <x:c r="A886" s="30" t="str">
        <x:v>CL0882</x:v>
      </x:c>
      <x:c r="B886" s="30" t="str">
        <x:v>Fit &amp; Motivation</x:v>
      </x:c>
      <x:c r="C886" s="31" t="str">
        <x:v>What are the important qualities to be a good investment banker</x:v>
      </x:c>
      <x:c r="D886" s="32" t="n">
        <x:f>COUNTIF('All Questions'!$G$5:$G$1725,A886)</x:f>
        <x:v>1</x:v>
      </x:c>
      <x:c r="E886" s="11"/>
      <x:c r="F886" s="12" t="str">
        <x:v>Not Started</x:v>
      </x:c>
      <x:c r="G886" s="13"/>
      <x:c r="H886" s="30" t="str">
        <x:f>IF(AND(E886&lt;&gt;"",F886="Ready"),"Yes","No")</x:f>
        <x:v>No</x:v>
      </x:c>
      <x:c r="I886" s="11"/>
    </x:row>
    <x:row r="887" ht="38" customHeight="1">
      <x:c r="A887" s="30" t="str">
        <x:v>CL0883</x:v>
      </x:c>
      <x:c r="B887" s="30" t="str">
        <x:v>M&amp;A</x:v>
      </x:c>
      <x:c r="C887" s="31" t="str">
        <x:v>What are the main factors of choosing the final buyer in M&amp;A as a sellside advisor</x:v>
      </x:c>
      <x:c r="D887" s="32" t="n">
        <x:f>COUNTIF('All Questions'!$G$5:$G$1725,A887)</x:f>
        <x:v>1</x:v>
      </x:c>
      <x:c r="E887" s="11"/>
      <x:c r="F887" s="12" t="str">
        <x:v>Not Started</x:v>
      </x:c>
      <x:c r="G887" s="13"/>
      <x:c r="H887" s="30" t="str">
        <x:f>IF(AND(E887&lt;&gt;"",F887="Ready"),"Yes","No")</x:f>
        <x:v>No</x:v>
      </x:c>
      <x:c r="I887" s="11"/>
    </x:row>
    <x:row r="888" ht="38" customHeight="1">
      <x:c r="A888" s="30" t="str">
        <x:v>CL0884</x:v>
      </x:c>
      <x:c r="B888" s="30" t="str">
        <x:v>Other Question</x:v>
      </x:c>
      <x:c r="C888" s="31" t="str">
        <x:v>What are the risks in the China and US market</x:v>
      </x:c>
      <x:c r="D888" s="32" t="n">
        <x:f>COUNTIF('All Questions'!$G$5:$G$1725,A888)</x:f>
        <x:v>1</x:v>
      </x:c>
      <x:c r="E888" s="11"/>
      <x:c r="F888" s="12" t="str">
        <x:v>Not Started</x:v>
      </x:c>
      <x:c r="G888" s="13"/>
      <x:c r="H888" s="30" t="str">
        <x:f>IF(AND(E888&lt;&gt;"",F888="Ready"),"Yes","No")</x:f>
        <x:v>No</x:v>
      </x:c>
      <x:c r="I888" s="11"/>
    </x:row>
    <x:row r="889" ht="38" customHeight="1">
      <x:c r="A889" s="30" t="str">
        <x:v>CL0885</x:v>
      </x:c>
      <x:c r="B889" s="30" t="str">
        <x:v>Other Question</x:v>
      </x:c>
      <x:c r="C889" s="31" t="str">
        <x:v>What are typical components in CIM and Management presentation</x:v>
      </x:c>
      <x:c r="D889" s="32" t="n">
        <x:f>COUNTIF('All Questions'!$G$5:$G$1725,A889)</x:f>
        <x:v>1</x:v>
      </x:c>
      <x:c r="E889" s="11"/>
      <x:c r="F889" s="12" t="str">
        <x:v>Not Started</x:v>
      </x:c>
      <x:c r="G889" s="13"/>
      <x:c r="H889" s="30" t="str">
        <x:f>IF(AND(E889&lt;&gt;"",F889="Ready"),"Yes","No")</x:f>
        <x:v>No</x:v>
      </x:c>
      <x:c r="I889" s="11"/>
    </x:row>
    <x:row r="890" ht="38" customHeight="1">
      <x:c r="A890" s="30" t="str">
        <x:v>CL0886</x:v>
      </x:c>
      <x:c r="B890" s="30" t="str">
        <x:v>Other Question</x:v>
      </x:c>
      <x:c r="C890" s="31" t="str">
        <x:v>What are you exactly doing in this role</x:v>
      </x:c>
      <x:c r="D890" s="32" t="n">
        <x:f>COUNTIF('All Questions'!$G$5:$G$1725,A890)</x:f>
        <x:v>1</x:v>
      </x:c>
      <x:c r="E890" s="11"/>
      <x:c r="F890" s="12" t="str">
        <x:v>Not Started</x:v>
      </x:c>
      <x:c r="G890" s="13"/>
      <x:c r="H890" s="30" t="str">
        <x:f>IF(AND(E890&lt;&gt;"",F890="Ready"),"Yes","No")</x:f>
        <x:v>No</x:v>
      </x:c>
      <x:c r="I890" s="11"/>
    </x:row>
    <x:row r="891" ht="38" customHeight="1">
      <x:c r="A891" s="30" t="str">
        <x:v>CL0887</x:v>
      </x:c>
      <x:c r="B891" s="30" t="str">
        <x:v>Behavioral &amp; Situational</x:v>
      </x:c>
      <x:c r="C891" s="31" t="str">
        <x:v>What are your strengths</x:v>
      </x:c>
      <x:c r="D891" s="32" t="n">
        <x:f>COUNTIF('All Questions'!$G$5:$G$1725,A891)</x:f>
        <x:v>1</x:v>
      </x:c>
      <x:c r="E891" s="11"/>
      <x:c r="F891" s="12" t="str">
        <x:v>Not Started</x:v>
      </x:c>
      <x:c r="G891" s="13"/>
      <x:c r="H891" s="30" t="str">
        <x:f>IF(AND(E891&lt;&gt;"",F891="Ready"),"Yes","No")</x:f>
        <x:v>No</x:v>
      </x:c>
      <x:c r="I891" s="11"/>
    </x:row>
    <x:row r="892" ht="38" customHeight="1">
      <x:c r="A892" s="30" t="str">
        <x:v>CL0888</x:v>
      </x:c>
      <x:c r="B892" s="30" t="str">
        <x:v>Company, Industry &amp; Deals</x:v>
      </x:c>
      <x:c r="C892" s="31" t="str">
        <x:v>What can companies use with excess cash</x:v>
      </x:c>
      <x:c r="D892" s="32" t="n">
        <x:f>COUNTIF('All Questions'!$G$5:$G$1725,A892)</x:f>
        <x:v>1</x:v>
      </x:c>
      <x:c r="E892" s="11"/>
      <x:c r="F892" s="12" t="str">
        <x:v>Not Started</x:v>
      </x:c>
      <x:c r="G892" s="13"/>
      <x:c r="H892" s="30" t="str">
        <x:f>IF(AND(E892&lt;&gt;"",F892="Ready"),"Yes","No")</x:f>
        <x:v>No</x:v>
      </x:c>
      <x:c r="I892" s="11"/>
    </x:row>
    <x:row r="893" ht="38" customHeight="1">
      <x:c r="A893" s="30" t="str">
        <x:v>CL0889</x:v>
      </x:c>
      <x:c r="B893" s="30" t="str">
        <x:v>Valuation</x:v>
      </x:c>
      <x:c r="C893" s="31" t="str">
        <x:v>What companies did you use for comparables analysis</x:v>
      </x:c>
      <x:c r="D893" s="32" t="n">
        <x:f>COUNTIF('All Questions'!$G$5:$G$1725,A893)</x:f>
        <x:v>1</x:v>
      </x:c>
      <x:c r="E893" s="11"/>
      <x:c r="F893" s="12" t="str">
        <x:v>Not Started</x:v>
      </x:c>
      <x:c r="G893" s="13"/>
      <x:c r="H893" s="30" t="str">
        <x:f>IF(AND(E893&lt;&gt;"",F893="Ready"),"Yes","No")</x:f>
        <x:v>No</x:v>
      </x:c>
      <x:c r="I893" s="11"/>
    </x:row>
    <x:row r="894" ht="38" customHeight="1">
      <x:c r="A894" s="30" t="str">
        <x:v>CL0890</x:v>
      </x:c>
      <x:c r="B894" s="30" t="str">
        <x:v>Valuation</x:v>
      </x:c>
      <x:c r="C894" s="31" t="str">
        <x:v>What companies did you use for the comparable analysis at XXXX</x:v>
      </x:c>
      <x:c r="D894" s="32" t="n">
        <x:f>COUNTIF('All Questions'!$G$5:$G$1725,A894)</x:f>
        <x:v>1</x:v>
      </x:c>
      <x:c r="E894" s="11"/>
      <x:c r="F894" s="12" t="str">
        <x:v>Not Started</x:v>
      </x:c>
      <x:c r="G894" s="13"/>
      <x:c r="H894" s="30" t="str">
        <x:f>IF(AND(E894&lt;&gt;"",F894="Ready"),"Yes","No")</x:f>
        <x:v>No</x:v>
      </x:c>
      <x:c r="I894" s="11"/>
    </x:row>
    <x:row r="895" ht="58" customHeight="1">
      <x:c r="A895" s="30" t="str">
        <x:v>CL0891</x:v>
      </x:c>
      <x:c r="B895" s="30" t="str">
        <x:v>Capital Markets &amp; Financing</x:v>
      </x:c>
      <x:c r="C895" s="31" t="str">
        <x:v>What considerations for the bank take into account when making a decision on bank loan or bond issuance for the corporates</x:v>
      </x:c>
      <x:c r="D895" s="32" t="n">
        <x:f>COUNTIF('All Questions'!$G$5:$G$1725,A895)</x:f>
        <x:v>1</x:v>
      </x:c>
      <x:c r="E895" s="11"/>
      <x:c r="F895" s="12" t="str">
        <x:v>Not Started</x:v>
      </x:c>
      <x:c r="G895" s="13"/>
      <x:c r="H895" s="30" t="str">
        <x:f>IF(AND(E895&lt;&gt;"",F895="Ready"),"Yes","No")</x:f>
        <x:v>No</x:v>
      </x:c>
      <x:c r="I895" s="11"/>
    </x:row>
    <x:row r="896" ht="38" customHeight="1">
      <x:c r="A896" s="30" t="str">
        <x:v>CL0892</x:v>
      </x:c>
      <x:c r="B896" s="30" t="str">
        <x:v>Other Question</x:v>
      </x:c>
      <x:c r="C896" s="31" t="str">
        <x:v>What coverage are you interested in working on at Barclays</x:v>
      </x:c>
      <x:c r="D896" s="32" t="n">
        <x:f>COUNTIF('All Questions'!$G$5:$G$1725,A896)</x:f>
        <x:v>1</x:v>
      </x:c>
      <x:c r="E896" s="11"/>
      <x:c r="F896" s="12" t="str">
        <x:v>Not Started</x:v>
      </x:c>
      <x:c r="G896" s="13"/>
      <x:c r="H896" s="30" t="str">
        <x:f>IF(AND(E896&lt;&gt;"",F896="Ready"),"Yes","No")</x:f>
        <x:v>No</x:v>
      </x:c>
      <x:c r="I896" s="11"/>
    </x:row>
    <x:row r="897" ht="38" customHeight="1">
      <x:c r="A897" s="30" t="str">
        <x:v>CL0893</x:v>
      </x:c>
      <x:c r="B897" s="30" t="str">
        <x:v>Other Question</x:v>
      </x:c>
      <x:c r="C897" s="31" t="str">
        <x:v>What did i do in the esports project</x:v>
      </x:c>
      <x:c r="D897" s="32" t="n">
        <x:f>COUNTIF('All Questions'!$G$5:$G$1725,A897)</x:f>
        <x:v>1</x:v>
      </x:c>
      <x:c r="E897" s="11"/>
      <x:c r="F897" s="12" t="str">
        <x:v>Not Started</x:v>
      </x:c>
      <x:c r="G897" s="13"/>
      <x:c r="H897" s="30" t="str">
        <x:f>IF(AND(E897&lt;&gt;"",F897="Ready"),"Yes","No")</x:f>
        <x:v>No</x:v>
      </x:c>
      <x:c r="I897" s="11"/>
    </x:row>
    <x:row r="898" ht="38" customHeight="1">
      <x:c r="A898" s="30" t="str">
        <x:v>CL0894</x:v>
      </x:c>
      <x:c r="B898" s="30" t="str">
        <x:v>Resume &amp; Experience</x:v>
      </x:c>
      <x:c r="C898" s="31" t="str">
        <x:v>What did u do in previous internship</x:v>
      </x:c>
      <x:c r="D898" s="32" t="n">
        <x:f>COUNTIF('All Questions'!$G$5:$G$1725,A898)</x:f>
        <x:v>1</x:v>
      </x:c>
      <x:c r="E898" s="11"/>
      <x:c r="F898" s="12" t="str">
        <x:v>Not Started</x:v>
      </x:c>
      <x:c r="G898" s="13"/>
      <x:c r="H898" s="30" t="str">
        <x:f>IF(AND(E898&lt;&gt;"",F898="Ready"),"Yes","No")</x:f>
        <x:v>No</x:v>
      </x:c>
      <x:c r="I898" s="11"/>
    </x:row>
    <x:row r="899" ht="38" customHeight="1">
      <x:c r="A899" s="30" t="str">
        <x:v>CL0895</x:v>
      </x:c>
      <x:c r="B899" s="30" t="str">
        <x:v>Resume &amp; Experience</x:v>
      </x:c>
      <x:c r="C899" s="31" t="str">
        <x:v>What did you do / what role did you play in preparing the pitches</x:v>
      </x:c>
      <x:c r="D899" s="32" t="n">
        <x:f>COUNTIF('All Questions'!$G$5:$G$1725,A899)</x:f>
        <x:v>1</x:v>
      </x:c>
      <x:c r="E899" s="11"/>
      <x:c r="F899" s="12" t="str">
        <x:v>Not Started</x:v>
      </x:c>
      <x:c r="G899" s="13"/>
      <x:c r="H899" s="30" t="str">
        <x:f>IF(AND(E899&lt;&gt;"",F899="Ready"),"Yes","No")</x:f>
        <x:v>No</x:v>
      </x:c>
      <x:c r="I899" s="11"/>
    </x:row>
    <x:row r="900" ht="38" customHeight="1">
      <x:c r="A900" s="30" t="str">
        <x:v>CL0896</x:v>
      </x:c>
      <x:c r="B900" s="30" t="str">
        <x:v>Resume &amp; Experience</x:v>
      </x:c>
      <x:c r="C900" s="31" t="str">
        <x:v>What did you do at equity research internship</x:v>
      </x:c>
      <x:c r="D900" s="32" t="n">
        <x:f>COUNTIF('All Questions'!$G$5:$G$1725,A900)</x:f>
        <x:v>1</x:v>
      </x:c>
      <x:c r="E900" s="11"/>
      <x:c r="F900" s="12" t="str">
        <x:v>Not Started</x:v>
      </x:c>
      <x:c r="G900" s="13"/>
      <x:c r="H900" s="30" t="str">
        <x:f>IF(AND(E900&lt;&gt;"",F900="Ready"),"Yes","No")</x:f>
        <x:v>No</x:v>
      </x:c>
      <x:c r="I900" s="11"/>
    </x:row>
    <x:row r="901" ht="38" customHeight="1">
      <x:c r="A901" s="30" t="str">
        <x:v>CL0897</x:v>
      </x:c>
      <x:c r="B901" s="30" t="str">
        <x:v>Resume &amp; Experience</x:v>
      </x:c>
      <x:c r="C901" s="31" t="str">
        <x:v>What did you do at KPMG</x:v>
      </x:c>
      <x:c r="D901" s="32" t="n">
        <x:f>COUNTIF('All Questions'!$G$5:$G$1725,A901)</x:f>
        <x:v>1</x:v>
      </x:c>
      <x:c r="E901" s="11"/>
      <x:c r="F901" s="12" t="str">
        <x:v>Not Started</x:v>
      </x:c>
      <x:c r="G901" s="13"/>
      <x:c r="H901" s="30" t="str">
        <x:f>IF(AND(E901&lt;&gt;"",F901="Ready"),"Yes","No")</x:f>
        <x:v>No</x:v>
      </x:c>
      <x:c r="I901" s="11"/>
    </x:row>
    <x:row r="902" ht="38" customHeight="1">
      <x:c r="A902" s="30" t="str">
        <x:v>CL0898</x:v>
      </x:c>
      <x:c r="B902" s="30" t="str">
        <x:v>Resume &amp; Experience</x:v>
      </x:c>
      <x:c r="C902" s="31" t="str">
        <x:v>What did you do for research for HKU Business School</x:v>
      </x:c>
      <x:c r="D902" s="32" t="n">
        <x:f>COUNTIF('All Questions'!$G$5:$G$1725,A902)</x:f>
        <x:v>1</x:v>
      </x:c>
      <x:c r="E902" s="11"/>
      <x:c r="F902" s="12" t="str">
        <x:v>Not Started</x:v>
      </x:c>
      <x:c r="G902" s="13"/>
      <x:c r="H902" s="30" t="str">
        <x:f>IF(AND(E902&lt;&gt;"",F902="Ready"),"Yes","No")</x:f>
        <x:v>No</x:v>
      </x:c>
      <x:c r="I902" s="11"/>
    </x:row>
    <x:row r="903" ht="38" customHeight="1">
      <x:c r="A903" s="30" t="str">
        <x:v>CL0899</x:v>
      </x:c>
      <x:c r="B903" s="30" t="str">
        <x:v>Resume &amp; Experience</x:v>
      </x:c>
      <x:c r="C903" s="31" t="str">
        <x:v>What did you do in Grant Samuel</x:v>
      </x:c>
      <x:c r="D903" s="32" t="n">
        <x:f>COUNTIF('All Questions'!$G$5:$G$1725,A903)</x:f>
        <x:v>1</x:v>
      </x:c>
      <x:c r="E903" s="11"/>
      <x:c r="F903" s="12" t="str">
        <x:v>Not Started</x:v>
      </x:c>
      <x:c r="G903" s="13"/>
      <x:c r="H903" s="30" t="str">
        <x:f>IF(AND(E903&lt;&gt;"",F903="Ready"),"Yes","No")</x:f>
        <x:v>No</x:v>
      </x:c>
      <x:c r="I903" s="11"/>
    </x:row>
    <x:row r="904" ht="38" customHeight="1">
      <x:c r="A904" s="30" t="str">
        <x:v>CL0900</x:v>
      </x:c>
      <x:c r="B904" s="30" t="str">
        <x:v>Resume &amp; Experience</x:v>
      </x:c>
      <x:c r="C904" s="31" t="str">
        <x:v>What did you do in HKUIBC</x:v>
      </x:c>
      <x:c r="D904" s="32" t="n">
        <x:f>COUNTIF('All Questions'!$G$5:$G$1725,A904)</x:f>
        <x:v>1</x:v>
      </x:c>
      <x:c r="E904" s="11"/>
      <x:c r="F904" s="12" t="str">
        <x:v>Not Started</x:v>
      </x:c>
      <x:c r="G904" s="13"/>
      <x:c r="H904" s="30" t="str">
        <x:f>IF(AND(E904&lt;&gt;"",F904="Ready"),"Yes","No")</x:f>
        <x:v>No</x:v>
      </x:c>
      <x:c r="I904" s="11"/>
    </x:row>
    <x:row r="905" ht="38" customHeight="1">
      <x:c r="A905" s="30" t="str">
        <x:v>CL0901</x:v>
      </x:c>
      <x:c r="B905" s="30" t="str">
        <x:v>Resume &amp; Experience</x:v>
      </x:c>
      <x:c r="C905" s="31" t="str">
        <x:v>What did you do in Huatai Investment Banking, any deals</x:v>
      </x:c>
      <x:c r="D905" s="32" t="n">
        <x:f>COUNTIF('All Questions'!$G$5:$G$1725,A905)</x:f>
        <x:v>1</x:v>
      </x:c>
      <x:c r="E905" s="11"/>
      <x:c r="F905" s="12" t="str">
        <x:v>Not Started</x:v>
      </x:c>
      <x:c r="G905" s="13"/>
      <x:c r="H905" s="30" t="str">
        <x:f>IF(AND(E905&lt;&gt;"",F905="Ready"),"Yes","No")</x:f>
        <x:v>No</x:v>
      </x:c>
      <x:c r="I905" s="11"/>
    </x:row>
    <x:row r="906" ht="38" customHeight="1">
      <x:c r="A906" s="30" t="str">
        <x:v>CL0902</x:v>
      </x:c>
      <x:c r="B906" s="30" t="str">
        <x:v>Resume &amp; Experience</x:v>
      </x:c>
      <x:c r="C906" s="31" t="str">
        <x:v>What did you do in Odysseus</x:v>
      </x:c>
      <x:c r="D906" s="32" t="n">
        <x:f>COUNTIF('All Questions'!$G$5:$G$1725,A906)</x:f>
        <x:v>1</x:v>
      </x:c>
      <x:c r="E906" s="11"/>
      <x:c r="F906" s="12" t="str">
        <x:v>Not Started</x:v>
      </x:c>
      <x:c r="G906" s="13"/>
      <x:c r="H906" s="30" t="str">
        <x:f>IF(AND(E906&lt;&gt;"",F906="Ready"),"Yes","No")</x:f>
        <x:v>No</x:v>
      </x:c>
      <x:c r="I906" s="11"/>
    </x:row>
    <x:row r="907" ht="58" customHeight="1">
      <x:c r="A907" s="30" t="str">
        <x:v>CL0903</x:v>
      </x:c>
      <x:c r="B907" s="30" t="str">
        <x:v>Resume &amp; Experience</x:v>
      </x:c>
      <x:c r="C907" s="31" t="str">
        <x:v>What did you do in the CPS deal? Tell me about the company, industry, drivers, model assumptions, oil field analysis</x:v>
      </x:c>
      <x:c r="D907" s="32" t="n">
        <x:f>COUNTIF('All Questions'!$G$5:$G$1725,A907)</x:f>
        <x:v>1</x:v>
      </x:c>
      <x:c r="E907" s="11"/>
      <x:c r="F907" s="12" t="str">
        <x:v>Not Started</x:v>
      </x:c>
      <x:c r="G907" s="13"/>
      <x:c r="H907" s="30" t="str">
        <x:f>IF(AND(E907&lt;&gt;"",F907="Ready"),"Yes","No")</x:f>
        <x:v>No</x:v>
      </x:c>
      <x:c r="I907" s="11"/>
    </x:row>
    <x:row r="908" ht="38" customHeight="1">
      <x:c r="A908" s="30" t="str">
        <x:v>CL0904</x:v>
      </x:c>
      <x:c r="B908" s="30" t="str">
        <x:v>Resume &amp; Experience</x:v>
      </x:c>
      <x:c r="C908" s="31" t="str">
        <x:v>What did you do in the M&amp;A precedent transaction research? The purpose</x:v>
      </x:c>
      <x:c r="D908" s="32" t="n">
        <x:f>COUNTIF('All Questions'!$G$5:$G$1725,A908)</x:f>
        <x:v>1</x:v>
      </x:c>
      <x:c r="E908" s="11"/>
      <x:c r="F908" s="12" t="str">
        <x:v>Not Started</x:v>
      </x:c>
      <x:c r="G908" s="13"/>
      <x:c r="H908" s="30" t="str">
        <x:f>IF(AND(E908&lt;&gt;"",F908="Ready"),"Yes","No")</x:f>
        <x:v>No</x:v>
      </x:c>
      <x:c r="I908" s="11"/>
    </x:row>
    <x:row r="909" ht="38" customHeight="1">
      <x:c r="A909" s="30" t="str">
        <x:v>CL0905</x:v>
      </x:c>
      <x:c r="B909" s="30" t="str">
        <x:v>Resume &amp; Experience</x:v>
      </x:c>
      <x:c r="C909" s="31" t="str">
        <x:v>What did you do in UBS</x:v>
      </x:c>
      <x:c r="D909" s="32" t="n">
        <x:f>COUNTIF('All Questions'!$G$5:$G$1725,A909)</x:f>
        <x:v>1</x:v>
      </x:c>
      <x:c r="E909" s="11"/>
      <x:c r="F909" s="12" t="str">
        <x:v>Not Started</x:v>
      </x:c>
      <x:c r="G909" s="13"/>
      <x:c r="H909" s="30" t="str">
        <x:f>IF(AND(E909&lt;&gt;"",F909="Ready"),"Yes","No")</x:f>
        <x:v>No</x:v>
      </x:c>
      <x:c r="I909" s="11"/>
    </x:row>
    <x:row r="910" ht="58" customHeight="1">
      <x:c r="A910" s="30" t="str">
        <x:v>CL0906</x:v>
      </x:c>
      <x:c r="B910" s="30" t="str">
        <x:v>Resume &amp; Experience</x:v>
      </x:c>
      <x:c r="C910" s="31" t="str">
        <x:v>What did you learn from past intern experience? What do you think you will be doing if admitted to the program</x:v>
      </x:c>
      <x:c r="D910" s="32" t="n">
        <x:f>COUNTIF('All Questions'!$G$5:$G$1725,A910)</x:f>
        <x:v>1</x:v>
      </x:c>
      <x:c r="E910" s="11"/>
      <x:c r="F910" s="12" t="str">
        <x:v>Not Started</x:v>
      </x:c>
      <x:c r="G910" s="13"/>
      <x:c r="H910" s="30" t="str">
        <x:f>IF(AND(E910&lt;&gt;"",F910="Ready"),"Yes","No")</x:f>
        <x:v>No</x:v>
      </x:c>
      <x:c r="I910" s="11"/>
    </x:row>
    <x:row r="911" ht="38" customHeight="1">
      <x:c r="A911" s="30" t="str">
        <x:v>CL0907</x:v>
      </x:c>
      <x:c r="B911" s="30" t="str">
        <x:v>Other Question</x:v>
      </x:c>
      <x:c r="C911" s="31" t="str">
        <x:v>What did you learn in UBS</x:v>
      </x:c>
      <x:c r="D911" s="32" t="n">
        <x:f>COUNTIF('All Questions'!$G$5:$G$1725,A911)</x:f>
        <x:v>1</x:v>
      </x:c>
      <x:c r="E911" s="11"/>
      <x:c r="F911" s="12" t="str">
        <x:v>Not Started</x:v>
      </x:c>
      <x:c r="G911" s="13"/>
      <x:c r="H911" s="30" t="str">
        <x:f>IF(AND(E911&lt;&gt;"",F911="Ready"),"Yes","No")</x:f>
        <x:v>No</x:v>
      </x:c>
      <x:c r="I911" s="11"/>
    </x:row>
    <x:row r="912" ht="38" customHeight="1">
      <x:c r="A912" s="30" t="str">
        <x:v>CL0908</x:v>
      </x:c>
      <x:c r="B912" s="30" t="str">
        <x:v>Resume &amp; Experience</x:v>
      </x:c>
      <x:c r="C912" s="31" t="str">
        <x:v>What did you learn in ur ECM internship</x:v>
      </x:c>
      <x:c r="D912" s="32" t="n">
        <x:f>COUNTIF('All Questions'!$G$5:$G$1725,A912)</x:f>
        <x:v>1</x:v>
      </x:c>
      <x:c r="E912" s="11"/>
      <x:c r="F912" s="12" t="str">
        <x:v>Not Started</x:v>
      </x:c>
      <x:c r="G912" s="13"/>
      <x:c r="H912" s="30" t="str">
        <x:f>IF(AND(E912&lt;&gt;"",F912="Ready"),"Yes","No")</x:f>
        <x:v>No</x:v>
      </x:c>
      <x:c r="I912" s="11"/>
    </x:row>
    <x:row r="913" ht="38" customHeight="1">
      <x:c r="A913" s="30" t="str">
        <x:v>CL0909</x:v>
      </x:c>
      <x:c r="B913" s="30" t="str">
        <x:v>Other Question</x:v>
      </x:c>
      <x:c r="C913" s="31" t="str">
        <x:v>What did you look at for this pitching (it was an industrial pitch)</x:v>
      </x:c>
      <x:c r="D913" s="32" t="n">
        <x:f>COUNTIF('All Questions'!$G$5:$G$1725,A913)</x:f>
        <x:v>1</x:v>
      </x:c>
      <x:c r="E913" s="11"/>
      <x:c r="F913" s="12" t="str">
        <x:v>Not Started</x:v>
      </x:c>
      <x:c r="G913" s="13"/>
      <x:c r="H913" s="30" t="str">
        <x:f>IF(AND(E913&lt;&gt;"",F913="Ready"),"Yes","No")</x:f>
        <x:v>No</x:v>
      </x:c>
      <x:c r="I913" s="11"/>
    </x:row>
    <x:row r="914" ht="38" customHeight="1">
      <x:c r="A914" s="30" t="str">
        <x:v>CL0910</x:v>
      </x:c>
      <x:c r="B914" s="30" t="str">
        <x:v>Company, Industry &amp; Deals</x:v>
      </x:c>
      <x:c r="C914" s="31" t="str">
        <x:v>What did you work on for the operational overview</x:v>
      </x:c>
      <x:c r="D914" s="32" t="n">
        <x:f>COUNTIF('All Questions'!$G$5:$G$1725,A914)</x:f>
        <x:v>1</x:v>
      </x:c>
      <x:c r="E914" s="11"/>
      <x:c r="F914" s="12" t="str">
        <x:v>Not Started</x:v>
      </x:c>
      <x:c r="G914" s="13"/>
      <x:c r="H914" s="30" t="str">
        <x:f>IF(AND(E914&lt;&gt;"",F914="Ready"),"Yes","No")</x:f>
        <x:v>No</x:v>
      </x:c>
      <x:c r="I914" s="11"/>
    </x:row>
    <x:row r="915" ht="38" customHeight="1">
      <x:c r="A915" s="30" t="str">
        <x:v>CL0911</x:v>
      </x:c>
      <x:c r="B915" s="30" t="str">
        <x:v>Valuation</x:v>
      </x:c>
      <x:c r="C915" s="31" t="str">
        <x:v>What discount rate do you use for levered vs unlevered fcf</x:v>
      </x:c>
      <x:c r="D915" s="32" t="n">
        <x:f>COUNTIF('All Questions'!$G$5:$G$1725,A915)</x:f>
        <x:v>1</x:v>
      </x:c>
      <x:c r="E915" s="11"/>
      <x:c r="F915" s="12" t="str">
        <x:v>Not Started</x:v>
      </x:c>
      <x:c r="G915" s="13"/>
      <x:c r="H915" s="30" t="str">
        <x:f>IF(AND(E915&lt;&gt;"",F915="Ready"),"Yes","No")</x:f>
        <x:v>No</x:v>
      </x:c>
      <x:c r="I915" s="11"/>
    </x:row>
    <x:row r="916" ht="38" customHeight="1">
      <x:c r="A916" s="30" t="str">
        <x:v>CL0912</x:v>
      </x:c>
      <x:c r="B916" s="30" t="str">
        <x:v>Capital Markets &amp; Financing</x:v>
      </x:c>
      <x:c r="C916" s="31" t="str">
        <x:v>What do GCM do</x:v>
      </x:c>
      <x:c r="D916" s="32" t="n">
        <x:f>COUNTIF('All Questions'!$G$5:$G$1725,A916)</x:f>
        <x:v>1</x:v>
      </x:c>
      <x:c r="E916" s="11"/>
      <x:c r="F916" s="12" t="str">
        <x:v>Not Started</x:v>
      </x:c>
      <x:c r="G916" s="13"/>
      <x:c r="H916" s="30" t="str">
        <x:f>IF(AND(E916&lt;&gt;"",F916="Ready"),"Yes","No")</x:f>
        <x:v>No</x:v>
      </x:c>
      <x:c r="I916" s="11"/>
    </x:row>
    <x:row r="917" ht="38" customHeight="1">
      <x:c r="A917" s="30" t="str">
        <x:v>CL0913</x:v>
      </x:c>
      <x:c r="B917" s="30" t="str">
        <x:v>Other Question</x:v>
      </x:c>
      <x:c r="C917" s="31" t="str">
        <x:v>What do you do at spare time</x:v>
      </x:c>
      <x:c r="D917" s="32" t="n">
        <x:f>COUNTIF('All Questions'!$G$5:$G$1725,A917)</x:f>
        <x:v>1</x:v>
      </x:c>
      <x:c r="E917" s="11"/>
      <x:c r="F917" s="12" t="str">
        <x:v>Not Started</x:v>
      </x:c>
      <x:c r="G917" s="13"/>
      <x:c r="H917" s="30" t="str">
        <x:f>IF(AND(E917&lt;&gt;"",F917="Ready"),"Yes","No")</x:f>
        <x:v>No</x:v>
      </x:c>
      <x:c r="I917" s="11"/>
    </x:row>
    <x:row r="918" ht="38" customHeight="1">
      <x:c r="A918" s="30" t="str">
        <x:v>CL0914</x:v>
      </x:c>
      <x:c r="B918" s="30" t="str">
        <x:v>Other Question</x:v>
      </x:c>
      <x:c r="C918" s="31" t="str">
        <x:v>What do you do in HKUIBC? Any mentors from DB</x:v>
      </x:c>
      <x:c r="D918" s="32" t="n">
        <x:f>COUNTIF('All Questions'!$G$5:$G$1725,A918)</x:f>
        <x:v>1</x:v>
      </x:c>
      <x:c r="E918" s="11"/>
      <x:c r="F918" s="12" t="str">
        <x:v>Not Started</x:v>
      </x:c>
      <x:c r="G918" s="13"/>
      <x:c r="H918" s="30" t="str">
        <x:f>IF(AND(E918&lt;&gt;"",F918="Ready"),"Yes","No")</x:f>
        <x:v>No</x:v>
      </x:c>
      <x:c r="I918" s="11"/>
    </x:row>
    <x:row r="919" ht="38" customHeight="1">
      <x:c r="A919" s="30" t="str">
        <x:v>CL0915</x:v>
      </x:c>
      <x:c r="B919" s="30" t="str">
        <x:v>Other Question</x:v>
      </x:c>
      <x:c r="C919" s="31" t="str">
        <x:v>What do you do in IBC</x:v>
      </x:c>
      <x:c r="D919" s="32" t="n">
        <x:f>COUNTIF('All Questions'!$G$5:$G$1725,A919)</x:f>
        <x:v>1</x:v>
      </x:c>
      <x:c r="E919" s="11"/>
      <x:c r="F919" s="12" t="str">
        <x:v>Not Started</x:v>
      </x:c>
      <x:c r="G919" s="13"/>
      <x:c r="H919" s="30" t="str">
        <x:f>IF(AND(E919&lt;&gt;"",F919="Ready"),"Yes","No")</x:f>
        <x:v>No</x:v>
      </x:c>
      <x:c r="I919" s="11"/>
    </x:row>
    <x:row r="920" ht="38" customHeight="1">
      <x:c r="A920" s="30" t="str">
        <x:v>CL0916</x:v>
      </x:c>
      <x:c r="B920" s="30" t="str">
        <x:v>Other Question</x:v>
      </x:c>
      <x:c r="C920" s="31" t="str">
        <x:v>What do you do in NB? (didnt go deep)</x:v>
      </x:c>
      <x:c r="D920" s="32" t="n">
        <x:f>COUNTIF('All Questions'!$G$5:$G$1725,A920)</x:f>
        <x:v>1</x:v>
      </x:c>
      <x:c r="E920" s="11"/>
      <x:c r="F920" s="12" t="str">
        <x:v>Not Started</x:v>
      </x:c>
      <x:c r="G920" s="13"/>
      <x:c r="H920" s="30" t="str">
        <x:f>IF(AND(E920&lt;&gt;"",F920="Ready"),"Yes","No")</x:f>
        <x:v>No</x:v>
      </x:c>
      <x:c r="I920" s="11"/>
    </x:row>
    <x:row r="921" ht="38" customHeight="1">
      <x:c r="A921" s="30" t="str">
        <x:v>CL0917</x:v>
      </x:c>
      <x:c r="B921" s="30" t="str">
        <x:v>Other Question</x:v>
      </x:c>
      <x:c r="C921" s="31" t="str">
        <x:v>What do you do in your free time apart from fencing</x:v>
      </x:c>
      <x:c r="D921" s="32" t="n">
        <x:f>COUNTIF('All Questions'!$G$5:$G$1725,A921)</x:f>
        <x:v>1</x:v>
      </x:c>
      <x:c r="E921" s="11"/>
      <x:c r="F921" s="12" t="str">
        <x:v>Not Started</x:v>
      </x:c>
      <x:c r="G921" s="13"/>
      <x:c r="H921" s="30" t="str">
        <x:f>IF(AND(E921&lt;&gt;"",F921="Ready"),"Yes","No")</x:f>
        <x:v>No</x:v>
      </x:c>
      <x:c r="I921" s="11"/>
    </x:row>
    <x:row r="922" ht="38" customHeight="1">
      <x:c r="A922" s="30" t="str">
        <x:v>CL0918</x:v>
      </x:c>
      <x:c r="B922" s="30" t="str">
        <x:v>Other Question</x:v>
      </x:c>
      <x:c r="C922" s="31" t="str">
        <x:v>What do you do in your spare time</x:v>
      </x:c>
      <x:c r="D922" s="32" t="n">
        <x:f>COUNTIF('All Questions'!$G$5:$G$1725,A922)</x:f>
        <x:v>1</x:v>
      </x:c>
      <x:c r="E922" s="11"/>
      <x:c r="F922" s="12" t="str">
        <x:v>Not Started</x:v>
      </x:c>
      <x:c r="G922" s="13"/>
      <x:c r="H922" s="30" t="str">
        <x:f>IF(AND(E922&lt;&gt;"",F922="Ready"),"Yes","No")</x:f>
        <x:v>No</x:v>
      </x:c>
      <x:c r="I922" s="11"/>
    </x:row>
    <x:row r="923" ht="38" customHeight="1">
      <x:c r="A923" s="30" t="str">
        <x:v>CL0919</x:v>
      </x:c>
      <x:c r="B923" s="30" t="str">
        <x:v>Other Question</x:v>
      </x:c>
      <x:c r="C923" s="31" t="str">
        <x:v>What do you know about Barclays</x:v>
      </x:c>
      <x:c r="D923" s="32" t="n">
        <x:f>COUNTIF('All Questions'!$G$5:$G$1725,A923)</x:f>
        <x:v>1</x:v>
      </x:c>
      <x:c r="E923" s="11"/>
      <x:c r="F923" s="12" t="str">
        <x:v>Not Started</x:v>
      </x:c>
      <x:c r="G923" s="13"/>
      <x:c r="H923" s="30" t="str">
        <x:f>IF(AND(E923&lt;&gt;"",F923="Ready"),"Yes","No")</x:f>
        <x:v>No</x:v>
      </x:c>
      <x:c r="I923" s="11"/>
    </x:row>
    <x:row r="924" ht="38" customHeight="1">
      <x:c r="A924" s="30" t="str">
        <x:v>CL0920</x:v>
      </x:c>
      <x:c r="B924" s="30" t="str">
        <x:v>Other Question</x:v>
      </x:c>
      <x:c r="C924" s="31" t="str">
        <x:v>What do you know about DB / O&amp;A</x:v>
      </x:c>
      <x:c r="D924" s="32" t="n">
        <x:f>COUNTIF('All Questions'!$G$5:$G$1725,A924)</x:f>
        <x:v>1</x:v>
      </x:c>
      <x:c r="E924" s="11"/>
      <x:c r="F924" s="12" t="str">
        <x:v>Not Started</x:v>
      </x:c>
      <x:c r="G924" s="13"/>
      <x:c r="H924" s="30" t="str">
        <x:f>IF(AND(E924&lt;&gt;"",F924="Ready"),"Yes","No")</x:f>
        <x:v>No</x:v>
      </x:c>
      <x:c r="I924" s="11"/>
    </x:row>
    <x:row r="925" ht="38" customHeight="1">
      <x:c r="A925" s="30" t="str">
        <x:v>CL0921</x:v>
      </x:c>
      <x:c r="B925" s="30" t="str">
        <x:v>Capital Markets &amp; Financing</x:v>
      </x:c>
      <x:c r="C925" s="31" t="str">
        <x:v>What do you know about DCM (not sure if she asked)</x:v>
      </x:c>
      <x:c r="D925" s="32" t="n">
        <x:f>COUNTIF('All Questions'!$G$5:$G$1725,A925)</x:f>
        <x:v>1</x:v>
      </x:c>
      <x:c r="E925" s="11"/>
      <x:c r="F925" s="12" t="str">
        <x:v>Not Started</x:v>
      </x:c>
      <x:c r="G925" s="13"/>
      <x:c r="H925" s="30" t="str">
        <x:f>IF(AND(E925&lt;&gt;"",F925="Ready"),"Yes","No")</x:f>
        <x:v>No</x:v>
      </x:c>
      <x:c r="I925" s="11"/>
    </x:row>
    <x:row r="926" ht="38" customHeight="1">
      <x:c r="A926" s="30" t="str">
        <x:v>CL0922</x:v>
      </x:c>
      <x:c r="B926" s="30" t="str">
        <x:v>Private Equity &amp; LBO</x:v>
      </x:c>
      <x:c r="C926" s="31" t="str">
        <x:v>What do you know about LBO</x:v>
      </x:c>
      <x:c r="D926" s="32" t="n">
        <x:f>COUNTIF('All Questions'!$G$5:$G$1725,A926)</x:f>
        <x:v>1</x:v>
      </x:c>
      <x:c r="E926" s="11"/>
      <x:c r="F926" s="12" t="str">
        <x:v>Not Started</x:v>
      </x:c>
      <x:c r="G926" s="13"/>
      <x:c r="H926" s="30" t="str">
        <x:f>IF(AND(E926&lt;&gt;"",F926="Ready"),"Yes","No")</x:f>
        <x:v>No</x:v>
      </x:c>
      <x:c r="I926" s="11"/>
    </x:row>
    <x:row r="927" ht="38" customHeight="1">
      <x:c r="A927" s="30" t="str">
        <x:v>CL0923</x:v>
      </x:c>
      <x:c r="B927" s="30" t="str">
        <x:v>Other Question</x:v>
      </x:c>
      <x:c r="C927" s="31" t="str">
        <x:v>What do you know about nomura</x:v>
      </x:c>
      <x:c r="D927" s="32" t="n">
        <x:f>COUNTIF('All Questions'!$G$5:$G$1725,A927)</x:f>
        <x:v>1</x:v>
      </x:c>
      <x:c r="E927" s="11"/>
      <x:c r="F927" s="12" t="str">
        <x:v>Not Started</x:v>
      </x:c>
      <x:c r="G927" s="13"/>
      <x:c r="H927" s="30" t="str">
        <x:f>IF(AND(E927&lt;&gt;"",F927="Ready"),"Yes","No")</x:f>
        <x:v>No</x:v>
      </x:c>
      <x:c r="I927" s="11"/>
    </x:row>
    <x:row r="928" ht="38" customHeight="1">
      <x:c r="A928" s="30" t="str">
        <x:v>CL0924</x:v>
      </x:c>
      <x:c r="B928" s="30" t="str">
        <x:v>Accounting &amp; Financial Statements</x:v>
      </x:c>
      <x:c r="C928" s="31" t="str">
        <x:v>What do you know about this industry the company is in</x:v>
      </x:c>
      <x:c r="D928" s="32" t="n">
        <x:f>COUNTIF('All Questions'!$G$5:$G$1725,A928)</x:f>
        <x:v>1</x:v>
      </x:c>
      <x:c r="E928" s="11"/>
      <x:c r="F928" s="12" t="str">
        <x:v>Not Started</x:v>
      </x:c>
      <x:c r="G928" s="13"/>
      <x:c r="H928" s="30" t="str">
        <x:f>IF(AND(E928&lt;&gt;"",F928="Ready"),"Yes","No")</x:f>
        <x:v>No</x:v>
      </x:c>
      <x:c r="I928" s="11"/>
    </x:row>
    <x:row r="929" ht="38" customHeight="1">
      <x:c r="A929" s="30" t="str">
        <x:v>CL0925</x:v>
      </x:c>
      <x:c r="B929" s="30" t="str">
        <x:v>Other Question</x:v>
      </x:c>
      <x:c r="C929" s="31" t="str">
        <x:v>What do you think about the FI</x:v>
      </x:c>
      <x:c r="D929" s="32" t="n">
        <x:f>COUNTIF('All Questions'!$G$5:$G$1725,A929)</x:f>
        <x:v>1</x:v>
      </x:c>
      <x:c r="E929" s="11"/>
      <x:c r="F929" s="12" t="str">
        <x:v>Not Started</x:v>
      </x:c>
      <x:c r="G929" s="13"/>
      <x:c r="H929" s="30" t="str">
        <x:f>IF(AND(E929&lt;&gt;"",F929="Ready"),"Yes","No")</x:f>
        <x:v>No</x:v>
      </x:c>
      <x:c r="I929" s="11"/>
    </x:row>
    <x:row r="930" ht="38" customHeight="1">
      <x:c r="A930" s="30" t="str">
        <x:v>CL0926</x:v>
      </x:c>
      <x:c r="B930" s="30" t="str">
        <x:v>Behavioral &amp; Situational</x:v>
      </x:c>
      <x:c r="C930" s="31" t="str">
        <x:v>What do you think are the important qualities to become a successful salesperson</x:v>
      </x:c>
      <x:c r="D930" s="32" t="n">
        <x:f>COUNTIF('All Questions'!$G$5:$G$1725,A930)</x:f>
        <x:v>1</x:v>
      </x:c>
      <x:c r="E930" s="11"/>
      <x:c r="F930" s="12" t="str">
        <x:v>Not Started</x:v>
      </x:c>
      <x:c r="G930" s="13"/>
      <x:c r="H930" s="30" t="str">
        <x:f>IF(AND(E930&lt;&gt;"",F930="Ready"),"Yes","No")</x:f>
        <x:v>No</x:v>
      </x:c>
      <x:c r="I930" s="11"/>
    </x:row>
    <x:row r="931" ht="38" customHeight="1">
      <x:c r="A931" s="30" t="str">
        <x:v>CL0927</x:v>
      </x:c>
      <x:c r="B931" s="30" t="str">
        <x:v>Other Question</x:v>
      </x:c>
      <x:c r="C931" s="31" t="str">
        <x:v>What do you think are your adv and disadv</x:v>
      </x:c>
      <x:c r="D931" s="32" t="n">
        <x:f>COUNTIF('All Questions'!$G$5:$G$1725,A931)</x:f>
        <x:v>1</x:v>
      </x:c>
      <x:c r="E931" s="11"/>
      <x:c r="F931" s="12" t="str">
        <x:v>Not Started</x:v>
      </x:c>
      <x:c r="G931" s="13"/>
      <x:c r="H931" s="30" t="str">
        <x:f>IF(AND(E931&lt;&gt;"",F931="Ready"),"Yes","No")</x:f>
        <x:v>No</x:v>
      </x:c>
      <x:c r="I931" s="11"/>
    </x:row>
    <x:row r="932" ht="38" customHeight="1">
      <x:c r="A932" s="30" t="str">
        <x:v>CL0928</x:v>
      </x:c>
      <x:c r="B932" s="30" t="str">
        <x:v>Other Question</x:v>
      </x:c>
      <x:c r="C932" s="31" t="str">
        <x:v>What do you think differentiates MS from the other banks</x:v>
      </x:c>
      <x:c r="D932" s="32" t="n">
        <x:f>COUNTIF('All Questions'!$G$5:$G$1725,A932)</x:f>
        <x:v>1</x:v>
      </x:c>
      <x:c r="E932" s="11"/>
      <x:c r="F932" s="12" t="str">
        <x:v>Not Started</x:v>
      </x:c>
      <x:c r="G932" s="13"/>
      <x:c r="H932" s="30" t="str">
        <x:f>IF(AND(E932&lt;&gt;"",F932="Ready"),"Yes","No")</x:f>
        <x:v>No</x:v>
      </x:c>
      <x:c r="I932" s="11"/>
    </x:row>
    <x:row r="933" ht="58" customHeight="1">
      <x:c r="A933" s="30" t="str">
        <x:v>CL0929</x:v>
      </x:c>
      <x:c r="B933" s="30" t="str">
        <x:v>Other Question</x:v>
      </x:c>
      <x:c r="C933" s="31" t="str">
        <x:v>What do you think drives the financial market in the last 6 months and what will be the drivers for the next 6 months</x:v>
      </x:c>
      <x:c r="D933" s="32" t="n">
        <x:f>COUNTIF('All Questions'!$G$5:$G$1725,A933)</x:f>
        <x:v>1</x:v>
      </x:c>
      <x:c r="E933" s="11"/>
      <x:c r="F933" s="12" t="str">
        <x:v>Not Started</x:v>
      </x:c>
      <x:c r="G933" s="13"/>
      <x:c r="H933" s="30" t="str">
        <x:f>IF(AND(E933&lt;&gt;"",F933="Ready"),"Yes","No")</x:f>
        <x:v>No</x:v>
      </x:c>
      <x:c r="I933" s="11"/>
    </x:row>
    <x:row r="934" ht="58" customHeight="1">
      <x:c r="A934" s="30" t="str">
        <x:v>CL0930</x:v>
      </x:c>
      <x:c r="B934" s="30" t="str">
        <x:v>Accounting &amp; Financial Statements</x:v>
      </x:c>
      <x:c r="C934" s="31" t="str">
        <x:v>What do you think is one of the trends in AM industry currently? (I said digital transformation)</x:v>
      </x:c>
      <x:c r="D934" s="32" t="n">
        <x:f>COUNTIF('All Questions'!$G$5:$G$1725,A934)</x:f>
        <x:v>1</x:v>
      </x:c>
      <x:c r="E934" s="11"/>
      <x:c r="F934" s="12" t="str">
        <x:v>Not Started</x:v>
      </x:c>
      <x:c r="G934" s="13"/>
      <x:c r="H934" s="30" t="str">
        <x:f>IF(AND(E934&lt;&gt;"",F934="Ready"),"Yes","No")</x:f>
        <x:v>No</x:v>
      </x:c>
      <x:c r="I934" s="11"/>
    </x:row>
    <x:row r="935" ht="58" customHeight="1">
      <x:c r="A935" s="30" t="str">
        <x:v>CL0931</x:v>
      </x:c>
      <x:c r="B935" s="30" t="str">
        <x:v>Accounting &amp; Financial Statements</x:v>
      </x:c>
      <x:c r="C935" s="31" t="str">
        <x:v>What do you think is the key move of investment banks to stay relevant and compete competitively</x:v>
      </x:c>
      <x:c r="D935" s="32" t="n">
        <x:f>COUNTIF('All Questions'!$G$5:$G$1725,A935)</x:f>
        <x:v>1</x:v>
      </x:c>
      <x:c r="E935" s="11"/>
      <x:c r="F935" s="12" t="str">
        <x:v>Not Started</x:v>
      </x:c>
      <x:c r="G935" s="13"/>
      <x:c r="H935" s="30" t="str">
        <x:f>IF(AND(E935&lt;&gt;"",F935="Ready"),"Yes","No")</x:f>
        <x:v>No</x:v>
      </x:c>
      <x:c r="I935" s="11"/>
    </x:row>
    <x:row r="936" ht="38" customHeight="1">
      <x:c r="A936" s="30" t="str">
        <x:v>CL0932</x:v>
      </x:c>
      <x:c r="B936" s="30" t="str">
        <x:v>Other Question</x:v>
      </x:c>
      <x:c r="C936" s="31" t="str">
        <x:v>What do you think the sales role are doing</x:v>
      </x:c>
      <x:c r="D936" s="32" t="n">
        <x:f>COUNTIF('All Questions'!$G$5:$G$1725,A936)</x:f>
        <x:v>1</x:v>
      </x:c>
      <x:c r="E936" s="11"/>
      <x:c r="F936" s="12" t="str">
        <x:v>Not Started</x:v>
      </x:c>
      <x:c r="G936" s="13"/>
      <x:c r="H936" s="30" t="str">
        <x:f>IF(AND(E936&lt;&gt;"",F936="Ready"),"Yes","No")</x:f>
        <x:v>No</x:v>
      </x:c>
      <x:c r="I936" s="11"/>
    </x:row>
    <x:row r="937" ht="58" customHeight="1">
      <x:c r="A937" s="30" t="str">
        <x:v>CL0933</x:v>
      </x:c>
      <x:c r="B937" s="30" t="str">
        <x:v>Markets &amp; Macro</x:v>
      </x:c>
      <x:c r="C937" s="31" t="str">
        <x:v>What do you think would be the impact or consequences of tariffs on Asian economies in the short/medium/long term</x:v>
      </x:c>
      <x:c r="D937" s="32" t="n">
        <x:f>COUNTIF('All Questions'!$G$5:$G$1725,A937)</x:f>
        <x:v>1</x:v>
      </x:c>
      <x:c r="E937" s="11"/>
      <x:c r="F937" s="12" t="str">
        <x:v>Not Started</x:v>
      </x:c>
      <x:c r="G937" s="13"/>
      <x:c r="H937" s="30" t="str">
        <x:f>IF(AND(E937&lt;&gt;"",F937="Ready"),"Yes","No")</x:f>
        <x:v>No</x:v>
      </x:c>
      <x:c r="I937" s="11"/>
    </x:row>
    <x:row r="938" ht="38" customHeight="1">
      <x:c r="A938" s="30" t="str">
        <x:v>CL0934</x:v>
      </x:c>
      <x:c r="B938" s="30" t="str">
        <x:v>Other Question</x:v>
      </x:c>
      <x:c r="C938" s="31" t="str">
        <x:v>What do you use for rf ( I said t-bill/bond/notes)</x:v>
      </x:c>
      <x:c r="D938" s="32" t="n">
        <x:f>COUNTIF('All Questions'!$G$5:$G$1725,A938)</x:f>
        <x:v>1</x:v>
      </x:c>
      <x:c r="E938" s="11"/>
      <x:c r="F938" s="12" t="str">
        <x:v>Not Started</x:v>
      </x:c>
      <x:c r="G938" s="13"/>
      <x:c r="H938" s="30" t="str">
        <x:f>IF(AND(E938&lt;&gt;"",F938="Ready"),"Yes","No")</x:f>
        <x:v>No</x:v>
      </x:c>
      <x:c r="I938" s="11"/>
    </x:row>
    <x:row r="939" ht="38" customHeight="1">
      <x:c r="A939" s="30" t="str">
        <x:v>CL0935</x:v>
      </x:c>
      <x:c r="B939" s="30" t="str">
        <x:v>Valuation</x:v>
      </x:c>
      <x:c r="C939" s="31" t="str">
        <x:v>What do you use for risk-free rate</x:v>
      </x:c>
      <x:c r="D939" s="32" t="n">
        <x:f>COUNTIF('All Questions'!$G$5:$G$1725,A939)</x:f>
        <x:v>1</x:v>
      </x:c>
      <x:c r="E939" s="11"/>
      <x:c r="F939" s="12" t="str">
        <x:v>Not Started</x:v>
      </x:c>
      <x:c r="G939" s="13"/>
      <x:c r="H939" s="30" t="str">
        <x:f>IF(AND(E939&lt;&gt;"",F939="Ready"),"Yes","No")</x:f>
        <x:v>No</x:v>
      </x:c>
      <x:c r="I939" s="11"/>
    </x:row>
    <x:row r="940" ht="38" customHeight="1">
      <x:c r="A940" s="30" t="str">
        <x:v>CL0936</x:v>
      </x:c>
      <x:c r="B940" s="30" t="str">
        <x:v>Resume &amp; Experience</x:v>
      </x:c>
      <x:c r="C940" s="31" t="str">
        <x:v>What do you want to take away from this internship experience</x:v>
      </x:c>
      <x:c r="D940" s="32" t="n">
        <x:f>COUNTIF('All Questions'!$G$5:$G$1725,A940)</x:f>
        <x:v>1</x:v>
      </x:c>
      <x:c r="E940" s="11"/>
      <x:c r="F940" s="12" t="str">
        <x:v>Not Started</x:v>
      </x:c>
      <x:c r="G940" s="13"/>
      <x:c r="H940" s="30" t="str">
        <x:f>IF(AND(E940&lt;&gt;"",F940="Ready"),"Yes","No")</x:f>
        <x:v>No</x:v>
      </x:c>
      <x:c r="I940" s="11"/>
    </x:row>
    <x:row r="941" ht="38" customHeight="1">
      <x:c r="A941" s="30" t="str">
        <x:v>CL0937</x:v>
      </x:c>
      <x:c r="B941" s="30" t="str">
        <x:v>Other Question</x:v>
      </x:c>
      <x:c r="C941" s="31" t="str">
        <x:v>What does a CIM include</x:v>
      </x:c>
      <x:c r="D941" s="32" t="n">
        <x:f>COUNTIF('All Questions'!$G$5:$G$1725,A941)</x:f>
        <x:v>1</x:v>
      </x:c>
      <x:c r="E941" s="11"/>
      <x:c r="F941" s="12" t="str">
        <x:v>Not Started</x:v>
      </x:c>
      <x:c r="G941" s="13"/>
      <x:c r="H941" s="30" t="str">
        <x:f>IF(AND(E941&lt;&gt;"",F941="Ready"),"Yes","No")</x:f>
        <x:v>No</x:v>
      </x:c>
      <x:c r="I941" s="11"/>
    </x:row>
    <x:row r="942" ht="38" customHeight="1">
      <x:c r="A942" s="30" t="str">
        <x:v>CL0938</x:v>
      </x:c>
      <x:c r="B942" s="30" t="str">
        <x:v>Other Question</x:v>
      </x:c>
      <x:c r="C942" s="31" t="str">
        <x:v>What does a Letter of Intent include</x:v>
      </x:c>
      <x:c r="D942" s="32" t="n">
        <x:f>COUNTIF('All Questions'!$G$5:$G$1725,A942)</x:f>
        <x:v>1</x:v>
      </x:c>
      <x:c r="E942" s="11"/>
      <x:c r="F942" s="12" t="str">
        <x:v>Not Started</x:v>
      </x:c>
      <x:c r="G942" s="13"/>
      <x:c r="H942" s="30" t="str">
        <x:f>IF(AND(E942&lt;&gt;"",F942="Ready"),"Yes","No")</x:f>
        <x:v>No</x:v>
      </x:c>
      <x:c r="I942" s="11"/>
    </x:row>
    <x:row r="943" ht="38" customHeight="1">
      <x:c r="A943" s="30" t="str">
        <x:v>CL0939</x:v>
      </x:c>
      <x:c r="B943" s="30" t="str">
        <x:v>Other Question</x:v>
      </x:c>
      <x:c r="C943" s="31" t="str">
        <x:v>What does a teaser include</x:v>
      </x:c>
      <x:c r="D943" s="32" t="n">
        <x:f>COUNTIF('All Questions'!$G$5:$G$1725,A943)</x:f>
        <x:v>1</x:v>
      </x:c>
      <x:c r="E943" s="11"/>
      <x:c r="F943" s="12" t="str">
        <x:v>Not Started</x:v>
      </x:c>
      <x:c r="G943" s="13"/>
      <x:c r="H943" s="30" t="str">
        <x:f>IF(AND(E943&lt;&gt;"",F943="Ready"),"Yes","No")</x:f>
        <x:v>No</x:v>
      </x:c>
      <x:c r="I943" s="11"/>
    </x:row>
    <x:row r="944" ht="38" customHeight="1">
      <x:c r="A944" s="30" t="str">
        <x:v>CL0940</x:v>
      </x:c>
      <x:c r="B944" s="30" t="str">
        <x:v>Markets &amp; Macro</x:v>
      </x:c>
      <x:c r="C944" s="31" t="str">
        <x:v>What does gold mean as safe haven asset and what other assets are also safe haven</x:v>
      </x:c>
      <x:c r="D944" s="32" t="n">
        <x:f>COUNTIF('All Questions'!$G$5:$G$1725,A944)</x:f>
        <x:v>1</x:v>
      </x:c>
      <x:c r="E944" s="11"/>
      <x:c r="F944" s="12" t="str">
        <x:v>Not Started</x:v>
      </x:c>
      <x:c r="G944" s="13"/>
      <x:c r="H944" s="30" t="str">
        <x:f>IF(AND(E944&lt;&gt;"",F944="Ready"),"Yes","No")</x:f>
        <x:v>No</x:v>
      </x:c>
      <x:c r="I944" s="11"/>
    </x:row>
    <x:row r="945" ht="38" customHeight="1">
      <x:c r="A945" s="30" t="str">
        <x:v>CL0941</x:v>
      </x:c>
      <x:c r="B945" s="30" t="str">
        <x:v>Accounting &amp; Financial Statements</x:v>
      </x:c>
      <x:c r="C945" s="31" t="str">
        <x:v>What does negative NWC mean and how to improve WC</x:v>
      </x:c>
      <x:c r="D945" s="32" t="n">
        <x:f>COUNTIF('All Questions'!$G$5:$G$1725,A945)</x:f>
        <x:v>1</x:v>
      </x:c>
      <x:c r="E945" s="11"/>
      <x:c r="F945" s="12" t="str">
        <x:v>Not Started</x:v>
      </x:c>
      <x:c r="G945" s="13"/>
      <x:c r="H945" s="30" t="str">
        <x:f>IF(AND(E945&lt;&gt;"",F945="Ready"),"Yes","No")</x:f>
        <x:v>No</x:v>
      </x:c>
      <x:c r="I945" s="11"/>
    </x:row>
    <x:row r="946" ht="38" customHeight="1">
      <x:c r="A946" s="30" t="str">
        <x:v>CL0942</x:v>
      </x:c>
      <x:c r="B946" s="30" t="str">
        <x:v>Resume &amp; Experience</x:v>
      </x:c>
      <x:c r="C946" s="31" t="str">
        <x:v>What exactly did you do in this deal, what’s the responsibilities</x:v>
      </x:c>
      <x:c r="D946" s="32" t="n">
        <x:f>COUNTIF('All Questions'!$G$5:$G$1725,A946)</x:f>
        <x:v>1</x:v>
      </x:c>
      <x:c r="E946" s="11"/>
      <x:c r="F946" s="12" t="str">
        <x:v>Not Started</x:v>
      </x:c>
      <x:c r="G946" s="13"/>
      <x:c r="H946" s="30" t="str">
        <x:f>IF(AND(E946&lt;&gt;"",F946="Ready"),"Yes","No")</x:f>
        <x:v>No</x:v>
      </x:c>
      <x:c r="I946" s="11"/>
    </x:row>
    <x:row r="947" ht="38" customHeight="1">
      <x:c r="A947" s="30" t="str">
        <x:v>CL0943</x:v>
      </x:c>
      <x:c r="B947" s="30" t="str">
        <x:v>Other Question</x:v>
      </x:c>
      <x:c r="C947" s="31" t="str">
        <x:v>What extra efforts I made for IBD</x:v>
      </x:c>
      <x:c r="D947" s="32" t="n">
        <x:f>COUNTIF('All Questions'!$G$5:$G$1725,A947)</x:f>
        <x:v>1</x:v>
      </x:c>
      <x:c r="E947" s="11"/>
      <x:c r="F947" s="12" t="str">
        <x:v>Not Started</x:v>
      </x:c>
      <x:c r="G947" s="13"/>
      <x:c r="H947" s="30" t="str">
        <x:f>IF(AND(E947&lt;&gt;"",F947="Ready"),"Yes","No")</x:f>
        <x:v>No</x:v>
      </x:c>
      <x:c r="I947" s="11"/>
    </x:row>
    <x:row r="948" ht="38" customHeight="1">
      <x:c r="A948" s="30" t="str">
        <x:v>CL0944</x:v>
      </x:c>
      <x:c r="B948" s="30" t="str">
        <x:v>Other Question</x:v>
      </x:c>
      <x:c r="C948" s="31" t="str">
        <x:v>What financial due dilligence did you do</x:v>
      </x:c>
      <x:c r="D948" s="32" t="n">
        <x:f>COUNTIF('All Questions'!$G$5:$G$1725,A948)</x:f>
        <x:v>1</x:v>
      </x:c>
      <x:c r="E948" s="11"/>
      <x:c r="F948" s="12" t="str">
        <x:v>Not Started</x:v>
      </x:c>
      <x:c r="G948" s="13"/>
      <x:c r="H948" s="30" t="str">
        <x:f>IF(AND(E948&lt;&gt;"",F948="Ready"),"Yes","No")</x:f>
        <x:v>No</x:v>
      </x:c>
      <x:c r="I948" s="11"/>
    </x:row>
    <x:row r="949" ht="58" customHeight="1">
      <x:c r="A949" s="30" t="str">
        <x:v>CL0945</x:v>
      </x:c>
      <x:c r="B949" s="30" t="str">
        <x:v>Company, Industry &amp; Deals</x:v>
      </x:c>
      <x:c r="C949" s="31" t="str">
        <x:v>What financial ratios will you take a look when you take a look at the leverage of a company</x:v>
      </x:c>
      <x:c r="D949" s="32" t="n">
        <x:f>COUNTIF('All Questions'!$G$5:$G$1725,A949)</x:f>
        <x:v>1</x:v>
      </x:c>
      <x:c r="E949" s="11"/>
      <x:c r="F949" s="12" t="str">
        <x:v>Not Started</x:v>
      </x:c>
      <x:c r="G949" s="13"/>
      <x:c r="H949" s="30" t="str">
        <x:f>IF(AND(E949&lt;&gt;"",F949="Ready"),"Yes","No")</x:f>
        <x:v>No</x:v>
      </x:c>
      <x:c r="I949" s="11"/>
    </x:row>
    <x:row r="950" ht="38" customHeight="1">
      <x:c r="A950" s="30" t="str">
        <x:v>CL0946</x:v>
      </x:c>
      <x:c r="B950" s="30" t="str">
        <x:v>Valuation</x:v>
      </x:c>
      <x:c r="C950" s="31" t="str">
        <x:v>What formula you use for cost of equity</x:v>
      </x:c>
      <x:c r="D950" s="32" t="n">
        <x:f>COUNTIF('All Questions'!$G$5:$G$1725,A950)</x:f>
        <x:v>1</x:v>
      </x:c>
      <x:c r="E950" s="11"/>
      <x:c r="F950" s="12" t="str">
        <x:v>Not Started</x:v>
      </x:c>
      <x:c r="G950" s="13"/>
      <x:c r="H950" s="30" t="str">
        <x:f>IF(AND(E950&lt;&gt;"",F950="Ready"),"Yes","No")</x:f>
        <x:v>No</x:v>
      </x:c>
      <x:c r="I950" s="11"/>
    </x:row>
    <x:row r="951" ht="38" customHeight="1">
      <x:c r="A951" s="30" t="str">
        <x:v>CL0947</x:v>
      </x:c>
      <x:c r="B951" s="30" t="str">
        <x:v>Consulting &amp; Case</x:v>
      </x:c>
      <x:c r="C951" s="31" t="str">
        <x:v>What formula you used</x:v>
      </x:c>
      <x:c r="D951" s="32" t="n">
        <x:f>COUNTIF('All Questions'!$G$5:$G$1725,A951)</x:f>
        <x:v>1</x:v>
      </x:c>
      <x:c r="E951" s="11"/>
      <x:c r="F951" s="12" t="str">
        <x:v>Not Started</x:v>
      </x:c>
      <x:c r="G951" s="13"/>
      <x:c r="H951" s="30" t="str">
        <x:f>IF(AND(E951&lt;&gt;"",F951="Ready"),"Yes","No")</x:f>
        <x:v>No</x:v>
      </x:c>
      <x:c r="I951" s="11"/>
    </x:row>
    <x:row r="952" ht="38" customHeight="1">
      <x:c r="A952" s="30" t="str">
        <x:v>CL0948</x:v>
      </x:c>
      <x:c r="B952" s="30" t="str">
        <x:v>Other Question</x:v>
      </x:c>
      <x:c r="C952" s="31" t="str">
        <x:v>What group / coverage if Barclays? Why</x:v>
      </x:c>
      <x:c r="D952" s="32" t="n">
        <x:f>COUNTIF('All Questions'!$G$5:$G$1725,A952)</x:f>
        <x:v>1</x:v>
      </x:c>
      <x:c r="E952" s="11"/>
      <x:c r="F952" s="12" t="str">
        <x:v>Not Started</x:v>
      </x:c>
      <x:c r="G952" s="13"/>
      <x:c r="H952" s="30" t="str">
        <x:f>IF(AND(E952&lt;&gt;"",F952="Ready"),"Yes","No")</x:f>
        <x:v>No</x:v>
      </x:c>
      <x:c r="I952" s="11"/>
    </x:row>
    <x:row r="953" ht="58" customHeight="1">
      <x:c r="A953" s="30" t="str">
        <x:v>CL0949</x:v>
      </x:c>
      <x:c r="B953" s="30" t="str">
        <x:v>Other Question</x:v>
      </x:c>
      <x:c r="C953" s="31" t="str">
        <x:v>What happens when countries get to show and utilize their comparative advantages against the others</x:v>
      </x:c>
      <x:c r="D953" s="32" t="n">
        <x:f>COUNTIF('All Questions'!$G$5:$G$1725,A953)</x:f>
        <x:v>1</x:v>
      </x:c>
      <x:c r="E953" s="11"/>
      <x:c r="F953" s="12" t="str">
        <x:v>Not Started</x:v>
      </x:c>
      <x:c r="G953" s="13"/>
      <x:c r="H953" s="30" t="str">
        <x:f>IF(AND(E953&lt;&gt;"",F953="Ready"),"Yes","No")</x:f>
        <x:v>No</x:v>
      </x:c>
      <x:c r="I953" s="11"/>
    </x:row>
    <x:row r="954" ht="38" customHeight="1">
      <x:c r="A954" s="30" t="str">
        <x:v>CL0950</x:v>
      </x:c>
      <x:c r="B954" s="30" t="str">
        <x:v>Resume &amp; Experience</x:v>
      </x:c>
      <x:c r="C954" s="31" t="str">
        <x:v>What have you done in Daiwa? Major responsibility and project</x:v>
      </x:c>
      <x:c r="D954" s="32" t="n">
        <x:f>COUNTIF('All Questions'!$G$5:$G$1725,A954)</x:f>
        <x:v>1</x:v>
      </x:c>
      <x:c r="E954" s="11"/>
      <x:c r="F954" s="12" t="str">
        <x:v>Not Started</x:v>
      </x:c>
      <x:c r="G954" s="13"/>
      <x:c r="H954" s="30" t="str">
        <x:f>IF(AND(E954&lt;&gt;"",F954="Ready"),"Yes","No")</x:f>
        <x:v>No</x:v>
      </x:c>
      <x:c r="I954" s="11"/>
    </x:row>
    <x:row r="955" ht="38" customHeight="1">
      <x:c r="A955" s="30" t="str">
        <x:v>CL0951</x:v>
      </x:c>
      <x:c r="B955" s="30" t="str">
        <x:v>Other Question</x:v>
      </x:c>
      <x:c r="C955" s="31" t="str">
        <x:v>What I did at Bain</x:v>
      </x:c>
      <x:c r="D955" s="32" t="n">
        <x:f>COUNTIF('All Questions'!$G$5:$G$1725,A955)</x:f>
        <x:v>1</x:v>
      </x:c>
      <x:c r="E955" s="11"/>
      <x:c r="F955" s="12" t="str">
        <x:v>Not Started</x:v>
      </x:c>
      <x:c r="G955" s="13"/>
      <x:c r="H955" s="30" t="str">
        <x:f>IF(AND(E955&lt;&gt;"",F955="Ready"),"Yes","No")</x:f>
        <x:v>No</x:v>
      </x:c>
      <x:c r="I955" s="11"/>
    </x:row>
    <x:row r="956" ht="58" customHeight="1">
      <x:c r="A956" s="30" t="str">
        <x:v>CL0952</x:v>
      </x:c>
      <x:c r="B956" s="30" t="str">
        <x:v>Resume &amp; Experience</x:v>
      </x:c>
      <x:c r="C956" s="31" t="str">
        <x:v>What I did at blackrock, deal background about the buyout of the indian IT services, EBITDA margin level and compared to industry average</x:v>
      </x:c>
      <x:c r="D956" s="32" t="n">
        <x:f>COUNTIF('All Questions'!$G$5:$G$1725,A956)</x:f>
        <x:v>1</x:v>
      </x:c>
      <x:c r="E956" s="11"/>
      <x:c r="F956" s="12" t="str">
        <x:v>Not Started</x:v>
      </x:c>
      <x:c r="G956" s="13"/>
      <x:c r="H956" s="30" t="str">
        <x:f>IF(AND(E956&lt;&gt;"",F956="Ready"),"Yes","No")</x:f>
        <x:v>No</x:v>
      </x:c>
      <x:c r="I956" s="11"/>
    </x:row>
    <x:row r="957" ht="38" customHeight="1">
      <x:c r="A957" s="30" t="str">
        <x:v>CL0953</x:v>
      </x:c>
      <x:c r="B957" s="30" t="str">
        <x:v>Other Question</x:v>
      </x:c>
      <x:c r="C957" s="31" t="str">
        <x:v>What I did at SFC - as a regulator, how do they work with investment banks</x:v>
      </x:c>
      <x:c r="D957" s="32" t="n">
        <x:f>COUNTIF('All Questions'!$G$5:$G$1725,A957)</x:f>
        <x:v>1</x:v>
      </x:c>
      <x:c r="E957" s="11"/>
      <x:c r="F957" s="12" t="str">
        <x:v>Not Started</x:v>
      </x:c>
      <x:c r="G957" s="13"/>
      <x:c r="H957" s="30" t="str">
        <x:f>IF(AND(E957&lt;&gt;"",F957="Ready"),"Yes","No")</x:f>
        <x:v>No</x:v>
      </x:c>
      <x:c r="I957" s="11"/>
    </x:row>
    <x:row r="958" ht="58" customHeight="1">
      <x:c r="A958" s="30" t="str">
        <x:v>CL0954</x:v>
      </x:c>
      <x:c r="B958" s="30" t="str">
        <x:v>Behavioral &amp; Situational</x:v>
      </x:c>
      <x:c r="C958" s="31" t="str">
        <x:v>What if someone in your team is not performing as expected (like in that case), how do you deal with it</x:v>
      </x:c>
      <x:c r="D958" s="32" t="n">
        <x:f>COUNTIF('All Questions'!$G$5:$G$1725,A958)</x:f>
        <x:v>1</x:v>
      </x:c>
      <x:c r="E958" s="11"/>
      <x:c r="F958" s="12" t="str">
        <x:v>Not Started</x:v>
      </x:c>
      <x:c r="G958" s="13"/>
      <x:c r="H958" s="30" t="str">
        <x:f>IF(AND(E958&lt;&gt;"",F958="Ready"),"Yes","No")</x:f>
        <x:v>No</x:v>
      </x:c>
      <x:c r="I958" s="11"/>
    </x:row>
    <x:row r="959" ht="58" customHeight="1">
      <x:c r="A959" s="30" t="str">
        <x:v>CL0955</x:v>
      </x:c>
      <x:c r="B959" s="30" t="str">
        <x:v>Accounting &amp; Financial Statements</x:v>
      </x:c>
      <x:c r="C959" s="31" t="str">
        <x:v>What if the private company is a tech company, which its equity value may far exceed its book value (I said manually adjust by looking at comps)</x:v>
      </x:c>
      <x:c r="D959" s="32" t="n">
        <x:f>COUNTIF('All Questions'!$G$5:$G$1725,A959)</x:f>
        <x:v>1</x:v>
      </x:c>
      <x:c r="E959" s="11"/>
      <x:c r="F959" s="12" t="str">
        <x:v>Not Started</x:v>
      </x:c>
      <x:c r="G959" s="13"/>
      <x:c r="H959" s="30" t="str">
        <x:f>IF(AND(E959&lt;&gt;"",F959="Ready"),"Yes","No")</x:f>
        <x:v>No</x:v>
      </x:c>
      <x:c r="I959" s="11"/>
    </x:row>
    <x:row r="960" ht="38" customHeight="1">
      <x:c r="A960" s="30" t="str">
        <x:v>CL0956</x:v>
      </x:c>
      <x:c r="B960" s="30" t="str">
        <x:v>Other Question</x:v>
      </x:c>
      <x:c r="C960" s="31" t="str">
        <x:v>What if there are like 4 MDs reaching out to you, what would you do</x:v>
      </x:c>
      <x:c r="D960" s="32" t="n">
        <x:f>COUNTIF('All Questions'!$G$5:$G$1725,A960)</x:f>
        <x:v>1</x:v>
      </x:c>
      <x:c r="E960" s="11"/>
      <x:c r="F960" s="12" t="str">
        <x:v>Not Started</x:v>
      </x:c>
      <x:c r="G960" s="13"/>
      <x:c r="H960" s="30" t="str">
        <x:f>IF(AND(E960&lt;&gt;"",F960="Ready"),"Yes","No")</x:f>
        <x:v>No</x:v>
      </x:c>
      <x:c r="I960" s="11"/>
    </x:row>
    <x:row r="961" ht="38" customHeight="1">
      <x:c r="A961" s="30" t="str">
        <x:v>CL0957</x:v>
      </x:c>
      <x:c r="B961" s="30" t="str">
        <x:v>Other Question</x:v>
      </x:c>
      <x:c r="C961" s="31" t="str">
        <x:v>What if you projected it for longer</x:v>
      </x:c>
      <x:c r="D961" s="32" t="n">
        <x:f>COUNTIF('All Questions'!$G$5:$G$1725,A961)</x:f>
        <x:v>1</x:v>
      </x:c>
      <x:c r="E961" s="11"/>
      <x:c r="F961" s="12" t="str">
        <x:v>Not Started</x:v>
      </x:c>
      <x:c r="G961" s="13"/>
      <x:c r="H961" s="30" t="str">
        <x:f>IF(AND(E961&lt;&gt;"",F961="Ready"),"Yes","No")</x:f>
        <x:v>No</x:v>
      </x:c>
      <x:c r="I961" s="11"/>
    </x:row>
    <x:row r="962" ht="38" customHeight="1">
      <x:c r="A962" s="30" t="str">
        <x:v>CL0958</x:v>
      </x:c>
      <x:c r="B962" s="30" t="str">
        <x:v>Other Question</x:v>
      </x:c>
      <x:c r="C962" s="31" t="str">
        <x:v>What industries am I interested in</x:v>
      </x:c>
      <x:c r="D962" s="32" t="n">
        <x:f>COUNTIF('All Questions'!$G$5:$G$1725,A962)</x:f>
        <x:v>1</x:v>
      </x:c>
      <x:c r="E962" s="11"/>
      <x:c r="F962" s="12" t="str">
        <x:v>Not Started</x:v>
      </x:c>
      <x:c r="G962" s="13"/>
      <x:c r="H962" s="30" t="str">
        <x:f>IF(AND(E962&lt;&gt;"",F962="Ready"),"Yes","No")</x:f>
        <x:v>No</x:v>
      </x:c>
      <x:c r="I962" s="11"/>
    </x:row>
    <x:row r="963" ht="38" customHeight="1">
      <x:c r="A963" s="30" t="str">
        <x:v>CL0959</x:v>
      </x:c>
      <x:c r="B963" s="30" t="str">
        <x:v>Other Question</x:v>
      </x:c>
      <x:c r="C963" s="31" t="str">
        <x:v>What investment or project did you do at Alibaba</x:v>
      </x:c>
      <x:c r="D963" s="32" t="n">
        <x:f>COUNTIF('All Questions'!$G$5:$G$1725,A963)</x:f>
        <x:v>1</x:v>
      </x:c>
      <x:c r="E963" s="11"/>
      <x:c r="F963" s="12" t="str">
        <x:v>Not Started</x:v>
      </x:c>
      <x:c r="G963" s="13"/>
      <x:c r="H963" s="30" t="str">
        <x:f>IF(AND(E963&lt;&gt;"",F963="Ready"),"Yes","No")</x:f>
        <x:v>No</x:v>
      </x:c>
      <x:c r="I963" s="11"/>
    </x:row>
    <x:row r="964" ht="38" customHeight="1">
      <x:c r="A964" s="30" t="str">
        <x:v>CL0960</x:v>
      </x:c>
      <x:c r="B964" s="30" t="str">
        <x:v>Accounting &amp; Financial Statements</x:v>
      </x:c>
      <x:c r="C964" s="31" t="str">
        <x:v>What is a continuation fund (i did in TR)</x:v>
      </x:c>
      <x:c r="D964" s="32" t="n">
        <x:f>COUNTIF('All Questions'!$G$5:$G$1725,A964)</x:f>
        <x:v>1</x:v>
      </x:c>
      <x:c r="E964" s="11"/>
      <x:c r="F964" s="12" t="str">
        <x:v>Not Started</x:v>
      </x:c>
      <x:c r="G964" s="13"/>
      <x:c r="H964" s="30" t="str">
        <x:f>IF(AND(E964&lt;&gt;"",F964="Ready"),"Yes","No")</x:f>
        <x:v>No</x:v>
      </x:c>
      <x:c r="I964" s="11"/>
    </x:row>
    <x:row r="965" ht="38" customHeight="1">
      <x:c r="A965" s="30" t="str">
        <x:v>CL0961</x:v>
      </x:c>
      <x:c r="B965" s="30" t="str">
        <x:v>Accounting &amp; Financial Statements</x:v>
      </x:c>
      <x:c r="C965" s="31" t="str">
        <x:v>What is a good IPO candidate</x:v>
      </x:c>
      <x:c r="D965" s="32" t="n">
        <x:f>COUNTIF('All Questions'!$G$5:$G$1725,A965)</x:f>
        <x:v>1</x:v>
      </x:c>
      <x:c r="E965" s="11"/>
      <x:c r="F965" s="12" t="str">
        <x:v>Not Started</x:v>
      </x:c>
      <x:c r="G965" s="13"/>
      <x:c r="H965" s="30" t="str">
        <x:f>IF(AND(E965&lt;&gt;"",F965="Ready"),"Yes","No")</x:f>
        <x:v>No</x:v>
      </x:c>
      <x:c r="I965" s="11"/>
    </x:row>
    <x:row r="966" ht="38" customHeight="1">
      <x:c r="A966" s="30" t="str">
        <x:v>CL0962</x:v>
      </x:c>
      <x:c r="B966" s="30" t="str">
        <x:v>Accounting &amp; Financial Statements</x:v>
      </x:c>
      <x:c r="C966" s="31" t="str">
        <x:v>What is a good target for PE</x:v>
      </x:c>
      <x:c r="D966" s="32" t="n">
        <x:f>COUNTIF('All Questions'!$G$5:$G$1725,A966)</x:f>
        <x:v>1</x:v>
      </x:c>
      <x:c r="E966" s="11"/>
      <x:c r="F966" s="12" t="str">
        <x:v>Not Started</x:v>
      </x:c>
      <x:c r="G966" s="13"/>
      <x:c r="H966" s="30" t="str">
        <x:f>IF(AND(E966&lt;&gt;"",F966="Ready"),"Yes","No")</x:f>
        <x:v>No</x:v>
      </x:c>
      <x:c r="I966" s="11"/>
    </x:row>
    <x:row r="967" ht="38" customHeight="1">
      <x:c r="A967" s="30" t="str">
        <x:v>CL0963</x:v>
      </x:c>
      <x:c r="B967" s="30" t="str">
        <x:v>Accounting &amp; Financial Statements</x:v>
      </x:c>
      <x:c r="C967" s="31" t="str">
        <x:v>What is a recent book you read</x:v>
      </x:c>
      <x:c r="D967" s="32" t="n">
        <x:f>COUNTIF('All Questions'!$G$5:$G$1725,A967)</x:f>
        <x:v>1</x:v>
      </x:c>
      <x:c r="E967" s="11"/>
      <x:c r="F967" s="12" t="str">
        <x:v>Not Started</x:v>
      </x:c>
      <x:c r="G967" s="13"/>
      <x:c r="H967" s="30" t="str">
        <x:f>IF(AND(E967&lt;&gt;"",F967="Ready"),"Yes","No")</x:f>
        <x:v>No</x:v>
      </x:c>
      <x:c r="I967" s="11"/>
    </x:row>
    <x:row r="968" ht="38" customHeight="1">
      <x:c r="A968" s="30" t="str">
        <x:v>CL0964</x:v>
      </x:c>
      <x:c r="B968" s="30" t="str">
        <x:v>Accounting &amp; Financial Statements</x:v>
      </x:c>
      <x:c r="C968" s="31" t="str">
        <x:v>What is beta</x:v>
      </x:c>
      <x:c r="D968" s="32" t="n">
        <x:f>COUNTIF('All Questions'!$G$5:$G$1725,A968)</x:f>
        <x:v>1</x:v>
      </x:c>
      <x:c r="E968" s="11"/>
      <x:c r="F968" s="12" t="str">
        <x:v>Not Started</x:v>
      </x:c>
      <x:c r="G968" s="13"/>
      <x:c r="H968" s="30" t="str">
        <x:f>IF(AND(E968&lt;&gt;"",F968="Ready"),"Yes","No")</x:f>
        <x:v>No</x:v>
      </x:c>
      <x:c r="I968" s="11"/>
    </x:row>
    <x:row r="969" ht="38" customHeight="1">
      <x:c r="A969" s="30" t="str">
        <x:v>CL0965</x:v>
      </x:c>
      <x:c r="B969" s="30" t="str">
        <x:v>Accounting &amp; Financial Statements</x:v>
      </x:c>
      <x:c r="C969" s="31" t="str">
        <x:v>What is CGPA, my GPA for finance and Law</x:v>
      </x:c>
      <x:c r="D969" s="32" t="n">
        <x:f>COUNTIF('All Questions'!$G$5:$G$1725,A969)</x:f>
        <x:v>1</x:v>
      </x:c>
      <x:c r="E969" s="11"/>
      <x:c r="F969" s="12" t="str">
        <x:v>Not Started</x:v>
      </x:c>
      <x:c r="G969" s="13"/>
      <x:c r="H969" s="30" t="str">
        <x:f>IF(AND(E969&lt;&gt;"",F969="Ready"),"Yes","No")</x:f>
        <x:v>No</x:v>
      </x:c>
      <x:c r="I969" s="11"/>
    </x:row>
    <x:row r="970" ht="38" customHeight="1">
      <x:c r="A970" s="30" t="str">
        <x:v>CL0966</x:v>
      </x:c>
      <x:c r="B970" s="30" t="str">
        <x:v>Accounting &amp; Financial Statements</x:v>
      </x:c>
      <x:c r="C970" s="31" t="str">
        <x:v>What is client financing solutions, DCM</x:v>
      </x:c>
      <x:c r="D970" s="32" t="n">
        <x:f>COUNTIF('All Questions'!$G$5:$G$1725,A970)</x:f>
        <x:v>1</x:v>
      </x:c>
      <x:c r="E970" s="11"/>
      <x:c r="F970" s="12" t="str">
        <x:v>Not Started</x:v>
      </x:c>
      <x:c r="G970" s="13"/>
      <x:c r="H970" s="30" t="str">
        <x:f>IF(AND(E970&lt;&gt;"",F970="Ready"),"Yes","No")</x:f>
        <x:v>No</x:v>
      </x:c>
      <x:c r="I970" s="11"/>
    </x:row>
    <x:row r="971" ht="38" customHeight="1">
      <x:c r="A971" s="30" t="str">
        <x:v>CL0967</x:v>
      </x:c>
      <x:c r="B971" s="30" t="str">
        <x:v>Accounting &amp; Financial Statements</x:v>
      </x:c>
      <x:c r="C971" s="31" t="str">
        <x:v>⁠⁠what is cost of debt</x:v>
      </x:c>
      <x:c r="D971" s="32" t="n">
        <x:f>COUNTIF('All Questions'!$G$5:$G$1725,A971)</x:f>
        <x:v>1</x:v>
      </x:c>
      <x:c r="E971" s="11"/>
      <x:c r="F971" s="12" t="str">
        <x:v>Not Started</x:v>
      </x:c>
      <x:c r="G971" s="13"/>
      <x:c r="H971" s="30" t="str">
        <x:f>IF(AND(E971&lt;&gt;"",F971="Ready"),"Yes","No")</x:f>
        <x:v>No</x:v>
      </x:c>
      <x:c r="I971" s="11"/>
    </x:row>
    <x:row r="972" ht="38" customHeight="1">
      <x:c r="A972" s="30" t="str">
        <x:v>CL0968</x:v>
      </x:c>
      <x:c r="B972" s="30" t="str">
        <x:v>Accounting &amp; Financial Statements</x:v>
      </x:c>
      <x:c r="C972" s="31" t="str">
        <x:v>What is discount rate</x:v>
      </x:c>
      <x:c r="D972" s="32" t="n">
        <x:f>COUNTIF('All Questions'!$G$5:$G$1725,A972)</x:f>
        <x:v>1</x:v>
      </x:c>
      <x:c r="E972" s="11"/>
      <x:c r="F972" s="12" t="str">
        <x:v>Not Started</x:v>
      </x:c>
      <x:c r="G972" s="13"/>
      <x:c r="H972" s="30" t="str">
        <x:f>IF(AND(E972&lt;&gt;"",F972="Ready"),"Yes","No")</x:f>
        <x:v>No</x:v>
      </x:c>
      <x:c r="I972" s="11"/>
    </x:row>
    <x:row r="973" ht="38" customHeight="1">
      <x:c r="A973" s="30" t="str">
        <x:v>CL0969</x:v>
      </x:c>
      <x:c r="B973" s="30" t="str">
        <x:v>Fit &amp; Motivation</x:v>
      </x:c>
      <x:c r="C973" s="31" t="str">
        <x:v>What is epee fencing? Why fencing and how did you get started</x:v>
      </x:c>
      <x:c r="D973" s="32" t="n">
        <x:f>COUNTIF('All Questions'!$G$5:$G$1725,A973)</x:f>
        <x:v>1</x:v>
      </x:c>
      <x:c r="E973" s="11"/>
      <x:c r="F973" s="12" t="str">
        <x:v>Not Started</x:v>
      </x:c>
      <x:c r="G973" s="13"/>
      <x:c r="H973" s="30" t="str">
        <x:f>IF(AND(E973&lt;&gt;"",F973="Ready"),"Yes","No")</x:f>
        <x:v>No</x:v>
      </x:c>
      <x:c r="I973" s="11"/>
    </x:row>
    <x:row r="974" ht="38" customHeight="1">
      <x:c r="A974" s="30" t="str">
        <x:v>CL0970</x:v>
      </x:c>
      <x:c r="B974" s="30" t="str">
        <x:v>Accounting &amp; Financial Statements</x:v>
      </x:c>
      <x:c r="C974" s="31" t="str">
        <x:v>What is goodwill impairment</x:v>
      </x:c>
      <x:c r="D974" s="32" t="n">
        <x:f>COUNTIF('All Questions'!$G$5:$G$1725,A974)</x:f>
        <x:v>1</x:v>
      </x:c>
      <x:c r="E974" s="11"/>
      <x:c r="F974" s="12" t="str">
        <x:v>Not Started</x:v>
      </x:c>
      <x:c r="G974" s="13"/>
      <x:c r="H974" s="30" t="str">
        <x:f>IF(AND(E974&lt;&gt;"",F974="Ready"),"Yes","No")</x:f>
        <x:v>No</x:v>
      </x:c>
      <x:c r="I974" s="11"/>
    </x:row>
    <x:row r="975" ht="38" customHeight="1">
      <x:c r="A975" s="30" t="str">
        <x:v>CL0971</x:v>
      </x:c>
      <x:c r="B975" s="30" t="str">
        <x:v>Accounting &amp; Financial Statements</x:v>
      </x:c>
      <x:c r="C975" s="31" t="str">
        <x:v>What is its valuation, what is your view on it</x:v>
      </x:c>
      <x:c r="D975" s="32" t="n">
        <x:f>COUNTIF('All Questions'!$G$5:$G$1725,A975)</x:f>
        <x:v>1</x:v>
      </x:c>
      <x:c r="E975" s="11"/>
      <x:c r="F975" s="12" t="str">
        <x:v>Not Started</x:v>
      </x:c>
      <x:c r="G975" s="13"/>
      <x:c r="H975" s="30" t="str">
        <x:f>IF(AND(E975&lt;&gt;"",F975="Ready"),"Yes","No")</x:f>
        <x:v>No</x:v>
      </x:c>
      <x:c r="I975" s="11"/>
    </x:row>
    <x:row r="976" ht="38" customHeight="1">
      <x:c r="A976" s="30" t="str">
        <x:v>CL0972</x:v>
      </x:c>
      <x:c r="B976" s="30" t="str">
        <x:v>Accounting &amp; Financial Statements</x:v>
      </x:c>
      <x:c r="C976" s="31" t="str">
        <x:v>What is special about Nike? (I mentioned Nike)</x:v>
      </x:c>
      <x:c r="D976" s="32" t="n">
        <x:f>COUNTIF('All Questions'!$G$5:$G$1725,A976)</x:f>
        <x:v>1</x:v>
      </x:c>
      <x:c r="E976" s="11"/>
      <x:c r="F976" s="12" t="str">
        <x:v>Not Started</x:v>
      </x:c>
      <x:c r="G976" s="13"/>
      <x:c r="H976" s="30" t="str">
        <x:f>IF(AND(E976&lt;&gt;"",F976="Ready"),"Yes","No")</x:f>
        <x:v>No</x:v>
      </x:c>
      <x:c r="I976" s="11"/>
    </x:row>
    <x:row r="977" ht="38" customHeight="1">
      <x:c r="A977" s="30" t="str">
        <x:v>CL0973</x:v>
      </x:c>
      <x:c r="B977" s="30" t="str">
        <x:v>Accounting &amp; Financial Statements</x:v>
      </x:c>
      <x:c r="C977" s="31" t="str">
        <x:v>What is the 3 ways of privitization and what’s the difference</x:v>
      </x:c>
      <x:c r="D977" s="32" t="n">
        <x:f>COUNTIF('All Questions'!$G$5:$G$1725,A977)</x:f>
        <x:v>1</x:v>
      </x:c>
      <x:c r="E977" s="11"/>
      <x:c r="F977" s="12" t="str">
        <x:v>Not Started</x:v>
      </x:c>
      <x:c r="G977" s="13"/>
      <x:c r="H977" s="30" t="str">
        <x:f>IF(AND(E977&lt;&gt;"",F977="Ready"),"Yes","No")</x:f>
        <x:v>No</x:v>
      </x:c>
      <x:c r="I977" s="11"/>
    </x:row>
    <x:row r="978" ht="58" customHeight="1">
      <x:c r="A978" s="30" t="str">
        <x:v>CL0974</x:v>
      </x:c>
      <x:c r="B978" s="30" t="str">
        <x:v>Accounting &amp; Financial Statements</x:v>
      </x:c>
      <x:c r="C978" s="31" t="str">
        <x:v>What is the company's market position in the industry? (he calculated if 25bn market size in 5 years, now around 10bn, company 1bn revenue, so 10% share wow)</x:v>
      </x:c>
      <x:c r="D978" s="32" t="n">
        <x:f>COUNTIF('All Questions'!$G$5:$G$1725,A978)</x:f>
        <x:v>1</x:v>
      </x:c>
      <x:c r="E978" s="11"/>
      <x:c r="F978" s="12" t="str">
        <x:v>Not Started</x:v>
      </x:c>
      <x:c r="G978" s="13"/>
      <x:c r="H978" s="30" t="str">
        <x:f>IF(AND(E978&lt;&gt;"",F978="Ready"),"Yes","No")</x:f>
        <x:v>No</x:v>
      </x:c>
      <x:c r="I978" s="11"/>
    </x:row>
    <x:row r="979" ht="38" customHeight="1">
      <x:c r="A979" s="30" t="str">
        <x:v>CL0975</x:v>
      </x:c>
      <x:c r="B979" s="30" t="str">
        <x:v>Accounting &amp; Financial Statements</x:v>
      </x:c>
      <x:c r="C979" s="31" t="str">
        <x:v>What is the comparative advantage of HKEX</x:v>
      </x:c>
      <x:c r="D979" s="32" t="n">
        <x:f>COUNTIF('All Questions'!$G$5:$G$1725,A979)</x:f>
        <x:v>1</x:v>
      </x:c>
      <x:c r="E979" s="11"/>
      <x:c r="F979" s="12" t="str">
        <x:v>Not Started</x:v>
      </x:c>
      <x:c r="G979" s="13"/>
      <x:c r="H979" s="30" t="str">
        <x:f>IF(AND(E979&lt;&gt;"",F979="Ready"),"Yes","No")</x:f>
        <x:v>No</x:v>
      </x:c>
      <x:c r="I979" s="11"/>
    </x:row>
    <x:row r="980" ht="38" customHeight="1">
      <x:c r="A980" s="30" t="str">
        <x:v>CL0976</x:v>
      </x:c>
      <x:c r="B980" s="30" t="str">
        <x:v>Accounting &amp; Financial Statements</x:v>
      </x:c>
      <x:c r="C980" s="31" t="str">
        <x:v>What is the culture of GS</x:v>
      </x:c>
      <x:c r="D980" s="32" t="n">
        <x:f>COUNTIF('All Questions'!$G$5:$G$1725,A980)</x:f>
        <x:v>1</x:v>
      </x:c>
      <x:c r="E980" s="11"/>
      <x:c r="F980" s="12" t="str">
        <x:v>Not Started</x:v>
      </x:c>
      <x:c r="G980" s="13"/>
      <x:c r="H980" s="30" t="str">
        <x:f>IF(AND(E980&lt;&gt;"",F980="Ready"),"Yes","No")</x:f>
        <x:v>No</x:v>
      </x:c>
      <x:c r="I980" s="11"/>
    </x:row>
    <x:row r="981" ht="38" customHeight="1">
      <x:c r="A981" s="30" t="str">
        <x:v>CL0977</x:v>
      </x:c>
      <x:c r="B981" s="30" t="str">
        <x:v>Accounting &amp; Financial Statements</x:v>
      </x:c>
      <x:c r="C981" s="31" t="str">
        <x:v>What is the difference betweeen lfcf and ufcf</x:v>
      </x:c>
      <x:c r="D981" s="32" t="n">
        <x:f>COUNTIF('All Questions'!$G$5:$G$1725,A981)</x:f>
        <x:v>1</x:v>
      </x:c>
      <x:c r="E981" s="11"/>
      <x:c r="F981" s="12" t="str">
        <x:v>Not Started</x:v>
      </x:c>
      <x:c r="G981" s="13"/>
      <x:c r="H981" s="30" t="str">
        <x:f>IF(AND(E981&lt;&gt;"",F981="Ready"),"Yes","No")</x:f>
        <x:v>No</x:v>
      </x:c>
      <x:c r="I981" s="11"/>
    </x:row>
    <x:row r="982" ht="38" customHeight="1">
      <x:c r="A982" s="30" t="str">
        <x:v>CL0978</x:v>
      </x:c>
      <x:c r="B982" s="30" t="str">
        <x:v>Accounting &amp; Financial Statements</x:v>
      </x:c>
      <x:c r="C982" s="31" t="str">
        <x:v>What is the difference between private placement and rights issue</x:v>
      </x:c>
      <x:c r="D982" s="32" t="n">
        <x:f>COUNTIF('All Questions'!$G$5:$G$1725,A982)</x:f>
        <x:v>1</x:v>
      </x:c>
      <x:c r="E982" s="11"/>
      <x:c r="F982" s="12" t="str">
        <x:v>Not Started</x:v>
      </x:c>
      <x:c r="G982" s="13"/>
      <x:c r="H982" s="30" t="str">
        <x:f>IF(AND(E982&lt;&gt;"",F982="Ready"),"Yes","No")</x:f>
        <x:v>No</x:v>
      </x:c>
      <x:c r="I982" s="11"/>
    </x:row>
    <x:row r="983" ht="38" customHeight="1">
      <x:c r="A983" s="30" t="str">
        <x:v>CL0979</x:v>
      </x:c>
      <x:c r="B983" s="30" t="str">
        <x:v>Fit &amp; Motivation</x:v>
      </x:c>
      <x:c r="C983" s="31" t="str">
        <x:v>What is the difference in motivations for finding a strategic vs financial buyer</x:v>
      </x:c>
      <x:c r="D983" s="32" t="n">
        <x:f>COUNTIF('All Questions'!$G$5:$G$1725,A983)</x:f>
        <x:v>1</x:v>
      </x:c>
      <x:c r="E983" s="11"/>
      <x:c r="F983" s="12" t="str">
        <x:v>Not Started</x:v>
      </x:c>
      <x:c r="G983" s="13"/>
      <x:c r="H983" s="30" t="str">
        <x:f>IF(AND(E983&lt;&gt;"",F983="Ready"),"Yes","No")</x:f>
        <x:v>No</x:v>
      </x:c>
      <x:c r="I983" s="11"/>
    </x:row>
    <x:row r="984" ht="38" customHeight="1">
      <x:c r="A984" s="30" t="str">
        <x:v>CL0980</x:v>
      </x:c>
      <x:c r="B984" s="30" t="str">
        <x:v>Accounting &amp; Financial Statements</x:v>
      </x:c>
      <x:c r="C984" s="31" t="str">
        <x:v>What is the disadvantage of ufcf</x:v>
      </x:c>
      <x:c r="D984" s="32" t="n">
        <x:f>COUNTIF('All Questions'!$G$5:$G$1725,A984)</x:f>
        <x:v>1</x:v>
      </x:c>
      <x:c r="E984" s="11"/>
      <x:c r="F984" s="12" t="str">
        <x:v>Not Started</x:v>
      </x:c>
      <x:c r="G984" s="13"/>
      <x:c r="H984" s="30" t="str">
        <x:f>IF(AND(E984&lt;&gt;"",F984="Ready"),"Yes","No")</x:f>
        <x:v>No</x:v>
      </x:c>
      <x:c r="I984" s="11"/>
    </x:row>
    <x:row r="985" ht="38" customHeight="1">
      <x:c r="A985" s="30" t="str">
        <x:v>CL0981</x:v>
      </x:c>
      <x:c r="B985" s="30" t="str">
        <x:v>Accounting &amp; Financial Statements</x:v>
      </x:c>
      <x:c r="C985" s="31" t="str">
        <x:v>What is the gross margin for the China freight forwarding company</x:v>
      </x:c>
      <x:c r="D985" s="32" t="n">
        <x:f>COUNTIF('All Questions'!$G$5:$G$1725,A985)</x:f>
        <x:v>1</x:v>
      </x:c>
      <x:c r="E985" s="11"/>
      <x:c r="F985" s="12" t="str">
        <x:v>Not Started</x:v>
      </x:c>
      <x:c r="G985" s="13"/>
      <x:c r="H985" s="30" t="str">
        <x:f>IF(AND(E985&lt;&gt;"",F985="Ready"),"Yes","No")</x:f>
        <x:v>No</x:v>
      </x:c>
      <x:c r="I985" s="11"/>
    </x:row>
    <x:row r="986" ht="38" customHeight="1">
      <x:c r="A986" s="30" t="str">
        <x:v>CL0982</x:v>
      </x:c>
      <x:c r="B986" s="30" t="str">
        <x:v>Accounting &amp; Financial Statements</x:v>
      </x:c>
      <x:c r="C986" s="31" t="str">
        <x:v>What is the IRR</x:v>
      </x:c>
      <x:c r="D986" s="32" t="n">
        <x:f>COUNTIF('All Questions'!$G$5:$G$1725,A986)</x:f>
        <x:v>1</x:v>
      </x:c>
      <x:c r="E986" s="11"/>
      <x:c r="F986" s="12" t="str">
        <x:v>Not Started</x:v>
      </x:c>
      <x:c r="G986" s="13"/>
      <x:c r="H986" s="30" t="str">
        <x:f>IF(AND(E986&lt;&gt;"",F986="Ready"),"Yes","No")</x:f>
        <x:v>No</x:v>
      </x:c>
      <x:c r="I986" s="11"/>
    </x:row>
    <x:row r="987" ht="38" customHeight="1">
      <x:c r="A987" s="30" t="str">
        <x:v>CL0983</x:v>
      </x:c>
      <x:c r="B987" s="30" t="str">
        <x:v>Accounting &amp; Financial Statements</x:v>
      </x:c>
      <x:c r="C987" s="31" t="str">
        <x:v>What is the IRR? (20%)</x:v>
      </x:c>
      <x:c r="D987" s="32" t="n">
        <x:f>COUNTIF('All Questions'!$G$5:$G$1725,A987)</x:f>
        <x:v>1</x:v>
      </x:c>
      <x:c r="E987" s="11"/>
      <x:c r="F987" s="12" t="str">
        <x:v>Not Started</x:v>
      </x:c>
      <x:c r="G987" s="13"/>
      <x:c r="H987" s="30" t="str">
        <x:f>IF(AND(E987&lt;&gt;"",F987="Ready"),"Yes","No")</x:f>
        <x:v>No</x:v>
      </x:c>
      <x:c r="I987" s="11"/>
    </x:row>
    <x:row r="988" ht="38" customHeight="1">
      <x:c r="A988" s="30" t="str">
        <x:v>CL0984</x:v>
      </x:c>
      <x:c r="B988" s="30" t="str">
        <x:v>Accounting &amp; Financial Statements</x:v>
      </x:c>
      <x:c r="C988" s="31" t="str">
        <x:v>What is the market dynamic of this sector</x:v>
      </x:c>
      <x:c r="D988" s="32" t="n">
        <x:f>COUNTIF('All Questions'!$G$5:$G$1725,A988)</x:f>
        <x:v>1</x:v>
      </x:c>
      <x:c r="E988" s="11"/>
      <x:c r="F988" s="12" t="str">
        <x:v>Not Started</x:v>
      </x:c>
      <x:c r="G988" s="13"/>
      <x:c r="H988" s="30" t="str">
        <x:f>IF(AND(E988&lt;&gt;"",F988="Ready"),"Yes","No")</x:f>
        <x:v>No</x:v>
      </x:c>
      <x:c r="I988" s="11"/>
    </x:row>
    <x:row r="989" ht="38" customHeight="1">
      <x:c r="A989" s="30" t="str">
        <x:v>CL0985</x:v>
      </x:c>
      <x:c r="B989" s="30" t="str">
        <x:v>Accounting &amp; Financial Statements</x:v>
      </x:c>
      <x:c r="C989" s="31" t="str">
        <x:v>What is the market for sell side right now</x:v>
      </x:c>
      <x:c r="D989" s="32" t="n">
        <x:f>COUNTIF('All Questions'!$G$5:$G$1725,A989)</x:f>
        <x:v>1</x:v>
      </x:c>
      <x:c r="E989" s="11"/>
      <x:c r="F989" s="12" t="str">
        <x:v>Not Started</x:v>
      </x:c>
      <x:c r="G989" s="13"/>
      <x:c r="H989" s="30" t="str">
        <x:f>IF(AND(E989&lt;&gt;"",F989="Ready"),"Yes","No")</x:f>
        <x:v>No</x:v>
      </x:c>
      <x:c r="I989" s="11"/>
    </x:row>
    <x:row r="990" ht="38" customHeight="1">
      <x:c r="A990" s="30" t="str">
        <x:v>CL0986</x:v>
      </x:c>
      <x:c r="B990" s="30" t="str">
        <x:v>Accounting &amp; Financial Statements</x:v>
      </x:c>
      <x:c r="C990" s="31" t="str">
        <x:v>⁠⁠what is the normal market risk premium</x:v>
      </x:c>
      <x:c r="D990" s="32" t="n">
        <x:f>COUNTIF('All Questions'!$G$5:$G$1725,A990)</x:f>
        <x:v>1</x:v>
      </x:c>
      <x:c r="E990" s="11"/>
      <x:c r="F990" s="12" t="str">
        <x:v>Not Started</x:v>
      </x:c>
      <x:c r="G990" s="13"/>
      <x:c r="H990" s="30" t="str">
        <x:f>IF(AND(E990&lt;&gt;"",F990="Ready"),"Yes","No")</x:f>
        <x:v>No</x:v>
      </x:c>
      <x:c r="I990" s="11"/>
    </x:row>
    <x:row r="991" ht="58" customHeight="1">
      <x:c r="A991" s="30" t="str">
        <x:v>CL0987</x:v>
      </x:c>
      <x:c r="B991" s="30" t="str">
        <x:v>Accounting &amp; Financial Statements</x:v>
      </x:c>
      <x:c r="C991" s="31" t="str">
        <x:v>What is the one thing u felt has not been priced in and investors should be most excited about</x:v>
      </x:c>
      <x:c r="D991" s="32" t="n">
        <x:f>COUNTIF('All Questions'!$G$5:$G$1725,A991)</x:f>
        <x:v>1</x:v>
      </x:c>
      <x:c r="E991" s="11"/>
      <x:c r="F991" s="12" t="str">
        <x:v>Not Started</x:v>
      </x:c>
      <x:c r="G991" s="13"/>
      <x:c r="H991" s="30" t="str">
        <x:f>IF(AND(E991&lt;&gt;"",F991="Ready"),"Yes","No")</x:f>
        <x:v>No</x:v>
      </x:c>
      <x:c r="I991" s="11"/>
    </x:row>
    <x:row r="992" ht="38" customHeight="1">
      <x:c r="A992" s="30" t="str">
        <x:v>CL0988</x:v>
      </x:c>
      <x:c r="B992" s="30" t="str">
        <x:v>Accounting &amp; Financial Statements</x:v>
      </x:c>
      <x:c r="C992" s="31" t="str">
        <x:v>What is the P/B multiple used</x:v>
      </x:c>
      <x:c r="D992" s="32" t="n">
        <x:f>COUNTIF('All Questions'!$G$5:$G$1725,A992)</x:f>
        <x:v>1</x:v>
      </x:c>
      <x:c r="E992" s="11"/>
      <x:c r="F992" s="12" t="str">
        <x:v>Not Started</x:v>
      </x:c>
      <x:c r="G992" s="13"/>
      <x:c r="H992" s="30" t="str">
        <x:f>IF(AND(E992&lt;&gt;"",F992="Ready"),"Yes","No")</x:f>
        <x:v>No</x:v>
      </x:c>
      <x:c r="I992" s="11"/>
    </x:row>
    <x:row r="993" ht="38" customHeight="1">
      <x:c r="A993" s="30" t="str">
        <x:v>CL0989</x:v>
      </x:c>
      <x:c r="B993" s="30" t="str">
        <x:v>Accounting &amp; Financial Statements</x:v>
      </x:c>
      <x:c r="C993" s="31" t="str">
        <x:v>What is the part of IBD work that I love the most and hate the most</x:v>
      </x:c>
      <x:c r="D993" s="32" t="n">
        <x:f>COUNTIF('All Questions'!$G$5:$G$1725,A993)</x:f>
        <x:v>1</x:v>
      </x:c>
      <x:c r="E993" s="11"/>
      <x:c r="F993" s="12" t="str">
        <x:v>Not Started</x:v>
      </x:c>
      <x:c r="G993" s="13"/>
      <x:c r="H993" s="30" t="str">
        <x:f>IF(AND(E993&lt;&gt;"",F993="Ready"),"Yes","No")</x:f>
        <x:v>No</x:v>
      </x:c>
      <x:c r="I993" s="11"/>
    </x:row>
    <x:row r="994" ht="38" customHeight="1">
      <x:c r="A994" s="30" t="str">
        <x:v>CL0990</x:v>
      </x:c>
      <x:c r="B994" s="30" t="str">
        <x:v>Accounting &amp; Financial Statements</x:v>
      </x:c>
      <x:c r="C994" s="31" t="str">
        <x:v>What is the process of a buy-side M&amp;A, what would advisor do in each stage</x:v>
      </x:c>
      <x:c r="D994" s="32" t="n">
        <x:f>COUNTIF('All Questions'!$G$5:$G$1725,A994)</x:f>
        <x:v>1</x:v>
      </x:c>
      <x:c r="E994" s="11"/>
      <x:c r="F994" s="12" t="str">
        <x:v>Not Started</x:v>
      </x:c>
      <x:c r="G994" s="13"/>
      <x:c r="H994" s="30" t="str">
        <x:f>IF(AND(E994&lt;&gt;"",F994="Ready"),"Yes","No")</x:f>
        <x:v>No</x:v>
      </x:c>
      <x:c r="I994" s="11"/>
    </x:row>
    <x:row r="995" ht="38" customHeight="1">
      <x:c r="A995" s="30" t="str">
        <x:v>CL0991</x:v>
      </x:c>
      <x:c r="B995" s="30" t="str">
        <x:v>Accounting &amp; Financial Statements</x:v>
      </x:c>
      <x:c r="C995" s="31" t="str">
        <x:v>What is the process of a typical Sell-side M&amp;A deal</x:v>
      </x:c>
      <x:c r="D995" s="32" t="n">
        <x:f>COUNTIF('All Questions'!$G$5:$G$1725,A995)</x:f>
        <x:v>1</x:v>
      </x:c>
      <x:c r="E995" s="11"/>
      <x:c r="F995" s="12" t="str">
        <x:v>Not Started</x:v>
      </x:c>
      <x:c r="G995" s="13"/>
      <x:c r="H995" s="30" t="str">
        <x:f>IF(AND(E995&lt;&gt;"",F995="Ready"),"Yes","No")</x:f>
        <x:v>No</x:v>
      </x:c>
      <x:c r="I995" s="11"/>
    </x:row>
    <x:row r="996" ht="38" customHeight="1">
      <x:c r="A996" s="30" t="str">
        <x:v>CL0992</x:v>
      </x:c>
      <x:c r="B996" s="30" t="str">
        <x:v>Accounting &amp; Financial Statements</x:v>
      </x:c>
      <x:c r="C996" s="31" t="str">
        <x:v>What is the recent development of HKEX</x:v>
      </x:c>
      <x:c r="D996" s="32" t="n">
        <x:f>COUNTIF('All Questions'!$G$5:$G$1725,A996)</x:f>
        <x:v>1</x:v>
      </x:c>
      <x:c r="E996" s="11"/>
      <x:c r="F996" s="12" t="str">
        <x:v>Not Started</x:v>
      </x:c>
      <x:c r="G996" s="13"/>
      <x:c r="H996" s="30" t="str">
        <x:f>IF(AND(E996&lt;&gt;"",F996="Ready"),"Yes","No")</x:f>
        <x:v>No</x:v>
      </x:c>
      <x:c r="I996" s="11"/>
    </x:row>
    <x:row r="997" ht="38" customHeight="1">
      <x:c r="A997" s="30" t="str">
        <x:v>CL0993</x:v>
      </x:c>
      <x:c r="B997" s="30" t="str">
        <x:v>Accounting &amp; Financial Statements</x:v>
      </x:c>
      <x:c r="C997" s="31" t="str">
        <x:v>What is the risk? Policy wide</x:v>
      </x:c>
      <x:c r="D997" s="32" t="n">
        <x:f>COUNTIF('All Questions'!$G$5:$G$1725,A997)</x:f>
        <x:v>1</x:v>
      </x:c>
      <x:c r="E997" s="11"/>
      <x:c r="F997" s="12" t="str">
        <x:v>Not Started</x:v>
      </x:c>
      <x:c r="G997" s="13"/>
      <x:c r="H997" s="30" t="str">
        <x:f>IF(AND(E997&lt;&gt;"",F997="Ready"),"Yes","No")</x:f>
        <x:v>No</x:v>
      </x:c>
      <x:c r="I997" s="11"/>
    </x:row>
    <x:row r="998" ht="38" customHeight="1">
      <x:c r="A998" s="30" t="str">
        <x:v>CL0994</x:v>
      </x:c>
      <x:c r="B998" s="30" t="str">
        <x:v>Accounting &amp; Financial Statements</x:v>
      </x:c>
      <x:c r="C998" s="31" t="str">
        <x:v>What is the synergy of this acquisition</x:v>
      </x:c>
      <x:c r="D998" s="32" t="n">
        <x:f>COUNTIF('All Questions'!$G$5:$G$1725,A998)</x:f>
        <x:v>1</x:v>
      </x:c>
      <x:c r="E998" s="11"/>
      <x:c r="F998" s="12" t="str">
        <x:v>Not Started</x:v>
      </x:c>
      <x:c r="G998" s="13"/>
      <x:c r="H998" s="30" t="str">
        <x:f>IF(AND(E998&lt;&gt;"",F998="Ready"),"Yes","No")</x:f>
        <x:v>No</x:v>
      </x:c>
      <x:c r="I998" s="11"/>
    </x:row>
    <x:row r="999" ht="38" customHeight="1">
      <x:c r="A999" s="30" t="str">
        <x:v>CL0995</x:v>
      </x:c>
      <x:c r="B999" s="30" t="str">
        <x:v>Accounting &amp; Financial Statements</x:v>
      </x:c>
      <x:c r="C999" s="31" t="str">
        <x:v>What is the top line? How did you determine the revenue growth rate</x:v>
      </x:c>
      <x:c r="D999" s="32" t="n">
        <x:f>COUNTIF('All Questions'!$G$5:$G$1725,A999)</x:f>
        <x:v>1</x:v>
      </x:c>
      <x:c r="E999" s="11"/>
      <x:c r="F999" s="12" t="str">
        <x:v>Not Started</x:v>
      </x:c>
      <x:c r="G999" s="13"/>
      <x:c r="H999" s="30" t="str">
        <x:f>IF(AND(E999&lt;&gt;"",F999="Ready"),"Yes","No")</x:f>
        <x:v>No</x:v>
      </x:c>
      <x:c r="I999" s="11"/>
    </x:row>
    <x:row r="1000" ht="38" customHeight="1">
      <x:c r="A1000" s="30" t="str">
        <x:v>CL0996</x:v>
      </x:c>
      <x:c r="B1000" s="30" t="str">
        <x:v>Accounting &amp; Financial Statements</x:v>
      </x:c>
      <x:c r="C1000" s="31" t="str">
        <x:v>What is the valuation of this target</x:v>
      </x:c>
      <x:c r="D1000" s="32" t="n">
        <x:f>COUNTIF('All Questions'!$G$5:$G$1725,A1000)</x:f>
        <x:v>1</x:v>
      </x:c>
      <x:c r="E1000" s="11"/>
      <x:c r="F1000" s="12" t="str">
        <x:v>Not Started</x:v>
      </x:c>
      <x:c r="G1000" s="13"/>
      <x:c r="H1000" s="30" t="str">
        <x:f>IF(AND(E1000&lt;&gt;"",F1000="Ready"),"Yes","No")</x:f>
        <x:v>No</x:v>
      </x:c>
      <x:c r="I1000" s="11"/>
    </x:row>
    <x:row r="1001" ht="38" customHeight="1">
      <x:c r="A1001" s="30" t="str">
        <x:v>CL0997</x:v>
      </x:c>
      <x:c r="B1001" s="30" t="str">
        <x:v>Accounting &amp; Financial Statements</x:v>
      </x:c>
      <x:c r="C1001" s="31" t="str">
        <x:v>What is UBS AM known for</x:v>
      </x:c>
      <x:c r="D1001" s="32" t="n">
        <x:f>COUNTIF('All Questions'!$G$5:$G$1725,A1001)</x:f>
        <x:v>1</x:v>
      </x:c>
      <x:c r="E1001" s="11"/>
      <x:c r="F1001" s="12" t="str">
        <x:v>Not Started</x:v>
      </x:c>
      <x:c r="G1001" s="13"/>
      <x:c r="H1001" s="30" t="str">
        <x:f>IF(AND(E1001&lt;&gt;"",F1001="Ready"),"Yes","No")</x:f>
        <x:v>No</x:v>
      </x:c>
      <x:c r="I1001" s="11"/>
    </x:row>
    <x:row r="1002" ht="38" customHeight="1">
      <x:c r="A1002" s="30" t="str">
        <x:v>CL0998</x:v>
      </x:c>
      <x:c r="B1002" s="30" t="str">
        <x:v>Resume &amp; Experience</x:v>
      </x:c>
      <x:c r="C1002" s="31" t="str">
        <x:v>What is ur favourite subject in school</x:v>
      </x:c>
      <x:c r="D1002" s="32" t="n">
        <x:f>COUNTIF('All Questions'!$G$5:$G$1725,A1002)</x:f>
        <x:v>1</x:v>
      </x:c>
      <x:c r="E1002" s="11"/>
      <x:c r="F1002" s="12" t="str">
        <x:v>Not Started</x:v>
      </x:c>
      <x:c r="G1002" s="13"/>
      <x:c r="H1002" s="30" t="str">
        <x:f>IF(AND(E1002&lt;&gt;"",F1002="Ready"),"Yes","No")</x:f>
        <x:v>No</x:v>
      </x:c>
      <x:c r="I1002" s="11"/>
    </x:row>
    <x:row r="1003" ht="38" customHeight="1">
      <x:c r="A1003" s="30" t="str">
        <x:v>CL0999</x:v>
      </x:c>
      <x:c r="B1003" s="30" t="str">
        <x:v>Fit &amp; Motivation</x:v>
      </x:c>
      <x:c r="C1003" s="31" t="str">
        <x:v>What is VIE, and why would company list like VIE? Pros of VIE</x:v>
      </x:c>
      <x:c r="D1003" s="32" t="n">
        <x:f>COUNTIF('All Questions'!$G$5:$G$1725,A1003)</x:f>
        <x:v>1</x:v>
      </x:c>
      <x:c r="E1003" s="11"/>
      <x:c r="F1003" s="12" t="str">
        <x:v>Not Started</x:v>
      </x:c>
      <x:c r="G1003" s="13"/>
      <x:c r="H1003" s="30" t="str">
        <x:f>IF(AND(E1003&lt;&gt;"",F1003="Ready"),"Yes","No")</x:f>
        <x:v>No</x:v>
      </x:c>
      <x:c r="I1003" s="11"/>
    </x:row>
    <x:row r="1004" ht="38" customHeight="1">
      <x:c r="A1004" s="30" t="str">
        <x:v>CL1000</x:v>
      </x:c>
      <x:c r="B1004" s="30" t="str">
        <x:v>Accounting &amp; Financial Statements</x:v>
      </x:c>
      <x:c r="C1004" s="31" t="str">
        <x:v>What is wacc</x:v>
      </x:c>
      <x:c r="D1004" s="32" t="n">
        <x:f>COUNTIF('All Questions'!$G$5:$G$1725,A1004)</x:f>
        <x:v>1</x:v>
      </x:c>
      <x:c r="E1004" s="11"/>
      <x:c r="F1004" s="12" t="str">
        <x:v>Not Started</x:v>
      </x:c>
      <x:c r="G1004" s="13"/>
      <x:c r="H1004" s="30" t="str">
        <x:f>IF(AND(E1004&lt;&gt;"",F1004="Ready"),"Yes","No")</x:f>
        <x:v>No</x:v>
      </x:c>
      <x:c r="I1004" s="11"/>
    </x:row>
    <x:row r="1005" ht="38" customHeight="1">
      <x:c r="A1005" s="30" t="str">
        <x:v>CL1001</x:v>
      </x:c>
      <x:c r="B1005" s="30" t="str">
        <x:v>Accounting &amp; Financial Statements</x:v>
      </x:c>
      <x:c r="C1005" s="31" t="str">
        <x:v>What is your career plan</x:v>
      </x:c>
      <x:c r="D1005" s="32" t="n">
        <x:f>COUNTIF('All Questions'!$G$5:$G$1725,A1005)</x:f>
        <x:v>1</x:v>
      </x:c>
      <x:c r="E1005" s="11"/>
      <x:c r="F1005" s="12" t="str">
        <x:v>Not Started</x:v>
      </x:c>
      <x:c r="G1005" s="13"/>
      <x:c r="H1005" s="30" t="str">
        <x:f>IF(AND(E1005&lt;&gt;"",F1005="Ready"),"Yes","No")</x:f>
        <x:v>No</x:v>
      </x:c>
      <x:c r="I1005" s="11"/>
    </x:row>
    <x:row r="1006" ht="38" customHeight="1">
      <x:c r="A1006" s="30" t="str">
        <x:v>CL1002</x:v>
      </x:c>
      <x:c r="B1006" s="30" t="str">
        <x:v>Accounting &amp; Financial Statements</x:v>
      </x:c>
      <x:c r="C1006" s="31" t="str">
        <x:v>What is your expectation for the UBS AM GTP programme</x:v>
      </x:c>
      <x:c r="D1006" s="32" t="n">
        <x:f>COUNTIF('All Questions'!$G$5:$G$1725,A1006)</x:f>
        <x:v>1</x:v>
      </x:c>
      <x:c r="E1006" s="11"/>
      <x:c r="F1006" s="12" t="str">
        <x:v>Not Started</x:v>
      </x:c>
      <x:c r="G1006" s="13"/>
      <x:c r="H1006" s="30" t="str">
        <x:f>IF(AND(E1006&lt;&gt;"",F1006="Ready"),"Yes","No")</x:f>
        <x:v>No</x:v>
      </x:c>
      <x:c r="I1006" s="11"/>
    </x:row>
    <x:row r="1007" ht="38" customHeight="1">
      <x:c r="A1007" s="30" t="str">
        <x:v>CL1003</x:v>
      </x:c>
      <x:c r="B1007" s="30" t="str">
        <x:v>Accounting &amp; Financial Statements</x:v>
      </x:c>
      <x:c r="C1007" s="31" t="str">
        <x:v>What is your favourite book outside of finance and why</x:v>
      </x:c>
      <x:c r="D1007" s="32" t="n">
        <x:f>COUNTIF('All Questions'!$G$5:$G$1725,A1007)</x:f>
        <x:v>1</x:v>
      </x:c>
      <x:c r="E1007" s="11"/>
      <x:c r="F1007" s="12" t="str">
        <x:v>Not Started</x:v>
      </x:c>
      <x:c r="G1007" s="13"/>
      <x:c r="H1007" s="30" t="str">
        <x:f>IF(AND(E1007&lt;&gt;"",F1007="Ready"),"Yes","No")</x:f>
        <x:v>No</x:v>
      </x:c>
      <x:c r="I1007" s="11"/>
    </x:row>
    <x:row r="1008" ht="38" customHeight="1">
      <x:c r="A1008" s="30" t="str">
        <x:v>CL1004</x:v>
      </x:c>
      <x:c r="B1008" s="30" t="str">
        <x:v>Resume &amp; Experience</x:v>
      </x:c>
      <x:c r="C1008" s="31" t="str">
        <x:v>What is your most favourite and least favourite internship and why</x:v>
      </x:c>
      <x:c r="D1008" s="32" t="n">
        <x:f>COUNTIF('All Questions'!$G$5:$G$1725,A1008)</x:f>
        <x:v>1</x:v>
      </x:c>
      <x:c r="E1008" s="11"/>
      <x:c r="F1008" s="12" t="str">
        <x:v>Not Started</x:v>
      </x:c>
      <x:c r="G1008" s="13"/>
      <x:c r="H1008" s="30" t="str">
        <x:f>IF(AND(E1008&lt;&gt;"",F1008="Ready"),"Yes","No")</x:f>
        <x:v>No</x:v>
      </x:c>
      <x:c r="I1008" s="11"/>
    </x:row>
    <x:row r="1009" ht="38" customHeight="1">
      <x:c r="A1009" s="30" t="str">
        <x:v>CL1005</x:v>
      </x:c>
      <x:c r="B1009" s="30" t="str">
        <x:v>Accounting &amp; Financial Statements</x:v>
      </x:c>
      <x:c r="C1009" s="31" t="str">
        <x:v>What is β, predict Walmart's β</x:v>
      </x:c>
      <x:c r="D1009" s="32" t="n">
        <x:f>COUNTIF('All Questions'!$G$5:$G$1725,A1009)</x:f>
        <x:v>1</x:v>
      </x:c>
      <x:c r="E1009" s="11"/>
      <x:c r="F1009" s="12" t="str">
        <x:v>Not Started</x:v>
      </x:c>
      <x:c r="G1009" s="13"/>
      <x:c r="H1009" s="30" t="str">
        <x:f>IF(AND(E1009&lt;&gt;"",F1009="Ready"),"Yes","No")</x:f>
        <x:v>No</x:v>
      </x:c>
      <x:c r="I1009" s="11"/>
    </x:row>
    <x:row r="1010" ht="38" customHeight="1">
      <x:c r="A1010" s="30" t="str">
        <x:v>CL1006</x:v>
      </x:c>
      <x:c r="B1010" s="30" t="str">
        <x:v>Other Question</x:v>
      </x:c>
      <x:c r="C1010" s="31" t="str">
        <x:v>What key metrics would you focus on in healthcare</x:v>
      </x:c>
      <x:c r="D1010" s="32" t="n">
        <x:f>COUNTIF('All Questions'!$G$5:$G$1725,A1010)</x:f>
        <x:v>1</x:v>
      </x:c>
      <x:c r="E1010" s="11"/>
      <x:c r="F1010" s="12" t="str">
        <x:v>Not Started</x:v>
      </x:c>
      <x:c r="G1010" s="13"/>
      <x:c r="H1010" s="30" t="str">
        <x:f>IF(AND(E1010&lt;&gt;"",F1010="Ready"),"Yes","No")</x:f>
        <x:v>No</x:v>
      </x:c>
      <x:c r="I1010" s="11"/>
    </x:row>
    <x:row r="1011" ht="58" customHeight="1">
      <x:c r="A1011" s="30" t="str">
        <x:v>CL1007</x:v>
      </x:c>
      <x:c r="B1011" s="30" t="str">
        <x:v>Accounting &amp; Financial Statements</x:v>
      </x:c>
      <x:c r="C1011" s="31" t="str">
        <x:v>What kind of companies will receive cash but not yet record it as revenue on the IS, and how would it affect the BS</x:v>
      </x:c>
      <x:c r="D1011" s="32" t="n">
        <x:f>COUNTIF('All Questions'!$G$5:$G$1725,A1011)</x:f>
        <x:v>1</x:v>
      </x:c>
      <x:c r="E1011" s="11"/>
      <x:c r="F1011" s="12" t="str">
        <x:v>Not Started</x:v>
      </x:c>
      <x:c r="G1011" s="13"/>
      <x:c r="H1011" s="30" t="str">
        <x:f>IF(AND(E1011&lt;&gt;"",F1011="Ready"),"Yes","No")</x:f>
        <x:v>No</x:v>
      </x:c>
      <x:c r="I1011" s="11"/>
    </x:row>
    <x:row r="1012" ht="38" customHeight="1">
      <x:c r="A1012" s="30" t="str">
        <x:v>CL1008</x:v>
      </x:c>
      <x:c r="B1012" s="30" t="str">
        <x:v>Other Technical</x:v>
      </x:c>
      <x:c r="C1012" s="31" t="str">
        <x:v>What kind of technical skills you think you lack in UBS</x:v>
      </x:c>
      <x:c r="D1012" s="32" t="n">
        <x:f>COUNTIF('All Questions'!$G$5:$G$1725,A1012)</x:f>
        <x:v>1</x:v>
      </x:c>
      <x:c r="E1012" s="11"/>
      <x:c r="F1012" s="12" t="str">
        <x:v>Not Started</x:v>
      </x:c>
      <x:c r="G1012" s="13"/>
      <x:c r="H1012" s="30" t="str">
        <x:f>IF(AND(E1012&lt;&gt;"",F1012="Ready"),"Yes","No")</x:f>
        <x:v>No</x:v>
      </x:c>
      <x:c r="I1012" s="11"/>
    </x:row>
    <x:row r="1013" ht="38" customHeight="1">
      <x:c r="A1013" s="30" t="str">
        <x:v>CL1009</x:v>
      </x:c>
      <x:c r="B1013" s="30" t="str">
        <x:v>Other Question</x:v>
      </x:c>
      <x:c r="C1013" s="31" t="str">
        <x:v>What kind of tools can you think in terms of lending</x:v>
      </x:c>
      <x:c r="D1013" s="32" t="n">
        <x:f>COUNTIF('All Questions'!$G$5:$G$1725,A1013)</x:f>
        <x:v>1</x:v>
      </x:c>
      <x:c r="E1013" s="11"/>
      <x:c r="F1013" s="12" t="str">
        <x:v>Not Started</x:v>
      </x:c>
      <x:c r="G1013" s="13"/>
      <x:c r="H1013" s="30" t="str">
        <x:f>IF(AND(E1013&lt;&gt;"",F1013="Ready"),"Yes","No")</x:f>
        <x:v>No</x:v>
      </x:c>
      <x:c r="I1013" s="11"/>
    </x:row>
    <x:row r="1014" ht="38" customHeight="1">
      <x:c r="A1014" s="30" t="str">
        <x:v>CL1010</x:v>
      </x:c>
      <x:c r="B1014" s="30" t="str">
        <x:v>Company, Industry &amp; Deals</x:v>
      </x:c>
      <x:c r="C1014" s="31" t="str">
        <x:v>What kinds of preparations you've made for the SPD</x:v>
      </x:c>
      <x:c r="D1014" s="32" t="n">
        <x:f>COUNTIF('All Questions'!$G$5:$G$1725,A1014)</x:f>
        <x:v>1</x:v>
      </x:c>
      <x:c r="E1014" s="11"/>
      <x:c r="F1014" s="12" t="str">
        <x:v>Not Started</x:v>
      </x:c>
      <x:c r="G1014" s="13"/>
      <x:c r="H1014" s="30" t="str">
        <x:f>IF(AND(E1014&lt;&gt;"",F1014="Ready"),"Yes","No")</x:f>
        <x:v>No</x:v>
      </x:c>
      <x:c r="I1014" s="11"/>
    </x:row>
    <x:row r="1015" ht="58" customHeight="1">
      <x:c r="A1015" s="30" t="str">
        <x:v>CL1011</x:v>
      </x:c>
      <x:c r="B1015" s="30" t="str">
        <x:v>Other Question</x:v>
      </x:c>
      <x:c r="C1015" s="31" t="str">
        <x:v>What kinds of skill sets do you believe that you've been equipped with and make you suitable for a sales</x:v>
      </x:c>
      <x:c r="D1015" s="32" t="n">
        <x:f>COUNTIF('All Questions'!$G$5:$G$1725,A1015)</x:f>
        <x:v>1</x:v>
      </x:c>
      <x:c r="E1015" s="11"/>
      <x:c r="F1015" s="12" t="str">
        <x:v>Not Started</x:v>
      </x:c>
      <x:c r="G1015" s="13"/>
      <x:c r="H1015" s="30" t="str">
        <x:f>IF(AND(E1015&lt;&gt;"",F1015="Ready"),"Yes","No")</x:f>
        <x:v>No</x:v>
      </x:c>
      <x:c r="I1015" s="11"/>
    </x:row>
    <x:row r="1016" ht="38" customHeight="1">
      <x:c r="A1016" s="30" t="str">
        <x:v>CL1012</x:v>
      </x:c>
      <x:c r="B1016" s="30" t="str">
        <x:v>Other Question</x:v>
      </x:c>
      <x:c r="C1016" s="31" t="str">
        <x:v>What makes me a good player</x:v>
      </x:c>
      <x:c r="D1016" s="32" t="n">
        <x:f>COUNTIF('All Questions'!$G$5:$G$1725,A1016)</x:f>
        <x:v>1</x:v>
      </x:c>
      <x:c r="E1016" s="11"/>
      <x:c r="F1016" s="12" t="str">
        <x:v>Not Started</x:v>
      </x:c>
      <x:c r="G1016" s="13"/>
      <x:c r="H1016" s="30" t="str">
        <x:f>IF(AND(E1016&lt;&gt;"",F1016="Ready"),"Yes","No")</x:f>
        <x:v>No</x:v>
      </x:c>
      <x:c r="I1016" s="11"/>
    </x:row>
    <x:row r="1017" ht="38" customHeight="1">
      <x:c r="A1017" s="30" t="str">
        <x:v>CL1013</x:v>
      </x:c>
      <x:c r="B1017" s="30" t="str">
        <x:v>Fit &amp; Motivation</x:v>
      </x:c>
      <x:c r="C1017" s="31" t="str">
        <x:v>What motivates you to be here today? (Why JPM?)</x:v>
      </x:c>
      <x:c r="D1017" s="32" t="n">
        <x:f>COUNTIF('All Questions'!$G$5:$G$1725,A1017)</x:f>
        <x:v>1</x:v>
      </x:c>
      <x:c r="E1017" s="11"/>
      <x:c r="F1017" s="12" t="str">
        <x:v>Not Started</x:v>
      </x:c>
      <x:c r="G1017" s="13"/>
      <x:c r="H1017" s="30" t="str">
        <x:f>IF(AND(E1017&lt;&gt;"",F1017="Ready"),"Yes","No")</x:f>
        <x:v>No</x:v>
      </x:c>
      <x:c r="I1017" s="11"/>
    </x:row>
    <x:row r="1018" ht="38" customHeight="1">
      <x:c r="A1018" s="30" t="str">
        <x:v>CL1014</x:v>
      </x:c>
      <x:c r="B1018" s="30" t="str">
        <x:v>Company, Industry &amp; Deals</x:v>
      </x:c>
      <x:c r="C1018" s="31" t="str">
        <x:v>What MS deals do I know</x:v>
      </x:c>
      <x:c r="D1018" s="32" t="n">
        <x:f>COUNTIF('All Questions'!$G$5:$G$1725,A1018)</x:f>
        <x:v>1</x:v>
      </x:c>
      <x:c r="E1018" s="11"/>
      <x:c r="F1018" s="12" t="str">
        <x:v>Not Started</x:v>
      </x:c>
      <x:c r="G1018" s="13"/>
      <x:c r="H1018" s="30" t="str">
        <x:f>IF(AND(E1018&lt;&gt;"",F1018="Ready"),"Yes","No")</x:f>
        <x:v>No</x:v>
      </x:c>
      <x:c r="I1018" s="11"/>
    </x:row>
    <x:row r="1019" ht="38" customHeight="1">
      <x:c r="A1019" s="30" t="str">
        <x:v>CL1015</x:v>
      </x:c>
      <x:c r="B1019" s="30" t="str">
        <x:v>Valuation</x:v>
      </x:c>
      <x:c r="C1019" s="31" t="str">
        <x:v>What multiple did you use</x:v>
      </x:c>
      <x:c r="D1019" s="32" t="n">
        <x:f>COUNTIF('All Questions'!$G$5:$G$1725,A1019)</x:f>
        <x:v>1</x:v>
      </x:c>
      <x:c r="E1019" s="11"/>
      <x:c r="F1019" s="12" t="str">
        <x:v>Not Started</x:v>
      </x:c>
      <x:c r="G1019" s="13"/>
      <x:c r="H1019" s="30" t="str">
        <x:f>IF(AND(E1019&lt;&gt;"",F1019="Ready"),"Yes","No")</x:f>
        <x:v>No</x:v>
      </x:c>
      <x:c r="I1019" s="11"/>
    </x:row>
    <x:row r="1020" ht="38" customHeight="1">
      <x:c r="A1020" s="30" t="str">
        <x:v>CL1016</x:v>
      </x:c>
      <x:c r="B1020" s="30" t="str">
        <x:v>Valuation</x:v>
      </x:c>
      <x:c r="C1020" s="31" t="str">
        <x:v>What multiples for comps and any special multiples</x:v>
      </x:c>
      <x:c r="D1020" s="32" t="n">
        <x:f>COUNTIF('All Questions'!$G$5:$G$1725,A1020)</x:f>
        <x:v>1</x:v>
      </x:c>
      <x:c r="E1020" s="11"/>
      <x:c r="F1020" s="12" t="str">
        <x:v>Not Started</x:v>
      </x:c>
      <x:c r="G1020" s="13"/>
      <x:c r="H1020" s="30" t="str">
        <x:f>IF(AND(E1020&lt;&gt;"",F1020="Ready"),"Yes","No")</x:f>
        <x:v>No</x:v>
      </x:c>
      <x:c r="I1020" s="11"/>
    </x:row>
    <x:row r="1021" ht="38" customHeight="1">
      <x:c r="A1021" s="30" t="str">
        <x:v>CL1017</x:v>
      </x:c>
      <x:c r="B1021" s="30" t="str">
        <x:v>Fit &amp; Motivation</x:v>
      </x:c>
      <x:c r="C1021" s="31" t="str">
        <x:v>What multiples would you look at? Why EV/EBIT but not other multiples</x:v>
      </x:c>
      <x:c r="D1021" s="32" t="n">
        <x:f>COUNTIF('All Questions'!$G$5:$G$1725,A1021)</x:f>
        <x:v>1</x:v>
      </x:c>
      <x:c r="E1021" s="11"/>
      <x:c r="F1021" s="12" t="str">
        <x:v>Not Started</x:v>
      </x:c>
      <x:c r="G1021" s="13"/>
      <x:c r="H1021" s="30" t="str">
        <x:f>IF(AND(E1021&lt;&gt;"",F1021="Ready"),"Yes","No")</x:f>
        <x:v>No</x:v>
      </x:c>
      <x:c r="I1021" s="11"/>
    </x:row>
    <x:row r="1022" ht="58" customHeight="1">
      <x:c r="A1022" s="30" t="str">
        <x:v>CL1018</x:v>
      </x:c>
      <x:c r="B1022" s="30" t="str">
        <x:v>Fit &amp; Motivation</x:v>
      </x:c>
      <x:c r="C1022" s="31" t="str">
        <x:v>What multiples would you use? Why use EV/EBIT? Why does the company have a lower EV/EBIT than others</x:v>
      </x:c>
      <x:c r="D1022" s="32" t="n">
        <x:f>COUNTIF('All Questions'!$G$5:$G$1725,A1022)</x:f>
        <x:v>1</x:v>
      </x:c>
      <x:c r="E1022" s="11"/>
      <x:c r="F1022" s="12" t="str">
        <x:v>Not Started</x:v>
      </x:c>
      <x:c r="G1022" s="13"/>
      <x:c r="H1022" s="30" t="str">
        <x:f>IF(AND(E1022&lt;&gt;"",F1022="Ready"),"Yes","No")</x:f>
        <x:v>No</x:v>
      </x:c>
      <x:c r="I1022" s="11"/>
    </x:row>
    <x:row r="1023" ht="38" customHeight="1">
      <x:c r="A1023" s="30" t="str">
        <x:v>CL1019</x:v>
      </x:c>
      <x:c r="B1023" s="30" t="str">
        <x:v>Valuation</x:v>
      </x:c>
      <x:c r="C1023" s="31" t="str">
        <x:v>What multiples you used for comps? EV/MW makes sense</x:v>
      </x:c>
      <x:c r="D1023" s="32" t="n">
        <x:f>COUNTIF('All Questions'!$G$5:$G$1725,A1023)</x:f>
        <x:v>1</x:v>
      </x:c>
      <x:c r="E1023" s="11"/>
      <x:c r="F1023" s="12" t="str">
        <x:v>Not Started</x:v>
      </x:c>
      <x:c r="G1023" s="13"/>
      <x:c r="H1023" s="30" t="str">
        <x:f>IF(AND(E1023&lt;&gt;"",F1023="Ready"),"Yes","No")</x:f>
        <x:v>No</x:v>
      </x:c>
      <x:c r="I1023" s="11"/>
    </x:row>
    <x:row r="1024" ht="38" customHeight="1">
      <x:c r="A1024" s="30" t="str">
        <x:v>CL1020</x:v>
      </x:c>
      <x:c r="B1024" s="30" t="str">
        <x:v>Valuation</x:v>
      </x:c>
      <x:c r="C1024" s="31" t="str">
        <x:v>What multiples you used for valuation of this stcok</x:v>
      </x:c>
      <x:c r="D1024" s="32" t="n">
        <x:f>COUNTIF('All Questions'!$G$5:$G$1725,A1024)</x:f>
        <x:v>1</x:v>
      </x:c>
      <x:c r="E1024" s="11"/>
      <x:c r="F1024" s="12" t="str">
        <x:v>Not Started</x:v>
      </x:c>
      <x:c r="G1024" s="13"/>
      <x:c r="H1024" s="30" t="str">
        <x:f>IF(AND(E1024&lt;&gt;"",F1024="Ready"),"Yes","No")</x:f>
        <x:v>No</x:v>
      </x:c>
      <x:c r="I1024" s="11"/>
    </x:row>
    <x:row r="1025" ht="38" customHeight="1">
      <x:c r="A1025" s="30" t="str">
        <x:v>CL1021</x:v>
      </x:c>
      <x:c r="B1025" s="30" t="str">
        <x:v>Other Question</x:v>
      </x:c>
      <x:c r="C1025" s="31" t="str">
        <x:v>What new policies did China just implement? (rate cuts, lower rrr etc)</x:v>
      </x:c>
      <x:c r="D1025" s="32" t="n">
        <x:f>COUNTIF('All Questions'!$G$5:$G$1725,A1025)</x:f>
        <x:v>1</x:v>
      </x:c>
      <x:c r="E1025" s="11"/>
      <x:c r="F1025" s="12" t="str">
        <x:v>Not Started</x:v>
      </x:c>
      <x:c r="G1025" s="13"/>
      <x:c r="H1025" s="30" t="str">
        <x:f>IF(AND(E1025&lt;&gt;"",F1025="Ready"),"Yes","No")</x:f>
        <x:v>No</x:v>
      </x:c>
      <x:c r="I1025" s="11"/>
    </x:row>
    <x:row r="1026" ht="38" customHeight="1">
      <x:c r="A1026" s="30" t="str">
        <x:v>CL1022</x:v>
      </x:c>
      <x:c r="B1026" s="30" t="str">
        <x:v>Other Question</x:v>
      </x:c>
      <x:c r="C1026" s="31" t="str">
        <x:v>What news am I following (i said esports on hanzhou asian game)</x:v>
      </x:c>
      <x:c r="D1026" s="32" t="n">
        <x:f>COUNTIF('All Questions'!$G$5:$G$1725,A1026)</x:f>
        <x:v>1</x:v>
      </x:c>
      <x:c r="E1026" s="11"/>
      <x:c r="F1026" s="12" t="str">
        <x:v>Not Started</x:v>
      </x:c>
      <x:c r="G1026" s="13"/>
      <x:c r="H1026" s="30" t="str">
        <x:f>IF(AND(E1026&lt;&gt;"",F1026="Ready"),"Yes","No")</x:f>
        <x:v>No</x:v>
      </x:c>
      <x:c r="I1026" s="11"/>
    </x:row>
    <x:row r="1027" ht="38" customHeight="1">
      <x:c r="A1027" s="30" t="str">
        <x:v>CL1023</x:v>
      </x:c>
      <x:c r="B1027" s="30" t="str">
        <x:v>Capital Markets &amp; Financing</x:v>
      </x:c>
      <x:c r="C1027" s="31" t="str">
        <x:v>What opportunities this company can have (ECM, DCM, M&amp;A)</x:v>
      </x:c>
      <x:c r="D1027" s="32" t="n">
        <x:f>COUNTIF('All Questions'!$G$5:$G$1725,A1027)</x:f>
        <x:v>1</x:v>
      </x:c>
      <x:c r="E1027" s="11"/>
      <x:c r="F1027" s="12" t="str">
        <x:v>Not Started</x:v>
      </x:c>
      <x:c r="G1027" s="13"/>
      <x:c r="H1027" s="30" t="str">
        <x:f>IF(AND(E1027&lt;&gt;"",F1027="Ready"),"Yes","No")</x:f>
        <x:v>No</x:v>
      </x:c>
      <x:c r="I1027" s="11"/>
    </x:row>
    <x:row r="1028" ht="38" customHeight="1">
      <x:c r="A1028" s="30" t="str">
        <x:v>CL1024</x:v>
      </x:c>
      <x:c r="B1028" s="30" t="str">
        <x:v>Fit &amp; Motivation</x:v>
      </x:c>
      <x:c r="C1028" s="31" t="str">
        <x:v>What other additional things are in the equation and why (nols, dta etc)</x:v>
      </x:c>
      <x:c r="D1028" s="32" t="n">
        <x:f>COUNTIF('All Questions'!$G$5:$G$1725,A1028)</x:f>
        <x:v>1</x:v>
      </x:c>
      <x:c r="E1028" s="11"/>
      <x:c r="F1028" s="12" t="str">
        <x:v>Not Started</x:v>
      </x:c>
      <x:c r="G1028" s="13"/>
      <x:c r="H1028" s="30" t="str">
        <x:f>IF(AND(E1028&lt;&gt;"",F1028="Ready"),"Yes","No")</x:f>
        <x:v>No</x:v>
      </x:c>
      <x:c r="I1028" s="11"/>
    </x:row>
    <x:row r="1029" ht="58" customHeight="1">
      <x:c r="A1029" s="30" t="str">
        <x:v>CL1025</x:v>
      </x:c>
      <x:c r="B1029" s="30" t="str">
        <x:v>Company, Industry &amp; Deals</x:v>
      </x:c>
      <x:c r="C1029" s="31" t="str">
        <x:v>What part of CIM I did? How long have you stayed in this company and how long does the CIM takes</x:v>
      </x:c>
      <x:c r="D1029" s="32" t="n">
        <x:f>COUNTIF('All Questions'!$G$5:$G$1725,A1029)</x:f>
        <x:v>1</x:v>
      </x:c>
      <x:c r="E1029" s="11"/>
      <x:c r="F1029" s="12" t="str">
        <x:v>Not Started</x:v>
      </x:c>
      <x:c r="G1029" s="13"/>
      <x:c r="H1029" s="30" t="str">
        <x:f>IF(AND(E1029&lt;&gt;"",F1029="Ready"),"Yes","No")</x:f>
        <x:v>No</x:v>
      </x:c>
      <x:c r="I1029" s="11"/>
    </x:row>
    <x:row r="1030" ht="38" customHeight="1">
      <x:c r="A1030" s="30" t="str">
        <x:v>CL1026</x:v>
      </x:c>
      <x:c r="B1030" s="30" t="str">
        <x:v>Wealth &amp; Asset Management</x:v>
      </x:c>
      <x:c r="C1030" s="31" t="str">
        <x:v>What risk metrics are most important when managing a portfolio</x:v>
      </x:c>
      <x:c r="D1030" s="32" t="n">
        <x:f>COUNTIF('All Questions'!$G$5:$G$1725,A1030)</x:f>
        <x:v>1</x:v>
      </x:c>
      <x:c r="E1030" s="11"/>
      <x:c r="F1030" s="12" t="str">
        <x:v>Not Started</x:v>
      </x:c>
      <x:c r="G1030" s="13"/>
      <x:c r="H1030" s="30" t="str">
        <x:f>IF(AND(E1030&lt;&gt;"",F1030="Ready"),"Yes","No")</x:f>
        <x:v>No</x:v>
      </x:c>
      <x:c r="I1030" s="11"/>
    </x:row>
    <x:row r="1031" ht="38" customHeight="1">
      <x:c r="A1031" s="30" t="str">
        <x:v>CL1027</x:v>
      </x:c>
      <x:c r="B1031" s="30" t="str">
        <x:v>Other Question</x:v>
      </x:c>
      <x:c r="C1031" s="31" t="str">
        <x:v>What roles within IED do u prefer</x:v>
      </x:c>
      <x:c r="D1031" s="32" t="n">
        <x:f>COUNTIF('All Questions'!$G$5:$G$1725,A1031)</x:f>
        <x:v>1</x:v>
      </x:c>
      <x:c r="E1031" s="11"/>
      <x:c r="F1031" s="12" t="str">
        <x:v>Not Started</x:v>
      </x:c>
      <x:c r="G1031" s="13"/>
      <x:c r="H1031" s="30" t="str">
        <x:f>IF(AND(E1031&lt;&gt;"",F1031="Ready"),"Yes","No")</x:f>
        <x:v>No</x:v>
      </x:c>
      <x:c r="I1031" s="11"/>
    </x:row>
    <x:row r="1032" ht="38" customHeight="1">
      <x:c r="A1032" s="30" t="str">
        <x:v>CL1028</x:v>
      </x:c>
      <x:c r="B1032" s="30" t="str">
        <x:v>Other Question</x:v>
      </x:c>
      <x:c r="C1032" s="31" t="str">
        <x:v>What roles you are intereted in within the IED business</x:v>
      </x:c>
      <x:c r="D1032" s="32" t="n">
        <x:f>COUNTIF('All Questions'!$G$5:$G$1725,A1032)</x:f>
        <x:v>1</x:v>
      </x:c>
      <x:c r="E1032" s="11"/>
      <x:c r="F1032" s="12" t="str">
        <x:v>Not Started</x:v>
      </x:c>
      <x:c r="G1032" s="13"/>
      <x:c r="H1032" s="30" t="str">
        <x:f>IF(AND(E1032&lt;&gt;"",F1032="Ready"),"Yes","No")</x:f>
        <x:v>No</x:v>
      </x:c>
      <x:c r="I1032" s="11"/>
    </x:row>
    <x:row r="1033" ht="38" customHeight="1">
      <x:c r="A1033" s="30" t="str">
        <x:v>CL1029</x:v>
      </x:c>
      <x:c r="B1033" s="30" t="str">
        <x:v>Other Question</x:v>
      </x:c>
      <x:c r="C1033" s="31" t="str">
        <x:v>What skills do you think are applicable to IBD</x:v>
      </x:c>
      <x:c r="D1033" s="32" t="n">
        <x:f>COUNTIF('All Questions'!$G$5:$G$1725,A1033)</x:f>
        <x:v>1</x:v>
      </x:c>
      <x:c r="E1033" s="11"/>
      <x:c r="F1033" s="12" t="str">
        <x:v>Not Started</x:v>
      </x:c>
      <x:c r="G1033" s="13"/>
      <x:c r="H1033" s="30" t="str">
        <x:f>IF(AND(E1033&lt;&gt;"",F1033="Ready"),"Yes","No")</x:f>
        <x:v>No</x:v>
      </x:c>
      <x:c r="I1033" s="11"/>
    </x:row>
    <x:row r="1034" ht="38" customHeight="1">
      <x:c r="A1034" s="30" t="str">
        <x:v>CL1030</x:v>
      </x:c>
      <x:c r="B1034" s="30" t="str">
        <x:v>Behavioral &amp; Situational</x:v>
      </x:c>
      <x:c r="C1034" s="31" t="str">
        <x:v>What team do you wanna do if you join us</x:v>
      </x:c>
      <x:c r="D1034" s="32" t="n">
        <x:f>COUNTIF('All Questions'!$G$5:$G$1725,A1034)</x:f>
        <x:v>1</x:v>
      </x:c>
      <x:c r="E1034" s="11"/>
      <x:c r="F1034" s="12" t="str">
        <x:v>Not Started</x:v>
      </x:c>
      <x:c r="G1034" s="13"/>
      <x:c r="H1034" s="30" t="str">
        <x:f>IF(AND(E1034&lt;&gt;"",F1034="Ready"),"Yes","No")</x:f>
        <x:v>No</x:v>
      </x:c>
      <x:c r="I1034" s="11"/>
    </x:row>
    <x:row r="1035" ht="38" customHeight="1">
      <x:c r="A1035" s="30" t="str">
        <x:v>CL1031</x:v>
      </x:c>
      <x:c r="B1035" s="30" t="str">
        <x:v>Fit &amp; Motivation</x:v>
      </x:c>
      <x:c r="C1035" s="31" t="str">
        <x:v>What team you want to be in</x:v>
      </x:c>
      <x:c r="D1035" s="32" t="n">
        <x:f>COUNTIF('All Questions'!$G$5:$G$1725,A1035)</x:f>
        <x:v>1</x:v>
      </x:c>
      <x:c r="E1035" s="11"/>
      <x:c r="F1035" s="12" t="str">
        <x:v>Not Started</x:v>
      </x:c>
      <x:c r="G1035" s="13"/>
      <x:c r="H1035" s="30" t="str">
        <x:f>IF(AND(E1035&lt;&gt;"",F1035="Ready"),"Yes","No")</x:f>
        <x:v>No</x:v>
      </x:c>
      <x:c r="I1035" s="11"/>
    </x:row>
    <x:row r="1036" ht="38" customHeight="1">
      <x:c r="A1036" s="30" t="str">
        <x:v>CL1032</x:v>
      </x:c>
      <x:c r="B1036" s="30" t="str">
        <x:v>Company, Industry &amp; Deals</x:v>
      </x:c>
      <x:c r="C1036" s="31" t="str">
        <x:v>What the key competitive advantage of the company</x:v>
      </x:c>
      <x:c r="D1036" s="32" t="n">
        <x:f>COUNTIF('All Questions'!$G$5:$G$1725,A1036)</x:f>
        <x:v>1</x:v>
      </x:c>
      <x:c r="E1036" s="11"/>
      <x:c r="F1036" s="12" t="str">
        <x:v>Not Started</x:v>
      </x:c>
      <x:c r="G1036" s="13"/>
      <x:c r="H1036" s="30" t="str">
        <x:f>IF(AND(E1036&lt;&gt;"",F1036="Ready"),"Yes","No")</x:f>
        <x:v>No</x:v>
      </x:c>
      <x:c r="I1036" s="11"/>
    </x:row>
    <x:row r="1037" ht="38" customHeight="1">
      <x:c r="A1037" s="30" t="str">
        <x:v>CL1033</x:v>
      </x:c>
      <x:c r="B1037" s="30" t="str">
        <x:v>Company, Industry &amp; Deals</x:v>
      </x:c>
      <x:c r="C1037" s="31" t="str">
        <x:v>What to include in a one-page company profile</x:v>
      </x:c>
      <x:c r="D1037" s="32" t="n">
        <x:f>COUNTIF('All Questions'!$G$5:$G$1725,A1037)</x:f>
        <x:v>1</x:v>
      </x:c>
      <x:c r="E1037" s="11"/>
      <x:c r="F1037" s="12" t="str">
        <x:v>Not Started</x:v>
      </x:c>
      <x:c r="G1037" s="13"/>
      <x:c r="H1037" s="30" t="str">
        <x:f>IF(AND(E1037&lt;&gt;"",F1037="Ready"),"Yes","No")</x:f>
        <x:v>No</x:v>
      </x:c>
      <x:c r="I1037" s="11"/>
    </x:row>
    <x:row r="1038" ht="38" customHeight="1">
      <x:c r="A1038" s="30" t="str">
        <x:v>CL1034</x:v>
      </x:c>
      <x:c r="B1038" s="30" t="str">
        <x:v>Capital Markets &amp; Financing</x:v>
      </x:c>
      <x:c r="C1038" s="31" t="str">
        <x:v>What traits do you think a GCM banker should have</x:v>
      </x:c>
      <x:c r="D1038" s="32" t="n">
        <x:f>COUNTIF('All Questions'!$G$5:$G$1725,A1038)</x:f>
        <x:v>1</x:v>
      </x:c>
      <x:c r="E1038" s="11"/>
      <x:c r="F1038" s="12" t="str">
        <x:v>Not Started</x:v>
      </x:c>
      <x:c r="G1038" s="13"/>
      <x:c r="H1038" s="30" t="str">
        <x:f>IF(AND(E1038&lt;&gt;"",F1038="Ready"),"Yes","No")</x:f>
        <x:v>No</x:v>
      </x:c>
      <x:c r="I1038" s="11"/>
    </x:row>
    <x:row r="1039" ht="38" customHeight="1">
      <x:c r="A1039" s="30" t="str">
        <x:v>CL1035</x:v>
      </x:c>
      <x:c r="B1039" s="30" t="str">
        <x:v>Valuation</x:v>
      </x:c>
      <x:c r="C1039" s="31" t="str">
        <x:v>What was the industry multiple</x:v>
      </x:c>
      <x:c r="D1039" s="32" t="n">
        <x:f>COUNTIF('All Questions'!$G$5:$G$1725,A1039)</x:f>
        <x:v>1</x:v>
      </x:c>
      <x:c r="E1039" s="11"/>
      <x:c r="F1039" s="12" t="str">
        <x:v>Not Started</x:v>
      </x:c>
      <x:c r="G1039" s="13"/>
      <x:c r="H1039" s="30" t="str">
        <x:f>IF(AND(E1039&lt;&gt;"",F1039="Ready"),"Yes","No")</x:f>
        <x:v>No</x:v>
      </x:c>
      <x:c r="I1039" s="11"/>
    </x:row>
    <x:row r="1040" ht="58" customHeight="1">
      <x:c r="A1040" s="30" t="str">
        <x:v>CL1036</x:v>
      </x:c>
      <x:c r="B1040" s="30" t="str">
        <x:v>Behavioral &amp; Situational</x:v>
      </x:c>
      <x:c r="C1040" s="31" t="str">
        <x:v>What was the team structure of my previous firm like, do I engage with overseas team as well</x:v>
      </x:c>
      <x:c r="D1040" s="32" t="n">
        <x:f>COUNTIF('All Questions'!$G$5:$G$1725,A1040)</x:f>
        <x:v>1</x:v>
      </x:c>
      <x:c r="E1040" s="11"/>
      <x:c r="F1040" s="12" t="str">
        <x:v>Not Started</x:v>
      </x:c>
      <x:c r="G1040" s="13"/>
      <x:c r="H1040" s="30" t="str">
        <x:f>IF(AND(E1040&lt;&gt;"",F1040="Ready"),"Yes","No")</x:f>
        <x:v>No</x:v>
      </x:c>
      <x:c r="I1040" s="11"/>
    </x:row>
    <x:row r="1041" ht="38" customHeight="1">
      <x:c r="A1041" s="30" t="str">
        <x:v>CL1037</x:v>
      </x:c>
      <x:c r="B1041" s="30" t="str">
        <x:v>Resume &amp; Experience</x:v>
      </x:c>
      <x:c r="C1041" s="31" t="str">
        <x:v>What were people's background of intern batch mates in UBS</x:v>
      </x:c>
      <x:c r="D1041" s="32" t="n">
        <x:f>COUNTIF('All Questions'!$G$5:$G$1725,A1041)</x:f>
        <x:v>1</x:v>
      </x:c>
      <x:c r="E1041" s="11"/>
      <x:c r="F1041" s="12" t="str">
        <x:v>Not Started</x:v>
      </x:c>
      <x:c r="G1041" s="13"/>
      <x:c r="H1041" s="30" t="str">
        <x:f>IF(AND(E1041&lt;&gt;"",F1041="Ready"),"Yes","No")</x:f>
        <x:v>No</x:v>
      </x:c>
      <x:c r="I1041" s="11"/>
    </x:row>
    <x:row r="1042" ht="38" customHeight="1">
      <x:c r="A1042" s="30" t="str">
        <x:v>CL1038</x:v>
      </x:c>
      <x:c r="B1042" s="30" t="str">
        <x:v>Other Question</x:v>
      </x:c>
      <x:c r="C1042" s="31" t="str">
        <x:v>What would you do if you weren’t in investment banking</x:v>
      </x:c>
      <x:c r="D1042" s="32" t="n">
        <x:f>COUNTIF('All Questions'!$G$5:$G$1725,A1042)</x:f>
        <x:v>1</x:v>
      </x:c>
      <x:c r="E1042" s="11"/>
      <x:c r="F1042" s="12" t="str">
        <x:v>Not Started</x:v>
      </x:c>
      <x:c r="G1042" s="13"/>
      <x:c r="H1042" s="30" t="str">
        <x:f>IF(AND(E1042&lt;&gt;"",F1042="Ready"),"Yes","No")</x:f>
        <x:v>No</x:v>
      </x:c>
      <x:c r="I1042" s="11"/>
    </x:row>
    <x:row r="1043" ht="58" customHeight="1">
      <x:c r="A1043" s="30" t="str">
        <x:v>CL1039</x:v>
      </x:c>
      <x:c r="B1043" s="30" t="str">
        <x:v>Behavioral &amp; Situational</x:v>
      </x:c>
      <x:c r="C1043" s="31" t="str">
        <x:v>What would you do if your boss/team is demanding a deliverable from you that you are unfamiliar with</x:v>
      </x:c>
      <x:c r="D1043" s="32" t="n">
        <x:f>COUNTIF('All Questions'!$G$5:$G$1725,A1043)</x:f>
        <x:v>1</x:v>
      </x:c>
      <x:c r="E1043" s="11"/>
      <x:c r="F1043" s="12" t="str">
        <x:v>Not Started</x:v>
      </x:c>
      <x:c r="G1043" s="13"/>
      <x:c r="H1043" s="30" t="str">
        <x:f>IF(AND(E1043&lt;&gt;"",F1043="Ready"),"Yes","No")</x:f>
        <x:v>No</x:v>
      </x:c>
      <x:c r="I1043" s="11"/>
    </x:row>
    <x:row r="1044" ht="58" customHeight="1">
      <x:c r="A1044" s="30" t="str">
        <x:v>CL1040</x:v>
      </x:c>
      <x:c r="B1044" s="30" t="str">
        <x:v>Company, Industry &amp; Deals</x:v>
      </x:c>
      <x:c r="C1044" s="31" t="str">
        <x:v>What would you recommend HKEX to do in the future (you may consider policies, fintech integration, Southeast Asian market etc.)</x:v>
      </x:c>
      <x:c r="D1044" s="32" t="n">
        <x:f>COUNTIF('All Questions'!$G$5:$G$1725,A1044)</x:f>
        <x:v>1</x:v>
      </x:c>
      <x:c r="E1044" s="11"/>
      <x:c r="F1044" s="12" t="str">
        <x:v>Not Started</x:v>
      </x:c>
      <x:c r="G1044" s="13"/>
      <x:c r="H1044" s="30" t="str">
        <x:f>IF(AND(E1044&lt;&gt;"",F1044="Ready"),"Yes","No")</x:f>
        <x:v>No</x:v>
      </x:c>
      <x:c r="I1044" s="11"/>
    </x:row>
    <x:row r="1045" ht="38" customHeight="1">
      <x:c r="A1045" s="30" t="str">
        <x:v>CL1041</x:v>
      </x:c>
      <x:c r="B1045" s="30" t="str">
        <x:v>Other Question</x:v>
      </x:c>
      <x:c r="C1045" s="31" t="str">
        <x:v>What you expect to learn here</x:v>
      </x:c>
      <x:c r="D1045" s="32" t="n">
        <x:f>COUNTIF('All Questions'!$G$5:$G$1725,A1045)</x:f>
        <x:v>1</x:v>
      </x:c>
      <x:c r="E1045" s="11"/>
      <x:c r="F1045" s="12" t="str">
        <x:v>Not Started</x:v>
      </x:c>
      <x:c r="G1045" s="13"/>
      <x:c r="H1045" s="30" t="str">
        <x:f>IF(AND(E1045&lt;&gt;"",F1045="Ready"),"Yes","No")</x:f>
        <x:v>No</x:v>
      </x:c>
      <x:c r="I1045" s="11"/>
    </x:row>
    <x:row r="1046" ht="38" customHeight="1">
      <x:c r="A1046" s="30" t="str">
        <x:v>CL1042</x:v>
      </x:c>
      <x:c r="B1046" s="30" t="str">
        <x:v>Other Question</x:v>
      </x:c>
      <x:c r="C1046" s="31" t="str">
        <x:v>What your perspectives in short-run &amp; long-run</x:v>
      </x:c>
      <x:c r="D1046" s="32" t="n">
        <x:f>COUNTIF('All Questions'!$G$5:$G$1725,A1046)</x:f>
        <x:v>1</x:v>
      </x:c>
      <x:c r="E1046" s="11"/>
      <x:c r="F1046" s="12" t="str">
        <x:v>Not Started</x:v>
      </x:c>
      <x:c r="G1046" s="13"/>
      <x:c r="H1046" s="30" t="str">
        <x:f>IF(AND(E1046&lt;&gt;"",F1046="Ready"),"Yes","No")</x:f>
        <x:v>No</x:v>
      </x:c>
      <x:c r="I1046" s="11"/>
    </x:row>
    <x:row r="1047" ht="38" customHeight="1">
      <x:c r="A1047" s="30" t="str">
        <x:v>CL1043</x:v>
      </x:c>
      <x:c r="B1047" s="30" t="str">
        <x:v>Other Question</x:v>
      </x:c>
      <x:c r="C1047" s="31" t="str">
        <x:v>What's a time you faced conflicing interest and how did you manage it</x:v>
      </x:c>
      <x:c r="D1047" s="32" t="n">
        <x:f>COUNTIF('All Questions'!$G$5:$G$1725,A1047)</x:f>
        <x:v>1</x:v>
      </x:c>
      <x:c r="E1047" s="11"/>
      <x:c r="F1047" s="12" t="str">
        <x:v>Not Started</x:v>
      </x:c>
      <x:c r="G1047" s="13"/>
      <x:c r="H1047" s="30" t="str">
        <x:f>IF(AND(E1047&lt;&gt;"",F1047="Ready"),"Yes","No")</x:f>
        <x:v>No</x:v>
      </x:c>
      <x:c r="I1047" s="11"/>
    </x:row>
    <x:row r="1048" ht="38" customHeight="1">
      <x:c r="A1048" s="30" t="str">
        <x:v>CL1044</x:v>
      </x:c>
      <x:c r="B1048" s="30" t="str">
        <x:v>Other Question</x:v>
      </x:c>
      <x:c r="C1048" s="31" t="str">
        <x:v>What’s deferred expense</x:v>
      </x:c>
      <x:c r="D1048" s="32" t="n">
        <x:f>COUNTIF('All Questions'!$G$5:$G$1725,A1048)</x:f>
        <x:v>1</x:v>
      </x:c>
      <x:c r="E1048" s="11"/>
      <x:c r="F1048" s="12" t="str">
        <x:v>Not Started</x:v>
      </x:c>
      <x:c r="G1048" s="13"/>
      <x:c r="H1048" s="30" t="str">
        <x:f>IF(AND(E1048&lt;&gt;"",F1048="Ready"),"Yes","No")</x:f>
        <x:v>No</x:v>
      </x:c>
      <x:c r="I1048" s="11"/>
    </x:row>
    <x:row r="1049" ht="38" customHeight="1">
      <x:c r="A1049" s="30" t="str">
        <x:v>CL1045</x:v>
      </x:c>
      <x:c r="B1049" s="30" t="str">
        <x:v>Company, Industry &amp; Deals</x:v>
      </x:c>
      <x:c r="C1049" s="31" t="str">
        <x:v>What’s deferred revenue</x:v>
      </x:c>
      <x:c r="D1049" s="32" t="n">
        <x:f>COUNTIF('All Questions'!$G$5:$G$1725,A1049)</x:f>
        <x:v>1</x:v>
      </x:c>
      <x:c r="E1049" s="11"/>
      <x:c r="F1049" s="12" t="str">
        <x:v>Not Started</x:v>
      </x:c>
      <x:c r="G1049" s="13"/>
      <x:c r="H1049" s="30" t="str">
        <x:f>IF(AND(E1049&lt;&gt;"",F1049="Ready"),"Yes","No")</x:f>
        <x:v>No</x:v>
      </x:c>
      <x:c r="I1049" s="11"/>
    </x:row>
    <x:row r="1050" ht="38" customHeight="1">
      <x:c r="A1050" s="30" t="str">
        <x:v>CL1046</x:v>
      </x:c>
      <x:c r="B1050" s="30" t="str">
        <x:v>Accounting &amp; Financial Statements</x:v>
      </x:c>
      <x:c r="C1050" s="31" t="str">
        <x:v>What’s net working capital</x:v>
      </x:c>
      <x:c r="D1050" s="32" t="n">
        <x:f>COUNTIF('All Questions'!$G$5:$G$1725,A1050)</x:f>
        <x:v>1</x:v>
      </x:c>
      <x:c r="E1050" s="11"/>
      <x:c r="F1050" s="12" t="str">
        <x:v>Not Started</x:v>
      </x:c>
      <x:c r="G1050" s="13"/>
      <x:c r="H1050" s="30" t="str">
        <x:f>IF(AND(E1050&lt;&gt;"",F1050="Ready"),"Yes","No")</x:f>
        <x:v>No</x:v>
      </x:c>
      <x:c r="I1050" s="11"/>
    </x:row>
    <x:row r="1051" ht="38" customHeight="1">
      <x:c r="A1051" s="30" t="str">
        <x:v>CL1047</x:v>
      </x:c>
      <x:c r="B1051" s="30" t="str">
        <x:v>Other Question</x:v>
      </x:c>
      <x:c r="C1051" s="31" t="str">
        <x:v>What’s special about PUI</x:v>
      </x:c>
      <x:c r="D1051" s="32" t="n">
        <x:f>COUNTIF('All Questions'!$G$5:$G$1725,A1051)</x:f>
        <x:v>1</x:v>
      </x:c>
      <x:c r="E1051" s="11"/>
      <x:c r="F1051" s="12" t="str">
        <x:v>Not Started</x:v>
      </x:c>
      <x:c r="G1051" s="13"/>
      <x:c r="H1051" s="30" t="str">
        <x:f>IF(AND(E1051&lt;&gt;"",F1051="Ready"),"Yes","No")</x:f>
        <x:v>No</x:v>
      </x:c>
      <x:c r="I1051" s="11"/>
    </x:row>
    <x:row r="1052" ht="38" customHeight="1">
      <x:c r="A1052" s="30" t="str">
        <x:v>CL1048</x:v>
      </x:c>
      <x:c r="B1052" s="30" t="str">
        <x:v>Other Question</x:v>
      </x:c>
      <x:c r="C1052" s="31" t="str">
        <x:v>What's the advantages of nomura</x:v>
      </x:c>
      <x:c r="D1052" s="32" t="n">
        <x:f>COUNTIF('All Questions'!$G$5:$G$1725,A1052)</x:f>
        <x:v>1</x:v>
      </x:c>
      <x:c r="E1052" s="11"/>
      <x:c r="F1052" s="12" t="str">
        <x:v>Not Started</x:v>
      </x:c>
      <x:c r="G1052" s="13"/>
      <x:c r="H1052" s="30" t="str">
        <x:f>IF(AND(E1052&lt;&gt;"",F1052="Ready"),"Yes","No")</x:f>
        <x:v>No</x:v>
      </x:c>
      <x:c r="I1052" s="11"/>
    </x:row>
    <x:row r="1053" ht="38" customHeight="1">
      <x:c r="A1053" s="30" t="str">
        <x:v>CL1049</x:v>
      </x:c>
      <x:c r="B1053" s="30" t="str">
        <x:v>Company, Industry &amp; Deals</x:v>
      </x:c>
      <x:c r="C1053" s="31" t="str">
        <x:v>What’s the best fund investment that was done by HKEX in your opinion and why</x:v>
      </x:c>
      <x:c r="D1053" s="32" t="n">
        <x:f>COUNTIF('All Questions'!$G$5:$G$1725,A1053)</x:f>
        <x:v>1</x:v>
      </x:c>
      <x:c r="E1053" s="11"/>
      <x:c r="F1053" s="12" t="str">
        <x:v>Not Started</x:v>
      </x:c>
      <x:c r="G1053" s="13"/>
      <x:c r="H1053" s="30" t="str">
        <x:f>IF(AND(E1053&lt;&gt;"",F1053="Ready"),"Yes","No")</x:f>
        <x:v>No</x:v>
      </x:c>
      <x:c r="I1053" s="11"/>
    </x:row>
    <x:row r="1054" ht="38" customHeight="1">
      <x:c r="A1054" s="30" t="str">
        <x:v>CL1050</x:v>
      </x:c>
      <x:c r="B1054" s="30" t="str">
        <x:v>Other Question</x:v>
      </x:c>
      <x:c r="C1054" s="31" t="str">
        <x:v>What's the collaborative environment in BofA look like</x:v>
      </x:c>
      <x:c r="D1054" s="32" t="n">
        <x:f>COUNTIF('All Questions'!$G$5:$G$1725,A1054)</x:f>
        <x:v>1</x:v>
      </x:c>
      <x:c r="E1054" s="11"/>
      <x:c r="F1054" s="12" t="str">
        <x:v>Not Started</x:v>
      </x:c>
      <x:c r="G1054" s="13"/>
      <x:c r="H1054" s="30" t="str">
        <x:f>IF(AND(E1054&lt;&gt;"",F1054="Ready"),"Yes","No")</x:f>
        <x:v>No</x:v>
      </x:c>
      <x:c r="I1054" s="11"/>
    </x:row>
    <x:row r="1055" ht="38" customHeight="1">
      <x:c r="A1055" s="30" t="str">
        <x:v>CL1051</x:v>
      </x:c>
      <x:c r="B1055" s="30" t="str">
        <x:v>Wealth &amp; Asset Management</x:v>
      </x:c>
      <x:c r="C1055" s="31" t="str">
        <x:v>What's the difference (typically) between the 1st Gen Wealthy people and the 2nd Gen</x:v>
      </x:c>
      <x:c r="D1055" s="32" t="n">
        <x:f>COUNTIF('All Questions'!$G$5:$G$1725,A1055)</x:f>
        <x:v>1</x:v>
      </x:c>
      <x:c r="E1055" s="11"/>
      <x:c r="F1055" s="12" t="str">
        <x:v>Not Started</x:v>
      </x:c>
      <x:c r="G1055" s="13"/>
      <x:c r="H1055" s="30" t="str">
        <x:f>IF(AND(E1055&lt;&gt;"",F1055="Ready"),"Yes","No")</x:f>
        <x:v>No</x:v>
      </x:c>
      <x:c r="I1055" s="11"/>
    </x:row>
    <x:row r="1056" ht="38" customHeight="1">
      <x:c r="A1056" s="30" t="str">
        <x:v>CL1052</x:v>
      </x:c>
      <x:c r="B1056" s="30" t="str">
        <x:v>Valuation</x:v>
      </x:c>
      <x:c r="C1056" s="31" t="str">
        <x:v>What's the difference between comparable comp and transaction comp</x:v>
      </x:c>
      <x:c r="D1056" s="32" t="n">
        <x:f>COUNTIF('All Questions'!$G$5:$G$1725,A1056)</x:f>
        <x:v>1</x:v>
      </x:c>
      <x:c r="E1056" s="11"/>
      <x:c r="F1056" s="12" t="str">
        <x:v>Not Started</x:v>
      </x:c>
      <x:c r="G1056" s="13"/>
      <x:c r="H1056" s="30" t="str">
        <x:f>IF(AND(E1056&lt;&gt;"",F1056="Ready"),"Yes","No")</x:f>
        <x:v>No</x:v>
      </x:c>
      <x:c r="I1056" s="11"/>
    </x:row>
    <x:row r="1057" ht="38" customHeight="1">
      <x:c r="A1057" s="30" t="str">
        <x:v>CL1053</x:v>
      </x:c>
      <x:c r="B1057" s="30" t="str">
        <x:v>Company, Industry &amp; Deals</x:v>
      </x:c>
      <x:c r="C1057" s="31" t="str">
        <x:v>What’s the difference between valuing a private and public company</x:v>
      </x:c>
      <x:c r="D1057" s="32" t="n">
        <x:f>COUNTIF('All Questions'!$G$5:$G$1725,A1057)</x:f>
        <x:v>1</x:v>
      </x:c>
      <x:c r="E1057" s="11"/>
      <x:c r="F1057" s="12" t="str">
        <x:v>Not Started</x:v>
      </x:c>
      <x:c r="G1057" s="13"/>
      <x:c r="H1057" s="30" t="str">
        <x:f>IF(AND(E1057&lt;&gt;"",F1057="Ready"),"Yes","No")</x:f>
        <x:v>No</x:v>
      </x:c>
      <x:c r="I1057" s="11"/>
    </x:row>
    <x:row r="1058" ht="38" customHeight="1">
      <x:c r="A1058" s="30" t="str">
        <x:v>CL1054</x:v>
      </x:c>
      <x:c r="B1058" s="30" t="str">
        <x:v>Resume &amp; Experience</x:v>
      </x:c>
      <x:c r="C1058" s="31" t="str">
        <x:v>What’s the most memorable experience you had in HKEX</x:v>
      </x:c>
      <x:c r="D1058" s="32" t="n">
        <x:f>COUNTIF('All Questions'!$G$5:$G$1725,A1058)</x:f>
        <x:v>1</x:v>
      </x:c>
      <x:c r="E1058" s="11"/>
      <x:c r="F1058" s="12" t="str">
        <x:v>Not Started</x:v>
      </x:c>
      <x:c r="G1058" s="13"/>
      <x:c r="H1058" s="30" t="str">
        <x:f>IF(AND(E1058&lt;&gt;"",F1058="Ready"),"Yes","No")</x:f>
        <x:v>No</x:v>
      </x:c>
      <x:c r="I1058" s="11"/>
    </x:row>
    <x:row r="1059" ht="38" customHeight="1">
      <x:c r="A1059" s="30" t="str">
        <x:v>CL1055</x:v>
      </x:c>
      <x:c r="B1059" s="30" t="str">
        <x:v>Company, Industry &amp; Deals</x:v>
      </x:c>
      <x:c r="C1059" s="31" t="str">
        <x:v>What’s the premium that an investor would pay for an ESG themed company</x:v>
      </x:c>
      <x:c r="D1059" s="32" t="n">
        <x:f>COUNTIF('All Questions'!$G$5:$G$1725,A1059)</x:f>
        <x:v>1</x:v>
      </x:c>
      <x:c r="E1059" s="11"/>
      <x:c r="F1059" s="12" t="str">
        <x:v>Not Started</x:v>
      </x:c>
      <x:c r="G1059" s="13"/>
      <x:c r="H1059" s="30" t="str">
        <x:f>IF(AND(E1059&lt;&gt;"",F1059="Ready"),"Yes","No")</x:f>
        <x:v>No</x:v>
      </x:c>
      <x:c r="I1059" s="11"/>
    </x:row>
    <x:row r="1060" ht="38" customHeight="1">
      <x:c r="A1060" s="30" t="str">
        <x:v>CL1056</x:v>
      </x:c>
      <x:c r="B1060" s="30" t="str">
        <x:v>Other Question</x:v>
      </x:c>
      <x:c r="C1060" s="31" t="str">
        <x:v>What's the S&amp;P500 closing price yesterday</x:v>
      </x:c>
      <x:c r="D1060" s="32" t="n">
        <x:f>COUNTIF('All Questions'!$G$5:$G$1725,A1060)</x:f>
        <x:v>1</x:v>
      </x:c>
      <x:c r="E1060" s="11"/>
      <x:c r="F1060" s="12" t="str">
        <x:v>Not Started</x:v>
      </x:c>
      <x:c r="G1060" s="13"/>
      <x:c r="H1060" s="30" t="str">
        <x:f>IF(AND(E1060&lt;&gt;"",F1060="Ready"),"Yes","No")</x:f>
        <x:v>No</x:v>
      </x:c>
      <x:c r="I1060" s="11"/>
    </x:row>
    <x:row r="1061" ht="38" customHeight="1">
      <x:c r="A1061" s="30" t="str">
        <x:v>CL1057</x:v>
      </x:c>
      <x:c r="B1061" s="30" t="str">
        <x:v>Consulting &amp; Case</x:v>
      </x:c>
      <x:c r="C1061" s="31" t="str">
        <x:v>What's the score scale of the English exam in Yunnan provice</x:v>
      </x:c>
      <x:c r="D1061" s="32" t="n">
        <x:f>COUNTIF('All Questions'!$G$5:$G$1725,A1061)</x:f>
        <x:v>1</x:v>
      </x:c>
      <x:c r="E1061" s="11"/>
      <x:c r="F1061" s="12" t="str">
        <x:v>Not Started</x:v>
      </x:c>
      <x:c r="G1061" s="13"/>
      <x:c r="H1061" s="30" t="str">
        <x:f>IF(AND(E1061&lt;&gt;"",F1061="Ready"),"Yes","No")</x:f>
        <x:v>No</x:v>
      </x:c>
      <x:c r="I1061" s="11"/>
    </x:row>
    <x:row r="1062" ht="38" customHeight="1">
      <x:c r="A1062" s="30" t="str">
        <x:v>CL1058</x:v>
      </x:c>
      <x:c r="B1062" s="30" t="str">
        <x:v>Other Question</x:v>
      </x:c>
      <x:c r="C1062" s="31" t="str">
        <x:v>What's the stock price of MS today and what are some of the drivers of the stock recently</x:v>
      </x:c>
      <x:c r="D1062" s="32" t="n">
        <x:f>COUNTIF('All Questions'!$G$5:$G$1725,A1062)</x:f>
        <x:v>1</x:v>
      </x:c>
      <x:c r="E1062" s="11"/>
      <x:c r="F1062" s="12" t="str">
        <x:v>Not Started</x:v>
      </x:c>
      <x:c r="G1062" s="13"/>
      <x:c r="H1062" s="30" t="str">
        <x:f>IF(AND(E1062&lt;&gt;"",F1062="Ready"),"Yes","No")</x:f>
        <x:v>No</x:v>
      </x:c>
      <x:c r="I1062" s="11"/>
    </x:row>
    <x:row r="1063" ht="38" customHeight="1">
      <x:c r="A1063" s="30" t="str">
        <x:v>CL1059</x:v>
      </x:c>
      <x:c r="B1063" s="30" t="str">
        <x:v>Other Technical</x:v>
      </x:c>
      <x:c r="C1063" s="31" t="str">
        <x:v>What's the technical skills that make you stand out</x:v>
      </x:c>
      <x:c r="D1063" s="32" t="n">
        <x:f>COUNTIF('All Questions'!$G$5:$G$1725,A1063)</x:f>
        <x:v>1</x:v>
      </x:c>
      <x:c r="E1063" s="11"/>
      <x:c r="F1063" s="12" t="str">
        <x:v>Not Started</x:v>
      </x:c>
      <x:c r="G1063" s="13"/>
      <x:c r="H1063" s="30" t="str">
        <x:f>IF(AND(E1063&lt;&gt;"",F1063="Ready"),"Yes","No")</x:f>
        <x:v>No</x:v>
      </x:c>
      <x:c r="I1063" s="11"/>
    </x:row>
    <x:row r="1064" ht="38" customHeight="1">
      <x:c r="A1064" s="30" t="str">
        <x:v>CL1060</x:v>
      </x:c>
      <x:c r="B1064" s="30" t="str">
        <x:v>Wealth &amp; Asset Management</x:v>
      </x:c>
      <x:c r="C1064" s="31" t="str">
        <x:v>What's the usual purporse of Leverage in a portfolio</x:v>
      </x:c>
      <x:c r="D1064" s="32" t="n">
        <x:f>COUNTIF('All Questions'!$G$5:$G$1725,A1064)</x:f>
        <x:v>1</x:v>
      </x:c>
      <x:c r="E1064" s="11"/>
      <x:c r="F1064" s="12" t="str">
        <x:v>Not Started</x:v>
      </x:c>
      <x:c r="G1064" s="13"/>
      <x:c r="H1064" s="30" t="str">
        <x:f>IF(AND(E1064&lt;&gt;"",F1064="Ready"),"Yes","No")</x:f>
        <x:v>No</x:v>
      </x:c>
      <x:c r="I1064" s="11"/>
    </x:row>
    <x:row r="1065" ht="38" customHeight="1">
      <x:c r="A1065" s="30" t="str">
        <x:v>CL1061</x:v>
      </x:c>
      <x:c r="B1065" s="30" t="str">
        <x:v>Valuation</x:v>
      </x:c>
      <x:c r="C1065" s="31" t="str">
        <x:v>What's WACC</x:v>
      </x:c>
      <x:c r="D1065" s="32" t="n">
        <x:f>COUNTIF('All Questions'!$G$5:$G$1725,A1065)</x:f>
        <x:v>1</x:v>
      </x:c>
      <x:c r="E1065" s="11"/>
      <x:c r="F1065" s="12" t="str">
        <x:v>Not Started</x:v>
      </x:c>
      <x:c r="G1065" s="13"/>
      <x:c r="H1065" s="30" t="str">
        <x:f>IF(AND(E1065&lt;&gt;"",F1065="Ready"),"Yes","No")</x:f>
        <x:v>No</x:v>
      </x:c>
      <x:c r="I1065" s="11"/>
    </x:row>
    <x:row r="1066" ht="38" customHeight="1">
      <x:c r="A1066" s="30" t="str">
        <x:v>CL1062</x:v>
      </x:c>
      <x:c r="B1066" s="30" t="str">
        <x:v>Resume &amp; Experience</x:v>
      </x:c>
      <x:c r="C1066" s="31" t="str">
        <x:v>What's you fav and least fav park of your current internship</x:v>
      </x:c>
      <x:c r="D1066" s="32" t="n">
        <x:f>COUNTIF('All Questions'!$G$5:$G$1725,A1066)</x:f>
        <x:v>1</x:v>
      </x:c>
      <x:c r="E1066" s="11"/>
      <x:c r="F1066" s="12" t="str">
        <x:v>Not Started</x:v>
      </x:c>
      <x:c r="G1066" s="13"/>
      <x:c r="H1066" s="30" t="str">
        <x:f>IF(AND(E1066&lt;&gt;"",F1066="Ready"),"Yes","No")</x:f>
        <x:v>No</x:v>
      </x:c>
      <x:c r="I1066" s="11"/>
    </x:row>
    <x:row r="1067" ht="38" customHeight="1">
      <x:c r="A1067" s="30" t="str">
        <x:v>CL1063</x:v>
      </x:c>
      <x:c r="B1067" s="30" t="str">
        <x:v>Company, Industry &amp; Deals</x:v>
      </x:c>
      <x:c r="C1067" s="31" t="str">
        <x:v>What’s your favorite sector and what’s your least favorite sector at BNP Paribas</x:v>
      </x:c>
      <x:c r="D1067" s="32" t="n">
        <x:f>COUNTIF('All Questions'!$G$5:$G$1725,A1067)</x:f>
        <x:v>1</x:v>
      </x:c>
      <x:c r="E1067" s="11"/>
      <x:c r="F1067" s="12" t="str">
        <x:v>Not Started</x:v>
      </x:c>
      <x:c r="G1067" s="13"/>
      <x:c r="H1067" s="30" t="str">
        <x:f>IF(AND(E1067&lt;&gt;"",F1067="Ready"),"Yes","No")</x:f>
        <x:v>No</x:v>
      </x:c>
      <x:c r="I1067" s="11"/>
    </x:row>
    <x:row r="1068" ht="38" customHeight="1">
      <x:c r="A1068" s="30" t="str">
        <x:v>CL1064</x:v>
      </x:c>
      <x:c r="B1068" s="30" t="str">
        <x:v>Fit &amp; Motivation</x:v>
      </x:c>
      <x:c r="C1068" s="31" t="str">
        <x:v>What's your hours on the trading floor? - Banking side has long hours, be prepared</x:v>
      </x:c>
      <x:c r="D1068" s="32" t="n">
        <x:f>COUNTIF('All Questions'!$G$5:$G$1725,A1068)</x:f>
        <x:v>1</x:v>
      </x:c>
      <x:c r="E1068" s="11"/>
      <x:c r="F1068" s="12" t="str">
        <x:v>Not Started</x:v>
      </x:c>
      <x:c r="G1068" s="13"/>
      <x:c r="H1068" s="30" t="str">
        <x:f>IF(AND(E1068&lt;&gt;"",F1068="Ready"),"Yes","No")</x:f>
        <x:v>No</x:v>
      </x:c>
      <x:c r="I1068" s="11"/>
    </x:row>
    <x:row r="1069" ht="38" customHeight="1">
      <x:c r="A1069" s="30" t="str">
        <x:v>CL1065</x:v>
      </x:c>
      <x:c r="B1069" s="30" t="str">
        <x:v>Other Question</x:v>
      </x:c>
      <x:c r="C1069" s="31" t="str">
        <x:v>What's your MBTI</x:v>
      </x:c>
      <x:c r="D1069" s="32" t="n">
        <x:f>COUNTIF('All Questions'!$G$5:$G$1725,A1069)</x:f>
        <x:v>1</x:v>
      </x:c>
      <x:c r="E1069" s="11"/>
      <x:c r="F1069" s="12" t="str">
        <x:v>Not Started</x:v>
      </x:c>
      <x:c r="G1069" s="13"/>
      <x:c r="H1069" s="30" t="str">
        <x:f>IF(AND(E1069&lt;&gt;"",F1069="Ready"),"Yes","No")</x:f>
        <x:v>No</x:v>
      </x:c>
      <x:c r="I1069" s="11"/>
    </x:row>
    <x:row r="1070" ht="38" customHeight="1">
      <x:c r="A1070" s="30" t="str">
        <x:v>CL1066</x:v>
      </x:c>
      <x:c r="B1070" s="30" t="str">
        <x:v>Other Question</x:v>
      </x:c>
      <x:c r="C1070" s="31" t="str">
        <x:v>What's your passion for your future career</x:v>
      </x:c>
      <x:c r="D1070" s="32" t="n">
        <x:f>COUNTIF('All Questions'!$G$5:$G$1725,A1070)</x:f>
        <x:v>1</x:v>
      </x:c>
      <x:c r="E1070" s="11"/>
      <x:c r="F1070" s="12" t="str">
        <x:v>Not Started</x:v>
      </x:c>
      <x:c r="G1070" s="13"/>
      <x:c r="H1070" s="30" t="str">
        <x:f>IF(AND(E1070&lt;&gt;"",F1070="Ready"),"Yes","No")</x:f>
        <x:v>No</x:v>
      </x:c>
      <x:c r="I1070" s="11"/>
    </x:row>
    <x:row r="1071" ht="38" customHeight="1">
      <x:c r="A1071" s="30" t="str">
        <x:v>CL1067</x:v>
      </x:c>
      <x:c r="B1071" s="30" t="str">
        <x:v>Resume &amp; Experience</x:v>
      </x:c>
      <x:c r="C1071" s="31" t="str">
        <x:v>What's your role in BNP Parbias/ what did you do (like your role, no need to be in detail)</x:v>
      </x:c>
      <x:c r="D1071" s="32" t="n">
        <x:f>COUNTIF('All Questions'!$G$5:$G$1725,A1071)</x:f>
        <x:v>1</x:v>
      </x:c>
      <x:c r="E1071" s="11"/>
      <x:c r="F1071" s="12" t="str">
        <x:v>Not Started</x:v>
      </x:c>
      <x:c r="G1071" s="13"/>
      <x:c r="H1071" s="30" t="str">
        <x:f>IF(AND(E1071&lt;&gt;"",F1071="Ready"),"Yes","No")</x:f>
        <x:v>No</x:v>
      </x:c>
      <x:c r="I1071" s="11"/>
    </x:row>
    <x:row r="1072" ht="38" customHeight="1">
      <x:c r="A1072" s="30" t="str">
        <x:v>CL1068</x:v>
      </x:c>
      <x:c r="B1072" s="30" t="str">
        <x:v>Other Question</x:v>
      </x:c>
      <x:c r="C1072" s="31" t="str">
        <x:v>What's your understanding about "do the right thing" and please give an example</x:v>
      </x:c>
      <x:c r="D1072" s="32" t="n">
        <x:f>COUNTIF('All Questions'!$G$5:$G$1725,A1072)</x:f>
        <x:v>1</x:v>
      </x:c>
      <x:c r="E1072" s="11"/>
      <x:c r="F1072" s="12" t="str">
        <x:v>Not Started</x:v>
      </x:c>
      <x:c r="G1072" s="13"/>
      <x:c r="H1072" s="30" t="str">
        <x:f>IF(AND(E1072&lt;&gt;"",F1072="Ready"),"Yes","No")</x:f>
        <x:v>No</x:v>
      </x:c>
      <x:c r="I1072" s="11"/>
    </x:row>
    <x:row r="1073" ht="38" customHeight="1">
      <x:c r="A1073" s="30" t="str">
        <x:v>CL1069</x:v>
      </x:c>
      <x:c r="B1073" s="30" t="str">
        <x:v>Other Question</x:v>
      </x:c>
      <x:c r="C1073" s="31" t="str">
        <x:v>What's your view on China, and in these times how can IBs survive</x:v>
      </x:c>
      <x:c r="D1073" s="32" t="n">
        <x:f>COUNTIF('All Questions'!$G$5:$G$1725,A1073)</x:f>
        <x:v>1</x:v>
      </x:c>
      <x:c r="E1073" s="11"/>
      <x:c r="F1073" s="12" t="str">
        <x:v>Not Started</x:v>
      </x:c>
      <x:c r="G1073" s="13"/>
      <x:c r="H1073" s="30" t="str">
        <x:f>IF(AND(E1073&lt;&gt;"",F1073="Ready"),"Yes","No")</x:f>
        <x:v>No</x:v>
      </x:c>
      <x:c r="I1073" s="11"/>
    </x:row>
    <x:row r="1074" ht="58" customHeight="1">
      <x:c r="A1074" s="30" t="str">
        <x:v>CL1070</x:v>
      </x:c>
      <x:c r="B1074" s="30" t="str">
        <x:v>Behavioral &amp; Situational</x:v>
      </x:c>
      <x:c r="C1074" s="31" t="str">
        <x:v>What’s your view on digital assets development? If you’re the management team member, what’s your policy in terms of digital assets</x:v>
      </x:c>
      <x:c r="D1074" s="32" t="n">
        <x:f>COUNTIF('All Questions'!$G$5:$G$1725,A1074)</x:f>
        <x:v>1</x:v>
      </x:c>
      <x:c r="E1074" s="11"/>
      <x:c r="F1074" s="12" t="str">
        <x:v>Not Started</x:v>
      </x:c>
      <x:c r="G1074" s="13"/>
      <x:c r="H1074" s="30" t="str">
        <x:f>IF(AND(E1074&lt;&gt;"",F1074="Ready"),"Yes","No")</x:f>
        <x:v>No</x:v>
      </x:c>
      <x:c r="I1074" s="11"/>
    </x:row>
    <x:row r="1075" ht="38" customHeight="1">
      <x:c r="A1075" s="30" t="str">
        <x:v>CL1071</x:v>
      </x:c>
      <x:c r="B1075" s="30" t="str">
        <x:v>Markets &amp; Macro</x:v>
      </x:c>
      <x:c r="C1075" s="31" t="str">
        <x:v>What's your view on the Chinese macroeconomy? (I said neutral in the short run)</x:v>
      </x:c>
      <x:c r="D1075" s="32" t="n">
        <x:f>COUNTIF('All Questions'!$G$5:$G$1725,A1075)</x:f>
        <x:v>1</x:v>
      </x:c>
      <x:c r="E1075" s="11"/>
      <x:c r="F1075" s="12" t="str">
        <x:v>Not Started</x:v>
      </x:c>
      <x:c r="G1075" s="13"/>
      <x:c r="H1075" s="30" t="str">
        <x:f>IF(AND(E1075&lt;&gt;"",F1075="Ready"),"Yes","No")</x:f>
        <x:v>No</x:v>
      </x:c>
      <x:c r="I1075" s="11"/>
    </x:row>
    <x:row r="1076" ht="38" customHeight="1">
      <x:c r="A1076" s="30" t="str">
        <x:v>CL1072</x:v>
      </x:c>
      <x:c r="B1076" s="30" t="str">
        <x:v>Capital Markets &amp; Financing</x:v>
      </x:c>
      <x:c r="C1076" s="31" t="str">
        <x:v>Whats the biggest IPO in hk this year</x:v>
      </x:c>
      <x:c r="D1076" s="32" t="n">
        <x:f>COUNTIF('All Questions'!$G$5:$G$1725,A1076)</x:f>
        <x:v>1</x:v>
      </x:c>
      <x:c r="E1076" s="11"/>
      <x:c r="F1076" s="12" t="str">
        <x:v>Not Started</x:v>
      </x:c>
      <x:c r="G1076" s="13"/>
      <x:c r="H1076" s="30" t="str">
        <x:f>IF(AND(E1076&lt;&gt;"",F1076="Ready"),"Yes","No")</x:f>
        <x:v>No</x:v>
      </x:c>
      <x:c r="I1076" s="11"/>
    </x:row>
    <x:row r="1077" ht="38" customHeight="1">
      <x:c r="A1077" s="30" t="str">
        <x:v>CL1073</x:v>
      </x:c>
      <x:c r="B1077" s="30" t="str">
        <x:v>Other Technical</x:v>
      </x:c>
      <x:c r="C1077" s="31" t="str">
        <x:v>Whats the formulas for unlever and relever</x:v>
      </x:c>
      <x:c r="D1077" s="32" t="n">
        <x:f>COUNTIF('All Questions'!$G$5:$G$1725,A1077)</x:f>
        <x:v>1</x:v>
      </x:c>
      <x:c r="E1077" s="11"/>
      <x:c r="F1077" s="12" t="str">
        <x:v>Not Started</x:v>
      </x:c>
      <x:c r="G1077" s="13"/>
      <x:c r="H1077" s="30" t="str">
        <x:f>IF(AND(E1077&lt;&gt;"",F1077="Ready"),"Yes","No")</x:f>
        <x:v>No</x:v>
      </x:c>
      <x:c r="I1077" s="11"/>
    </x:row>
    <x:row r="1078" ht="38" customHeight="1">
      <x:c r="A1078" s="30" t="str">
        <x:v>CL1074</x:v>
      </x:c>
      <x:c r="B1078" s="30" t="str">
        <x:v>Behavioral &amp; Situational</x:v>
      </x:c>
      <x:c r="C1078" s="31" t="str">
        <x:v>Whats the most common mistake for DCF</x:v>
      </x:c>
      <x:c r="D1078" s="32" t="n">
        <x:f>COUNTIF('All Questions'!$G$5:$G$1725,A1078)</x:f>
        <x:v>1</x:v>
      </x:c>
      <x:c r="E1078" s="11"/>
      <x:c r="F1078" s="12" t="str">
        <x:v>Not Started</x:v>
      </x:c>
      <x:c r="G1078" s="13"/>
      <x:c r="H1078" s="30" t="str">
        <x:f>IF(AND(E1078&lt;&gt;"",F1078="Ready"),"Yes","No")</x:f>
        <x:v>No</x:v>
      </x:c>
      <x:c r="I1078" s="11"/>
    </x:row>
    <x:row r="1079" ht="38" customHeight="1">
      <x:c r="A1079" s="30" t="str">
        <x:v>CL1075</x:v>
      </x:c>
      <x:c r="B1079" s="30" t="str">
        <x:v>Private Equity &amp; LBO</x:v>
      </x:c>
      <x:c r="C1079" s="31" t="str">
        <x:v>Whats the purpose of LBO</x:v>
      </x:c>
      <x:c r="D1079" s="32" t="n">
        <x:f>COUNTIF('All Questions'!$G$5:$G$1725,A1079)</x:f>
        <x:v>1</x:v>
      </x:c>
      <x:c r="E1079" s="11"/>
      <x:c r="F1079" s="12" t="str">
        <x:v>Not Started</x:v>
      </x:c>
      <x:c r="G1079" s="13"/>
      <x:c r="H1079" s="30" t="str">
        <x:f>IF(AND(E1079&lt;&gt;"",F1079="Ready"),"Yes","No")</x:f>
        <x:v>No</x:v>
      </x:c>
      <x:c r="I1079" s="11"/>
    </x:row>
    <x:row r="1080" ht="38" customHeight="1">
      <x:c r="A1080" s="30" t="str">
        <x:v>CL1076</x:v>
      </x:c>
      <x:c r="B1080" s="30" t="str">
        <x:v>Other Question</x:v>
      </x:c>
      <x:c r="C1080" s="31" t="str">
        <x:v>Whats ur view on oil in the medium term</x:v>
      </x:c>
      <x:c r="D1080" s="32" t="n">
        <x:f>COUNTIF('All Questions'!$G$5:$G$1725,A1080)</x:f>
        <x:v>1</x:v>
      </x:c>
      <x:c r="E1080" s="11"/>
      <x:c r="F1080" s="12" t="str">
        <x:v>Not Started</x:v>
      </x:c>
      <x:c r="G1080" s="13"/>
      <x:c r="H1080" s="30" t="str">
        <x:f>IF(AND(E1080&lt;&gt;"",F1080="Ready"),"Yes","No")</x:f>
        <x:v>No</x:v>
      </x:c>
      <x:c r="I1080" s="11"/>
    </x:row>
    <x:row r="1081" ht="38" customHeight="1">
      <x:c r="A1081" s="30" t="str">
        <x:v>CL1077</x:v>
      </x:c>
      <x:c r="B1081" s="30" t="str">
        <x:v>Fit &amp; Motivation</x:v>
      </x:c>
      <x:c r="C1081" s="31" t="str">
        <x:v>Whats your one area of improvement</x:v>
      </x:c>
      <x:c r="D1081" s="32" t="n">
        <x:f>COUNTIF('All Questions'!$G$5:$G$1725,A1081)</x:f>
        <x:v>1</x:v>
      </x:c>
      <x:c r="E1081" s="11"/>
      <x:c r="F1081" s="12" t="str">
        <x:v>Not Started</x:v>
      </x:c>
      <x:c r="G1081" s="13"/>
      <x:c r="H1081" s="30" t="str">
        <x:f>IF(AND(E1081&lt;&gt;"",F1081="Ready"),"Yes","No")</x:f>
        <x:v>No</x:v>
      </x:c>
      <x:c r="I1081" s="11"/>
    </x:row>
    <x:row r="1082" ht="38" customHeight="1">
      <x:c r="A1082" s="30" t="str">
        <x:v>CL1078</x:v>
      </x:c>
      <x:c r="B1082" s="30" t="str">
        <x:v>Wealth &amp; Asset Management</x:v>
      </x:c>
      <x:c r="C1082" s="31" t="str">
        <x:v>Whay you did for the portfolio level analysis for the fund investing project</x:v>
      </x:c>
      <x:c r="D1082" s="32" t="n">
        <x:f>COUNTIF('All Questions'!$G$5:$G$1725,A1082)</x:f>
        <x:v>1</x:v>
      </x:c>
      <x:c r="E1082" s="11"/>
      <x:c r="F1082" s="12" t="str">
        <x:v>Not Started</x:v>
      </x:c>
      <x:c r="G1082" s="13"/>
      <x:c r="H1082" s="30" t="str">
        <x:f>IF(AND(E1082&lt;&gt;"",F1082="Ready"),"Yes","No")</x:f>
        <x:v>No</x:v>
      </x:c>
      <x:c r="I1082" s="11"/>
    </x:row>
    <x:row r="1083" ht="58" customHeight="1">
      <x:c r="A1083" s="30" t="str">
        <x:v>CL1079</x:v>
      </x:c>
      <x:c r="B1083" s="30" t="str">
        <x:v>Valuation</x:v>
      </x:c>
      <x:c r="C1083" s="31" t="str">
        <x:v>When looking at the comparables from trading comps and also transaction comps, what are some considerations you should keep in mind</x:v>
      </x:c>
      <x:c r="D1083" s="32" t="n">
        <x:f>COUNTIF('All Questions'!$G$5:$G$1725,A1083)</x:f>
        <x:v>1</x:v>
      </x:c>
      <x:c r="E1083" s="11"/>
      <x:c r="F1083" s="12" t="str">
        <x:v>Not Started</x:v>
      </x:c>
      <x:c r="G1083" s="13"/>
      <x:c r="H1083" s="30" t="str">
        <x:f>IF(AND(E1083&lt;&gt;"",F1083="Ready"),"Yes","No")</x:f>
        <x:v>No</x:v>
      </x:c>
      <x:c r="I1083" s="11"/>
    </x:row>
    <x:row r="1084" ht="38" customHeight="1">
      <x:c r="A1084" s="30" t="str">
        <x:v>CL1080</x:v>
      </x:c>
      <x:c r="B1084" s="30" t="str">
        <x:v>Other Question</x:v>
      </x:c>
      <x:c r="C1084" s="31" t="str">
        <x:v>When to use EV, when P/E</x:v>
      </x:c>
      <x:c r="D1084" s="32" t="n">
        <x:f>COUNTIF('All Questions'!$G$5:$G$1725,A1084)</x:f>
        <x:v>1</x:v>
      </x:c>
      <x:c r="E1084" s="11"/>
      <x:c r="F1084" s="12" t="str">
        <x:v>Not Started</x:v>
      </x:c>
      <x:c r="G1084" s="13"/>
      <x:c r="H1084" s="30" t="str">
        <x:f>IF(AND(E1084&lt;&gt;"",F1084="Ready"),"Yes","No")</x:f>
        <x:v>No</x:v>
      </x:c>
      <x:c r="I1084" s="11"/>
    </x:row>
    <x:row r="1085" ht="38" customHeight="1">
      <x:c r="A1085" s="30" t="str">
        <x:v>CL1081</x:v>
      </x:c>
      <x:c r="B1085" s="30" t="str">
        <x:v>Valuation</x:v>
      </x:c>
      <x:c r="C1085" s="31" t="str">
        <x:v>When to use Gross Revenue vs Net Revenue</x:v>
      </x:c>
      <x:c r="D1085" s="32" t="n">
        <x:f>COUNTIF('All Questions'!$G$5:$G$1725,A1085)</x:f>
        <x:v>1</x:v>
      </x:c>
      <x:c r="E1085" s="11"/>
      <x:c r="F1085" s="12" t="str">
        <x:v>Not Started</x:v>
      </x:c>
      <x:c r="G1085" s="13"/>
      <x:c r="H1085" s="30" t="str">
        <x:f>IF(AND(E1085&lt;&gt;"",F1085="Ready"),"Yes","No")</x:f>
        <x:v>No</x:v>
      </x:c>
      <x:c r="I1085" s="11"/>
    </x:row>
    <x:row r="1086" ht="38" customHeight="1">
      <x:c r="A1086" s="30" t="str">
        <x:v>CL1082</x:v>
      </x:c>
      <x:c r="B1086" s="30" t="str">
        <x:v>Valuation</x:v>
      </x:c>
      <x:c r="C1086" s="31" t="str">
        <x:v>When will cost of debt be higher</x:v>
      </x:c>
      <x:c r="D1086" s="32" t="n">
        <x:f>COUNTIF('All Questions'!$G$5:$G$1725,A1086)</x:f>
        <x:v>1</x:v>
      </x:c>
      <x:c r="E1086" s="11"/>
      <x:c r="F1086" s="12" t="str">
        <x:v>Not Started</x:v>
      </x:c>
      <x:c r="G1086" s="13"/>
      <x:c r="H1086" s="30" t="str">
        <x:f>IF(AND(E1086&lt;&gt;"",F1086="Ready"),"Yes","No")</x:f>
        <x:v>No</x:v>
      </x:c>
      <x:c r="I1086" s="11"/>
    </x:row>
    <x:row r="1087" ht="38" customHeight="1">
      <x:c r="A1087" s="30" t="str">
        <x:v>CL1083</x:v>
      </x:c>
      <x:c r="B1087" s="30" t="str">
        <x:v>Other Question</x:v>
      </x:c>
      <x:c r="C1087" s="31" t="str">
        <x:v>Where are you currently based? (and then we chatted a lot on Milan very casually)</x:v>
      </x:c>
      <x:c r="D1087" s="32" t="n">
        <x:f>COUNTIF('All Questions'!$G$5:$G$1725,A1087)</x:f>
        <x:v>1</x:v>
      </x:c>
      <x:c r="E1087" s="11"/>
      <x:c r="F1087" s="12" t="str">
        <x:v>Not Started</x:v>
      </x:c>
      <x:c r="G1087" s="13"/>
      <x:c r="H1087" s="30" t="str">
        <x:f>IF(AND(E1087&lt;&gt;"",F1087="Ready"),"Yes","No")</x:f>
        <x:v>No</x:v>
      </x:c>
      <x:c r="I1087" s="11"/>
    </x:row>
    <x:row r="1088" ht="38" customHeight="1">
      <x:c r="A1088" s="30" t="str">
        <x:v>CL1084</x:v>
      </x:c>
      <x:c r="B1088" s="30" t="str">
        <x:v>Resume &amp; Experience</x:v>
      </x:c>
      <x:c r="C1088" s="31" t="str">
        <x:v>Where did you attend your high school? And how did you learn your English</x:v>
      </x:c>
      <x:c r="D1088" s="32" t="n">
        <x:f>COUNTIF('All Questions'!$G$5:$G$1725,A1088)</x:f>
        <x:v>1</x:v>
      </x:c>
      <x:c r="E1088" s="11"/>
      <x:c r="F1088" s="12" t="str">
        <x:v>Not Started</x:v>
      </x:c>
      <x:c r="G1088" s="13"/>
      <x:c r="H1088" s="30" t="str">
        <x:f>IF(AND(E1088&lt;&gt;"",F1088="Ready"),"Yes","No")</x:f>
        <x:v>No</x:v>
      </x:c>
      <x:c r="I1088" s="11"/>
    </x:row>
    <x:row r="1089" ht="38" customHeight="1">
      <x:c r="A1089" s="30" t="str">
        <x:v>CL1085</x:v>
      </x:c>
      <x:c r="B1089" s="30" t="str">
        <x:v>Resume &amp; Experience</x:v>
      </x:c>
      <x:c r="C1089" s="31" t="str">
        <x:v>Where did you go to school in gz? (in chinese)</x:v>
      </x:c>
      <x:c r="D1089" s="32" t="n">
        <x:f>COUNTIF('All Questions'!$G$5:$G$1725,A1089)</x:f>
        <x:v>1</x:v>
      </x:c>
      <x:c r="E1089" s="11"/>
      <x:c r="F1089" s="12" t="str">
        <x:v>Not Started</x:v>
      </x:c>
      <x:c r="G1089" s="13"/>
      <x:c r="H1089" s="30" t="str">
        <x:f>IF(AND(E1089&lt;&gt;"",F1089="Ready"),"Yes","No")</x:f>
        <x:v>No</x:v>
      </x:c>
      <x:c r="I1089" s="11"/>
    </x:row>
    <x:row r="1090" ht="38" customHeight="1">
      <x:c r="A1090" s="30" t="str">
        <x:v>CL1086</x:v>
      </x:c>
      <x:c r="B1090" s="30" t="str">
        <x:v>Other Question</x:v>
      </x:c>
      <x:c r="C1090" s="31" t="str">
        <x:v>Where do u find the inputs</x:v>
      </x:c>
      <x:c r="D1090" s="32" t="n">
        <x:f>COUNTIF('All Questions'!$G$5:$G$1725,A1090)</x:f>
        <x:v>1</x:v>
      </x:c>
      <x:c r="E1090" s="11"/>
      <x:c r="F1090" s="12" t="str">
        <x:v>Not Started</x:v>
      </x:c>
      <x:c r="G1090" s="13"/>
      <x:c r="H1090" s="30" t="str">
        <x:f>IF(AND(E1090&lt;&gt;"",F1090="Ready"),"Yes","No")</x:f>
        <x:v>No</x:v>
      </x:c>
      <x:c r="I1090" s="11"/>
    </x:row>
    <x:row r="1091" ht="38" customHeight="1">
      <x:c r="A1091" s="30" t="str">
        <x:v>CL1087</x:v>
      </x:c>
      <x:c r="B1091" s="30" t="str">
        <x:v>Other Question</x:v>
      </x:c>
      <x:c r="C1091" s="31" t="str">
        <x:v>Where do you see yourself in 3-5 years?</x:v>
      </x:c>
      <x:c r="D1091" s="32" t="n">
        <x:f>COUNTIF('All Questions'!$G$5:$G$1725,A1091)</x:f>
        <x:v>1</x:v>
      </x:c>
      <x:c r="E1091" s="11"/>
      <x:c r="F1091" s="12" t="str">
        <x:v>Not Started</x:v>
      </x:c>
      <x:c r="G1091" s="13"/>
      <x:c r="H1091" s="30" t="str">
        <x:f>IF(AND(E1091&lt;&gt;"",F1091="Ready"),"Yes","No")</x:f>
        <x:v>No</x:v>
      </x:c>
      <x:c r="I1091" s="11"/>
    </x:row>
    <x:row r="1092" ht="38" customHeight="1">
      <x:c r="A1092" s="30" t="str">
        <x:v>CL1088</x:v>
      </x:c>
      <x:c r="B1092" s="30" t="str">
        <x:v>Resume &amp; Experience</x:v>
      </x:c>
      <x:c r="C1092" s="31" t="str">
        <x:v>Where I grew up in, primary and secondary school, where my parents are from</x:v>
      </x:c>
      <x:c r="D1092" s="32" t="n">
        <x:f>COUNTIF('All Questions'!$G$5:$G$1725,A1092)</x:f>
        <x:v>1</x:v>
      </x:c>
      <x:c r="E1092" s="11"/>
      <x:c r="F1092" s="12" t="str">
        <x:v>Not Started</x:v>
      </x:c>
      <x:c r="G1092" s="13"/>
      <x:c r="H1092" s="30" t="str">
        <x:f>IF(AND(E1092&lt;&gt;"",F1092="Ready"),"Yes","No")</x:f>
        <x:v>No</x:v>
      </x:c>
      <x:c r="I1092" s="11"/>
    </x:row>
    <x:row r="1093" ht="38" customHeight="1">
      <x:c r="A1093" s="30" t="str">
        <x:v>CL1089</x:v>
      </x:c>
      <x:c r="B1093" s="30" t="str">
        <x:v>Accounting &amp; Financial Statements</x:v>
      </x:c>
      <x:c r="C1093" s="31" t="str">
        <x:v>Where is your passion for finance and SnT come from</x:v>
      </x:c>
      <x:c r="D1093" s="32" t="n">
        <x:f>COUNTIF('All Questions'!$G$5:$G$1725,A1093)</x:f>
        <x:v>1</x:v>
      </x:c>
      <x:c r="E1093" s="11"/>
      <x:c r="F1093" s="12" t="str">
        <x:v>Not Started</x:v>
      </x:c>
      <x:c r="G1093" s="13"/>
      <x:c r="H1093" s="30" t="str">
        <x:f>IF(AND(E1093&lt;&gt;"",F1093="Ready"),"Yes","No")</x:f>
        <x:v>No</x:v>
      </x:c>
      <x:c r="I1093" s="11"/>
    </x:row>
    <x:row r="1094" ht="38" customHeight="1">
      <x:c r="A1094" s="30" t="str">
        <x:v>CL1090</x:v>
      </x:c>
      <x:c r="B1094" s="30" t="str">
        <x:v>Other Question</x:v>
      </x:c>
      <x:c r="C1094" s="31" t="str">
        <x:v>Where to find each part of EV/ EBITDA breakdown from capiq</x:v>
      </x:c>
      <x:c r="D1094" s="32" t="n">
        <x:f>COUNTIF('All Questions'!$G$5:$G$1725,A1094)</x:f>
        <x:v>1</x:v>
      </x:c>
      <x:c r="E1094" s="11"/>
      <x:c r="F1094" s="12" t="str">
        <x:v>Not Started</x:v>
      </x:c>
      <x:c r="G1094" s="13"/>
      <x:c r="H1094" s="30" t="str">
        <x:f>IF(AND(E1094&lt;&gt;"",F1094="Ready"),"Yes","No")</x:f>
        <x:v>No</x:v>
      </x:c>
      <x:c r="I1094" s="11"/>
    </x:row>
    <x:row r="1095" ht="58" customHeight="1">
      <x:c r="A1095" s="30" t="str">
        <x:v>CL1091</x:v>
      </x:c>
      <x:c r="B1095" s="30" t="str">
        <x:v>Other Question</x:v>
      </x:c>
      <x:c r="C1095" s="31" t="str">
        <x:v>Which business segment has the highest CAPEX? Does not make sense for the EPC segment to have CAPEX, what kind of CAPEX</x:v>
      </x:c>
      <x:c r="D1095" s="32" t="n">
        <x:f>COUNTIF('All Questions'!$G$5:$G$1725,A1095)</x:f>
        <x:v>1</x:v>
      </x:c>
      <x:c r="E1095" s="11"/>
      <x:c r="F1095" s="12" t="str">
        <x:v>Not Started</x:v>
      </x:c>
      <x:c r="G1095" s="13"/>
      <x:c r="H1095" s="30" t="str">
        <x:f>IF(AND(E1095&lt;&gt;"",F1095="Ready"),"Yes","No")</x:f>
        <x:v>No</x:v>
      </x:c>
      <x:c r="I1095" s="11"/>
    </x:row>
    <x:row r="1096" ht="38" customHeight="1">
      <x:c r="A1096" s="30" t="str">
        <x:v>CL1092</x:v>
      </x:c>
      <x:c r="B1096" s="30" t="str">
        <x:v>Company, Industry &amp; Deals</x:v>
      </x:c>
      <x:c r="C1096" s="31" t="str">
        <x:v>Which company will be the best winner (I said Tesla)</x:v>
      </x:c>
      <x:c r="D1096" s="32" t="n">
        <x:f>COUNTIF('All Questions'!$G$5:$G$1725,A1096)</x:f>
        <x:v>1</x:v>
      </x:c>
      <x:c r="E1096" s="11"/>
      <x:c r="F1096" s="12" t="str">
        <x:v>Not Started</x:v>
      </x:c>
      <x:c r="G1096" s="13"/>
      <x:c r="H1096" s="30" t="str">
        <x:f>IF(AND(E1096&lt;&gt;"",F1096="Ready"),"Yes","No")</x:f>
        <x:v>No</x:v>
      </x:c>
      <x:c r="I1096" s="11"/>
    </x:row>
    <x:row r="1097" ht="38" customHeight="1">
      <x:c r="A1097" s="30" t="str">
        <x:v>CL1093</x:v>
      </x:c>
      <x:c r="B1097" s="30" t="str">
        <x:v>Company, Industry &amp; Deals</x:v>
      </x:c>
      <x:c r="C1097" s="31" t="str">
        <x:v>Which deal you are interested in and walk me through</x:v>
      </x:c>
      <x:c r="D1097" s="32" t="n">
        <x:f>COUNTIF('All Questions'!$G$5:$G$1725,A1097)</x:f>
        <x:v>1</x:v>
      </x:c>
      <x:c r="E1097" s="11"/>
      <x:c r="F1097" s="12" t="str">
        <x:v>Not Started</x:v>
      </x:c>
      <x:c r="G1097" s="13"/>
      <x:c r="H1097" s="30" t="str">
        <x:f>IF(AND(E1097&lt;&gt;"",F1097="Ready"),"Yes","No")</x:f>
        <x:v>No</x:v>
      </x:c>
      <x:c r="I1097" s="11"/>
    </x:row>
    <x:row r="1098" ht="38" customHeight="1">
      <x:c r="A1098" s="30" t="str">
        <x:v>CL1094</x:v>
      </x:c>
      <x:c r="B1098" s="30" t="str">
        <x:v>Resume &amp; Experience</x:v>
      </x:c>
      <x:c r="C1098" s="31" t="str">
        <x:v>Which deal you had more exposure to? Talk to me in depth about what you did</x:v>
      </x:c>
      <x:c r="D1098" s="32" t="n">
        <x:f>COUNTIF('All Questions'!$G$5:$G$1725,A1098)</x:f>
        <x:v>1</x:v>
      </x:c>
      <x:c r="E1098" s="11"/>
      <x:c r="F1098" s="12" t="str">
        <x:v>Not Started</x:v>
      </x:c>
      <x:c r="G1098" s="13"/>
      <x:c r="H1098" s="30" t="str">
        <x:f>IF(AND(E1098&lt;&gt;"",F1098="Ready"),"Yes","No")</x:f>
        <x:v>No</x:v>
      </x:c>
      <x:c r="I1098" s="11"/>
    </x:row>
    <x:row r="1099" ht="38" customHeight="1">
      <x:c r="A1099" s="30" t="str">
        <x:v>CL1095</x:v>
      </x:c>
      <x:c r="B1099" s="30" t="str">
        <x:v>Resume &amp; Experience</x:v>
      </x:c>
      <x:c r="C1099" s="31" t="str">
        <x:v>Which internship I liked the most and the least</x:v>
      </x:c>
      <x:c r="D1099" s="32" t="n">
        <x:f>COUNTIF('All Questions'!$G$5:$G$1725,A1099)</x:f>
        <x:v>1</x:v>
      </x:c>
      <x:c r="E1099" s="11"/>
      <x:c r="F1099" s="12" t="str">
        <x:v>Not Started</x:v>
      </x:c>
      <x:c r="G1099" s="13"/>
      <x:c r="H1099" s="30" t="str">
        <x:f>IF(AND(E1099&lt;&gt;"",F1099="Ready"),"Yes","No")</x:f>
        <x:v>No</x:v>
      </x:c>
      <x:c r="I1099" s="11"/>
    </x:row>
    <x:row r="1100" ht="38" customHeight="1">
      <x:c r="A1100" s="30" t="str">
        <x:v>CL1096</x:v>
      </x:c>
      <x:c r="B1100" s="30" t="str">
        <x:v>Other Question</x:v>
      </x:c>
      <x:c r="C1100" s="31" t="str">
        <x:v>Which jurisdiction does this LOE follows</x:v>
      </x:c>
      <x:c r="D1100" s="32" t="n">
        <x:f>COUNTIF('All Questions'!$G$5:$G$1725,A1100)</x:f>
        <x:v>1</x:v>
      </x:c>
      <x:c r="E1100" s="11"/>
      <x:c r="F1100" s="12" t="str">
        <x:v>Not Started</x:v>
      </x:c>
      <x:c r="G1100" s="13"/>
      <x:c r="H1100" s="30" t="str">
        <x:f>IF(AND(E1100&lt;&gt;"",F1100="Ready"),"Yes","No")</x:f>
        <x:v>No</x:v>
      </x:c>
      <x:c r="I1100" s="11"/>
    </x:row>
    <x:row r="1101" ht="38" customHeight="1">
      <x:c r="A1101" s="30" t="str">
        <x:v>CL1097</x:v>
      </x:c>
      <x:c r="B1101" s="30" t="str">
        <x:v>Valuation</x:v>
      </x:c>
      <x:c r="C1101" s="31" t="str">
        <x:v>Which method gives you highest valuation and why</x:v>
      </x:c>
      <x:c r="D1101" s="32" t="n">
        <x:f>COUNTIF('All Questions'!$G$5:$G$1725,A1101)</x:f>
        <x:v>1</x:v>
      </x:c>
      <x:c r="E1101" s="11"/>
      <x:c r="F1101" s="12" t="str">
        <x:v>Not Started</x:v>
      </x:c>
      <x:c r="G1101" s="13"/>
      <x:c r="H1101" s="30" t="str">
        <x:f>IF(AND(E1101&lt;&gt;"",F1101="Ready"),"Yes","No")</x:f>
        <x:v>No</x:v>
      </x:c>
      <x:c r="I1101" s="11"/>
    </x:row>
    <x:row r="1102" ht="38" customHeight="1">
      <x:c r="A1102" s="30" t="str">
        <x:v>CL1098</x:v>
      </x:c>
      <x:c r="B1102" s="30" t="str">
        <x:v>Accounting &amp; Financial Statements</x:v>
      </x:c>
      <x:c r="C1102" s="31" t="str">
        <x:v>Which one of the external factor do you think is the most important？ why</x:v>
      </x:c>
      <x:c r="D1102" s="32" t="n">
        <x:f>COUNTIF('All Questions'!$G$5:$G$1725,A1102)</x:f>
        <x:v>1</x:v>
      </x:c>
      <x:c r="E1102" s="11"/>
      <x:c r="F1102" s="12" t="str">
        <x:v>Not Started</x:v>
      </x:c>
      <x:c r="G1102" s="13"/>
      <x:c r="H1102" s="30" t="str">
        <x:f>IF(AND(E1102&lt;&gt;"",F1102="Ready"),"Yes","No")</x:f>
        <x:v>No</x:v>
      </x:c>
      <x:c r="I1102" s="11"/>
    </x:row>
    <x:row r="1103" ht="58" customHeight="1">
      <x:c r="A1103" s="30" t="str">
        <x:v>CL1099</x:v>
      </x:c>
      <x:c r="B1103" s="30" t="str">
        <x:v>Private Equity &amp; LBO</x:v>
      </x:c>
      <x:c r="C1103" s="31" t="str">
        <x:v>Which one will produce more return: Preferred shares vs corporate bond, senior bond vs junior bond</x:v>
      </x:c>
      <x:c r="D1103" s="32" t="n">
        <x:f>COUNTIF('All Questions'!$G$5:$G$1725,A1103)</x:f>
        <x:v>1</x:v>
      </x:c>
      <x:c r="E1103" s="11"/>
      <x:c r="F1103" s="12" t="str">
        <x:v>Not Started</x:v>
      </x:c>
      <x:c r="G1103" s="13"/>
      <x:c r="H1103" s="30" t="str">
        <x:f>IF(AND(E1103&lt;&gt;"",F1103="Ready"),"Yes","No")</x:f>
        <x:v>No</x:v>
      </x:c>
      <x:c r="I1103" s="11"/>
    </x:row>
    <x:row r="1104" ht="38" customHeight="1">
      <x:c r="A1104" s="30" t="str">
        <x:v>CL1100</x:v>
      </x:c>
      <x:c r="B1104" s="30" t="str">
        <x:v>Other Question</x:v>
      </x:c>
      <x:c r="C1104" s="31" t="str">
        <x:v>Which position do i play</x:v>
      </x:c>
      <x:c r="D1104" s="32" t="n">
        <x:f>COUNTIF('All Questions'!$G$5:$G$1725,A1104)</x:f>
        <x:v>1</x:v>
      </x:c>
      <x:c r="E1104" s="11"/>
      <x:c r="F1104" s="12" t="str">
        <x:v>Not Started</x:v>
      </x:c>
      <x:c r="G1104" s="13"/>
      <x:c r="H1104" s="30" t="str">
        <x:f>IF(AND(E1104&lt;&gt;"",F1104="Ready"),"Yes","No")</x:f>
        <x:v>No</x:v>
      </x:c>
      <x:c r="I1104" s="11"/>
    </x:row>
    <x:row r="1105" ht="38" customHeight="1">
      <x:c r="A1105" s="30" t="str">
        <x:v>CL1101</x:v>
      </x:c>
      <x:c r="B1105" s="30" t="str">
        <x:v>Company, Industry &amp; Deals</x:v>
      </x:c>
      <x:c r="C1105" s="31" t="str">
        <x:v>Which sector would you recommend investing? (globally)</x:v>
      </x:c>
      <x:c r="D1105" s="32" t="n">
        <x:f>COUNTIF('All Questions'!$G$5:$G$1725,A1105)</x:f>
        <x:v>1</x:v>
      </x:c>
      <x:c r="E1105" s="11"/>
      <x:c r="F1105" s="12" t="str">
        <x:v>Not Started</x:v>
      </x:c>
      <x:c r="G1105" s="13"/>
      <x:c r="H1105" s="30" t="str">
        <x:f>IF(AND(E1105&lt;&gt;"",F1105="Ready"),"Yes","No")</x:f>
        <x:v>No</x:v>
      </x:c>
      <x:c r="I1105" s="11"/>
    </x:row>
    <x:row r="1106" ht="38" customHeight="1">
      <x:c r="A1106" s="30" t="str">
        <x:v>CL1102</x:v>
      </x:c>
      <x:c r="B1106" s="30" t="str">
        <x:v>Company, Industry &amp; Deals</x:v>
      </x:c>
      <x:c r="C1106" s="31" t="str">
        <x:v>Which sectors are undervalued right now</x:v>
      </x:c>
      <x:c r="D1106" s="32" t="n">
        <x:f>COUNTIF('All Questions'!$G$5:$G$1725,A1106)</x:f>
        <x:v>1</x:v>
      </x:c>
      <x:c r="E1106" s="11"/>
      <x:c r="F1106" s="12" t="str">
        <x:v>Not Started</x:v>
      </x:c>
      <x:c r="G1106" s="13"/>
      <x:c r="H1106" s="30" t="str">
        <x:f>IF(AND(E1106&lt;&gt;"",F1106="Ready"),"Yes","No")</x:f>
        <x:v>No</x:v>
      </x:c>
      <x:c r="I1106" s="11"/>
    </x:row>
    <x:row r="1107" ht="38" customHeight="1">
      <x:c r="A1107" s="30" t="str">
        <x:v>CL1103</x:v>
      </x:c>
      <x:c r="B1107" s="30" t="str">
        <x:v>Other Question</x:v>
      </x:c>
      <x:c r="C1107" s="31" t="str">
        <x:v>Which subject do you like the most</x:v>
      </x:c>
      <x:c r="D1107" s="32" t="n">
        <x:f>COUNTIF('All Questions'!$G$5:$G$1725,A1107)</x:f>
        <x:v>1</x:v>
      </x:c>
      <x:c r="E1107" s="11"/>
      <x:c r="F1107" s="12" t="str">
        <x:v>Not Started</x:v>
      </x:c>
      <x:c r="G1107" s="13"/>
      <x:c r="H1107" s="30" t="str">
        <x:f>IF(AND(E1107&lt;&gt;"",F1107="Ready"),"Yes","No")</x:f>
        <x:v>No</x:v>
      </x:c>
      <x:c r="I1107" s="11"/>
    </x:row>
    <x:row r="1108" ht="38" customHeight="1">
      <x:c r="A1108" s="30" t="str">
        <x:v>CL1104</x:v>
      </x:c>
      <x:c r="B1108" s="30" t="str">
        <x:v>Behavioral &amp; Situational</x:v>
      </x:c>
      <x:c r="C1108" s="31" t="str">
        <x:v>Which team in barclays</x:v>
      </x:c>
      <x:c r="D1108" s="32" t="n">
        <x:f>COUNTIF('All Questions'!$G$5:$G$1725,A1108)</x:f>
        <x:v>1</x:v>
      </x:c>
      <x:c r="E1108" s="11"/>
      <x:c r="F1108" s="12" t="str">
        <x:v>Not Started</x:v>
      </x:c>
      <x:c r="G1108" s="13"/>
      <x:c r="H1108" s="30" t="str">
        <x:f>IF(AND(E1108&lt;&gt;"",F1108="Ready"),"Yes","No")</x:f>
        <x:v>No</x:v>
      </x:c>
      <x:c r="I1108" s="11"/>
    </x:row>
    <x:row r="1109" ht="38" customHeight="1">
      <x:c r="A1109" s="30" t="str">
        <x:v>CL1105</x:v>
      </x:c>
      <x:c r="B1109" s="30" t="str">
        <x:v>Fit &amp; Motivation</x:v>
      </x:c>
      <x:c r="C1109" s="31" t="str">
        <x:v>Which team would you prefer</x:v>
      </x:c>
      <x:c r="D1109" s="32" t="n">
        <x:f>COUNTIF('All Questions'!$G$5:$G$1725,A1109)</x:f>
        <x:v>1</x:v>
      </x:c>
      <x:c r="E1109" s="11"/>
      <x:c r="F1109" s="12" t="str">
        <x:v>Not Started</x:v>
      </x:c>
      <x:c r="G1109" s="13"/>
      <x:c r="H1109" s="30" t="str">
        <x:f>IF(AND(E1109&lt;&gt;"",F1109="Ready"),"Yes","No")</x:f>
        <x:v>No</x:v>
      </x:c>
      <x:c r="I1109" s="11"/>
    </x:row>
    <x:row r="1110" ht="38" customHeight="1">
      <x:c r="A1110" s="30" t="str">
        <x:v>CL1106</x:v>
      </x:c>
      <x:c r="B1110" s="30" t="str">
        <x:v>Resume &amp; Experience</x:v>
      </x:c>
      <x:c r="C1110" s="31" t="str">
        <x:v>Who did you report to at Xiaomi</x:v>
      </x:c>
      <x:c r="D1110" s="32" t="n">
        <x:f>COUNTIF('All Questions'!$G$5:$G$1725,A1110)</x:f>
        <x:v>1</x:v>
      </x:c>
      <x:c r="E1110" s="11"/>
      <x:c r="F1110" s="12" t="str">
        <x:v>Not Started</x:v>
      </x:c>
      <x:c r="G1110" s="13"/>
      <x:c r="H1110" s="30" t="str">
        <x:f>IF(AND(E1110&lt;&gt;"",F1110="Ready"),"Yes","No")</x:f>
        <x:v>No</x:v>
      </x:c>
      <x:c r="I1110" s="11"/>
    </x:row>
    <x:row r="1111" ht="38" customHeight="1">
      <x:c r="A1111" s="30" t="str">
        <x:v>CL1107</x:v>
      </x:c>
      <x:c r="B1111" s="30" t="str">
        <x:v>Other Question</x:v>
      </x:c>
      <x:c r="C1111" s="31" t="str">
        <x:v>Who i talked to in MS before, who was my first round interviewer</x:v>
      </x:c>
      <x:c r="D1111" s="32" t="n">
        <x:f>COUNTIF('All Questions'!$G$5:$G$1725,A1111)</x:f>
        <x:v>1</x:v>
      </x:c>
      <x:c r="E1111" s="11"/>
      <x:c r="F1111" s="12" t="str">
        <x:v>Not Started</x:v>
      </x:c>
      <x:c r="G1111" s="13"/>
      <x:c r="H1111" s="30" t="str">
        <x:f>IF(AND(E1111&lt;&gt;"",F1111="Ready"),"Yes","No")</x:f>
        <x:v>No</x:v>
      </x:c>
      <x:c r="I1111" s="11"/>
    </x:row>
    <x:row r="1112" ht="38" customHeight="1">
      <x:c r="A1112" s="30" t="str">
        <x:v>CL1108</x:v>
      </x:c>
      <x:c r="B1112" s="30" t="str">
        <x:v>Accounting &amp; Financial Statements</x:v>
      </x:c>
      <x:c r="C1112" s="31" t="str">
        <x:v>Who is the new CEO of HSBC and what risks do you recommend this person to look at</x:v>
      </x:c>
      <x:c r="D1112" s="32" t="n">
        <x:f>COUNTIF('All Questions'!$G$5:$G$1725,A1112)</x:f>
        <x:v>1</x:v>
      </x:c>
      <x:c r="E1112" s="11"/>
      <x:c r="F1112" s="12" t="str">
        <x:v>Not Started</x:v>
      </x:c>
      <x:c r="G1112" s="13"/>
      <x:c r="H1112" s="30" t="str">
        <x:f>IF(AND(E1112&lt;&gt;"",F1112="Ready"),"Yes","No")</x:f>
        <x:v>No</x:v>
      </x:c>
      <x:c r="I1112" s="11"/>
    </x:row>
    <x:row r="1113" ht="38" customHeight="1">
      <x:c r="A1113" s="30" t="str">
        <x:v>CL1109</x:v>
      </x:c>
      <x:c r="B1113" s="30" t="str">
        <x:v>Accounting &amp; Financial Statements</x:v>
      </x:c>
      <x:c r="C1113" s="31" t="str">
        <x:v>Who is your first round interviewer? (I kinda mentioned my first round several times...)</x:v>
      </x:c>
      <x:c r="D1113" s="32" t="n">
        <x:f>COUNTIF('All Questions'!$G$5:$G$1725,A1113)</x:f>
        <x:v>1</x:v>
      </x:c>
      <x:c r="E1113" s="11"/>
      <x:c r="F1113" s="12" t="str">
        <x:v>Not Started</x:v>
      </x:c>
      <x:c r="G1113" s="13"/>
      <x:c r="H1113" s="30" t="str">
        <x:f>IF(AND(E1113&lt;&gt;"",F1113="Ready"),"Yes","No")</x:f>
        <x:v>No</x:v>
      </x:c>
      <x:c r="I1113" s="11"/>
    </x:row>
    <x:row r="1114" ht="38" customHeight="1">
      <x:c r="A1114" s="30" t="str">
        <x:v>CL1110</x:v>
      </x:c>
      <x:c r="B1114" s="30" t="str">
        <x:v>Capital Markets &amp; Financing</x:v>
      </x:c>
      <x:c r="C1114" s="31" t="str">
        <x:v>Who were on the Nomura DCM Team</x:v>
      </x:c>
      <x:c r="D1114" s="32" t="n">
        <x:f>COUNTIF('All Questions'!$G$5:$G$1725,A1114)</x:f>
        <x:v>1</x:v>
      </x:c>
      <x:c r="E1114" s="11"/>
      <x:c r="F1114" s="12" t="str">
        <x:v>Not Started</x:v>
      </x:c>
      <x:c r="G1114" s="13"/>
      <x:c r="H1114" s="30" t="str">
        <x:f>IF(AND(E1114&lt;&gt;"",F1114="Ready"),"Yes","No")</x:f>
        <x:v>No</x:v>
      </x:c>
      <x:c r="I1114" s="11"/>
    </x:row>
    <x:row r="1115" ht="38" customHeight="1">
      <x:c r="A1115" s="30" t="str">
        <x:v>CL1111</x:v>
      </x:c>
      <x:c r="B1115" s="30" t="str">
        <x:v>Fit &amp; Motivation</x:v>
      </x:c>
      <x:c r="C1115" s="31" t="str">
        <x:v>Why after hkex and equity research you wanna do ibd</x:v>
      </x:c>
      <x:c r="D1115" s="32" t="n">
        <x:f>COUNTIF('All Questions'!$G$5:$G$1725,A1115)</x:f>
        <x:v>1</x:v>
      </x:c>
      <x:c r="E1115" s="11"/>
      <x:c r="F1115" s="12" t="str">
        <x:v>Not Started</x:v>
      </x:c>
      <x:c r="G1115" s="13"/>
      <x:c r="H1115" s="30" t="str">
        <x:f>IF(AND(E1115&lt;&gt;"",F1115="Ready"),"Yes","No")</x:f>
        <x:v>No</x:v>
      </x:c>
      <x:c r="I1115" s="11"/>
    </x:row>
    <x:row r="1116" ht="38" customHeight="1">
      <x:c r="A1116" s="30" t="str">
        <x:v>CL1112</x:v>
      </x:c>
      <x:c r="B1116" s="30" t="str">
        <x:v>Fit &amp; Motivation</x:v>
      </x:c>
      <x:c r="C1116" s="31" t="str">
        <x:v>Why afterwards HKEX and Equity research</x:v>
      </x:c>
      <x:c r="D1116" s="32" t="n">
        <x:f>COUNTIF('All Questions'!$G$5:$G$1725,A1116)</x:f>
        <x:v>1</x:v>
      </x:c>
      <x:c r="E1116" s="11"/>
      <x:c r="F1116" s="12" t="str">
        <x:v>Not Started</x:v>
      </x:c>
      <x:c r="G1116" s="13"/>
      <x:c r="H1116" s="30" t="str">
        <x:f>IF(AND(E1116&lt;&gt;"",F1116="Ready"),"Yes","No")</x:f>
        <x:v>No</x:v>
      </x:c>
      <x:c r="I1116" s="11"/>
    </x:row>
    <x:row r="1117" ht="38" customHeight="1">
      <x:c r="A1117" s="30" t="str">
        <x:v>CL1113</x:v>
      </x:c>
      <x:c r="B1117" s="30" t="str">
        <x:v>Fit &amp; Motivation</x:v>
      </x:c>
      <x:c r="C1117" s="31" t="str">
        <x:v>Why are there huge cut in tech and bank jobs, but unemployment data is still very low</x:v>
      </x:c>
      <x:c r="D1117" s="32" t="n">
        <x:f>COUNTIF('All Questions'!$G$5:$G$1725,A1117)</x:f>
        <x:v>1</x:v>
      </x:c>
      <x:c r="E1117" s="11"/>
      <x:c r="F1117" s="12" t="str">
        <x:v>Not Started</x:v>
      </x:c>
      <x:c r="G1117" s="13"/>
      <x:c r="H1117" s="30" t="str">
        <x:f>IF(AND(E1117&lt;&gt;"",F1117="Ready"),"Yes","No")</x:f>
        <x:v>No</x:v>
      </x:c>
      <x:c r="I1117" s="11"/>
    </x:row>
    <x:row r="1118" ht="38" customHeight="1">
      <x:c r="A1118" s="30" t="str">
        <x:v>CL1114</x:v>
      </x:c>
      <x:c r="B1118" s="30" t="str">
        <x:v>Fit &amp; Motivation</x:v>
      </x:c>
      <x:c r="C1118" s="31" t="str">
        <x:v>Why are you interested in primary markets compared to secondary markets</x:v>
      </x:c>
      <x:c r="D1118" s="32" t="n">
        <x:f>COUNTIF('All Questions'!$G$5:$G$1725,A1118)</x:f>
        <x:v>1</x:v>
      </x:c>
      <x:c r="E1118" s="11"/>
      <x:c r="F1118" s="12" t="str">
        <x:v>Not Started</x:v>
      </x:c>
      <x:c r="G1118" s="13"/>
      <x:c r="H1118" s="30" t="str">
        <x:f>IF(AND(E1118&lt;&gt;"",F1118="Ready"),"Yes","No")</x:f>
        <x:v>No</x:v>
      </x:c>
      <x:c r="I1118" s="11"/>
    </x:row>
    <x:row r="1119" ht="38" customHeight="1">
      <x:c r="A1119" s="30" t="str">
        <x:v>CL1115</x:v>
      </x:c>
      <x:c r="B1119" s="30" t="str">
        <x:v>Fit &amp; Motivation</x:v>
      </x:c>
      <x:c r="C1119" s="31" t="str">
        <x:v>Why art history</x:v>
      </x:c>
      <x:c r="D1119" s="32" t="n">
        <x:f>COUNTIF('All Questions'!$G$5:$G$1725,A1119)</x:f>
        <x:v>1</x:v>
      </x:c>
      <x:c r="E1119" s="11"/>
      <x:c r="F1119" s="12" t="str">
        <x:v>Not Started</x:v>
      </x:c>
      <x:c r="G1119" s="13"/>
      <x:c r="H1119" s="30" t="str">
        <x:f>IF(AND(E1119&lt;&gt;"",F1119="Ready"),"Yes","No")</x:f>
        <x:v>No</x:v>
      </x:c>
      <x:c r="I1119" s="11"/>
    </x:row>
    <x:row r="1120" ht="38" customHeight="1">
      <x:c r="A1120" s="30" t="str">
        <x:v>CL1116</x:v>
      </x:c>
      <x:c r="B1120" s="30" t="str">
        <x:v>Fit &amp; Motivation</x:v>
      </x:c>
      <x:c r="C1120" s="31" t="str">
        <x:v>Why come to HK for University</x:v>
      </x:c>
      <x:c r="D1120" s="32" t="n">
        <x:f>COUNTIF('All Questions'!$G$5:$G$1725,A1120)</x:f>
        <x:v>1</x:v>
      </x:c>
      <x:c r="E1120" s="11"/>
      <x:c r="F1120" s="12" t="str">
        <x:v>Not Started</x:v>
      </x:c>
      <x:c r="G1120" s="13"/>
      <x:c r="H1120" s="30" t="str">
        <x:f>IF(AND(E1120&lt;&gt;"",F1120="Ready"),"Yes","No")</x:f>
        <x:v>No</x:v>
      </x:c>
      <x:c r="I1120" s="11"/>
    </x:row>
    <x:row r="1121" ht="38" customHeight="1">
      <x:c r="A1121" s="30" t="str">
        <x:v>CL1117</x:v>
      </x:c>
      <x:c r="B1121" s="30" t="str">
        <x:v>Fit &amp; Motivation</x:v>
      </x:c>
      <x:c r="C1121" s="31" t="str">
        <x:v>Why consulting?</x:v>
      </x:c>
      <x:c r="D1121" s="32" t="n">
        <x:f>COUNTIF('All Questions'!$G$5:$G$1725,A1121)</x:f>
        <x:v>1</x:v>
      </x:c>
      <x:c r="E1121" s="11"/>
      <x:c r="F1121" s="12" t="str">
        <x:v>Not Started</x:v>
      </x:c>
      <x:c r="G1121" s="13"/>
      <x:c r="H1121" s="30" t="str">
        <x:f>IF(AND(E1121&lt;&gt;"",F1121="Ready"),"Yes","No")</x:f>
        <x:v>No</x:v>
      </x:c>
      <x:c r="I1121" s="11"/>
    </x:row>
    <x:row r="1122" ht="38" customHeight="1">
      <x:c r="A1122" s="30" t="str">
        <x:v>CL1118</x:v>
      </x:c>
      <x:c r="B1122" s="30" t="str">
        <x:v>Fit &amp; Motivation</x:v>
      </x:c>
      <x:c r="C1122" s="31" t="str">
        <x:v>Why did you apply to Bofa IBD, why not stay in equity research and HKEX</x:v>
      </x:c>
      <x:c r="D1122" s="32" t="n">
        <x:f>COUNTIF('All Questions'!$G$5:$G$1725,A1122)</x:f>
        <x:v>1</x:v>
      </x:c>
      <x:c r="E1122" s="11"/>
      <x:c r="F1122" s="12" t="str">
        <x:v>Not Started</x:v>
      </x:c>
      <x:c r="G1122" s="13"/>
      <x:c r="H1122" s="30" t="str">
        <x:f>IF(AND(E1122&lt;&gt;"",F1122="Ready"),"Yes","No")</x:f>
        <x:v>No</x:v>
      </x:c>
      <x:c r="I1122" s="11"/>
    </x:row>
    <x:row r="1123" ht="38" customHeight="1">
      <x:c r="A1123" s="30" t="str">
        <x:v>CL1119</x:v>
      </x:c>
      <x:c r="B1123" s="30" t="str">
        <x:v>Fit &amp; Motivation</x:v>
      </x:c>
      <x:c r="C1123" s="31" t="str">
        <x:v>Why did you do HKEX</x:v>
      </x:c>
      <x:c r="D1123" s="32" t="n">
        <x:f>COUNTIF('All Questions'!$G$5:$G$1725,A1123)</x:f>
        <x:v>1</x:v>
      </x:c>
      <x:c r="E1123" s="11"/>
      <x:c r="F1123" s="12" t="str">
        <x:v>Not Started</x:v>
      </x:c>
      <x:c r="G1123" s="13"/>
      <x:c r="H1123" s="30" t="str">
        <x:f>IF(AND(E1123&lt;&gt;"",F1123="Ready"),"Yes","No")</x:f>
        <x:v>No</x:v>
      </x:c>
      <x:c r="I1123" s="11"/>
    </x:row>
    <x:row r="1124" ht="38" customHeight="1">
      <x:c r="A1124" s="30" t="str">
        <x:v>CL1120</x:v>
      </x:c>
      <x:c r="B1124" s="30" t="str">
        <x:v>Fit &amp; Motivation</x:v>
      </x:c>
      <x:c r="C1124" s="31" t="str">
        <x:v>Why did you go back to gz? (in chinese)</x:v>
      </x:c>
      <x:c r="D1124" s="32" t="n">
        <x:f>COUNTIF('All Questions'!$G$5:$G$1725,A1124)</x:f>
        <x:v>1</x:v>
      </x:c>
      <x:c r="E1124" s="11"/>
      <x:c r="F1124" s="12" t="str">
        <x:v>Not Started</x:v>
      </x:c>
      <x:c r="G1124" s="13"/>
      <x:c r="H1124" s="30" t="str">
        <x:f>IF(AND(E1124&lt;&gt;"",F1124="Ready"),"Yes","No")</x:f>
        <x:v>No</x:v>
      </x:c>
      <x:c r="I1124" s="11"/>
    </x:row>
    <x:row r="1125" ht="38" customHeight="1">
      <x:c r="A1125" s="30" t="str">
        <x:v>CL1121</x:v>
      </x:c>
      <x:c r="B1125" s="30" t="str">
        <x:v>Fit &amp; Motivation</x:v>
      </x:c>
      <x:c r="C1125" s="31" t="str">
        <x:v>Why did you only do a 5-year projection model but not a 10-year one</x:v>
      </x:c>
      <x:c r="D1125" s="32" t="n">
        <x:f>COUNTIF('All Questions'!$G$5:$G$1725,A1125)</x:f>
        <x:v>1</x:v>
      </x:c>
      <x:c r="E1125" s="11"/>
      <x:c r="F1125" s="12" t="str">
        <x:v>Not Started</x:v>
      </x:c>
      <x:c r="G1125" s="13"/>
      <x:c r="H1125" s="30" t="str">
        <x:f>IF(AND(E1125&lt;&gt;"",F1125="Ready"),"Yes","No")</x:f>
        <x:v>No</x:v>
      </x:c>
      <x:c r="I1125" s="11"/>
    </x:row>
    <x:row r="1126" ht="38" customHeight="1">
      <x:c r="A1126" s="30" t="str">
        <x:v>CL1122</x:v>
      </x:c>
      <x:c r="B1126" s="30" t="str">
        <x:v>Fit &amp; Motivation</x:v>
      </x:c>
      <x:c r="C1126" s="31" t="str">
        <x:v>Why did you use overall breast cancer market share and not the specific treatment</x:v>
      </x:c>
      <x:c r="D1126" s="32" t="n">
        <x:f>COUNTIF('All Questions'!$G$5:$G$1725,A1126)</x:f>
        <x:v>1</x:v>
      </x:c>
      <x:c r="E1126" s="11"/>
      <x:c r="F1126" s="12" t="str">
        <x:v>Not Started</x:v>
      </x:c>
      <x:c r="G1126" s="13"/>
      <x:c r="H1126" s="30" t="str">
        <x:f>IF(AND(E1126&lt;&gt;"",F1126="Ready"),"Yes","No")</x:f>
        <x:v>No</x:v>
      </x:c>
      <x:c r="I1126" s="11"/>
    </x:row>
    <x:row r="1127" ht="38" customHeight="1">
      <x:c r="A1127" s="30" t="str">
        <x:v>CL1123</x:v>
      </x:c>
      <x:c r="B1127" s="30" t="str">
        <x:v>Fit &amp; Motivation</x:v>
      </x:c>
      <x:c r="C1127" s="31" t="str">
        <x:v>Why didn't you get return from UBS</x:v>
      </x:c>
      <x:c r="D1127" s="32" t="n">
        <x:f>COUNTIF('All Questions'!$G$5:$G$1725,A1127)</x:f>
        <x:v>1</x:v>
      </x:c>
      <x:c r="E1127" s="11"/>
      <x:c r="F1127" s="12" t="str">
        <x:v>Not Started</x:v>
      </x:c>
      <x:c r="G1127" s="13"/>
      <x:c r="H1127" s="30" t="str">
        <x:f>IF(AND(E1127&lt;&gt;"",F1127="Ready"),"Yes","No")</x:f>
        <x:v>No</x:v>
      </x:c>
      <x:c r="I1127" s="11"/>
    </x:row>
    <x:row r="1128" ht="38" customHeight="1">
      <x:c r="A1128" s="30" t="str">
        <x:v>CL1124</x:v>
      </x:c>
      <x:c r="B1128" s="30" t="str">
        <x:v>Fit &amp; Motivation</x:v>
      </x:c>
      <x:c r="C1128" s="31" t="str">
        <x:v>Why do companies want to do M&amp;A</x:v>
      </x:c>
      <x:c r="D1128" s="32" t="n">
        <x:f>COUNTIF('All Questions'!$G$5:$G$1725,A1128)</x:f>
        <x:v>1</x:v>
      </x:c>
      <x:c r="E1128" s="11"/>
      <x:c r="F1128" s="12" t="str">
        <x:v>Not Started</x:v>
      </x:c>
      <x:c r="G1128" s="13"/>
      <x:c r="H1128" s="30" t="str">
        <x:f>IF(AND(E1128&lt;&gt;"",F1128="Ready"),"Yes","No")</x:f>
        <x:v>No</x:v>
      </x:c>
      <x:c r="I1128" s="11"/>
    </x:row>
    <x:row r="1129" ht="38" customHeight="1">
      <x:c r="A1129" s="30" t="str">
        <x:v>CL1125</x:v>
      </x:c>
      <x:c r="B1129" s="30" t="str">
        <x:v>Fit &amp; Motivation</x:v>
      </x:c>
      <x:c r="C1129" s="31" t="str">
        <x:v>Why do IBD now given bad economy? (grilled for around 5 minutes with a lot of follow-ups)</x:v>
      </x:c>
      <x:c r="D1129" s="32" t="n">
        <x:f>COUNTIF('All Questions'!$G$5:$G$1725,A1129)</x:f>
        <x:v>1</x:v>
      </x:c>
      <x:c r="E1129" s="11"/>
      <x:c r="F1129" s="12" t="str">
        <x:v>Not Started</x:v>
      </x:c>
      <x:c r="G1129" s="13"/>
      <x:c r="H1129" s="30" t="str">
        <x:f>IF(AND(E1129&lt;&gt;"",F1129="Ready"),"Yes","No")</x:f>
        <x:v>No</x:v>
      </x:c>
      <x:c r="I1129" s="11"/>
    </x:row>
    <x:row r="1130" ht="38" customHeight="1">
      <x:c r="A1130" s="30" t="str">
        <x:v>CL1126</x:v>
      </x:c>
      <x:c r="B1130" s="30" t="str">
        <x:v>Fit &amp; Motivation</x:v>
      </x:c>
      <x:c r="C1130" s="31" t="str">
        <x:v>Why do u need to include preferred stock in enterprise value</x:v>
      </x:c>
      <x:c r="D1130" s="32" t="n">
        <x:f>COUNTIF('All Questions'!$G$5:$G$1725,A1130)</x:f>
        <x:v>1</x:v>
      </x:c>
      <x:c r="E1130" s="11"/>
      <x:c r="F1130" s="12" t="str">
        <x:v>Not Started</x:v>
      </x:c>
      <x:c r="G1130" s="13"/>
      <x:c r="H1130" s="30" t="str">
        <x:f>IF(AND(E1130&lt;&gt;"",F1130="Ready"),"Yes","No")</x:f>
        <x:v>No</x:v>
      </x:c>
      <x:c r="I1130" s="11"/>
    </x:row>
    <x:row r="1131" ht="38" customHeight="1">
      <x:c r="A1131" s="30" t="str">
        <x:v>CL1127</x:v>
      </x:c>
      <x:c r="B1131" s="30" t="str">
        <x:v>Fit &amp; Motivation</x:v>
      </x:c>
      <x:c r="C1131" s="31" t="str">
        <x:v>Why do you put PE in the lifestyle bucket which is supposed to be more conservative</x:v>
      </x:c>
      <x:c r="D1131" s="32" t="n">
        <x:f>COUNTIF('All Questions'!$G$5:$G$1725,A1131)</x:f>
        <x:v>1</x:v>
      </x:c>
      <x:c r="E1131" s="11"/>
      <x:c r="F1131" s="12" t="str">
        <x:v>Not Started</x:v>
      </x:c>
      <x:c r="G1131" s="13"/>
      <x:c r="H1131" s="30" t="str">
        <x:f>IF(AND(E1131&lt;&gt;"",F1131="Ready"),"Yes","No")</x:f>
        <x:v>No</x:v>
      </x:c>
      <x:c r="I1131" s="11"/>
    </x:row>
    <x:row r="1132" ht="58" customHeight="1">
      <x:c r="A1132" s="30" t="str">
        <x:v>CL1128</x:v>
      </x:c>
      <x:c r="B1132" s="30" t="str">
        <x:v>Fit &amp; Motivation</x:v>
      </x:c>
      <x:c r="C1132" s="31" t="str">
        <x:v>Why do you specifically want to join in AM given that you've got lots of other internship experiences before</x:v>
      </x:c>
      <x:c r="D1132" s="32" t="n">
        <x:f>COUNTIF('All Questions'!$G$5:$G$1725,A1132)</x:f>
        <x:v>1</x:v>
      </x:c>
      <x:c r="E1132" s="11"/>
      <x:c r="F1132" s="12" t="str">
        <x:v>Not Started</x:v>
      </x:c>
      <x:c r="G1132" s="13"/>
      <x:c r="H1132" s="30" t="str">
        <x:f>IF(AND(E1132&lt;&gt;"",F1132="Ready"),"Yes","No")</x:f>
        <x:v>No</x:v>
      </x:c>
      <x:c r="I1132" s="11"/>
    </x:row>
    <x:row r="1133" ht="38" customHeight="1">
      <x:c r="A1133" s="30" t="str">
        <x:v>CL1129</x:v>
      </x:c>
      <x:c r="B1133" s="30" t="str">
        <x:v>Fit &amp; Motivation</x:v>
      </x:c>
      <x:c r="C1133" s="31" t="str">
        <x:v>Why do you think it is a resonable price</x:v>
      </x:c>
      <x:c r="D1133" s="32" t="n">
        <x:f>COUNTIF('All Questions'!$G$5:$G$1725,A1133)</x:f>
        <x:v>1</x:v>
      </x:c>
      <x:c r="E1133" s="11"/>
      <x:c r="F1133" s="12" t="str">
        <x:v>Not Started</x:v>
      </x:c>
      <x:c r="G1133" s="13"/>
      <x:c r="H1133" s="30" t="str">
        <x:f>IF(AND(E1133&lt;&gt;"",F1133="Ready"),"Yes","No")</x:f>
        <x:v>No</x:v>
      </x:c>
      <x:c r="I1133" s="11"/>
    </x:row>
    <x:row r="1134" ht="38" customHeight="1">
      <x:c r="A1134" s="30" t="str">
        <x:v>CL1130</x:v>
      </x:c>
      <x:c r="B1134" s="30" t="str">
        <x:v>Fit &amp; Motivation</x:v>
      </x:c>
      <x:c r="C1134" s="31" t="str">
        <x:v>Why do you think the company is undervalued</x:v>
      </x:c>
      <x:c r="D1134" s="32" t="n">
        <x:f>COUNTIF('All Questions'!$G$5:$G$1725,A1134)</x:f>
        <x:v>1</x:v>
      </x:c>
      <x:c r="E1134" s="11"/>
      <x:c r="F1134" s="12" t="str">
        <x:v>Not Started</x:v>
      </x:c>
      <x:c r="G1134" s="13"/>
      <x:c r="H1134" s="30" t="str">
        <x:f>IF(AND(E1134&lt;&gt;"",F1134="Ready"),"Yes","No")</x:f>
        <x:v>No</x:v>
      </x:c>
      <x:c r="I1134" s="11"/>
    </x:row>
    <x:row r="1135" ht="38" customHeight="1">
      <x:c r="A1135" s="30" t="str">
        <x:v>CL1131</x:v>
      </x:c>
      <x:c r="B1135" s="30" t="str">
        <x:v>Fit &amp; Motivation</x:v>
      </x:c>
      <x:c r="C1135" s="31" t="str">
        <x:v>Why do you think your previous exp will help you at Barclays</x:v>
      </x:c>
      <x:c r="D1135" s="32" t="n">
        <x:f>COUNTIF('All Questions'!$G$5:$G$1725,A1135)</x:f>
        <x:v>1</x:v>
      </x:c>
      <x:c r="E1135" s="11"/>
      <x:c r="F1135" s="12" t="str">
        <x:v>Not Started</x:v>
      </x:c>
      <x:c r="G1135" s="13"/>
      <x:c r="H1135" s="30" t="str">
        <x:f>IF(AND(E1135&lt;&gt;"",F1135="Ready"),"Yes","No")</x:f>
        <x:v>No</x:v>
      </x:c>
      <x:c r="I1135" s="11"/>
    </x:row>
    <x:row r="1136" ht="38" customHeight="1">
      <x:c r="A1136" s="30" t="str">
        <x:v>CL1132</x:v>
      </x:c>
      <x:c r="B1136" s="30" t="str">
        <x:v>Fit &amp; Motivation</x:v>
      </x:c>
      <x:c r="C1136" s="31" t="str">
        <x:v>Why doing college in Hong Kong</x:v>
      </x:c>
      <x:c r="D1136" s="32" t="n">
        <x:f>COUNTIF('All Questions'!$G$5:$G$1725,A1136)</x:f>
        <x:v>1</x:v>
      </x:c>
      <x:c r="E1136" s="11"/>
      <x:c r="F1136" s="12" t="str">
        <x:v>Not Started</x:v>
      </x:c>
      <x:c r="G1136" s="13"/>
      <x:c r="H1136" s="30" t="str">
        <x:f>IF(AND(E1136&lt;&gt;"",F1136="Ready"),"Yes","No")</x:f>
        <x:v>No</x:v>
      </x:c>
      <x:c r="I1136" s="11"/>
    </x:row>
    <x:row r="1137" ht="38" customHeight="1">
      <x:c r="A1137" s="30" t="str">
        <x:v>CL1133</x:v>
      </x:c>
      <x:c r="B1137" s="30" t="str">
        <x:v>Fit &amp; Motivation</x:v>
      </x:c>
      <x:c r="C1137" s="31" t="str">
        <x:v>Why don't you mention anything related to leverage in the proposal? What's your ideas</x:v>
      </x:c>
      <x:c r="D1137" s="32" t="n">
        <x:f>COUNTIF('All Questions'!$G$5:$G$1725,A1137)</x:f>
        <x:v>1</x:v>
      </x:c>
      <x:c r="E1137" s="11"/>
      <x:c r="F1137" s="12" t="str">
        <x:v>Not Started</x:v>
      </x:c>
      <x:c r="G1137" s="13"/>
      <x:c r="H1137" s="30" t="str">
        <x:f>IF(AND(E1137&lt;&gt;"",F1137="Ready"),"Yes","No")</x:f>
        <x:v>No</x:v>
      </x:c>
      <x:c r="I1137" s="11"/>
    </x:row>
    <x:row r="1138" ht="38" customHeight="1">
      <x:c r="A1138" s="30" t="str">
        <x:v>CL1134</x:v>
      </x:c>
      <x:c r="B1138" s="30" t="str">
        <x:v>Fit &amp; Motivation</x:v>
      </x:c>
      <x:c r="C1138" s="31" t="str">
        <x:v>Why HK</x:v>
      </x:c>
      <x:c r="D1138" s="32" t="n">
        <x:f>COUNTIF('All Questions'!$G$5:$G$1725,A1138)</x:f>
        <x:v>1</x:v>
      </x:c>
      <x:c r="E1138" s="11"/>
      <x:c r="F1138" s="12" t="str">
        <x:v>Not Started</x:v>
      </x:c>
      <x:c r="G1138" s="13"/>
      <x:c r="H1138" s="30" t="str">
        <x:f>IF(AND(E1138&lt;&gt;"",F1138="Ready"),"Yes","No")</x:f>
        <x:v>No</x:v>
      </x:c>
      <x:c r="I1138" s="11"/>
    </x:row>
    <x:row r="1139" ht="38" customHeight="1">
      <x:c r="A1139" s="30" t="str">
        <x:v>CL1135</x:v>
      </x:c>
      <x:c r="B1139" s="30" t="str">
        <x:v>Fit &amp; Motivation</x:v>
      </x:c>
      <x:c r="C1139" s="31" t="str">
        <x:v>Why HK (He knows I am from SH so specifically Why HK but not SH)</x:v>
      </x:c>
      <x:c r="D1139" s="32" t="n">
        <x:f>COUNTIF('All Questions'!$G$5:$G$1725,A1139)</x:f>
        <x:v>1</x:v>
      </x:c>
      <x:c r="E1139" s="11"/>
      <x:c r="F1139" s="12" t="str">
        <x:v>Not Started</x:v>
      </x:c>
      <x:c r="G1139" s="13"/>
      <x:c r="H1139" s="30" t="str">
        <x:f>IF(AND(E1139&lt;&gt;"",F1139="Ready"),"Yes","No")</x:f>
        <x:v>No</x:v>
      </x:c>
      <x:c r="I1139" s="11"/>
    </x:row>
    <x:row r="1140" ht="38" customHeight="1">
      <x:c r="A1140" s="30" t="str">
        <x:v>CL1136</x:v>
      </x:c>
      <x:c r="B1140" s="30" t="str">
        <x:v>Fit &amp; Motivation</x:v>
      </x:c>
      <x:c r="C1140" s="31" t="str">
        <x:v>Why hk not Yunnan</x:v>
      </x:c>
      <x:c r="D1140" s="32" t="n">
        <x:f>COUNTIF('All Questions'!$G$5:$G$1725,A1140)</x:f>
        <x:v>1</x:v>
      </x:c>
      <x:c r="E1140" s="11"/>
      <x:c r="F1140" s="12" t="str">
        <x:v>Not Started</x:v>
      </x:c>
      <x:c r="G1140" s="13"/>
      <x:c r="H1140" s="30" t="str">
        <x:f>IF(AND(E1140&lt;&gt;"",F1140="Ready"),"Yes","No")</x:f>
        <x:v>No</x:v>
      </x:c>
      <x:c r="I1140" s="11"/>
    </x:row>
    <x:row r="1141" ht="38" customHeight="1">
      <x:c r="A1141" s="30" t="str">
        <x:v>CL1137</x:v>
      </x:c>
      <x:c r="B1141" s="30" t="str">
        <x:v>Fit &amp; Motivation</x:v>
      </x:c>
      <x:c r="C1141" s="31" t="str">
        <x:v>Why HK, why MS, how do you see the market down the road</x:v>
      </x:c>
      <x:c r="D1141" s="32" t="n">
        <x:f>COUNTIF('All Questions'!$G$5:$G$1725,A1141)</x:f>
        <x:v>1</x:v>
      </x:c>
      <x:c r="E1141" s="11"/>
      <x:c r="F1141" s="12" t="str">
        <x:v>Not Started</x:v>
      </x:c>
      <x:c r="G1141" s="13"/>
      <x:c r="H1141" s="30" t="str">
        <x:f>IF(AND(E1141&lt;&gt;"",F1141="Ready"),"Yes","No")</x:f>
        <x:v>No</x:v>
      </x:c>
      <x:c r="I1141" s="11"/>
    </x:row>
    <x:row r="1142" ht="38" customHeight="1">
      <x:c r="A1142" s="30" t="str">
        <x:v>CL1138</x:v>
      </x:c>
      <x:c r="B1142" s="30" t="str">
        <x:v>Fit &amp; Motivation</x:v>
      </x:c>
      <x:c r="C1142" s="31" t="str">
        <x:v>Why Hong Kong</x:v>
      </x:c>
      <x:c r="D1142" s="32" t="n">
        <x:f>COUNTIF('All Questions'!$G$5:$G$1725,A1142)</x:f>
        <x:v>1</x:v>
      </x:c>
      <x:c r="E1142" s="11"/>
      <x:c r="F1142" s="12" t="str">
        <x:v>Not Started</x:v>
      </x:c>
      <x:c r="G1142" s="13"/>
      <x:c r="H1142" s="30" t="str">
        <x:f>IF(AND(E1142&lt;&gt;"",F1142="Ready"),"Yes","No")</x:f>
        <x:v>No</x:v>
      </x:c>
      <x:c r="I1142" s="11"/>
    </x:row>
    <x:row r="1143" ht="38" customHeight="1">
      <x:c r="A1143" s="30" t="str">
        <x:v>CL1139</x:v>
      </x:c>
      <x:c r="B1143" s="30" t="str">
        <x:v>Fit &amp; Motivation</x:v>
      </x:c>
      <x:c r="C1143" s="31" t="str">
        <x:v>Why i'm interested in GCM</x:v>
      </x:c>
      <x:c r="D1143" s="32" t="n">
        <x:f>COUNTIF('All Questions'!$G$5:$G$1725,A1143)</x:f>
        <x:v>1</x:v>
      </x:c>
      <x:c r="E1143" s="11"/>
      <x:c r="F1143" s="12" t="str">
        <x:v>Not Started</x:v>
      </x:c>
      <x:c r="G1143" s="13"/>
      <x:c r="H1143" s="30" t="str">
        <x:f>IF(AND(E1143&lt;&gt;"",F1143="Ready"),"Yes","No")</x:f>
        <x:v>No</x:v>
      </x:c>
      <x:c r="I1143" s="11"/>
    </x:row>
    <x:row r="1144" ht="38" customHeight="1">
      <x:c r="A1144" s="30" t="str">
        <x:v>CL1140</x:v>
      </x:c>
      <x:c r="B1144" s="30" t="str">
        <x:v>Fit &amp; Motivation</x:v>
      </x:c>
      <x:c r="C1144" s="31" t="str">
        <x:v>Why IB</x:v>
      </x:c>
      <x:c r="D1144" s="32" t="n">
        <x:f>COUNTIF('All Questions'!$G$5:$G$1725,A1144)</x:f>
        <x:v>1</x:v>
      </x:c>
      <x:c r="E1144" s="11"/>
      <x:c r="F1144" s="12" t="str">
        <x:v>Not Started</x:v>
      </x:c>
      <x:c r="G1144" s="13"/>
      <x:c r="H1144" s="30" t="str">
        <x:f>IF(AND(E1144&lt;&gt;"",F1144="Ready"),"Yes","No")</x:f>
        <x:v>No</x:v>
      </x:c>
      <x:c r="I1144" s="11"/>
    </x:row>
    <x:row r="1145" ht="38" customHeight="1">
      <x:c r="A1145" s="30" t="str">
        <x:v>CL1141</x:v>
      </x:c>
      <x:c r="B1145" s="30" t="str">
        <x:v>Fit &amp; Motivation</x:v>
      </x:c>
      <x:c r="C1145" s="31" t="str">
        <x:v>Why interested in debt</x:v>
      </x:c>
      <x:c r="D1145" s="32" t="n">
        <x:f>COUNTIF('All Questions'!$G$5:$G$1725,A1145)</x:f>
        <x:v>1</x:v>
      </x:c>
      <x:c r="E1145" s="11"/>
      <x:c r="F1145" s="12" t="str">
        <x:v>Not Started</x:v>
      </x:c>
      <x:c r="G1145" s="13"/>
      <x:c r="H1145" s="30" t="str">
        <x:f>IF(AND(E1145&lt;&gt;"",F1145="Ready"),"Yes","No")</x:f>
        <x:v>No</x:v>
      </x:c>
      <x:c r="I1145" s="11"/>
    </x:row>
    <x:row r="1146" ht="38" customHeight="1">
      <x:c r="A1146" s="30" t="str">
        <x:v>CL1142</x:v>
      </x:c>
      <x:c r="B1146" s="30" t="str">
        <x:v>Fit &amp; Motivation</x:v>
      </x:c>
      <x:c r="C1146" s="31" t="str">
        <x:v>Why interested in nomura and ibd</x:v>
      </x:c>
      <x:c r="D1146" s="32" t="n">
        <x:f>COUNTIF('All Questions'!$G$5:$G$1725,A1146)</x:f>
        <x:v>1</x:v>
      </x:c>
      <x:c r="E1146" s="11"/>
      <x:c r="F1146" s="12" t="str">
        <x:v>Not Started</x:v>
      </x:c>
      <x:c r="G1146" s="13"/>
      <x:c r="H1146" s="30" t="str">
        <x:f>IF(AND(E1146&lt;&gt;"",F1146="Ready"),"Yes","No")</x:f>
        <x:v>No</x:v>
      </x:c>
      <x:c r="I1146" s="11"/>
    </x:row>
    <x:row r="1147" ht="38" customHeight="1">
      <x:c r="A1147" s="30" t="str">
        <x:v>CL1143</x:v>
      </x:c>
      <x:c r="B1147" s="30" t="str">
        <x:v>Fit &amp; Motivation</x:v>
      </x:c>
      <x:c r="C1147" s="31" t="str">
        <x:v>Why is debt cheaper</x:v>
      </x:c>
      <x:c r="D1147" s="32" t="n">
        <x:f>COUNTIF('All Questions'!$G$5:$G$1725,A1147)</x:f>
        <x:v>1</x:v>
      </x:c>
      <x:c r="E1147" s="11"/>
      <x:c r="F1147" s="12" t="str">
        <x:v>Not Started</x:v>
      </x:c>
      <x:c r="G1147" s="13"/>
      <x:c r="H1147" s="30" t="str">
        <x:f>IF(AND(E1147&lt;&gt;"",F1147="Ready"),"Yes","No")</x:f>
        <x:v>No</x:v>
      </x:c>
      <x:c r="I1147" s="11"/>
    </x:row>
    <x:row r="1148" ht="38" customHeight="1">
      <x:c r="A1148" s="30" t="str">
        <x:v>CL1144</x:v>
      </x:c>
      <x:c r="B1148" s="30" t="str">
        <x:v>Fit &amp; Motivation</x:v>
      </x:c>
      <x:c r="C1148" s="31" t="str">
        <x:v>Why is gold safe heaven asset and what are assets can be considered safe heaven</x:v>
      </x:c>
      <x:c r="D1148" s="32" t="n">
        <x:f>COUNTIF('All Questions'!$G$5:$G$1725,A1148)</x:f>
        <x:v>1</x:v>
      </x:c>
      <x:c r="E1148" s="11"/>
      <x:c r="F1148" s="12" t="str">
        <x:v>Not Started</x:v>
      </x:c>
      <x:c r="G1148" s="13"/>
      <x:c r="H1148" s="30" t="str">
        <x:f>IF(AND(E1148&lt;&gt;"",F1148="Ready"),"Yes","No")</x:f>
        <x:v>No</x:v>
      </x:c>
      <x:c r="I1148" s="11"/>
    </x:row>
    <x:row r="1149" ht="38" customHeight="1">
      <x:c r="A1149" s="30" t="str">
        <x:v>CL1145</x:v>
      </x:c>
      <x:c r="B1149" s="30" t="str">
        <x:v>Fit &amp; Motivation</x:v>
      </x:c>
      <x:c r="C1149" s="31" t="str">
        <x:v>Why is it a good time for them, and why this opportunity</x:v>
      </x:c>
      <x:c r="D1149" s="32" t="n">
        <x:f>COUNTIF('All Questions'!$G$5:$G$1725,A1149)</x:f>
        <x:v>1</x:v>
      </x:c>
      <x:c r="E1149" s="11"/>
      <x:c r="F1149" s="12" t="str">
        <x:v>Not Started</x:v>
      </x:c>
      <x:c r="G1149" s="13"/>
      <x:c r="H1149" s="30" t="str">
        <x:f>IF(AND(E1149&lt;&gt;"",F1149="Ready"),"Yes","No")</x:f>
        <x:v>No</x:v>
      </x:c>
      <x:c r="I1149" s="11"/>
    </x:row>
    <x:row r="1150" ht="38" customHeight="1">
      <x:c r="A1150" s="30" t="str">
        <x:v>CL1146</x:v>
      </x:c>
      <x:c r="B1150" s="30" t="str">
        <x:v>Fit &amp; Motivation</x:v>
      </x:c>
      <x:c r="C1150" s="31" t="str">
        <x:v>Why is it cheaper than industry average</x:v>
      </x:c>
      <x:c r="D1150" s="32" t="n">
        <x:f>COUNTIF('All Questions'!$G$5:$G$1725,A1150)</x:f>
        <x:v>1</x:v>
      </x:c>
      <x:c r="E1150" s="11"/>
      <x:c r="F1150" s="12" t="str">
        <x:v>Not Started</x:v>
      </x:c>
      <x:c r="G1150" s="13"/>
      <x:c r="H1150" s="30" t="str">
        <x:f>IF(AND(E1150&lt;&gt;"",F1150="Ready"),"Yes","No")</x:f>
        <x:v>No</x:v>
      </x:c>
      <x:c r="I1150" s="11"/>
    </x:row>
    <x:row r="1151" ht="38" customHeight="1">
      <x:c r="A1151" s="30" t="str">
        <x:v>CL1147</x:v>
      </x:c>
      <x:c r="B1151" s="30" t="str">
        <x:v>Fit &amp; Motivation</x:v>
      </x:c>
      <x:c r="C1151" s="31" t="str">
        <x:v>Why is minority interest included</x:v>
      </x:c>
      <x:c r="D1151" s="32" t="n">
        <x:f>COUNTIF('All Questions'!$G$5:$G$1725,A1151)</x:f>
        <x:v>1</x:v>
      </x:c>
      <x:c r="E1151" s="11"/>
      <x:c r="F1151" s="12" t="str">
        <x:v>Not Started</x:v>
      </x:c>
      <x:c r="G1151" s="13"/>
      <x:c r="H1151" s="30" t="str">
        <x:f>IF(AND(E1151&lt;&gt;"",F1151="Ready"),"Yes","No")</x:f>
        <x:v>No</x:v>
      </x:c>
      <x:c r="I1151" s="11"/>
    </x:row>
    <x:row r="1152" ht="38" customHeight="1">
      <x:c r="A1152" s="30" t="str">
        <x:v>CL1148</x:v>
      </x:c>
      <x:c r="B1152" s="30" t="str">
        <x:v>Fit &amp; Motivation</x:v>
      </x:c>
      <x:c r="C1152" s="31" t="str">
        <x:v>Why is my top preference being m&amp;a and industry coverage</x:v>
      </x:c>
      <x:c r="D1152" s="32" t="n">
        <x:f>COUNTIF('All Questions'!$G$5:$G$1725,A1152)</x:f>
        <x:v>1</x:v>
      </x:c>
      <x:c r="E1152" s="11"/>
      <x:c r="F1152" s="12" t="str">
        <x:v>Not Started</x:v>
      </x:c>
      <x:c r="G1152" s="13"/>
      <x:c r="H1152" s="30" t="str">
        <x:f>IF(AND(E1152&lt;&gt;"",F1152="Ready"),"Yes","No")</x:f>
        <x:v>No</x:v>
      </x:c>
      <x:c r="I1152" s="11"/>
    </x:row>
    <x:row r="1153" ht="38" customHeight="1">
      <x:c r="A1153" s="30" t="str">
        <x:v>CL1149</x:v>
      </x:c>
      <x:c r="B1153" s="30" t="str">
        <x:v>Fit &amp; Motivation</x:v>
      </x:c>
      <x:c r="C1153" s="31" t="str">
        <x:v>Why is the brand's USP, revenue break</x:v>
      </x:c>
      <x:c r="D1153" s="32" t="n">
        <x:f>COUNTIF('All Questions'!$G$5:$G$1725,A1153)</x:f>
        <x:v>1</x:v>
      </x:c>
      <x:c r="E1153" s="11"/>
      <x:c r="F1153" s="12" t="str">
        <x:v>Not Started</x:v>
      </x:c>
      <x:c r="G1153" s="13"/>
      <x:c r="H1153" s="30" t="str">
        <x:f>IF(AND(E1153&lt;&gt;"",F1153="Ready"),"Yes","No")</x:f>
        <x:v>No</x:v>
      </x:c>
      <x:c r="I1153" s="11"/>
    </x:row>
    <x:row r="1154" ht="38" customHeight="1">
      <x:c r="A1154" s="30" t="str">
        <x:v>CL1150</x:v>
      </x:c>
      <x:c r="B1154" s="30" t="str">
        <x:v>Fit &amp; Motivation</x:v>
      </x:c>
      <x:c r="C1154" s="31" t="str">
        <x:v>Why M&amp;A for upstream companies, do you have any precedent transactions on it</x:v>
      </x:c>
      <x:c r="D1154" s="32" t="n">
        <x:f>COUNTIF('All Questions'!$G$5:$G$1725,A1154)</x:f>
        <x:v>1</x:v>
      </x:c>
      <x:c r="E1154" s="11"/>
      <x:c r="F1154" s="12" t="str">
        <x:v>Not Started</x:v>
      </x:c>
      <x:c r="G1154" s="13"/>
      <x:c r="H1154" s="30" t="str">
        <x:f>IF(AND(E1154&lt;&gt;"",F1154="Ready"),"Yes","No")</x:f>
        <x:v>No</x:v>
      </x:c>
      <x:c r="I1154" s="11"/>
    </x:row>
    <x:row r="1155" ht="38" customHeight="1">
      <x:c r="A1155" s="30" t="str">
        <x:v>CL1151</x:v>
      </x:c>
      <x:c r="B1155" s="30" t="str">
        <x:v>Fit &amp; Motivation</x:v>
      </x:c>
      <x:c r="C1155" s="31" t="str">
        <x:v>Why need to lever and unlever beta</x:v>
      </x:c>
      <x:c r="D1155" s="32" t="n">
        <x:f>COUNTIF('All Questions'!$G$5:$G$1725,A1155)</x:f>
        <x:v>1</x:v>
      </x:c>
      <x:c r="E1155" s="11"/>
      <x:c r="F1155" s="12" t="str">
        <x:v>Not Started</x:v>
      </x:c>
      <x:c r="G1155" s="13"/>
      <x:c r="H1155" s="30" t="str">
        <x:f>IF(AND(E1155&lt;&gt;"",F1155="Ready"),"Yes","No")</x:f>
        <x:v>No</x:v>
      </x:c>
      <x:c r="I1155" s="11"/>
    </x:row>
    <x:row r="1156" ht="38" customHeight="1">
      <x:c r="A1156" s="30" t="str">
        <x:v>CL1152</x:v>
      </x:c>
      <x:c r="B1156" s="30" t="str">
        <x:v>Fit &amp; Motivation</x:v>
      </x:c>
      <x:c r="C1156" s="31" t="str">
        <x:v>Why no return</x:v>
      </x:c>
      <x:c r="D1156" s="32" t="n">
        <x:f>COUNTIF('All Questions'!$G$5:$G$1725,A1156)</x:f>
        <x:v>1</x:v>
      </x:c>
      <x:c r="E1156" s="11"/>
      <x:c r="F1156" s="12" t="str">
        <x:v>Not Started</x:v>
      </x:c>
      <x:c r="G1156" s="13"/>
      <x:c r="H1156" s="30" t="str">
        <x:f>IF(AND(E1156&lt;&gt;"",F1156="Ready"),"Yes","No")</x:f>
        <x:v>No</x:v>
      </x:c>
      <x:c r="I1156" s="11"/>
    </x:row>
    <x:row r="1157" ht="38" customHeight="1">
      <x:c r="A1157" s="30" t="str">
        <x:v>CL1153</x:v>
      </x:c>
      <x:c r="B1157" s="30" t="str">
        <x:v>Fit &amp; Motivation</x:v>
      </x:c>
      <x:c r="C1157" s="31" t="str">
        <x:v>Why no return from UBS</x:v>
      </x:c>
      <x:c r="D1157" s="32" t="n">
        <x:f>COUNTIF('All Questions'!$G$5:$G$1725,A1157)</x:f>
        <x:v>1</x:v>
      </x:c>
      <x:c r="E1157" s="11"/>
      <x:c r="F1157" s="12" t="str">
        <x:v>Not Started</x:v>
      </x:c>
      <x:c r="G1157" s="13"/>
      <x:c r="H1157" s="30" t="str">
        <x:f>IF(AND(E1157&lt;&gt;"",F1157="Ready"),"Yes","No")</x:f>
        <x:v>No</x:v>
      </x:c>
      <x:c r="I1157" s="11"/>
    </x:row>
    <x:row r="1158" ht="38" customHeight="1">
      <x:c r="A1158" s="30" t="str">
        <x:v>CL1154</x:v>
      </x:c>
      <x:c r="B1158" s="30" t="str">
        <x:v>Fit &amp; Motivation</x:v>
      </x:c>
      <x:c r="C1158" s="31" t="str">
        <x:v>Why no return? Did you seek feedback from people you worked with</x:v>
      </x:c>
      <x:c r="D1158" s="32" t="n">
        <x:f>COUNTIF('All Questions'!$G$5:$G$1725,A1158)</x:f>
        <x:v>1</x:v>
      </x:c>
      <x:c r="E1158" s="11"/>
      <x:c r="F1158" s="12" t="str">
        <x:v>Not Started</x:v>
      </x:c>
      <x:c r="G1158" s="13"/>
      <x:c r="H1158" s="30" t="str">
        <x:f>IF(AND(E1158&lt;&gt;"",F1158="Ready"),"Yes","No")</x:f>
        <x:v>No</x:v>
      </x:c>
      <x:c r="I1158" s="11"/>
    </x:row>
    <x:row r="1159" ht="58" customHeight="1">
      <x:c r="A1159" s="30" t="str">
        <x:v>CL1155</x:v>
      </x:c>
      <x:c r="B1159" s="30" t="str">
        <x:v>Fit &amp; Motivation</x:v>
      </x:c>
      <x:c r="C1159" s="31" t="str">
        <x:v>Why no return? What was the feedback you got? What specific techncial skills you lack? What project was it</x:v>
      </x:c>
      <x:c r="D1159" s="32" t="n">
        <x:f>COUNTIF('All Questions'!$G$5:$G$1725,A1159)</x:f>
        <x:v>1</x:v>
      </x:c>
      <x:c r="E1159" s="11"/>
      <x:c r="F1159" s="12" t="str">
        <x:v>Not Started</x:v>
      </x:c>
      <x:c r="G1159" s="13"/>
      <x:c r="H1159" s="30" t="str">
        <x:f>IF(AND(E1159&lt;&gt;"",F1159="Ready"),"Yes","No")</x:f>
        <x:v>No</x:v>
      </x:c>
      <x:c r="I1159" s="11"/>
    </x:row>
    <x:row r="1160" ht="38" customHeight="1">
      <x:c r="A1160" s="30" t="str">
        <x:v>CL1156</x:v>
      </x:c>
      <x:c r="B1160" s="30" t="str">
        <x:v>Fit &amp; Motivation</x:v>
      </x:c>
      <x:c r="C1160" s="31" t="str">
        <x:v>Why not coporate but consulting</x:v>
      </x:c>
      <x:c r="D1160" s="32" t="n">
        <x:f>COUNTIF('All Questions'!$G$5:$G$1725,A1160)</x:f>
        <x:v>1</x:v>
      </x:c>
      <x:c r="E1160" s="11"/>
      <x:c r="F1160" s="12" t="str">
        <x:v>Not Started</x:v>
      </x:c>
      <x:c r="G1160" s="13"/>
      <x:c r="H1160" s="30" t="str">
        <x:f>IF(AND(E1160&lt;&gt;"",F1160="Ready"),"Yes","No")</x:f>
        <x:v>No</x:v>
      </x:c>
      <x:c r="I1160" s="11"/>
    </x:row>
    <x:row r="1161" ht="38" customHeight="1">
      <x:c r="A1161" s="30" t="str">
        <x:v>CL1157</x:v>
      </x:c>
      <x:c r="B1161" s="30" t="str">
        <x:v>Fit &amp; Motivation</x:v>
      </x:c>
      <x:c r="C1161" s="31" t="str">
        <x:v>Why not law but ibd</x:v>
      </x:c>
      <x:c r="D1161" s="32" t="n">
        <x:f>COUNTIF('All Questions'!$G$5:$G$1725,A1161)</x:f>
        <x:v>1</x:v>
      </x:c>
      <x:c r="E1161" s="11"/>
      <x:c r="F1161" s="12" t="str">
        <x:v>Not Started</x:v>
      </x:c>
      <x:c r="G1161" s="13"/>
      <x:c r="H1161" s="30" t="str">
        <x:f>IF(AND(E1161&lt;&gt;"",F1161="Ready"),"Yes","No")</x:f>
        <x:v>No</x:v>
      </x:c>
      <x:c r="I1161" s="11"/>
    </x:row>
    <x:row r="1162" ht="38" customHeight="1">
      <x:c r="A1162" s="30" t="str">
        <x:v>CL1158</x:v>
      </x:c>
      <x:c r="B1162" s="30" t="str">
        <x:v>Fit &amp; Motivation</x:v>
      </x:c>
      <x:c r="C1162" s="31" t="str">
        <x:v>⁠Why not PB, regulatory work or consulting since you did those internships before</x:v>
      </x:c>
      <x:c r="D1162" s="32" t="n">
        <x:f>COUNTIF('All Questions'!$G$5:$G$1725,A1162)</x:f>
        <x:v>1</x:v>
      </x:c>
      <x:c r="E1162" s="11"/>
      <x:c r="F1162" s="12" t="str">
        <x:v>Not Started</x:v>
      </x:c>
      <x:c r="G1162" s="13"/>
      <x:c r="H1162" s="30" t="str">
        <x:f>IF(AND(E1162&lt;&gt;"",F1162="Ready"),"Yes","No")</x:f>
        <x:v>No</x:v>
      </x:c>
      <x:c r="I1162" s="11"/>
    </x:row>
    <x:row r="1163" ht="38" customHeight="1">
      <x:c r="A1163" s="30" t="str">
        <x:v>CL1159</x:v>
      </x:c>
      <x:c r="B1163" s="30" t="str">
        <x:v>Fit &amp; Motivation</x:v>
      </x:c>
      <x:c r="C1163" s="31" t="str">
        <x:v>Why pitch Ctrip but not Meituan since they're all China consumption sector</x:v>
      </x:c>
      <x:c r="D1163" s="32" t="n">
        <x:f>COUNTIF('All Questions'!$G$5:$G$1725,A1163)</x:f>
        <x:v>1</x:v>
      </x:c>
      <x:c r="E1163" s="11"/>
      <x:c r="F1163" s="12" t="str">
        <x:v>Not Started</x:v>
      </x:c>
      <x:c r="G1163" s="13"/>
      <x:c r="H1163" s="30" t="str">
        <x:f>IF(AND(E1163&lt;&gt;"",F1163="Ready"),"Yes","No")</x:f>
        <x:v>No</x:v>
      </x:c>
      <x:c r="I1163" s="11"/>
    </x:row>
    <x:row r="1164" ht="38" customHeight="1">
      <x:c r="A1164" s="30" t="str">
        <x:v>CL1160</x:v>
      </x:c>
      <x:c r="B1164" s="30" t="str">
        <x:v>Fit &amp; Motivation</x:v>
      </x:c>
      <x:c r="C1164" s="31" t="str">
        <x:v>Why restructuring</x:v>
      </x:c>
      <x:c r="D1164" s="32" t="n">
        <x:f>COUNTIF('All Questions'!$G$5:$G$1725,A1164)</x:f>
        <x:v>1</x:v>
      </x:c>
      <x:c r="E1164" s="11"/>
      <x:c r="F1164" s="12" t="str">
        <x:v>Not Started</x:v>
      </x:c>
      <x:c r="G1164" s="13"/>
      <x:c r="H1164" s="30" t="str">
        <x:f>IF(AND(E1164&lt;&gt;"",F1164="Ready"),"Yes","No")</x:f>
        <x:v>No</x:v>
      </x:c>
      <x:c r="I1164" s="11"/>
    </x:row>
    <x:row r="1165" ht="38" customHeight="1">
      <x:c r="A1165" s="30" t="str">
        <x:v>CL1161</x:v>
      </x:c>
      <x:c r="B1165" s="30" t="str">
        <x:v>Fit &amp; Motivation</x:v>
      </x:c>
      <x:c r="C1165" s="31" t="str">
        <x:v>Why restructuring but not bulge bracket ibd</x:v>
      </x:c>
      <x:c r="D1165" s="32" t="n">
        <x:f>COUNTIF('All Questions'!$G$5:$G$1725,A1165)</x:f>
        <x:v>1</x:v>
      </x:c>
      <x:c r="E1165" s="11"/>
      <x:c r="F1165" s="12" t="str">
        <x:v>Not Started</x:v>
      </x:c>
      <x:c r="G1165" s="13"/>
      <x:c r="H1165" s="30" t="str">
        <x:f>IF(AND(E1165&lt;&gt;"",F1165="Ready"),"Yes","No")</x:f>
        <x:v>No</x:v>
      </x:c>
      <x:c r="I1165" s="11"/>
    </x:row>
    <x:row r="1166" ht="38" customHeight="1">
      <x:c r="A1166" s="30" t="str">
        <x:v>CL1162</x:v>
      </x:c>
      <x:c r="B1166" s="30" t="str">
        <x:v>Fit &amp; Motivation</x:v>
      </x:c>
      <x:c r="C1166" s="31" t="str">
        <x:v>Why restructuring? Are you sure you want to do this</x:v>
      </x:c>
      <x:c r="D1166" s="32" t="n">
        <x:f>COUNTIF('All Questions'!$G$5:$G$1725,A1166)</x:f>
        <x:v>1</x:v>
      </x:c>
      <x:c r="E1166" s="11"/>
      <x:c r="F1166" s="12" t="str">
        <x:v>Not Started</x:v>
      </x:c>
      <x:c r="G1166" s="13"/>
      <x:c r="H1166" s="30" t="str">
        <x:f>IF(AND(E1166&lt;&gt;"",F1166="Ready"),"Yes","No")</x:f>
        <x:v>No</x:v>
      </x:c>
      <x:c r="I1166" s="11"/>
    </x:row>
    <x:row r="1167" ht="38" customHeight="1">
      <x:c r="A1167" s="30" t="str">
        <x:v>CL1163</x:v>
      </x:c>
      <x:c r="B1167" s="30" t="str">
        <x:v>Fit &amp; Motivation</x:v>
      </x:c>
      <x:c r="C1167" s="31" t="str">
        <x:v>Why RM</x:v>
      </x:c>
      <x:c r="D1167" s="32" t="n">
        <x:f>COUNTIF('All Questions'!$G$5:$G$1725,A1167)</x:f>
        <x:v>1</x:v>
      </x:c>
      <x:c r="E1167" s="11"/>
      <x:c r="F1167" s="12" t="str">
        <x:v>Not Started</x:v>
      </x:c>
      <x:c r="G1167" s="13"/>
      <x:c r="H1167" s="30" t="str">
        <x:f>IF(AND(E1167&lt;&gt;"",F1167="Ready"),"Yes","No")</x:f>
        <x:v>No</x:v>
      </x:c>
      <x:c r="I1167" s="11"/>
    </x:row>
    <x:row r="1168" ht="38" customHeight="1">
      <x:c r="A1168" s="30" t="str">
        <x:v>CL1164</x:v>
      </x:c>
      <x:c r="B1168" s="30" t="str">
        <x:v>Fit &amp; Motivation</x:v>
      </x:c>
      <x:c r="C1168" s="31" t="str">
        <x:v>Why sell-side but not buy-side</x:v>
      </x:c>
      <x:c r="D1168" s="32" t="n">
        <x:f>COUNTIF('All Questions'!$G$5:$G$1725,A1168)</x:f>
        <x:v>1</x:v>
      </x:c>
      <x:c r="E1168" s="11"/>
      <x:c r="F1168" s="12" t="str">
        <x:v>Not Started</x:v>
      </x:c>
      <x:c r="G1168" s="13"/>
      <x:c r="H1168" s="30" t="str">
        <x:f>IF(AND(E1168&lt;&gt;"",F1168="Ready"),"Yes","No")</x:f>
        <x:v>No</x:v>
      </x:c>
      <x:c r="I1168" s="11"/>
    </x:row>
    <x:row r="1169" ht="38" customHeight="1">
      <x:c r="A1169" s="30" t="str">
        <x:v>CL1165</x:v>
      </x:c>
      <x:c r="B1169" s="30" t="str">
        <x:v>Fit &amp; Motivation</x:v>
      </x:c>
      <x:c r="C1169" s="31" t="str">
        <x:v>Why start your career in Hong Kong and not US/EU</x:v>
      </x:c>
      <x:c r="D1169" s="32" t="n">
        <x:f>COUNTIF('All Questions'!$G$5:$G$1725,A1169)</x:f>
        <x:v>1</x:v>
      </x:c>
      <x:c r="E1169" s="11"/>
      <x:c r="F1169" s="12" t="str">
        <x:v>Not Started</x:v>
      </x:c>
      <x:c r="G1169" s="13"/>
      <x:c r="H1169" s="30" t="str">
        <x:f>IF(AND(E1169&lt;&gt;"",F1169="Ready"),"Yes","No")</x:f>
        <x:v>No</x:v>
      </x:c>
      <x:c r="I1169" s="11"/>
    </x:row>
    <x:row r="1170" ht="38" customHeight="1">
      <x:c r="A1170" s="30" t="str">
        <x:v>CL1166</x:v>
      </x:c>
      <x:c r="B1170" s="30" t="str">
        <x:v>Fit &amp; Motivation</x:v>
      </x:c>
      <x:c r="C1170" s="31" t="str">
        <x:v>Why these multiples</x:v>
      </x:c>
      <x:c r="D1170" s="32" t="n">
        <x:f>COUNTIF('All Questions'!$G$5:$G$1725,A1170)</x:f>
        <x:v>1</x:v>
      </x:c>
      <x:c r="E1170" s="11"/>
      <x:c r="F1170" s="12" t="str">
        <x:v>Not Started</x:v>
      </x:c>
      <x:c r="G1170" s="13"/>
      <x:c r="H1170" s="30" t="str">
        <x:f>IF(AND(E1170&lt;&gt;"",F1170="Ready"),"Yes","No")</x:f>
        <x:v>No</x:v>
      </x:c>
      <x:c r="I1170" s="11"/>
    </x:row>
    <x:row r="1171" ht="38" customHeight="1">
      <x:c r="A1171" s="30" t="str">
        <x:v>CL1167</x:v>
      </x:c>
      <x:c r="B1171" s="30" t="str">
        <x:v>Fit &amp; Motivation</x:v>
      </x:c>
      <x:c r="C1171" s="31" t="str">
        <x:v>Why Trading roles</x:v>
      </x:c>
      <x:c r="D1171" s="32" t="n">
        <x:f>COUNTIF('All Questions'!$G$5:$G$1725,A1171)</x:f>
        <x:v>1</x:v>
      </x:c>
      <x:c r="E1171" s="11"/>
      <x:c r="F1171" s="12" t="str">
        <x:v>Not Started</x:v>
      </x:c>
      <x:c r="G1171" s="13"/>
      <x:c r="H1171" s="30" t="str">
        <x:f>IF(AND(E1171&lt;&gt;"",F1171="Ready"),"Yes","No")</x:f>
        <x:v>No</x:v>
      </x:c>
      <x:c r="I1171" s="11"/>
    </x:row>
    <x:row r="1172" ht="38" customHeight="1">
      <x:c r="A1172" s="30" t="str">
        <x:v>CL1168</x:v>
      </x:c>
      <x:c r="B1172" s="30" t="str">
        <x:v>Fit &amp; Motivation</x:v>
      </x:c>
      <x:c r="C1172" s="31" t="str">
        <x:v>Why use EV/EBITDA</x:v>
      </x:c>
      <x:c r="D1172" s="32" t="n">
        <x:f>COUNTIF('All Questions'!$G$5:$G$1725,A1172)</x:f>
        <x:v>1</x:v>
      </x:c>
      <x:c r="E1172" s="11"/>
      <x:c r="F1172" s="12" t="str">
        <x:v>Not Started</x:v>
      </x:c>
      <x:c r="G1172" s="13"/>
      <x:c r="H1172" s="30" t="str">
        <x:f>IF(AND(E1172&lt;&gt;"",F1172="Ready"),"Yes","No")</x:f>
        <x:v>No</x:v>
      </x:c>
      <x:c r="I1172" s="11"/>
    </x:row>
    <x:row r="1173" ht="38" customHeight="1">
      <x:c r="A1173" s="30" t="str">
        <x:v>CL1169</x:v>
      </x:c>
      <x:c r="B1173" s="30" t="str">
        <x:v>Fit &amp; Motivation</x:v>
      </x:c>
      <x:c r="C1173" s="31" t="str">
        <x:v>Why use EV/EBITDA as the exit multiple metrics and trading comparables</x:v>
      </x:c>
      <x:c r="D1173" s="32" t="n">
        <x:f>COUNTIF('All Questions'!$G$5:$G$1725,A1173)</x:f>
        <x:v>1</x:v>
      </x:c>
      <x:c r="E1173" s="11"/>
      <x:c r="F1173" s="12" t="str">
        <x:v>Not Started</x:v>
      </x:c>
      <x:c r="G1173" s="13"/>
      <x:c r="H1173" s="30" t="str">
        <x:f>IF(AND(E1173&lt;&gt;"",F1173="Ready"),"Yes","No")</x:f>
        <x:v>No</x:v>
      </x:c>
      <x:c r="I1173" s="11"/>
    </x:row>
    <x:row r="1174" ht="38" customHeight="1">
      <x:c r="A1174" s="30" t="str">
        <x:v>CL1170</x:v>
      </x:c>
      <x:c r="B1174" s="30" t="str">
        <x:v>Fit &amp; Motivation</x:v>
      </x:c>
      <x:c r="C1174" s="31" t="str">
        <x:v>Why use EV/EBITDA instead of PE multiple? (he was looking for NI vs EBITDA reasoning)</x:v>
      </x:c>
      <x:c r="D1174" s="32" t="n">
        <x:f>COUNTIF('All Questions'!$G$5:$G$1725,A1174)</x:f>
        <x:v>1</x:v>
      </x:c>
      <x:c r="E1174" s="11"/>
      <x:c r="F1174" s="12" t="str">
        <x:v>Not Started</x:v>
      </x:c>
      <x:c r="G1174" s="13"/>
      <x:c r="H1174" s="30" t="str">
        <x:f>IF(AND(E1174&lt;&gt;"",F1174="Ready"),"Yes","No")</x:f>
        <x:v>No</x:v>
      </x:c>
      <x:c r="I1174" s="11"/>
    </x:row>
    <x:row r="1175" ht="38" customHeight="1">
      <x:c r="A1175" s="30" t="str">
        <x:v>CL1171</x:v>
      </x:c>
      <x:c r="B1175" s="30" t="str">
        <x:v>Fit &amp; Motivation</x:v>
      </x:c>
      <x:c r="C1175" s="31" t="str">
        <x:v>Why use the EV/Rev not EBITDA</x:v>
      </x:c>
      <x:c r="D1175" s="32" t="n">
        <x:f>COUNTIF('All Questions'!$G$5:$G$1725,A1175)</x:f>
        <x:v>1</x:v>
      </x:c>
      <x:c r="E1175" s="11"/>
      <x:c r="F1175" s="12" t="str">
        <x:v>Not Started</x:v>
      </x:c>
      <x:c r="G1175" s="13"/>
      <x:c r="H1175" s="30" t="str">
        <x:f>IF(AND(E1175&lt;&gt;"",F1175="Ready"),"Yes","No")</x:f>
        <x:v>No</x:v>
      </x:c>
      <x:c r="I1175" s="11"/>
    </x:row>
    <x:row r="1176" ht="38" customHeight="1">
      <x:c r="A1176" s="30" t="str">
        <x:v>CL1172</x:v>
      </x:c>
      <x:c r="B1176" s="30" t="str">
        <x:v>Fit &amp; Motivation</x:v>
      </x:c>
      <x:c r="C1176" s="31" t="str">
        <x:v>Why use this competition to know more about ESG</x:v>
      </x:c>
      <x:c r="D1176" s="32" t="n">
        <x:f>COUNTIF('All Questions'!$G$5:$G$1725,A1176)</x:f>
        <x:v>1</x:v>
      </x:c>
      <x:c r="E1176" s="11"/>
      <x:c r="F1176" s="12" t="str">
        <x:v>Not Started</x:v>
      </x:c>
      <x:c r="G1176" s="13"/>
      <x:c r="H1176" s="30" t="str">
        <x:f>IF(AND(E1176&lt;&gt;"",F1176="Ready"),"Yes","No")</x:f>
        <x:v>No</x:v>
      </x:c>
      <x:c r="I1176" s="11"/>
    </x:row>
    <x:row r="1177" ht="38" customHeight="1">
      <x:c r="A1177" s="30" t="str">
        <x:v>CL1173</x:v>
      </x:c>
      <x:c r="B1177" s="30" t="str">
        <x:v>Fit &amp; Motivation</x:v>
      </x:c>
      <x:c r="C1177" s="31" t="str">
        <x:v>Why want to work here</x:v>
      </x:c>
      <x:c r="D1177" s="32" t="n">
        <x:f>COUNTIF('All Questions'!$G$5:$G$1725,A1177)</x:f>
        <x:v>1</x:v>
      </x:c>
      <x:c r="E1177" s="11"/>
      <x:c r="F1177" s="12" t="str">
        <x:v>Not Started</x:v>
      </x:c>
      <x:c r="G1177" s="13"/>
      <x:c r="H1177" s="30" t="str">
        <x:f>IF(AND(E1177&lt;&gt;"",F1177="Ready"),"Yes","No")</x:f>
        <x:v>No</x:v>
      </x:c>
      <x:c r="I1177" s="11"/>
    </x:row>
    <x:row r="1178" ht="38" customHeight="1">
      <x:c r="A1178" s="30" t="str">
        <x:v>CL1174</x:v>
      </x:c>
      <x:c r="B1178" s="30" t="str">
        <x:v>Fit &amp; Motivation</x:v>
      </x:c>
      <x:c r="C1178" s="31" t="str">
        <x:v>Why we can use book value since book value differs a lot from market value</x:v>
      </x:c>
      <x:c r="D1178" s="32" t="n">
        <x:f>COUNTIF('All Questions'!$G$5:$G$1725,A1178)</x:f>
        <x:v>1</x:v>
      </x:c>
      <x:c r="E1178" s="11"/>
      <x:c r="F1178" s="12" t="str">
        <x:v>Not Started</x:v>
      </x:c>
      <x:c r="G1178" s="13"/>
      <x:c r="H1178" s="30" t="str">
        <x:f>IF(AND(E1178&lt;&gt;"",F1178="Ready"),"Yes","No")</x:f>
        <x:v>No</x:v>
      </x:c>
      <x:c r="I1178" s="11"/>
    </x:row>
    <x:row r="1179" ht="38" customHeight="1">
      <x:c r="A1179" s="30" t="str">
        <x:v>CL1175</x:v>
      </x:c>
      <x:c r="B1179" s="30" t="str">
        <x:v>Fit &amp; Motivation</x:v>
      </x:c>
      <x:c r="C1179" s="31" t="str">
        <x:v>Why would a company do M&amp;A from a strategic/financial aspect</x:v>
      </x:c>
      <x:c r="D1179" s="32" t="n">
        <x:f>COUNTIF('All Questions'!$G$5:$G$1725,A1179)</x:f>
        <x:v>1</x:v>
      </x:c>
      <x:c r="E1179" s="11"/>
      <x:c r="F1179" s="12" t="str">
        <x:v>Not Started</x:v>
      </x:c>
      <x:c r="G1179" s="13"/>
      <x:c r="H1179" s="30" t="str">
        <x:f>IF(AND(E1179&lt;&gt;"",F1179="Ready"),"Yes","No")</x:f>
        <x:v>No</x:v>
      </x:c>
      <x:c r="I1179" s="11"/>
    </x:row>
    <x:row r="1180" ht="58" customHeight="1">
      <x:c r="A1180" s="30" t="str">
        <x:v>CL1176</x:v>
      </x:c>
      <x:c r="B1180" s="30" t="str">
        <x:v>Fit &amp; Motivation</x:v>
      </x:c>
      <x:c r="C1180" s="31" t="str">
        <x:v>Why would a company take on more leverage in a buyout, how does its affect cash flows, IRR, MOIC</x:v>
      </x:c>
      <x:c r="D1180" s="32" t="n">
        <x:f>COUNTIF('All Questions'!$G$5:$G$1725,A1180)</x:f>
        <x:v>1</x:v>
      </x:c>
      <x:c r="E1180" s="11"/>
      <x:c r="F1180" s="12" t="str">
        <x:v>Not Started</x:v>
      </x:c>
      <x:c r="G1180" s="13"/>
      <x:c r="H1180" s="30" t="str">
        <x:f>IF(AND(E1180&lt;&gt;"",F1180="Ready"),"Yes","No")</x:f>
        <x:v>No</x:v>
      </x:c>
      <x:c r="I1180" s="11"/>
    </x:row>
    <x:row r="1181" ht="38" customHeight="1">
      <x:c r="A1181" s="30" t="str">
        <x:v>CL1177</x:v>
      </x:c>
      <x:c r="B1181" s="30" t="str">
        <x:v>Fit &amp; Motivation</x:v>
      </x:c>
      <x:c r="C1181" s="31" t="str">
        <x:v>Why would people like to do an LBO</x:v>
      </x:c>
      <x:c r="D1181" s="32" t="n">
        <x:f>COUNTIF('All Questions'!$G$5:$G$1725,A1181)</x:f>
        <x:v>1</x:v>
      </x:c>
      <x:c r="E1181" s="11"/>
      <x:c r="F1181" s="12" t="str">
        <x:v>Not Started</x:v>
      </x:c>
      <x:c r="G1181" s="13"/>
      <x:c r="H1181" s="30" t="str">
        <x:f>IF(AND(E1181&lt;&gt;"",F1181="Ready"),"Yes","No")</x:f>
        <x:v>No</x:v>
      </x:c>
      <x:c r="I1181" s="11"/>
    </x:row>
    <x:row r="1182" ht="58" customHeight="1">
      <x:c r="A1182" s="30" t="str">
        <x:v>CL1178</x:v>
      </x:c>
      <x:c r="B1182" s="30" t="str">
        <x:v>Fit &amp; Motivation</x:v>
      </x:c>
      <x:c r="C1182" s="31" t="str">
        <x:v>Why would you include country risk? Doesn't risk free rate include it already? (fk me why did I say that)</x:v>
      </x:c>
      <x:c r="D1182" s="32" t="n">
        <x:f>COUNTIF('All Questions'!$G$5:$G$1725,A1182)</x:f>
        <x:v>1</x:v>
      </x:c>
      <x:c r="E1182" s="11"/>
      <x:c r="F1182" s="12" t="str">
        <x:v>Not Started</x:v>
      </x:c>
      <x:c r="G1182" s="13"/>
      <x:c r="H1182" s="30" t="str">
        <x:f>IF(AND(E1182&lt;&gt;"",F1182="Ready"),"Yes","No")</x:f>
        <x:v>No</x:v>
      </x:c>
      <x:c r="I1182" s="11"/>
    </x:row>
    <x:row r="1183" ht="38" customHeight="1">
      <x:c r="A1183" s="30" t="str">
        <x:v>CL1179</x:v>
      </x:c>
      <x:c r="B1183" s="30" t="str">
        <x:v>Fit &amp; Motivation</x:v>
      </x:c>
      <x:c r="C1183" s="31" t="str">
        <x:v>Why you</x:v>
      </x:c>
      <x:c r="D1183" s="32" t="n">
        <x:f>COUNTIF('All Questions'!$G$5:$G$1725,A1183)</x:f>
        <x:v>1</x:v>
      </x:c>
      <x:c r="E1183" s="11"/>
      <x:c r="F1183" s="12" t="str">
        <x:v>Not Started</x:v>
      </x:c>
      <x:c r="G1183" s="13"/>
      <x:c r="H1183" s="30" t="str">
        <x:f>IF(AND(E1183&lt;&gt;"",F1183="Ready"),"Yes","No")</x:f>
        <x:v>No</x:v>
      </x:c>
      <x:c r="I1183" s="11"/>
    </x:row>
    <x:row r="1184" ht="38" customHeight="1">
      <x:c r="A1184" s="30" t="str">
        <x:v>CL1180</x:v>
      </x:c>
      <x:c r="B1184" s="30" t="str">
        <x:v>Fit &amp; Motivation</x:v>
      </x:c>
      <x:c r="C1184" s="31" t="str">
        <x:v>Why you choose healthcare team</x:v>
      </x:c>
      <x:c r="D1184" s="32" t="n">
        <x:f>COUNTIF('All Questions'!$G$5:$G$1725,A1184)</x:f>
        <x:v>1</x:v>
      </x:c>
      <x:c r="E1184" s="11"/>
      <x:c r="F1184" s="12" t="str">
        <x:v>Not Started</x:v>
      </x:c>
      <x:c r="G1184" s="13"/>
      <x:c r="H1184" s="30" t="str">
        <x:f>IF(AND(E1184&lt;&gt;"",F1184="Ready"),"Yes","No")</x:f>
        <x:v>No</x:v>
      </x:c>
      <x:c r="I1184" s="11"/>
    </x:row>
    <x:row r="1185" ht="58" customHeight="1">
      <x:c r="A1185" s="30" t="str">
        <x:v>CL1181</x:v>
      </x:c>
      <x:c r="B1185" s="30" t="str">
        <x:v>Fit &amp; Motivation</x:v>
      </x:c>
      <x:c r="C1185" s="31" t="str">
        <x:v>Why you picked these competitors? One of these competitor main business isn't just B2B, why choose? Did you adjust EBITDA for that</x:v>
      </x:c>
      <x:c r="D1185" s="32" t="n">
        <x:f>COUNTIF('All Questions'!$G$5:$G$1725,A1185)</x:f>
        <x:v>1</x:v>
      </x:c>
      <x:c r="E1185" s="11"/>
      <x:c r="F1185" s="12" t="str">
        <x:v>Not Started</x:v>
      </x:c>
      <x:c r="G1185" s="13"/>
      <x:c r="H1185" s="30" t="str">
        <x:f>IF(AND(E1185&lt;&gt;"",F1185="Ready"),"Yes","No")</x:f>
        <x:v>No</x:v>
      </x:c>
      <x:c r="I1185" s="11"/>
    </x:row>
    <x:row r="1186" ht="38" customHeight="1">
      <x:c r="A1186" s="30" t="str">
        <x:v>CL1182</x:v>
      </x:c>
      <x:c r="B1186" s="30" t="str">
        <x:v>Markets &amp; Macro</x:v>
      </x:c>
      <x:c r="C1186" s="31" t="str">
        <x:v>Will Fed look at nonfarm payroll data vs unemployment rate to decide for interest rate</x:v>
      </x:c>
      <x:c r="D1186" s="32" t="n">
        <x:f>COUNTIF('All Questions'!$G$5:$G$1725,A1186)</x:f>
        <x:v>1</x:v>
      </x:c>
      <x:c r="E1186" s="11"/>
      <x:c r="F1186" s="12" t="str">
        <x:v>Not Started</x:v>
      </x:c>
      <x:c r="G1186" s="13"/>
      <x:c r="H1186" s="30" t="str">
        <x:f>IF(AND(E1186&lt;&gt;"",F1186="Ready"),"Yes","No")</x:f>
        <x:v>No</x:v>
      </x:c>
      <x:c r="I1186" s="11"/>
    </x:row>
    <x:row r="1187" ht="38" customHeight="1">
      <x:c r="A1187" s="30" t="str">
        <x:v>CL1183</x:v>
      </x:c>
      <x:c r="B1187" s="30" t="str">
        <x:v>Other Question</x:v>
      </x:c>
      <x:c r="C1187" s="31" t="str">
        <x:v>Will Weng 12/9</x:v>
      </x:c>
      <x:c r="D1187" s="32" t="n">
        <x:f>COUNTIF('All Questions'!$G$5:$G$1725,A1187)</x:f>
        <x:v>1</x:v>
      </x:c>
      <x:c r="E1187" s="11"/>
      <x:c r="F1187" s="12" t="str">
        <x:v>Not Started</x:v>
      </x:c>
      <x:c r="G1187" s="13"/>
      <x:c r="H1187" s="30" t="str">
        <x:f>IF(AND(E1187&lt;&gt;"",F1187="Ready"),"Yes","No")</x:f>
        <x:v>No</x:v>
      </x:c>
      <x:c r="I1187" s="11"/>
    </x:row>
    <x:row r="1188" ht="38" customHeight="1">
      <x:c r="A1188" s="30" t="str">
        <x:v>CL1184</x:v>
      </x:c>
      <x:c r="B1188" s="30" t="str">
        <x:v>Other Question</x:v>
      </x:c>
      <x:c r="C1188" s="31" t="str">
        <x:v>Will you use 5y or other terms rate</x:v>
      </x:c>
      <x:c r="D1188" s="32" t="n">
        <x:f>COUNTIF('All Questions'!$G$5:$G$1725,A1188)</x:f>
        <x:v>1</x:v>
      </x:c>
      <x:c r="E1188" s="11"/>
      <x:c r="F1188" s="12" t="str">
        <x:v>Not Started</x:v>
      </x:c>
      <x:c r="G1188" s="13"/>
      <x:c r="H1188" s="30" t="str">
        <x:f>IF(AND(E1188&lt;&gt;"",F1188="Ready"),"Yes","No")</x:f>
        <x:v>No</x:v>
      </x:c>
      <x:c r="I1188" s="11"/>
    </x:row>
    <x:row r="1189" ht="38" customHeight="1">
      <x:c r="A1189" s="30" t="str">
        <x:v>CL1185</x:v>
      </x:c>
      <x:c r="B1189" s="30" t="str">
        <x:v>Capital Markets &amp; Financing</x:v>
      </x:c>
      <x:c r="C1189" s="31" t="str">
        <x:v>With Benson from International Syndicated team</x:v>
      </x:c>
      <x:c r="D1189" s="32" t="n">
        <x:f>COUNTIF('All Questions'!$G$5:$G$1725,A1189)</x:f>
        <x:v>1</x:v>
      </x:c>
      <x:c r="E1189" s="11"/>
      <x:c r="F1189" s="12" t="str">
        <x:v>Not Started</x:v>
      </x:c>
      <x:c r="G1189" s="13"/>
      <x:c r="H1189" s="30" t="str">
        <x:f>IF(AND(E1189&lt;&gt;"",F1189="Ready"),"Yes","No")</x:f>
        <x:v>No</x:v>
      </x:c>
      <x:c r="I1189" s="11"/>
    </x:row>
    <x:row r="1190" ht="38" customHeight="1">
      <x:c r="A1190" s="30" t="str">
        <x:v>CL1186</x:v>
      </x:c>
      <x:c r="B1190" s="30" t="str">
        <x:v>Behavioral &amp; Situational</x:v>
      </x:c>
      <x:c r="C1190" s="31" t="str">
        <x:v>With Cathy Burbridge, from PT Team, Asso</x:v>
      </x:c>
      <x:c r="D1190" s="32" t="n">
        <x:f>COUNTIF('All Questions'!$G$5:$G$1725,A1190)</x:f>
        <x:v>1</x:v>
      </x:c>
      <x:c r="E1190" s="11"/>
      <x:c r="F1190" s="12" t="str">
        <x:v>Not Started</x:v>
      </x:c>
      <x:c r="G1190" s="13"/>
      <x:c r="H1190" s="30" t="str">
        <x:f>IF(AND(E1190&lt;&gt;"",F1190="Ready"),"Yes","No")</x:f>
        <x:v>No</x:v>
      </x:c>
      <x:c r="I1190" s="11"/>
    </x:row>
    <x:row r="1191" ht="38" customHeight="1">
      <x:c r="A1191" s="30" t="str">
        <x:v>CL1187</x:v>
      </x:c>
      <x:c r="B1191" s="30" t="str">
        <x:v>Capital Markets &amp; Financing</x:v>
      </x:c>
      <x:c r="C1191" s="31" t="str">
        <x:v>With Para Zhao, Leveraged Finance, VP/D</x:v>
      </x:c>
      <x:c r="D1191" s="32" t="n">
        <x:f>COUNTIF('All Questions'!$G$5:$G$1725,A1191)</x:f>
        <x:v>1</x:v>
      </x:c>
      <x:c r="E1191" s="11"/>
      <x:c r="F1191" s="12" t="str">
        <x:v>Not Started</x:v>
      </x:c>
      <x:c r="G1191" s="13"/>
      <x:c r="H1191" s="30" t="str">
        <x:f>IF(AND(E1191&lt;&gt;"",F1191="Ready"),"Yes","No")</x:f>
        <x:v>No</x:v>
      </x:c>
      <x:c r="I1191" s="11"/>
    </x:row>
    <x:row r="1192" ht="38" customHeight="1">
      <x:c r="A1192" s="30" t="str">
        <x:v>CL1188</x:v>
      </x:c>
      <x:c r="B1192" s="30" t="str">
        <x:v>Other Question</x:v>
      </x:c>
      <x:c r="C1192" s="31" t="str">
        <x:v>Within the advisor, do you want to be banker or investor</x:v>
      </x:c>
      <x:c r="D1192" s="32" t="n">
        <x:f>COUNTIF('All Questions'!$G$5:$G$1725,A1192)</x:f>
        <x:v>1</x:v>
      </x:c>
      <x:c r="E1192" s="11"/>
      <x:c r="F1192" s="12" t="str">
        <x:v>Not Started</x:v>
      </x:c>
      <x:c r="G1192" s="13"/>
      <x:c r="H1192" s="30" t="str">
        <x:f>IF(AND(E1192&lt;&gt;"",F1192="Ready"),"Yes","No")</x:f>
        <x:v>No</x:v>
      </x:c>
      <x:c r="I1192" s="11"/>
    </x:row>
    <x:row r="1193" ht="38" customHeight="1">
      <x:c r="A1193" s="30" t="str">
        <x:v>CL1189</x:v>
      </x:c>
      <x:c r="B1193" s="30" t="str">
        <x:v>Accounting &amp; Financial Statements</x:v>
      </x:c>
      <x:c r="C1193" s="31" t="str">
        <x:v>Working capital condition and CCC</x:v>
      </x:c>
      <x:c r="D1193" s="32" t="n">
        <x:f>COUNTIF('All Questions'!$G$5:$G$1725,A1193)</x:f>
        <x:v>1</x:v>
      </x:c>
      <x:c r="E1193" s="11"/>
      <x:c r="F1193" s="12" t="str">
        <x:v>Not Started</x:v>
      </x:c>
      <x:c r="G1193" s="13"/>
      <x:c r="H1193" s="30" t="str">
        <x:f>IF(AND(E1193&lt;&gt;"",F1193="Ready"),"Yes","No")</x:f>
        <x:v>No</x:v>
      </x:c>
      <x:c r="I1193" s="11"/>
    </x:row>
    <x:row r="1194" ht="38" customHeight="1">
      <x:c r="A1194" s="30" t="str">
        <x:v>CL1190</x:v>
      </x:c>
      <x:c r="B1194" s="30" t="str">
        <x:v>Other Question</x:v>
      </x:c>
      <x:c r="C1194" s="31" t="str">
        <x:v>Workplace scenario Q?? dont remember if she did</x:v>
      </x:c>
      <x:c r="D1194" s="32" t="n">
        <x:f>COUNTIF('All Questions'!$G$5:$G$1725,A1194)</x:f>
        <x:v>1</x:v>
      </x:c>
      <x:c r="E1194" s="11"/>
      <x:c r="F1194" s="12" t="str">
        <x:v>Not Started</x:v>
      </x:c>
      <x:c r="G1194" s="13"/>
      <x:c r="H1194" s="30" t="str">
        <x:f>IF(AND(E1194&lt;&gt;"",F1194="Ready"),"Yes","No")</x:f>
        <x:v>No</x:v>
      </x:c>
      <x:c r="I1194" s="11"/>
    </x:row>
    <x:row r="1195" ht="58" customHeight="1">
      <x:c r="A1195" s="30" t="str">
        <x:v>CL1191</x:v>
      </x:c>
      <x:c r="B1195" s="30" t="str">
        <x:v>Other Question</x:v>
      </x:c>
      <x:c r="C1195" s="31" t="str">
        <x:v>Workplace scenario: you're currently working on one task, your manager asks you to help another, what will you do</x:v>
      </x:c>
      <x:c r="D1195" s="32" t="n">
        <x:f>COUNTIF('All Questions'!$G$5:$G$1725,A1195)</x:f>
        <x:v>1</x:v>
      </x:c>
      <x:c r="E1195" s="11"/>
      <x:c r="F1195" s="12" t="str">
        <x:v>Not Started</x:v>
      </x:c>
      <x:c r="G1195" s="13"/>
      <x:c r="H1195" s="30" t="str">
        <x:f>IF(AND(E1195&lt;&gt;"",F1195="Ready"),"Yes","No")</x:f>
        <x:v>No</x:v>
      </x:c>
      <x:c r="I1195" s="11"/>
    </x:row>
    <x:row r="1196" ht="38" customHeight="1">
      <x:c r="A1196" s="30" t="str">
        <x:v>CL1192</x:v>
      </x:c>
      <x:c r="B1196" s="30" t="str">
        <x:v>Other Question</x:v>
      </x:c>
      <x:c r="C1196" s="31" t="str">
        <x:v>Would lendor look at upside case</x:v>
      </x:c>
      <x:c r="D1196" s="32" t="n">
        <x:f>COUNTIF('All Questions'!$G$5:$G$1725,A1196)</x:f>
        <x:v>1</x:v>
      </x:c>
      <x:c r="E1196" s="11"/>
      <x:c r="F1196" s="12" t="str">
        <x:v>Not Started</x:v>
      </x:c>
      <x:c r="G1196" s="13"/>
      <x:c r="H1196" s="30" t="str">
        <x:f>IF(AND(E1196&lt;&gt;"",F1196="Ready"),"Yes","No")</x:f>
        <x:v>No</x:v>
      </x:c>
      <x:c r="I1196" s="11"/>
    </x:row>
    <x:row r="1197" ht="38" customHeight="1">
      <x:c r="A1197" s="30" t="str">
        <x:v>CL1193</x:v>
      </x:c>
      <x:c r="B1197" s="30" t="str">
        <x:v>Other Question</x:v>
      </x:c>
      <x:c r="C1197" s="31" t="str">
        <x:v>Would u consider urself as a risk taker</x:v>
      </x:c>
      <x:c r="D1197" s="32" t="n">
        <x:f>COUNTIF('All Questions'!$G$5:$G$1725,A1197)</x:f>
        <x:v>1</x:v>
      </x:c>
      <x:c r="E1197" s="11"/>
      <x:c r="F1197" s="12" t="str">
        <x:v>Not Started</x:v>
      </x:c>
      <x:c r="G1197" s="13"/>
      <x:c r="H1197" s="30" t="str">
        <x:f>IF(AND(E1197&lt;&gt;"",F1197="Ready"),"Yes","No")</x:f>
        <x:v>No</x:v>
      </x:c>
      <x:c r="I1197" s="11"/>
    </x:row>
    <x:row r="1198" ht="38" customHeight="1">
      <x:c r="A1198" s="30" t="str">
        <x:v>CL1194</x:v>
      </x:c>
      <x:c r="B1198" s="30" t="str">
        <x:v>Other Question</x:v>
      </x:c>
      <x:c r="C1198" s="31" t="str">
        <x:v>Would you advise the 2nd Gen Clients to buy crypto/digital assets</x:v>
      </x:c>
      <x:c r="D1198" s="32" t="n">
        <x:f>COUNTIF('All Questions'!$G$5:$G$1725,A1198)</x:f>
        <x:v>1</x:v>
      </x:c>
      <x:c r="E1198" s="11"/>
      <x:c r="F1198" s="12" t="str">
        <x:v>Not Started</x:v>
      </x:c>
      <x:c r="G1198" s="13"/>
      <x:c r="H1198" s="30" t="str">
        <x:f>IF(AND(E1198&lt;&gt;"",F1198="Ready"),"Yes","No")</x:f>
        <x:v>No</x:v>
      </x:c>
      <x:c r="I1198" s="11"/>
    </x:row>
    <x:row r="1199" ht="38" customHeight="1">
      <x:c r="A1199" s="30" t="str">
        <x:v>CL1195</x:v>
      </x:c>
      <x:c r="B1199" s="30" t="str">
        <x:v>Accounting &amp; Financial Statements</x:v>
      </x:c>
      <x:c r="C1199" s="31" t="str">
        <x:v>Would you include long term debt in net working capital and why</x:v>
      </x:c>
      <x:c r="D1199" s="32" t="n">
        <x:f>COUNTIF('All Questions'!$G$5:$G$1725,A1199)</x:f>
        <x:v>1</x:v>
      </x:c>
      <x:c r="E1199" s="11"/>
      <x:c r="F1199" s="12" t="str">
        <x:v>Not Started</x:v>
      </x:c>
      <x:c r="G1199" s="13"/>
      <x:c r="H1199" s="30" t="str">
        <x:f>IF(AND(E1199&lt;&gt;"",F1199="Ready"),"Yes","No")</x:f>
        <x:v>No</x:v>
      </x:c>
      <x:c r="I1199" s="11"/>
    </x:row>
    <x:row r="1200" ht="58" customHeight="1">
      <x:c r="A1200" s="30" t="str">
        <x:v>CL1196</x:v>
      </x:c>
      <x:c r="B1200" s="30" t="str">
        <x:v>Other Question</x:v>
      </x:c>
      <x:c r="C1200" s="31" t="str">
        <x:v>Would you rather receive 10 thousand upfront today, or 100 dollars per year for the rest of your life</x:v>
      </x:c>
      <x:c r="D1200" s="32" t="n">
        <x:f>COUNTIF('All Questions'!$G$5:$G$1725,A1200)</x:f>
        <x:v>1</x:v>
      </x:c>
      <x:c r="E1200" s="11"/>
      <x:c r="F1200" s="12" t="str">
        <x:v>Not Started</x:v>
      </x:c>
      <x:c r="G1200" s="13"/>
      <x:c r="H1200" s="30" t="str">
        <x:f>IF(AND(E1200&lt;&gt;"",F1200="Ready"),"Yes","No")</x:f>
        <x:v>No</x:v>
      </x:c>
      <x:c r="I1200" s="11"/>
    </x:row>
    <x:row r="1201" ht="38" customHeight="1">
      <x:c r="A1201" s="30" t="str">
        <x:v>CL1197</x:v>
      </x:c>
      <x:c r="B1201" s="30" t="str">
        <x:v>Valuation</x:v>
      </x:c>
      <x:c r="C1201" s="31" t="str">
        <x:v>Would you use dcf for loss making company, how else would you value it</x:v>
      </x:c>
      <x:c r="D1201" s="32" t="n">
        <x:f>COUNTIF('All Questions'!$G$5:$G$1725,A1201)</x:f>
        <x:v>1</x:v>
      </x:c>
      <x:c r="E1201" s="11"/>
      <x:c r="F1201" s="12" t="str">
        <x:v>Not Started</x:v>
      </x:c>
      <x:c r="G1201" s="13"/>
      <x:c r="H1201" s="30" t="str">
        <x:f>IF(AND(E1201&lt;&gt;"",F1201="Ready"),"Yes","No")</x:f>
        <x:v>No</x:v>
      </x:c>
      <x:c r="I1201" s="11"/>
    </x:row>
    <x:row r="1202" ht="38" customHeight="1">
      <x:c r="A1202" s="30" t="str">
        <x:v>CL1198</x:v>
      </x:c>
      <x:c r="B1202" s="30" t="str">
        <x:v>Other Question</x:v>
      </x:c>
      <x:c r="C1202" s="31" t="str">
        <x:v>Would you want to work in the mainland</x:v>
      </x:c>
      <x:c r="D1202" s="32" t="n">
        <x:f>COUNTIF('All Questions'!$G$5:$G$1725,A1202)</x:f>
        <x:v>1</x:v>
      </x:c>
      <x:c r="E1202" s="11"/>
      <x:c r="F1202" s="12" t="str">
        <x:v>Not Started</x:v>
      </x:c>
      <x:c r="G1202" s="13"/>
      <x:c r="H1202" s="30" t="str">
        <x:f>IF(AND(E1202&lt;&gt;"",F1202="Ready"),"Yes","No")</x:f>
        <x:v>No</x:v>
      </x:c>
      <x:c r="I1202" s="11"/>
    </x:row>
    <x:row r="1203" ht="38" customHeight="1">
      <x:c r="A1203" s="30" t="str">
        <x:v>CL1199</x:v>
      </x:c>
      <x:c r="B1203" s="30" t="str">
        <x:v>Valuation</x:v>
      </x:c>
      <x:c r="C1203" s="31" t="str">
        <x:v>You also worked on trading comps in ur 2nd deal, how do you choose the peers</x:v>
      </x:c>
      <x:c r="D1203" s="32" t="n">
        <x:f>COUNTIF('All Questions'!$G$5:$G$1725,A1203)</x:f>
        <x:v>1</x:v>
      </x:c>
      <x:c r="E1203" s="11"/>
      <x:c r="F1203" s="12" t="str">
        <x:v>Not Started</x:v>
      </x:c>
      <x:c r="G1203" s="13"/>
      <x:c r="H1203" s="30" t="str">
        <x:f>IF(AND(E1203&lt;&gt;"",F1203="Ready"),"Yes","No")</x:f>
        <x:v>No</x:v>
      </x:c>
      <x:c r="I1203" s="11"/>
    </x:row>
    <x:row r="1204" ht="80" customHeight="1">
      <x:c r="A1204" s="30" t="str">
        <x:v>CL1200</x:v>
      </x:c>
      <x:c r="B1204" s="30" t="str">
        <x:v>Accounting &amp; Financial Statements</x:v>
      </x:c>
      <x:c r="C1204" s="31" t="str">
        <x:v>You are paying 50% cash and 50% debt for a house, the rental income can just offset the debt payment every month so your cash flow is zeroed, you sell the house five years later, is your IRR positive, negative or zero</x:v>
      </x:c>
      <x:c r="D1204" s="32" t="n">
        <x:f>COUNTIF('All Questions'!$G$5:$G$1725,A1204)</x:f>
        <x:v>1</x:v>
      </x:c>
      <x:c r="E1204" s="11"/>
      <x:c r="F1204" s="12" t="str">
        <x:v>Not Started</x:v>
      </x:c>
      <x:c r="G1204" s="13"/>
      <x:c r="H1204" s="30" t="str">
        <x:f>IF(AND(E1204&lt;&gt;"",F1204="Ready"),"Yes","No")</x:f>
        <x:v>No</x:v>
      </x:c>
      <x:c r="I1204" s="11"/>
    </x:row>
    <x:row r="1205" ht="58" customHeight="1">
      <x:c r="A1205" s="30" t="str">
        <x:v>CL1201</x:v>
      </x:c>
      <x:c r="B1205" s="30" t="str">
        <x:v>Accounting &amp; Financial Statements</x:v>
      </x:c>
      <x:c r="C1205" s="31" t="str">
        <x:v>You have an IRR of 12%, bank is offering you Mezzaine of 13% PIK interest, will you take it</x:v>
      </x:c>
      <x:c r="D1205" s="32" t="n">
        <x:f>COUNTIF('All Questions'!$G$5:$G$1725,A1205)</x:f>
        <x:v>1</x:v>
      </x:c>
      <x:c r="E1205" s="11"/>
      <x:c r="F1205" s="12" t="str">
        <x:v>Not Started</x:v>
      </x:c>
      <x:c r="G1205" s="13"/>
      <x:c r="H1205" s="30" t="str">
        <x:f>IF(AND(E1205&lt;&gt;"",F1205="Ready"),"Yes","No")</x:f>
        <x:v>No</x:v>
      </x:c>
      <x:c r="I1205" s="11"/>
    </x:row>
    <x:row r="1206" ht="38" customHeight="1">
      <x:c r="A1206" s="30" t="str">
        <x:v>CL1202</x:v>
      </x:c>
      <x:c r="B1206" s="30" t="str">
        <x:v>Resume &amp; Experience</x:v>
      </x:c>
      <x:c r="C1206" s="31" t="str">
        <x:v>You have lots of intern experience and how do you manage to do that</x:v>
      </x:c>
      <x:c r="D1206" s="32" t="n">
        <x:f>COUNTIF('All Questions'!$G$5:$G$1725,A1206)</x:f>
        <x:v>1</x:v>
      </x:c>
      <x:c r="E1206" s="11"/>
      <x:c r="F1206" s="12" t="str">
        <x:v>Not Started</x:v>
      </x:c>
      <x:c r="G1206" s="13"/>
      <x:c r="H1206" s="30" t="str">
        <x:f>IF(AND(E1206&lt;&gt;"",F1206="Ready"),"Yes","No")</x:f>
        <x:v>No</x:v>
      </x:c>
      <x:c r="I1206" s="11"/>
    </x:row>
    <x:row r="1207" ht="38" customHeight="1">
      <x:c r="A1207" s="30" t="str">
        <x:v>CL1203</x:v>
      </x:c>
      <x:c r="B1207" s="30" t="str">
        <x:v>Resume &amp; Experience</x:v>
      </x:c>
      <x:c r="C1207" s="31" t="str">
        <x:v>You in Lazard right now? I didn’t see it on your CV, when does it lasts</x:v>
      </x:c>
      <x:c r="D1207" s="32" t="n">
        <x:f>COUNTIF('All Questions'!$G$5:$G$1725,A1207)</x:f>
        <x:v>1</x:v>
      </x:c>
      <x:c r="E1207" s="11"/>
      <x:c r="F1207" s="12" t="str">
        <x:v>Not Started</x:v>
      </x:c>
      <x:c r="G1207" s="13"/>
      <x:c r="H1207" s="30" t="str">
        <x:f>IF(AND(E1207&lt;&gt;"",F1207="Ready"),"Yes","No")</x:f>
        <x:v>No</x:v>
      </x:c>
      <x:c r="I1207" s="11"/>
    </x:row>
    <x:row r="1208" ht="80" customHeight="1">
      <x:c r="A1208" s="30" t="str">
        <x:v>CL1204</x:v>
      </x:c>
      <x:c r="B1208" s="30" t="str">
        <x:v>Company, Industry &amp; Deals</x:v>
      </x:c>
      <x:c r="C1208" s="31" t="str">
        <x:v>You know there’s only two companies in China for mining EPC right - I said I’m talking about Australian and Canadian target. He said he think he knows which company I’m talking about</x:v>
      </x:c>
      <x:c r="D1208" s="32" t="n">
        <x:f>COUNTIF('All Questions'!$G$5:$G$1725,A1208)</x:f>
        <x:v>1</x:v>
      </x:c>
      <x:c r="E1208" s="11"/>
      <x:c r="F1208" s="12" t="str">
        <x:v>Not Started</x:v>
      </x:c>
      <x:c r="G1208" s="13"/>
      <x:c r="H1208" s="30" t="str">
        <x:f>IF(AND(E1208&lt;&gt;"",F1208="Ready"),"Yes","No")</x:f>
        <x:v>No</x:v>
      </x:c>
      <x:c r="I1208" s="11"/>
    </x:row>
    <x:row r="1209" ht="38" customHeight="1">
      <x:c r="A1209" s="30" t="str">
        <x:v>CL1205</x:v>
      </x:c>
      <x:c r="B1209" s="30" t="str">
        <x:v>Markets &amp; Macro</x:v>
      </x:c>
      <x:c r="C1209" s="31" t="str">
        <x:v>You mention market skills, could you please share some news about Chinese markets</x:v>
      </x:c>
      <x:c r="D1209" s="32" t="n">
        <x:f>COUNTIF('All Questions'!$G$5:$G$1725,A1209)</x:f>
        <x:v>1</x:v>
      </x:c>
      <x:c r="E1209" s="11"/>
      <x:c r="F1209" s="12" t="str">
        <x:v>Not Started</x:v>
      </x:c>
      <x:c r="G1209" s="13"/>
      <x:c r="H1209" s="30" t="str">
        <x:f>IF(AND(E1209&lt;&gt;"",F1209="Ready"),"Yes","No")</x:f>
        <x:v>No</x:v>
      </x:c>
      <x:c r="I1209" s="11"/>
    </x:row>
    <x:row r="1210" ht="112" customHeight="1">
      <x:c r="A1210" s="30" t="str">
        <x:v>CL1206</x:v>
      </x:c>
      <x:c r="B1210" s="30" t="str">
        <x:v>Accounting &amp; Financial Statements</x:v>
      </x:c>
      <x:c r="C1210"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D1210" s="32" t="n">
        <x:f>COUNTIF('All Questions'!$G$5:$G$1725,A1210)</x:f>
        <x:v>1</x:v>
      </x:c>
      <x:c r="E1210" s="11"/>
      <x:c r="F1210" s="12" t="str">
        <x:v>Not Started</x:v>
      </x:c>
      <x:c r="G1210" s="13"/>
      <x:c r="H1210" s="30" t="str">
        <x:f>IF(AND(E1210&lt;&gt;"",F1210="Ready"),"Yes","No")</x:f>
        <x:v>No</x:v>
      </x:c>
      <x:c r="I1210" s="11"/>
    </x:row>
    <x:row r="1211" ht="58" customHeight="1">
      <x:c r="A1211" s="30" t="str">
        <x:v>CL1207</x:v>
      </x:c>
      <x:c r="B1211" s="30" t="str">
        <x:v>Accounting &amp; Financial Statements</x:v>
      </x:c>
      <x:c r="C1211" s="31" t="str">
        <x:v>You mentioned several key product lines/models that the company is providing. Which one has the highest margin and we should pay extra attention on</x:v>
      </x:c>
      <x:c r="D1211" s="32" t="n">
        <x:f>COUNTIF('All Questions'!$G$5:$G$1725,A1211)</x:f>
        <x:v>1</x:v>
      </x:c>
      <x:c r="E1211" s="11"/>
      <x:c r="F1211" s="12" t="str">
        <x:v>Not Started</x:v>
      </x:c>
      <x:c r="G1211" s="13"/>
      <x:c r="H1211" s="30" t="str">
        <x:f>IF(AND(E1211&lt;&gt;"",F1211="Ready"),"Yes","No")</x:f>
        <x:v>No</x:v>
      </x:c>
      <x:c r="I1211" s="11"/>
    </x:row>
    <x:row r="1212" ht="58" customHeight="1">
      <x:c r="A1212" s="30" t="str">
        <x:v>CL1208</x:v>
      </x:c>
      <x:c r="B1212" s="30" t="str">
        <x:v>Capital Markets &amp; Financing</x:v>
      </x:c>
      <x:c r="C1212" s="31" t="str">
        <x:v>You said bond prices are still facing some uncertanties, arent they already priced in in the current yield</x:v>
      </x:c>
      <x:c r="D1212" s="32" t="n">
        <x:f>COUNTIF('All Questions'!$G$5:$G$1725,A1212)</x:f>
        <x:v>1</x:v>
      </x:c>
      <x:c r="E1212" s="11"/>
      <x:c r="F1212" s="12" t="str">
        <x:v>Not Started</x:v>
      </x:c>
      <x:c r="G1212" s="13"/>
      <x:c r="H1212" s="30" t="str">
        <x:f>IF(AND(E1212&lt;&gt;"",F1212="Ready"),"Yes","No")</x:f>
        <x:v>No</x:v>
      </x:c>
      <x:c r="I1212" s="11"/>
    </x:row>
    <x:row r="1213" ht="38" customHeight="1">
      <x:c r="A1213" s="30" t="str">
        <x:v>CL1209</x:v>
      </x:c>
      <x:c r="B1213" s="30" t="str">
        <x:v>Accounting &amp; Financial Statements</x:v>
      </x:c>
      <x:c r="C1213" s="31" t="str">
        <x:v>You said you're passionate about SnT so where is this passion come from</x:v>
      </x:c>
      <x:c r="D1213" s="32" t="n">
        <x:f>COUNTIF('All Questions'!$G$5:$G$1725,A1213)</x:f>
        <x:v>1</x:v>
      </x:c>
      <x:c r="E1213" s="11"/>
      <x:c r="F1213" s="12" t="str">
        <x:v>Not Started</x:v>
      </x:c>
      <x:c r="G1213" s="13"/>
      <x:c r="H1213" s="30" t="str">
        <x:f>IF(AND(E1213&lt;&gt;"",F1213="Ready"),"Yes","No")</x:f>
        <x:v>No</x:v>
      </x:c>
      <x:c r="I1213" s="11"/>
    </x:row>
    <x:row r="1214" ht="58" customHeight="1">
      <x:c r="A1214" s="30" t="str">
        <x:v>CL1210</x:v>
      </x:c>
      <x:c r="B1214" s="30" t="str">
        <x:v>Other Question</x:v>
      </x:c>
      <x:c r="C1214" s="31" t="str">
        <x:v>You worked at BNP and ING Bank, what do you think about the hours of banking? How do you find them different from Jefferies</x:v>
      </x:c>
      <x:c r="D1214" s="32" t="n">
        <x:f>COUNTIF('All Questions'!$G$5:$G$1725,A1214)</x:f>
        <x:v>1</x:v>
      </x:c>
      <x:c r="E1214" s="11"/>
      <x:c r="F1214" s="12" t="str">
        <x:v>Not Started</x:v>
      </x:c>
      <x:c r="G1214" s="13"/>
      <x:c r="H1214" s="30" t="str">
        <x:f>IF(AND(E1214&lt;&gt;"",F1214="Ready"),"Yes","No")</x:f>
        <x:v>No</x:v>
      </x:c>
      <x:c r="I1214" s="11"/>
    </x:row>
    <x:row r="1215" ht="58" customHeight="1">
      <x:c r="A1215" s="30" t="str">
        <x:v>CL1211</x:v>
      </x:c>
      <x:c r="B1215" s="30" t="str">
        <x:v>Resume &amp; Experience</x:v>
      </x:c>
      <x:c r="C1215" s="31" t="str">
        <x:v>You're majoring in AMPB, what things that you learnt from your program do you think can be brought to your internship here</x:v>
      </x:c>
      <x:c r="D1215" s="32" t="n">
        <x:f>COUNTIF('All Questions'!$G$5:$G$1725,A1215)</x:f>
        <x:v>1</x:v>
      </x:c>
      <x:c r="E1215" s="11"/>
      <x:c r="F1215" s="12" t="str">
        <x:v>Not Started</x:v>
      </x:c>
      <x:c r="G1215" s="13"/>
      <x:c r="H1215" s="30" t="str">
        <x:f>IF(AND(E1215&lt;&gt;"",F1215="Ready"),"Yes","No")</x:f>
        <x:v>No</x:v>
      </x:c>
      <x:c r="I1215" s="11"/>
    </x:row>
    <x:row r="1216" ht="80" customHeight="1">
      <x:c r="A1216" s="30" t="str">
        <x:v>CL1212</x:v>
      </x:c>
      <x:c r="B1216" s="30" t="str">
        <x:v>Accounting &amp; Financial Statements</x:v>
      </x:c>
      <x:c r="C1216" s="31" t="str">
        <x:v>You're meeting with the chairman of the firm. What info to gather and questions to ask that will enable you to assess whether this firm is a feasible take-over target (I mentioned financial feasibility then he asked me to expand)</x:v>
      </x:c>
      <x:c r="D1216" s="32" t="n">
        <x:f>COUNTIF('All Questions'!$G$5:$G$1725,A1216)</x:f>
        <x:v>1</x:v>
      </x:c>
      <x:c r="E1216" s="11"/>
      <x:c r="F1216" s="12" t="str">
        <x:v>Not Started</x:v>
      </x:c>
      <x:c r="G1216" s="13"/>
      <x:c r="H1216" s="30" t="str">
        <x:f>IF(AND(E1216&lt;&gt;"",F1216="Ready"),"Yes","No")</x:f>
        <x:v>No</x:v>
      </x:c>
      <x:c r="I1216" s="11"/>
    </x:row>
    <x:row r="1217" ht="58" customHeight="1">
      <x:c r="A1217" s="30" t="str">
        <x:v>CL1213</x:v>
      </x:c>
      <x:c r="B1217" s="30" t="str">
        <x:v>Accounting &amp; Financial Statements</x:v>
      </x:c>
      <x:c r="C1217" s="31" t="str">
        <x:v>Your client is a pe, it wants to sell a pets portfolio company, help it sell, 3 submitted offers showing interest, how to choose the buyer</x:v>
      </x:c>
      <x:c r="D1217" s="32" t="n">
        <x:f>COUNTIF('All Questions'!$G$5:$G$1725,A1217)</x:f>
        <x:v>1</x:v>
      </x:c>
      <x:c r="E1217" s="11"/>
      <x:c r="F1217" s="12" t="str">
        <x:v>Not Started</x:v>
      </x:c>
      <x:c r="G1217" s="13"/>
      <x:c r="H1217" s="30" t="str">
        <x:f>IF(AND(E1217&lt;&gt;"",F1217="Ready"),"Yes","No")</x:f>
        <x:v>No</x:v>
      </x:c>
      <x:c r="I1217" s="11"/>
    </x:row>
    <x:row r="1218" ht="38" customHeight="1">
      <x:c r="A1218" s="30" t="str">
        <x:v>CL1214</x:v>
      </x:c>
      <x:c r="B1218" s="30" t="str">
        <x:v>Resume &amp; Experience</x:v>
      </x:c>
      <x:c r="C1218" s="31" t="str">
        <x:v>Your experience in HKEX and what do you usually look at</x:v>
      </x:c>
      <x:c r="D1218" s="32" t="n">
        <x:f>COUNTIF('All Questions'!$G$5:$G$1725,A1218)</x:f>
        <x:v>1</x:v>
      </x:c>
      <x:c r="E1218" s="11"/>
      <x:c r="F1218" s="12" t="str">
        <x:v>Not Started</x:v>
      </x:c>
      <x:c r="G1218" s="13"/>
      <x:c r="H1218" s="30" t="str">
        <x:f>IF(AND(E1218&lt;&gt;"",F1218="Ready"),"Yes","No")</x:f>
        <x:v>No</x:v>
      </x:c>
      <x:c r="I1218" s="11"/>
    </x:row>
    <x:row r="1219" ht="38" customHeight="1">
      <x:c r="A1219" s="30" t="str">
        <x:v>CL1215</x:v>
      </x:c>
      <x:c r="B1219" s="30" t="str">
        <x:v>Other Question</x:v>
      </x:c>
      <x:c r="C1219" s="31" t="str">
        <x:v>一些当场反馈：回答问题应该要把结论说在前面，因为client时间很宝贵，不太有时间听故事；不知道的不需要装作知道，市场问题不必回答出来，但是不能给client错误信息</x:v>
      </x:c>
      <x:c r="D1219" s="32" t="n">
        <x:f>COUNTIF('All Questions'!$G$5:$G$1725,A1219)</x:f>
        <x:v>1</x:v>
      </x:c>
      <x:c r="E1219" s="11"/>
      <x:c r="F1219" s="12" t="str">
        <x:v>Not Started</x:v>
      </x:c>
      <x:c r="G1219" s="13"/>
      <x:c r="H1219" s="30" t="str">
        <x:f>IF(AND(E1219&lt;&gt;"",F1219="Ready"),"Yes","No")</x:f>
        <x:v>No</x:v>
      </x:c>
      <x:c r="I1219" s="11"/>
    </x:row>
    <x:row r="1220" ht="38" customHeight="1">
      <x:c r="A1220" s="30" t="str">
        <x:v>CL1216</x:v>
      </x:c>
      <x:c r="B1220" s="30" t="str">
        <x:v>Company, Industry &amp; Deals</x:v>
      </x:c>
      <x:c r="C1220" s="31" t="str">
        <x:v>一般如果要做company profile 比如說事工業製造行業企業 profile要包括什麼</x:v>
      </x:c>
      <x:c r="D1220" s="32" t="n">
        <x:f>COUNTIF('All Questions'!$G$5:$G$1725,A1220)</x:f>
        <x:v>1</x:v>
      </x:c>
      <x:c r="E1220" s="11"/>
      <x:c r="F1220" s="12" t="str">
        <x:v>Not Started</x:v>
      </x:c>
      <x:c r="G1220" s="13"/>
      <x:c r="H1220" s="30" t="str">
        <x:f>IF(AND(E1220&lt;&gt;"",F1220="Ready"),"Yes","No")</x:f>
        <x:v>No</x:v>
      </x:c>
      <x:c r="I1220" s="11"/>
    </x:row>
    <x:row r="1221" ht="58" customHeight="1">
      <x:c r="A1221" s="30" t="str">
        <x:v>CL1217</x:v>
      </x:c>
      <x:c r="B1221" s="30" t="str">
        <x:v>Fit &amp; Motivation</x:v>
      </x:c>
      <x:c r="C1221" s="31" t="str">
        <x:v>中文回答：you mentioned swap facility, why central bank doesn’t give cash, but use swap (我没回答出来，请教他，他说是货币基础的问题)</x:v>
      </x:c>
      <x:c r="D1221" s="32" t="n">
        <x:f>COUNTIF('All Questions'!$G$5:$G$1725,A1221)</x:f>
        <x:v>1</x:v>
      </x:c>
      <x:c r="E1221" s="11"/>
      <x:c r="F1221" s="12" t="str">
        <x:v>Not Started</x:v>
      </x:c>
      <x:c r="G1221" s="13"/>
      <x:c r="H1221" s="30" t="str">
        <x:f>IF(AND(E1221&lt;&gt;"",F1221="Ready"),"Yes","No")</x:f>
        <x:v>No</x:v>
      </x:c>
      <x:c r="I1221" s="11"/>
    </x:row>
    <x:row r="1222" ht="38" customHeight="1">
      <x:c r="A1222" s="30" t="str">
        <x:v>CL1218</x:v>
      </x:c>
      <x:c r="B1222" s="30" t="str">
        <x:v>Other Question</x:v>
      </x:c>
      <x:c r="C1222" s="31" t="str">
        <x:v>为什么AM而不是PB？为什么Institutional</x:v>
      </x:c>
      <x:c r="D1222" s="32" t="n">
        <x:f>COUNTIF('All Questions'!$G$5:$G$1725,A1222)</x:f>
        <x:v>1</x:v>
      </x:c>
      <x:c r="E1222" s="11"/>
      <x:c r="F1222" s="12" t="str">
        <x:v>Not Started</x:v>
      </x:c>
      <x:c r="G1222" s="13"/>
      <x:c r="H1222" s="30" t="str">
        <x:f>IF(AND(E1222&lt;&gt;"",F1222="Ready"),"Yes","No")</x:f>
        <x:v>No</x:v>
      </x:c>
      <x:c r="I1222" s="11"/>
    </x:row>
    <x:row r="1223" ht="38" customHeight="1">
      <x:c r="A1223" s="30" t="str">
        <x:v>CL1219</x:v>
      </x:c>
      <x:c r="B1223" s="30" t="str">
        <x:v>Other Question</x:v>
      </x:c>
      <x:c r="C1223" s="31" t="str">
        <x:v>为什么VC，为什么MW</x:v>
      </x:c>
      <x:c r="D1223" s="32" t="n">
        <x:f>COUNTIF('All Questions'!$G$5:$G$1725,A1223)</x:f>
        <x:v>1</x:v>
      </x:c>
      <x:c r="E1223" s="11"/>
      <x:c r="F1223" s="12" t="str">
        <x:v>Not Started</x:v>
      </x:c>
      <x:c r="G1223" s="13"/>
      <x:c r="H1223" s="30" t="str">
        <x:f>IF(AND(E1223&lt;&gt;"",F1223="Ready"),"Yes","No")</x:f>
        <x:v>No</x:v>
      </x:c>
      <x:c r="I1223" s="11"/>
    </x:row>
    <x:row r="1224" ht="38" customHeight="1">
      <x:c r="A1224" s="30" t="str">
        <x:v>CL1220</x:v>
      </x:c>
      <x:c r="B1224" s="30" t="str">
        <x:v>Other Question</x:v>
      </x:c>
      <x:c r="C1224" s="31" t="str">
        <x:v>为什么不做投资做投行</x:v>
      </x:c>
      <x:c r="D1224" s="32" t="n">
        <x:f>COUNTIF('All Questions'!$G$5:$G$1725,A1224)</x:f>
        <x:v>1</x:v>
      </x:c>
      <x:c r="E1224" s="11"/>
      <x:c r="F1224" s="12" t="str">
        <x:v>Not Started</x:v>
      </x:c>
      <x:c r="G1224" s="13"/>
      <x:c r="H1224" s="30" t="str">
        <x:f>IF(AND(E1224&lt;&gt;"",F1224="Ready"),"Yes","No")</x:f>
        <x:v>No</x:v>
      </x:c>
      <x:c r="I1224" s="11"/>
    </x:row>
    <x:row r="1225" ht="38" customHeight="1">
      <x:c r="A1225" s="30" t="str">
        <x:v>CL1221</x:v>
      </x:c>
      <x:c r="B1225" s="30" t="str">
        <x:v>Other Question</x:v>
      </x:c>
      <x:c r="C1225" s="31" t="str">
        <x:v>为什么会有“印度溢价”</x:v>
      </x:c>
      <x:c r="D1225" s="32" t="n">
        <x:f>COUNTIF('All Questions'!$G$5:$G$1725,A1225)</x:f>
        <x:v>1</x:v>
      </x:c>
      <x:c r="E1225" s="11"/>
      <x:c r="F1225" s="12" t="str">
        <x:v>Not Started</x:v>
      </x:c>
      <x:c r="G1225" s="13"/>
      <x:c r="H1225" s="30" t="str">
        <x:f>IF(AND(E1225&lt;&gt;"",F1225="Ready"),"Yes","No")</x:f>
        <x:v>No</x:v>
      </x:c>
      <x:c r="I1225" s="11"/>
    </x:row>
    <x:row r="1226" ht="38" customHeight="1">
      <x:c r="A1226" s="30" t="str">
        <x:v>CL1222</x:v>
      </x:c>
      <x:c r="B1226" s="30" t="str">
        <x:v>Consulting &amp; Case</x:v>
      </x:c>
      <x:c r="C1226" s="31" t="str">
        <x:v>为什么做咨询</x:v>
      </x:c>
      <x:c r="D1226" s="32" t="n">
        <x:f>COUNTIF('All Questions'!$G$5:$G$1725,A1226)</x:f>
        <x:v>1</x:v>
      </x:c>
      <x:c r="E1226" s="11"/>
      <x:c r="F1226" s="12" t="str">
        <x:v>Not Started</x:v>
      </x:c>
      <x:c r="G1226" s="13"/>
      <x:c r="H1226" s="30" t="str">
        <x:f>IF(AND(E1226&lt;&gt;"",F1226="Ready"),"Yes","No")</x:f>
        <x:v>No</x:v>
      </x:c>
      <x:c r="I1226" s="11"/>
    </x:row>
    <x:row r="1227" ht="38" customHeight="1">
      <x:c r="A1227" s="30" t="str">
        <x:v>CL1223</x:v>
      </x:c>
      <x:c r="B1227" s="30" t="str">
        <x:v>Other Question</x:v>
      </x:c>
      <x:c r="C1227" s="31" t="str">
        <x:v>为什么用碳酸锂？最近价钱如何</x:v>
      </x:c>
      <x:c r="D1227" s="32" t="n">
        <x:f>COUNTIF('All Questions'!$G$5:$G$1725,A1227)</x:f>
        <x:v>1</x:v>
      </x:c>
      <x:c r="E1227" s="11"/>
      <x:c r="F1227" s="12" t="str">
        <x:v>Not Started</x:v>
      </x:c>
      <x:c r="G1227" s="13"/>
      <x:c r="H1227" s="30" t="str">
        <x:f>IF(AND(E1227&lt;&gt;"",F1227="Ready"),"Yes","No")</x:f>
        <x:v>No</x:v>
      </x:c>
      <x:c r="I1227" s="11"/>
    </x:row>
    <x:row r="1228" ht="38" customHeight="1">
      <x:c r="A1228" s="30" t="str">
        <x:v>CL1224</x:v>
      </x:c>
      <x:c r="B1228" s="30" t="str">
        <x:v>Consulting &amp; Case</x:v>
      </x:c>
      <x:c r="C1228" s="31" t="str">
        <x:v>为什么转consulting</x:v>
      </x:c>
      <x:c r="D1228" s="32" t="n">
        <x:f>COUNTIF('All Questions'!$G$5:$G$1725,A1228)</x:f>
        <x:v>1</x:v>
      </x:c>
      <x:c r="E1228" s="11"/>
      <x:c r="F1228" s="12" t="str">
        <x:v>Not Started</x:v>
      </x:c>
      <x:c r="G1228" s="13"/>
      <x:c r="H1228" s="30" t="str">
        <x:f>IF(AND(E1228&lt;&gt;"",F1228="Ready"),"Yes","No")</x:f>
        <x:v>No</x:v>
      </x:c>
      <x:c r="I1228" s="11"/>
    </x:row>
    <x:row r="1229" ht="38" customHeight="1">
      <x:c r="A1229" s="30" t="str">
        <x:v>CL1225</x:v>
      </x:c>
      <x:c r="B1229" s="30" t="str">
        <x:v>Other Question</x:v>
      </x:c>
      <x:c r="C1229" s="31" t="str">
        <x:v>为什么高中读A Level大学选择HKU</x:v>
      </x:c>
      <x:c r="D1229" s="32" t="n">
        <x:f>COUNTIF('All Questions'!$G$5:$G$1725,A1229)</x:f>
        <x:v>1</x:v>
      </x:c>
      <x:c r="E1229" s="11"/>
      <x:c r="F1229" s="12" t="str">
        <x:v>Not Started</x:v>
      </x:c>
      <x:c r="G1229" s="13"/>
      <x:c r="H1229" s="30" t="str">
        <x:f>IF(AND(E1229&lt;&gt;"",F1229="Ready"),"Yes","No")</x:f>
        <x:v>No</x:v>
      </x:c>
      <x:c r="I1229" s="11"/>
    </x:row>
    <x:row r="1230" ht="38" customHeight="1">
      <x:c r="A1230" s="30" t="str">
        <x:v>CL1226</x:v>
      </x:c>
      <x:c r="B1230" s="30" t="str">
        <x:v>Other Question</x:v>
      </x:c>
      <x:c r="C1230" s="31" t="str">
        <x:v>你ER的實習會看oil&amp;gas嗎？聊聊你對oil的看法吧</x:v>
      </x:c>
      <x:c r="D1230" s="32" t="n">
        <x:f>COUNTIF('All Questions'!$G$5:$G$1725,A1230)</x:f>
        <x:v>1</x:v>
      </x:c>
      <x:c r="E1230" s="11"/>
      <x:c r="F1230" s="12" t="str">
        <x:v>Not Started</x:v>
      </x:c>
      <x:c r="G1230" s="13"/>
      <x:c r="H1230" s="30" t="str">
        <x:f>IF(AND(E1230&lt;&gt;"",F1230="Ready"),"Yes","No")</x:f>
        <x:v>No</x:v>
      </x:c>
      <x:c r="I1230" s="11"/>
    </x:row>
    <x:row r="1231" ht="38" customHeight="1">
      <x:c r="A1231" s="30" t="str">
        <x:v>CL1227</x:v>
      </x:c>
      <x:c r="B1231" s="30" t="str">
        <x:v>Other Question</x:v>
      </x:c>
      <x:c r="C1231" s="31" t="str">
        <x:v>你关注市场吗？昨天恒指跌了多少？S&amp;P 500收盘多少</x:v>
      </x:c>
      <x:c r="D1231" s="32" t="n">
        <x:f>COUNTIF('All Questions'!$G$5:$G$1725,A1231)</x:f>
        <x:v>1</x:v>
      </x:c>
      <x:c r="E1231" s="11"/>
      <x:c r="F1231" s="12" t="str">
        <x:v>Not Started</x:v>
      </x:c>
      <x:c r="G1231" s="13"/>
      <x:c r="H1231" s="30" t="str">
        <x:f>IF(AND(E1231&lt;&gt;"",F1231="Ready"),"Yes","No")</x:f>
        <x:v>No</x:v>
      </x:c>
      <x:c r="I1231" s="11"/>
    </x:row>
    <x:row r="1232" ht="38" customHeight="1">
      <x:c r="A1232" s="30" t="str">
        <x:v>CL1228</x:v>
      </x:c>
      <x:c r="B1232" s="30" t="str">
        <x:v>Other Question</x:v>
      </x:c>
      <x:c r="C1232" s="31" t="str">
        <x:v>你对未来自己的预期是怎么样的</x:v>
      </x:c>
      <x:c r="D1232" s="32" t="n">
        <x:f>COUNTIF('All Questions'!$G$5:$G$1725,A1232)</x:f>
        <x:v>1</x:v>
      </x:c>
      <x:c r="E1232" s="11"/>
      <x:c r="F1232" s="12" t="str">
        <x:v>Not Started</x:v>
      </x:c>
      <x:c r="G1232" s="13"/>
      <x:c r="H1232" s="30" t="str">
        <x:f>IF(AND(E1232&lt;&gt;"",F1232="Ready"),"Yes","No")</x:f>
        <x:v>No</x:v>
      </x:c>
      <x:c r="I1232" s="11"/>
    </x:row>
    <x:row r="1233" ht="38" customHeight="1">
      <x:c r="A1233" s="30" t="str">
        <x:v>CL1229</x:v>
      </x:c>
      <x:c r="B1233" s="30" t="str">
        <x:v>Other Question</x:v>
      </x:c>
      <x:c r="C1233" s="31" t="str">
        <x:v>你有特別想進的組嗎</x:v>
      </x:c>
      <x:c r="D1233" s="32" t="n">
        <x:f>COUNTIF('All Questions'!$G$5:$G$1725,A1233)</x:f>
        <x:v>1</x:v>
      </x:c>
      <x:c r="E1233" s="11"/>
      <x:c r="F1233" s="12" t="str">
        <x:v>Not Started</x:v>
      </x:c>
      <x:c r="G1233" s="13"/>
      <x:c r="H1233" s="30" t="str">
        <x:f>IF(AND(E1233&lt;&gt;"",F1233="Ready"),"Yes","No")</x:f>
        <x:v>No</x:v>
      </x:c>
      <x:c r="I1233" s="11"/>
    </x:row>
    <x:row r="1234" ht="38" customHeight="1">
      <x:c r="A1234" s="30" t="str">
        <x:v>CL1230</x:v>
      </x:c>
      <x:c r="B1234" s="30" t="str">
        <x:v>Behavioral &amp; Situational</x:v>
      </x:c>
      <x:c r="C1234" s="31" t="str">
        <x:v>你觉得你的老板会怎么形容你？三个词</x:v>
      </x:c>
      <x:c r="D1234" s="32" t="n">
        <x:f>COUNTIF('All Questions'!$G$5:$G$1725,A1234)</x:f>
        <x:v>1</x:v>
      </x:c>
      <x:c r="E1234" s="11"/>
      <x:c r="F1234" s="12" t="str">
        <x:v>Not Started</x:v>
      </x:c>
      <x:c r="G1234" s="13"/>
      <x:c r="H1234" s="30" t="str">
        <x:f>IF(AND(E1234&lt;&gt;"",F1234="Ready"),"Yes","No")</x:f>
        <x:v>No</x:v>
      </x:c>
      <x:c r="I1234" s="11"/>
    </x:row>
    <x:row r="1235" ht="38" customHeight="1">
      <x:c r="A1235" s="30" t="str">
        <x:v>CL1231</x:v>
      </x:c>
      <x:c r="B1235" s="30" t="str">
        <x:v>Other Question</x:v>
      </x:c>
      <x:c r="C1235" s="31" t="str">
        <x:v>你覺得你的缺點是什麼</x:v>
      </x:c>
      <x:c r="D1235" s="32" t="n">
        <x:f>COUNTIF('All Questions'!$G$5:$G$1725,A1235)</x:f>
        <x:v>1</x:v>
      </x:c>
      <x:c r="E1235" s="11"/>
      <x:c r="F1235" s="12" t="str">
        <x:v>Not Started</x:v>
      </x:c>
      <x:c r="G1235" s="13"/>
      <x:c r="H1235" s="30" t="str">
        <x:f>IF(AND(E1235&lt;&gt;"",F1235="Ready"),"Yes","No")</x:f>
        <x:v>No</x:v>
      </x:c>
      <x:c r="I1235" s="11"/>
    </x:row>
    <x:row r="1236" ht="38" customHeight="1">
      <x:c r="A1236" s="30" t="str">
        <x:v>CL1232</x:v>
      </x:c>
      <x:c r="B1236" s="30" t="str">
        <x:v>Other Question</x:v>
      </x:c>
      <x:c r="C1236" s="31" t="str">
        <x:v>假设你客户投了一家公司15%的股权，被投企业发了股息，你客户的FS会受到怎样的影响</x:v>
      </x:c>
      <x:c r="D1236" s="32" t="n">
        <x:f>COUNTIF('All Questions'!$G$5:$G$1725,A1236)</x:f>
        <x:v>1</x:v>
      </x:c>
      <x:c r="E1236" s="11"/>
      <x:c r="F1236" s="12" t="str">
        <x:v>Not Started</x:v>
      </x:c>
      <x:c r="G1236" s="13"/>
      <x:c r="H1236" s="30" t="str">
        <x:f>IF(AND(E1236&lt;&gt;"",F1236="Ready"),"Yes","No")</x:f>
        <x:v>No</x:v>
      </x:c>
      <x:c r="I1236" s="11"/>
    </x:row>
    <x:row r="1237" ht="38" customHeight="1">
      <x:c r="A1237" s="30" t="str">
        <x:v>CL1233</x:v>
      </x:c>
      <x:c r="B1237" s="30" t="str">
        <x:v>Behavioral &amp; Situational</x:v>
      </x:c>
      <x:c r="C1237" s="31" t="str">
        <x:v>最大的缺点是什么</x:v>
      </x:c>
      <x:c r="D1237" s="32" t="n">
        <x:f>COUNTIF('All Questions'!$G$5:$G$1725,A1237)</x:f>
        <x:v>1</x:v>
      </x:c>
      <x:c r="E1237" s="11"/>
      <x:c r="F1237" s="12" t="str">
        <x:v>Not Started</x:v>
      </x:c>
      <x:c r="G1237" s="13"/>
      <x:c r="H1237" s="30" t="str">
        <x:f>IF(AND(E1237&lt;&gt;"",F1237="Ready"),"Yes","No")</x:f>
        <x:v>No</x:v>
      </x:c>
      <x:c r="I1237" s="11"/>
    </x:row>
    <x:row r="1238" ht="38" customHeight="1">
      <x:c r="A1238" s="30" t="str">
        <x:v>CL1234</x:v>
      </x:c>
      <x:c r="B1238" s="30" t="str">
        <x:v>Other Question</x:v>
      </x:c>
      <x:c r="C1238" s="31" t="str">
        <x:v>可以讲讲你生活中遇到的困难吗？不要学习/工作上的</x:v>
      </x:c>
      <x:c r="D1238" s="32" t="n">
        <x:f>COUNTIF('All Questions'!$G$5:$G$1725,A1238)</x:f>
        <x:v>1</x:v>
      </x:c>
      <x:c r="E1238" s="11"/>
      <x:c r="F1238" s="12" t="str">
        <x:v>Not Started</x:v>
      </x:c>
      <x:c r="G1238" s="13"/>
      <x:c r="H1238" s="30" t="str">
        <x:f>IF(AND(E1238&lt;&gt;"",F1238="Ready"),"Yes","No")</x:f>
        <x:v>No</x:v>
      </x:c>
      <x:c r="I1238" s="11"/>
    </x:row>
    <x:row r="1239" ht="38" customHeight="1">
      <x:c r="A1239" s="30" t="str">
        <x:v>CL1235</x:v>
      </x:c>
      <x:c r="B1239" s="30" t="str">
        <x:v>Other Question</x:v>
      </x:c>
      <x:c r="C1239" s="31" t="str">
        <x:v>国内国外公司</x:v>
      </x:c>
      <x:c r="D1239" s="32" t="n">
        <x:f>COUNTIF('All Questions'!$G$5:$G$1725,A1239)</x:f>
        <x:v>1</x:v>
      </x:c>
      <x:c r="E1239" s="11"/>
      <x:c r="F1239" s="12" t="str">
        <x:v>Not Started</x:v>
      </x:c>
      <x:c r="G1239" s="13"/>
      <x:c r="H1239" s="30" t="str">
        <x:f>IF(AND(E1239&lt;&gt;"",F1239="Ready"),"Yes","No")</x:f>
        <x:v>No</x:v>
      </x:c>
      <x:c r="I1239" s="11"/>
    </x:row>
    <x:row r="1240" ht="38" customHeight="1">
      <x:c r="A1240" s="30" t="str">
        <x:v>CL1236</x:v>
      </x:c>
      <x:c r="B1240" s="30" t="str">
        <x:v>Other Question</x:v>
      </x:c>
      <x:c r="C1240" s="31" t="str">
        <x:v>如何看待AI对行业的影响</x:v>
      </x:c>
      <x:c r="D1240" s="32" t="n">
        <x:f>COUNTIF('All Questions'!$G$5:$G$1725,A1240)</x:f>
        <x:v>1</x:v>
      </x:c>
      <x:c r="E1240" s="11"/>
      <x:c r="F1240" s="12" t="str">
        <x:v>Not Started</x:v>
      </x:c>
      <x:c r="G1240" s="13"/>
      <x:c r="H1240" s="30" t="str">
        <x:f>IF(AND(E1240&lt;&gt;"",F1240="Ready"),"Yes","No")</x:f>
        <x:v>No</x:v>
      </x:c>
      <x:c r="I1240" s="11"/>
    </x:row>
    <x:row r="1241" ht="38" customHeight="1">
      <x:c r="A1241" s="30" t="str">
        <x:v>CL1237</x:v>
      </x:c>
      <x:c r="B1241" s="30" t="str">
        <x:v>Other Question</x:v>
      </x:c>
      <x:c r="C1241" s="31" t="str">
        <x:v>如何看某个行业</x:v>
      </x:c>
      <x:c r="D1241" s="32" t="n">
        <x:f>COUNTIF('All Questions'!$G$5:$G$1725,A1241)</x:f>
        <x:v>1</x:v>
      </x:c>
      <x:c r="E1241" s="11"/>
      <x:c r="F1241" s="12" t="str">
        <x:v>Not Started</x:v>
      </x:c>
      <x:c r="G1241" s="13"/>
      <x:c r="H1241" s="30" t="str">
        <x:f>IF(AND(E1241&lt;&gt;"",F1241="Ready"),"Yes","No")</x:f>
        <x:v>No</x:v>
      </x:c>
      <x:c r="I1241" s="11"/>
    </x:row>
    <x:row r="1242" ht="38" customHeight="1">
      <x:c r="A1242" s="30" t="str">
        <x:v>CL1238</x:v>
      </x:c>
      <x:c r="B1242" s="30" t="str">
        <x:v>Other Question</x:v>
      </x:c>
      <x:c r="C1242" s="31" t="str">
        <x:v>如何进入过去的某个实习公司（我的是Bain）</x:v>
      </x:c>
      <x:c r="D1242" s="32" t="n">
        <x:f>COUNTIF('All Questions'!$G$5:$G$1725,A1242)</x:f>
        <x:v>1</x:v>
      </x:c>
      <x:c r="E1242" s="11"/>
      <x:c r="F1242" s="12" t="str">
        <x:v>Not Started</x:v>
      </x:c>
      <x:c r="G1242" s="13"/>
      <x:c r="H1242" s="30" t="str">
        <x:f>IF(AND(E1242&lt;&gt;"",F1242="Ready"),"Yes","No")</x:f>
        <x:v>No</x:v>
      </x:c>
      <x:c r="I1242" s="11"/>
    </x:row>
    <x:row r="1243" ht="38" customHeight="1">
      <x:c r="A1243" s="30" t="str">
        <x:v>CL1239</x:v>
      </x:c>
      <x:c r="B1243" s="30" t="str">
        <x:v>Valuation</x:v>
      </x:c>
      <x:c r="C1243" s="31" t="str">
        <x:v>如果你要為這家公司做DCF，怎麼做</x:v>
      </x:c>
      <x:c r="D1243" s="32" t="n">
        <x:f>COUNTIF('All Questions'!$G$5:$G$1725,A1243)</x:f>
        <x:v>1</x:v>
      </x:c>
      <x:c r="E1243" s="11"/>
      <x:c r="F1243" s="12" t="str">
        <x:v>Not Started</x:v>
      </x:c>
      <x:c r="G1243" s="13"/>
      <x:c r="H1243" s="30" t="str">
        <x:f>IF(AND(E1243&lt;&gt;"",F1243="Ready"),"Yes","No")</x:f>
        <x:v>No</x:v>
      </x:c>
      <x:c r="I1243" s="11"/>
    </x:row>
    <x:row r="1244" ht="38" customHeight="1">
      <x:c r="A1244" s="30" t="str">
        <x:v>CL1240</x:v>
      </x:c>
      <x:c r="B1244" s="30" t="str">
        <x:v>Behavioral &amp; Situational</x:v>
      </x:c>
      <x:c r="C1244" s="31" t="str">
        <x:v>怎么看待DB这种比较小的team size？和GS之类的大Team相比你认为你更喜欢哪一个</x:v>
      </x:c>
      <x:c r="D1244" s="32" t="n">
        <x:f>COUNTIF('All Questions'!$G$5:$G$1725,A1244)</x:f>
        <x:v>1</x:v>
      </x:c>
      <x:c r="E1244" s="11"/>
      <x:c r="F1244" s="12" t="str">
        <x:v>Not Started</x:v>
      </x:c>
      <x:c r="G1244" s="13"/>
      <x:c r="H1244" s="30" t="str">
        <x:f>IF(AND(E1244&lt;&gt;"",F1244="Ready"),"Yes","No")</x:f>
        <x:v>No</x:v>
      </x:c>
      <x:c r="I1244" s="11"/>
    </x:row>
    <x:row r="1245" ht="38" customHeight="1">
      <x:c r="A1245" s="30" t="str">
        <x:v>CL1241</x:v>
      </x:c>
      <x:c r="B1245" s="30" t="str">
        <x:v>Fit &amp; Motivation</x:v>
      </x:c>
      <x:c r="C1245" s="31" t="str">
        <x:v>怎么看待IBD的long Hours</x:v>
      </x:c>
      <x:c r="D1245" s="32" t="n">
        <x:f>COUNTIF('All Questions'!$G$5:$G$1725,A1245)</x:f>
        <x:v>1</x:v>
      </x:c>
      <x:c r="E1245" s="11"/>
      <x:c r="F1245" s="12" t="str">
        <x:v>Not Started</x:v>
      </x:c>
      <x:c r="G1245" s="13"/>
      <x:c r="H1245" s="30" t="str">
        <x:f>IF(AND(E1245&lt;&gt;"",F1245="Ready"),"Yes","No")</x:f>
        <x:v>No</x:v>
      </x:c>
      <x:c r="I1245" s="11"/>
    </x:row>
    <x:row r="1246" ht="38" customHeight="1">
      <x:c r="A1246" s="30" t="str">
        <x:v>CL1242</x:v>
      </x:c>
      <x:c r="B1246" s="30" t="str">
        <x:v>Other Question</x:v>
      </x:c>
      <x:c r="C1246" s="31" t="str">
        <x:v>怎么给这个印度IT公司做估值的，算便宜吗？EV和EBITDA是多少</x:v>
      </x:c>
      <x:c r="D1246" s="32" t="n">
        <x:f>COUNTIF('All Questions'!$G$5:$G$1725,A1246)</x:f>
        <x:v>1</x:v>
      </x:c>
      <x:c r="E1246" s="11"/>
      <x:c r="F1246" s="12" t="str">
        <x:v>Not Started</x:v>
      </x:c>
      <x:c r="G1246" s="13"/>
      <x:c r="H1246" s="30" t="str">
        <x:f>IF(AND(E1246&lt;&gt;"",F1246="Ready"),"Yes","No")</x:f>
        <x:v>No</x:v>
      </x:c>
      <x:c r="I1246" s="11"/>
    </x:row>
    <x:row r="1247" ht="38" customHeight="1">
      <x:c r="A1247" s="30" t="str">
        <x:v>CL1243</x:v>
      </x:c>
      <x:c r="B1247" s="30" t="str">
        <x:v>Other Technical</x:v>
      </x:c>
      <x:c r="C1247" s="31" t="str">
        <x:v>怎麼用excel vba的</x:v>
      </x:c>
      <x:c r="D1247" s="32" t="n">
        <x:f>COUNTIF('All Questions'!$G$5:$G$1725,A1247)</x:f>
        <x:v>1</x:v>
      </x:c>
      <x:c r="E1247" s="11"/>
      <x:c r="F1247" s="12" t="str">
        <x:v>Not Started</x:v>
      </x:c>
      <x:c r="G1247" s="13"/>
      <x:c r="H1247" s="30" t="str">
        <x:f>IF(AND(E1247&lt;&gt;"",F1247="Ready"),"Yes","No")</x:f>
        <x:v>No</x:v>
      </x:c>
      <x:c r="I1247" s="11"/>
    </x:row>
    <x:row r="1248" ht="38" customHeight="1">
      <x:c r="A1248" s="30" t="str">
        <x:v>CL1244</x:v>
      </x:c>
      <x:c r="B1248" s="30" t="str">
        <x:v>Capital Markets &amp; Financing</x:v>
      </x:c>
      <x:c r="C1248" s="31" t="str">
        <x:v>拿到hk offer后更多的exposure在north-asia，主要的product是M&amp;A，IPO ECM相关的很少，你ok吗</x:v>
      </x:c>
      <x:c r="D1248" s="32" t="n">
        <x:f>COUNTIF('All Questions'!$G$5:$G$1725,A1248)</x:f>
        <x:v>1</x:v>
      </x:c>
      <x:c r="E1248" s="11"/>
      <x:c r="F1248" s="12" t="str">
        <x:v>Not Started</x:v>
      </x:c>
      <x:c r="G1248" s="13"/>
      <x:c r="H1248" s="30" t="str">
        <x:f>IF(AND(E1248&lt;&gt;"",F1248="Ready"),"Yes","No")</x:f>
        <x:v>No</x:v>
      </x:c>
      <x:c r="I1248" s="11"/>
    </x:row>
    <x:row r="1249" ht="38" customHeight="1">
      <x:c r="A1249" s="30" t="str">
        <x:v>CL1245</x:v>
      </x:c>
      <x:c r="B1249" s="30" t="str">
        <x:v>Other Question</x:v>
      </x:c>
      <x:c r="C1249" s="31" t="str">
        <x:v>收入差距是因为</x:v>
      </x:c>
      <x:c r="D1249" s="32" t="n">
        <x:f>COUNTIF('All Questions'!$G$5:$G$1725,A1249)</x:f>
        <x:v>1</x:v>
      </x:c>
      <x:c r="E1249" s="11"/>
      <x:c r="F1249" s="12" t="str">
        <x:v>Not Started</x:v>
      </x:c>
      <x:c r="G1249" s="13"/>
      <x:c r="H1249" s="30" t="str">
        <x:f>IF(AND(E1249&lt;&gt;"",F1249="Ready"),"Yes","No")</x:f>
        <x:v>No</x:v>
      </x:c>
      <x:c r="I1249" s="11"/>
    </x:row>
    <x:row r="1250" ht="38" customHeight="1">
      <x:c r="A1250" s="30" t="str">
        <x:v>CL1246</x:v>
      </x:c>
      <x:c r="B1250" s="30" t="str">
        <x:v>Other Question</x:v>
      </x:c>
      <x:c r="C1250" s="31" t="str">
        <x:v>日本人口有1.2亿，理发店的总数量大约是？（估算逻辑+结果）</x:v>
      </x:c>
      <x:c r="D1250" s="32" t="n">
        <x:f>COUNTIF('All Questions'!$G$5:$G$1725,A1250)</x:f>
        <x:v>1</x:v>
      </x:c>
      <x:c r="E1250" s="11"/>
      <x:c r="F1250" s="12" t="str">
        <x:v>Not Started</x:v>
      </x:c>
      <x:c r="G1250" s="13"/>
      <x:c r="H1250" s="30" t="str">
        <x:f>IF(AND(E1250&lt;&gt;"",F1250="Ready"),"Yes","No")</x:f>
        <x:v>No</x:v>
      </x:c>
      <x:c r="I1250" s="11"/>
    </x:row>
    <x:row r="1251" ht="38" customHeight="1">
      <x:c r="A1251" s="30" t="str">
        <x:v>CL1247</x:v>
      </x:c>
      <x:c r="B1251" s="30" t="str">
        <x:v>Other Question</x:v>
      </x:c>
      <x:c r="C1251" s="31" t="str">
        <x:v>是否了解摩根基金的历史</x:v>
      </x:c>
      <x:c r="D1251" s="32" t="n">
        <x:f>COUNTIF('All Questions'!$G$5:$G$1725,A1251)</x:f>
        <x:v>1</x:v>
      </x:c>
      <x:c r="E1251" s="11"/>
      <x:c r="F1251" s="12" t="str">
        <x:v>Not Started</x:v>
      </x:c>
      <x:c r="G1251" s="13"/>
      <x:c r="H1251" s="30" t="str">
        <x:f>IF(AND(E1251&lt;&gt;"",F1251="Ready"),"Yes","No")</x:f>
        <x:v>No</x:v>
      </x:c>
      <x:c r="I1251" s="11"/>
    </x:row>
    <x:row r="1252" ht="38" customHeight="1">
      <x:c r="A1252" s="30" t="str">
        <x:v>CL1248</x:v>
      </x:c>
      <x:c r="B1252" s="30" t="str">
        <x:v>Accounting &amp; Financial Statements</x:v>
      </x:c>
      <x:c r="C1252" s="31" t="str">
        <x:v>有一個公司今年會花100capex 這個公司對financial statement什麼影響</x:v>
      </x:c>
      <x:c r="D1252" s="32" t="n">
        <x:f>COUNTIF('All Questions'!$G$5:$G$1725,A1252)</x:f>
        <x:v>1</x:v>
      </x:c>
      <x:c r="E1252" s="11"/>
      <x:c r="F1252" s="12" t="str">
        <x:v>Not Started</x:v>
      </x:c>
      <x:c r="G1252" s="13"/>
      <x:c r="H1252" s="30" t="str">
        <x:f>IF(AND(E1252&lt;&gt;"",F1252="Ready"),"Yes","No")</x:f>
        <x:v>No</x:v>
      </x:c>
      <x:c r="I1252" s="11"/>
    </x:row>
    <x:row r="1253" ht="38" customHeight="1">
      <x:c r="A1253" s="30" t="str">
        <x:v>CL1249</x:v>
      </x:c>
      <x:c r="B1253" s="30" t="str">
        <x:v>Company, Industry &amp; Deals</x:v>
      </x:c>
      <x:c r="C1253" s="31" t="str">
        <x:v>有什么其他玩家，公司的市占率多少？排名是什么 (in terms of revenue) ? 最大的公司收入多少，公司自己收入多少</x:v>
      </x:c>
      <x:c r="D1253" s="32" t="n">
        <x:f>COUNTIF('All Questions'!$G$5:$G$1725,A1253)</x:f>
        <x:v>1</x:v>
      </x:c>
      <x:c r="E1253" s="11"/>
      <x:c r="F1253" s="12" t="str">
        <x:v>Not Started</x:v>
      </x:c>
      <x:c r="G1253" s="13"/>
      <x:c r="H1253" s="30" t="str">
        <x:f>IF(AND(E1253&lt;&gt;"",F1253="Ready"),"Yes","No")</x:f>
        <x:v>No</x:v>
      </x:c>
      <x:c r="I1253" s="11"/>
    </x:row>
    <x:row r="1254" ht="38" customHeight="1">
      <x:c r="A1254" s="30" t="str">
        <x:v>CL1250</x:v>
      </x:c>
      <x:c r="B1254" s="30" t="str">
        <x:v>Other Question</x:v>
      </x:c>
      <x:c r="C1254" s="31" t="str">
        <x:v>有什么问题想问</x:v>
      </x:c>
      <x:c r="D1254" s="32" t="n">
        <x:f>COUNTIF('All Questions'!$G$5:$G$1725,A1254)</x:f>
        <x:v>1</x:v>
      </x:c>
      <x:c r="E1254" s="11"/>
      <x:c r="F1254" s="12" t="str">
        <x:v>Not Started</x:v>
      </x:c>
      <x:c r="G1254" s="13"/>
      <x:c r="H1254" s="30" t="str">
        <x:f>IF(AND(E1254&lt;&gt;"",F1254="Ready"),"Yes","No")</x:f>
        <x:v>No</x:v>
      </x:c>
      <x:c r="I1254" s="11"/>
    </x:row>
    <x:row r="1255" ht="38" customHeight="1">
      <x:c r="A1255" s="30" t="str">
        <x:v>CL1251</x:v>
      </x:c>
      <x:c r="B1255" s="30" t="str">
        <x:v>Accounting &amp; Financial Statements</x:v>
      </x:c>
      <x:c r="C1255" s="31" t="str">
        <x:v>油船公司有什么技术上的优势/方法？（I told him the diff is business model)</x:v>
      </x:c>
      <x:c r="D1255" s="32" t="n">
        <x:f>COUNTIF('All Questions'!$G$5:$G$1725,A1255)</x:f>
        <x:v>1</x:v>
      </x:c>
      <x:c r="E1255" s="11"/>
      <x:c r="F1255" s="12" t="str">
        <x:v>Not Started</x:v>
      </x:c>
      <x:c r="G1255" s="13"/>
      <x:c r="H1255" s="30" t="str">
        <x:f>IF(AND(E1255&lt;&gt;"",F1255="Ready"),"Yes","No")</x:f>
        <x:v>No</x:v>
      </x:c>
      <x:c r="I1255" s="11"/>
    </x:row>
    <x:row r="1256" ht="38" customHeight="1">
      <x:c r="A1256" s="30" t="str">
        <x:v>CL1252</x:v>
      </x:c>
      <x:c r="B1256" s="30" t="str">
        <x:v>Other Question</x:v>
      </x:c>
      <x:c r="C1256" s="31" t="str">
        <x:v>现在行业表现好吗？有什么变化</x:v>
      </x:c>
      <x:c r="D1256" s="32" t="n">
        <x:f>COUNTIF('All Questions'!$G$5:$G$1725,A1256)</x:f>
        <x:v>1</x:v>
      </x:c>
      <x:c r="E1256" s="11"/>
      <x:c r="F1256" s="12" t="str">
        <x:v>Not Started</x:v>
      </x:c>
      <x:c r="G1256" s="13"/>
      <x:c r="H1256" s="30" t="str">
        <x:f>IF(AND(E1256&lt;&gt;"",F1256="Ready"),"Yes","No")</x:f>
        <x:v>No</x:v>
      </x:c>
      <x:c r="I1256" s="11"/>
    </x:row>
    <x:row r="1257" ht="38" customHeight="1">
      <x:c r="A1257" s="30" t="str">
        <x:v>CL1253</x:v>
      </x:c>
      <x:c r="B1257" s="30" t="str">
        <x:v>M&amp;A</x:v>
      </x:c>
      <x:c r="C1257" s="31" t="str">
        <x:v>讲一下M&amp;A的整个流程（buyside/sellside）</x:v>
      </x:c>
      <x:c r="D1257" s="32" t="n">
        <x:f>COUNTIF('All Questions'!$G$5:$G$1725,A1257)</x:f>
        <x:v>1</x:v>
      </x:c>
      <x:c r="E1257" s="11"/>
      <x:c r="F1257" s="12" t="str">
        <x:v>Not Started</x:v>
      </x:c>
      <x:c r="G1257" s="13"/>
      <x:c r="H1257" s="30" t="str">
        <x:f>IF(AND(E1257&lt;&gt;"",F1257="Ready"),"Yes","No")</x:f>
        <x:v>No</x:v>
      </x:c>
      <x:c r="I1257" s="11"/>
    </x:row>
    <x:row r="1258" ht="38" customHeight="1">
      <x:c r="A1258" s="30" t="str">
        <x:v>CL1254</x:v>
      </x:c>
      <x:c r="B1258" s="30" t="str">
        <x:v>Consulting &amp; Case</x:v>
      </x:c>
      <x:c r="C1258" s="31" t="str">
        <x:v>讲一下最近一段实习经历</x:v>
      </x:c>
      <x:c r="D1258" s="32" t="n">
        <x:f>COUNTIF('All Questions'!$G$5:$G$1725,A1258)</x:f>
        <x:v>1</x:v>
      </x:c>
      <x:c r="E1258" s="11"/>
      <x:c r="F1258" s="12" t="str">
        <x:v>Not Started</x:v>
      </x:c>
      <x:c r="G1258" s="13"/>
      <x:c r="H1258" s="30" t="str">
        <x:f>IF(AND(E1258&lt;&gt;"",F1258="Ready"),"Yes","No")</x:f>
        <x:v>No</x:v>
      </x:c>
      <x:c r="I1258" s="11"/>
    </x:row>
    <x:row r="1259" ht="38" customHeight="1">
      <x:c r="A1259" s="30" t="str">
        <x:v>CL1255</x:v>
      </x:c>
      <x:c r="B1259" s="30" t="str">
        <x:v>Other Question</x:v>
      </x:c>
      <x:c r="C1259" s="31" t="str">
        <x:v>详细讲讲你的PA Investment - follow-up: 做投资决定的主要参考依据？调仓的频率</x:v>
      </x:c>
      <x:c r="D1259" s="32" t="n">
        <x:f>COUNTIF('All Questions'!$G$5:$G$1725,A1259)</x:f>
        <x:v>1</x:v>
      </x:c>
      <x:c r="E1259" s="11"/>
      <x:c r="F1259" s="12" t="str">
        <x:v>Not Started</x:v>
      </x:c>
      <x:c r="G1259" s="13"/>
      <x:c r="H1259" s="30" t="str">
        <x:f>IF(AND(E1259&lt;&gt;"",F1259="Ready"),"Yes","No")</x:f>
        <x:v>No</x:v>
      </x:c>
      <x:c r="I1259" s="11"/>
    </x:row>
    <x:row r="1260" ht="38" customHeight="1">
      <x:c r="A1260" s="30" t="str">
        <x:v>CL1256</x:v>
      </x:c>
      <x:c r="B1260" s="30" t="str">
        <x:v>Other Technical</x:v>
      </x:c>
      <x:c r="C1260" s="31" t="str">
        <x:v>谁是你的role model</x:v>
      </x:c>
      <x:c r="D1260" s="32" t="n">
        <x:f>COUNTIF('All Questions'!$G$5:$G$1725,A1260)</x:f>
        <x:v>1</x:v>
      </x:c>
      <x:c r="E1260" s="11"/>
      <x:c r="F1260" s="12" t="str">
        <x:v>Not Started</x:v>
      </x:c>
      <x:c r="G1260" s="13"/>
      <x:c r="H1260" s="30" t="str">
        <x:f>IF(AND(E1260&lt;&gt;"",F1260="Ready"),"Yes","No")</x:f>
        <x:v>No</x:v>
      </x:c>
      <x:c r="I1260" s="11"/>
    </x:row>
    <x:row r="1261" ht="38" customHeight="1">
      <x:c r="A1261" s="30" t="str">
        <x:v>CL1257</x:v>
      </x:c>
      <x:c r="B1261" s="30" t="str">
        <x:v>Other Question</x:v>
      </x:c>
      <x:c r="C1261" s="31" t="str">
        <x:v>那你覺得加盟店最大的挑戰是什麼</x:v>
      </x:c>
      <x:c r="D1261" s="32" t="n">
        <x:f>COUNTIF('All Questions'!$G$5:$G$1725,A1261)</x:f>
        <x:v>1</x:v>
      </x:c>
      <x:c r="E1261" s="11"/>
      <x:c r="F1261" s="12" t="str">
        <x:v>Not Started</x:v>
      </x:c>
      <x:c r="G1261" s="13"/>
      <x:c r="H1261" s="30" t="str">
        <x:f>IF(AND(E1261&lt;&gt;"",F1261="Ready"),"Yes","No")</x:f>
        <x:v>No</x:v>
      </x:c>
      <x:c r="I1261" s="11"/>
    </x:row>
    <x:row r="1262" ht="80" customHeight="1">
      <x:c r="A1262" s="30" t="str">
        <x:v>CL1258</x:v>
      </x:c>
      <x:c r="B1262" s="30" t="str">
        <x:v>Behavioral &amp; Situational</x:v>
      </x:c>
      <x:c r="C1262" s="31" t="str">
        <x:v>雖然你想進M&amp;A，但我覺得妳會適合hk coverage team，你會願意嗎？(i said yes and also asked for permission to show my knowledge in hk ipo deal of DB since when she asked me m&amp;a i said a european deal...)</x:v>
      </x:c>
      <x:c r="D1262" s="32" t="n">
        <x:f>COUNTIF('All Questions'!$G$5:$G$1725,A1262)</x:f>
        <x:v>1</x:v>
      </x:c>
      <x:c r="E1262" s="11"/>
      <x:c r="F1262" s="12" t="str">
        <x:v>Not Started</x:v>
      </x:c>
      <x:c r="G1262" s="13"/>
      <x:c r="H1262" s="30" t="str">
        <x:f>IF(AND(E1262&lt;&gt;"",F1262="Ready"),"Yes","No")</x:f>
        <x:v>No</x:v>
      </x:c>
      <x:c r="I1262" s="11"/>
    </x:row>
  </x:sheetData>
  <x:mergeCells>
    <x:mergeCell ref="A1:I1"/>
    <x:mergeCell ref="A2:I2"/>
  </x:mergeCells>
  <x:conditionalFormatting sqref="F5:F1262">
    <x:cfRule type="containsText" dxfId="0" priority="1" operator="containsText" text="Ready"/>
    <x:cfRule type="containsText" dxfId="1" priority="2" operator="containsText" text="Draft"/>
  </x:conditionalFormatting>
  <x:conditionalFormatting sqref="H5:H1262">
    <x:cfRule type="containsText" dxfId="2" priority="3" operator="containsText" text="Yes"/>
  </x:conditionalFormatting>
  <x:dataValidations count="1">
    <x:dataValidation type="list" sqref="F5:F1262">
      <x:formula1>"Not Started,Draft,Ready"</x:formula1>
    </x:dataValidation>
  </x:dataValidations>
  <x:pageMargins left="0.7" right="0.7" top="0.75" bottom="0.75" header="0.3" footer="0.3"/>
  <x:tableParts count="1">
    <x:tablePart xmlns:r="http://schemas.openxmlformats.org/officeDocument/2006/relationships" r:id="R7c79636b19ce46b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56" hidden="0" customWidth="1"/>
    <x:col min="3" max="3" width="28" hidden="0" customWidth="1"/>
    <x:col min="4" max="4" width="12" hidden="0" customWidth="1"/>
    <x:col min="5" max="5" width="54" hidden="0" customWidth="1"/>
    <x:col min="6" max="6" width="28" hidden="0" customWidth="1"/>
    <x:col min="7" max="7" width="72" hidden="0" customWidth="1"/>
  </x:cols>
  <x:sheetData>
    <x:row r="1" ht="34" customHeight="1">
      <x:c r="A1" s="3" t="str">
        <x:v>Canonical Question Index</x:v>
      </x:c>
      <x:c r="B1" s="3"/>
      <x:c r="C1" s="3"/>
      <x:c r="D1" s="3"/>
      <x:c r="E1" s="3"/>
      <x:c r="F1" s="3"/>
      <x:c r="G1" s="3"/>
    </x:row>
    <x:row r="2" ht="30" customHeight="1">
      <x:c r="A2" s="7" t="str">
        <x:v>One row per deduplicated question cluster; use Cluster ID to locate its editable response in Answer Bank.</x:v>
      </x:c>
      <x:c r="B2" s="7"/>
      <x:c r="C2" s="7"/>
      <x:c r="D2" s="7"/>
      <x:c r="E2" s="7"/>
      <x:c r="F2" s="7"/>
      <x:c r="G2" s="7"/>
    </x:row>
    <x:row r="4" ht="28" customHeight="1">
      <x:c r="A4" s="27" t="str">
        <x:v>Cluster ID</x:v>
      </x:c>
      <x:c r="B4" s="28" t="str">
        <x:v>Canonical Question</x:v>
      </x:c>
      <x:c r="C4" s="28" t="str">
        <x:v>Primary Type</x:v>
      </x:c>
      <x:c r="D4" s="28" t="str">
        <x:v>Occurrences</x:v>
      </x:c>
      <x:c r="E4" s="28" t="str">
        <x:v>Banks / Teams</x:v>
      </x:c>
      <x:c r="F4" s="28" t="str">
        <x:v>Divisions</x:v>
      </x:c>
      <x:c r="G4" s="29" t="str">
        <x:v>Example Variants</x:v>
      </x:c>
    </x:row>
    <x:row r="5" ht="34" customHeight="1">
      <x:c r="A5" s="30" t="str">
        <x:v>CL0001</x:v>
      </x:c>
      <x:c r="B5" s="31" t="str">
        <x:v>Tell me about yourself / walk me through your resume</x:v>
      </x:c>
      <x:c r="C5" s="31" t="str">
        <x:v>Resume &amp; Experience</x:v>
      </x:c>
      <x:c r="D5" s="69" t="n">
        <x:f>COUNTIF('All Questions'!$G$5:$G$1725,A5)</x:f>
        <x:v>170</x:v>
      </x:c>
      <x:c r="E5" s="31" t="str">
        <x:v>MS IBD; MS GCM; UBS IBD; Deutsche; Citi; Barclays; GS DCMECM; Bofa IBD; Bofa GCM; JPM; Moelis; Jefferies; Lazard; Nomura; Houlihan Lokey; GS PWM; JPM PB; JPM AM; HSBC PB; BlackRock; Mckinsey; BCG; Bain &amp; Company; MS IED; Barclays GM; BofA (GM); HSBC (GM); JPM (GM); UBS(GM Off ...</x:v>
      </x:c>
      <x:c r="F5" s="31" t="str">
        <x:v>IBD / GCM; PWM / AM; Consulting; Sales &amp; Trading; PE / VC / Other</x:v>
      </x:c>
      <x:c r="G5" s="31" t="str">
        <x:v>Walk me through your resume and tell me about yourself | Self-intro | Self Intro + Why IBD | Self introduction/ walk me through your resume | Self Intro</x:v>
      </x:c>
    </x:row>
    <x:row r="6" ht="34" customHeight="1">
      <x:c r="A6" s="30" t="str">
        <x:v>CL0002</x:v>
      </x:c>
      <x:c r="B6" s="31" t="str">
        <x:v>Why this firm?</x:v>
      </x:c>
      <x:c r="C6" s="31" t="str">
        <x:v>Fit &amp; Motivation</x:v>
      </x:c>
      <x:c r="D6" s="69" t="n">
        <x:f>COUNTIF('All Questions'!$G$5:$G$1725,A6)</x:f>
        <x:v>39</x:v>
      </x:c>
      <x:c r="E6" s="31" t="str">
        <x:v>MS IBD; MS GCM; UBS IBD; Deutsche; Citi; Barclays; GS DCMECM; Bofa IBD; Bofa GCM; Moelis; Jefferies; Nomura; HSBC (GM); HKEX; Mindworks Capital</x:v>
      </x:c>
      <x:c r="F6" s="31" t="str">
        <x:v>IBD / GCM; Sales &amp; Trading; PE / VC / Other</x:v>
      </x:c>
      <x:c r="G6" s="31" t="str">
        <x:v>Why Morgan Stanley? | Why MS? | Why MS/Why IBD not consulting/PE | Why MS, not Goldman? Name 3 recent MS deals | Why MS</x:v>
      </x:c>
    </x:row>
    <x:row r="7" ht="34" customHeight="1">
      <x:c r="A7" s="30" t="str">
        <x:v>CL0003</x:v>
      </x:c>
      <x:c r="B7" s="31" t="str">
        <x:v>Why investment banking?</x:v>
      </x:c>
      <x:c r="C7" s="31" t="str">
        <x:v>Fit &amp; Motivation</x:v>
      </x:c>
      <x:c r="D7" s="69" t="n">
        <x:f>COUNTIF('All Questions'!$G$5:$G$1725,A7)</x:f>
        <x:v>34</x:v>
      </x:c>
      <x:c r="E7" s="31" t="str">
        <x:v>MS IBD; MS GCM; UBS IBD; Deutsche; Citi; Barclays; Bofa IBD; HSBC; Nomura</x:v>
      </x:c>
      <x:c r="F7" s="31" t="str">
        <x:v>IBD / GCM</x:v>
      </x:c>
      <x:c r="G7" s="31" t="str">
        <x:v>You have internships in other areas, why IBD? | Why investment banking but not consulting | why banking; | Why IBD how do you compare it with other industries | Why IBD not PE</x:v>
      </x:c>
    </x:row>
    <x:row r="8" ht="34" customHeight="1">
      <x:c r="A8" s="30" t="str">
        <x:v>CL0004</x:v>
      </x:c>
      <x:c r="B8" s="31" t="str">
        <x:v>How does a transaction flow through the three financial statements?</x:v>
      </x:c>
      <x:c r="C8" s="31" t="str">
        <x:v>Accounting &amp; Financial Statements</x:v>
      </x:c>
      <x:c r="D8" s="69" t="n">
        <x:f>COUNTIF('All Questions'!$G$5:$G$1725,A8)</x:f>
        <x:v>21</x:v>
      </x:c>
      <x:c r="E8" s="31" t="str">
        <x:v>MS IBD; UBS IBD; Deutsche; Barclays; GS DCMECM; Jefferies; BNP Paribas; HSBC; Nomura</x:v>
      </x:c>
      <x:c r="F8" s="31" t="str">
        <x:v>IBD / GCM</x:v>
      </x:c>
      <x:c r="G8" s="31" t="str">
        <x:v>use debt to buy $100 machine, how 3 statements change? | how 3 statements change? | ⁠⁠if a company invests 20% into another company, how does it show up on the 3 statements | How will capital raise affect 3 statements, follow-ups | Investment accounting: 10 percent vs 60 perce...</x:v>
      </x:c>
    </x:row>
    <x:row r="9" ht="34" customHeight="1">
      <x:c r="A9" s="30" t="str">
        <x:v>CL0005</x:v>
      </x:c>
      <x:c r="B9" s="31" t="str">
        <x:v>How should a company choose between debt and equity financing?</x:v>
      </x:c>
      <x:c r="C9" s="31" t="str">
        <x:v>Capital Markets &amp; Financing</x:v>
      </x:c>
      <x:c r="D9" s="69" t="n">
        <x:f>COUNTIF('All Questions'!$G$5:$G$1725,A9)</x:f>
        <x:v>21</x:v>
      </x:c>
      <x:c r="E9" s="31" t="str">
        <x:v>MS IBD; MS GCM; Deutsche; Bofa IBD; Grant Samuel; Jefferies; Lazard; Greenhill</x:v>
      </x:c>
      <x:c r="F9" s="31" t="str">
        <x:v>IBD / GCM</x:v>
      </x:c>
      <x:c r="G9" s="31" t="str">
        <x:v>Things to consider for Debt investors vs Equity investors | Cost of equity or cost of debt higher, why? | How would you advise an energy storage company to raise capital, debt or equity | How would you advise an EV company to raise capital, debt or equity | If you are Tencent ...</x:v>
      </x:c>
    </x:row>
    <x:row r="10" ht="52" customHeight="1">
      <x:c r="A10" s="30" t="str">
        <x:v>CL0006</x:v>
      </x:c>
      <x:c r="B10" s="31" t="str">
        <x:v>Pitch me a stock</x:v>
      </x:c>
      <x:c r="C10" s="31" t="str">
        <x:v>Investment Pitch</x:v>
      </x:c>
      <x:c r="D10" s="69" t="n">
        <x:f>COUNTIF('All Questions'!$G$5:$G$1725,A10)</x:f>
        <x:v>19</x:v>
      </x:c>
      <x:c r="E10" s="31" t="str">
        <x:v>MS GCM; UBS IBD; Deutsche; Bofa IBD; Lazard; Greenhill; GS PWM; BlackRock; MS IED; Others (eg. PE, CB...)</x:v>
      </x:c>
      <x:c r="F10" s="31" t="str">
        <x:v>IBD / GCM; PWM / AM; Sales &amp; Trading; PE / VC / Other</x:v>
      </x:c>
      <x:c r="G10" s="31" t="str">
        <x:v>Pitch me a stock | Pitch me a stock; | other sector you followed? pitch a stock in that sector (i wanna pitch one listed in mainland, she said No, can only pitch stock listed in hk) | grill on stock pitch (many follow-up questions) | some other follow-up questions on my previo...</x:v>
      </x:c>
    </x:row>
    <x:row r="11" ht="76" customHeight="1">
      <x:c r="A11" s="30" t="str">
        <x:v>CL0007</x:v>
      </x:c>
      <x:c r="B11" s="31" t="str">
        <x:v>Tell me about a challenge, setback, or failure</x:v>
      </x:c>
      <x:c r="C11" s="31" t="str">
        <x:v>Behavioral &amp; Situational</x:v>
      </x:c>
      <x:c r="D11" s="69" t="n">
        <x:f>COUNTIF('All Questions'!$G$5:$G$1725,A11)</x:f>
        <x:v>16</x:v>
      </x:c>
      <x:c r="E11" s="31" t="str">
        <x:v>MS IBD; MS GCM; UBS IBD; Deutsche; Citi; Barclays; Nomura; Mckinsey</x:v>
      </x:c>
      <x:c r="F11" s="31" t="str">
        <x:v>IBD / GCM; Consulting</x:v>
      </x:c>
      <x:c r="G11" s="31" t="str">
        <x:v>What's a time you faced challenges and how did you manage it | do you have some challenging time in your life? Share your story | Tell me a time you faced challenges | in light of continued challenging developments of china real estate space, what do you think is the medium te...</x:v>
      </x:c>
    </x:row>
    <x:row r="12" ht="34" customHeight="1">
      <x:c r="A12" s="30" t="str">
        <x:v>CL0008</x:v>
      </x:c>
      <x:c r="B12" s="31" t="str">
        <x:v>Discuss a recent deal completed by this firm</x:v>
      </x:c>
      <x:c r="C12" s="31" t="str">
        <x:v>Company, Industry &amp; Deals</x:v>
      </x:c>
      <x:c r="D12" s="69" t="n">
        <x:f>COUNTIF('All Questions'!$G$5:$G$1725,A12)</x:f>
        <x:v>14</x:v>
      </x:c>
      <x:c r="E12" s="31" t="str">
        <x:v>MS IBD; MS GCM; Citi; Bofa GCM; Moelis; Nomura; Centrium</x:v>
      </x:c>
      <x:c r="F12" s="31" t="str">
        <x:v>IBD / GCM; PE / VC / Other</x:v>
      </x:c>
      <x:c r="G12" s="31" t="str">
        <x:v>Tell me some deals MS has done | Tell me some deals MS did | Pick 2 deals of MS, talk about my views on why the deal would happen | Tell me about a deal done by MS | Walk thru a deal by MS</x:v>
      </x:c>
    </x:row>
    <x:row r="13" ht="34" customHeight="1">
      <x:c r="A13" s="30" t="str">
        <x:v>CL0009</x:v>
      </x:c>
      <x:c r="B13" s="31" t="str">
        <x:v>Why global capital markets?</x:v>
      </x:c>
      <x:c r="C13" s="31" t="str">
        <x:v>Fit &amp; Motivation</x:v>
      </x:c>
      <x:c r="D13" s="69" t="n">
        <x:f>COUNTIF('All Questions'!$G$5:$G$1725,A13)</x:f>
        <x:v>14</x:v>
      </x:c>
      <x:c r="E13" s="31" t="str">
        <x:v>MS GCM; Bofa GCM</x:v>
      </x:c>
      <x:c r="F13" s="31" t="str">
        <x:v>IBD / GCM</x:v>
      </x:c>
      <x:c r="G13" s="31" t="str">
        <x:v>why GCM not IBD | Why GCM | Why GCM ? | why GCM, not IBD | why gcm;</x:v>
      </x:c>
    </x:row>
    <x:row r="14" ht="34" customHeight="1">
      <x:c r="A14" s="30" t="str">
        <x:v>CL0010</x:v>
      </x:c>
      <x:c r="B14" s="31" t="str">
        <x:v>What are the main valuation methodologies?</x:v>
      </x:c>
      <x:c r="C14" s="31" t="str">
        <x:v>Valuation</x:v>
      </x:c>
      <x:c r="D14" s="69" t="n">
        <x:f>COUNTIF('All Questions'!$G$5:$G$1725,A14)</x:f>
        <x:v>13</x:v>
      </x:c>
      <x:c r="E14" s="31" t="str">
        <x:v>MS IBD; Deutsche; Citi; Jefferies; BNP Paribas; Lazard; Nomura</x:v>
      </x:c>
      <x:c r="F14" s="31" t="str">
        <x:v>IBD / GCM</x:v>
      </x:c>
      <x:c r="G14" s="31" t="str">
        <x:v>Valuation methodologies | Common valuation methodologies | valuation methodologies | What are the three valuation methodologies? | i. Briefly explain/introduce the three valuation methodologies</x:v>
      </x:c>
    </x:row>
    <x:row r="15" ht="34" customHeight="1">
      <x:c r="A15" s="30" t="str">
        <x:v>CL0011</x:v>
      </x:c>
      <x:c r="B15" s="31" t="str">
        <x:v>How do you calculate WACC?</x:v>
      </x:c>
      <x:c r="C15" s="31" t="str">
        <x:v>Valuation</x:v>
      </x:c>
      <x:c r="D15" s="69" t="n">
        <x:f>COUNTIF('All Questions'!$G$5:$G$1725,A15)</x:f>
        <x:v>12</x:v>
      </x:c>
      <x:c r="E15" s="31" t="str">
        <x:v>MS IBD; MS GCM; UBS IBD; Deutsche; Moelis; Lazard; Greenhill; Nomura</x:v>
      </x:c>
      <x:c r="F15" s="31" t="str">
        <x:v>IBD / GCM</x:v>
      </x:c>
      <x:c r="G15" s="31" t="str">
        <x:v>how to calc WACC | How will an increase in leverage affect wacc | How does increase in leverage affects wacc | If add leverage, how does WACC change | How does debt affect WACC</x:v>
      </x:c>
    </x:row>
    <x:row r="16" ht="52" customHeight="1">
      <x:c r="A16" s="30" t="str">
        <x:v>CL0012</x:v>
      </x:c>
      <x:c r="B16" s="31" t="str">
        <x:v>How do you select comparable companies?</x:v>
      </x:c>
      <x:c r="C16" s="31" t="str">
        <x:v>Valuation</x:v>
      </x:c>
      <x:c r="D16" s="69" t="n">
        <x:f>COUNTIF('All Questions'!$G$5:$G$1725,A16)</x:f>
        <x:v>12</x:v>
      </x:c>
      <x:c r="E16" s="31" t="str">
        <x:v>MS GCM; UBS IBD; Deutsche; Barclays; Moelis; BNP Paribas; Nomura; MSPEA</x:v>
      </x:c>
      <x:c r="F16" s="31" t="str">
        <x:v>IBD / GCM; PE / VC / Other</x:v>
      </x:c>
      <x:c r="G16" s="31" t="str">
        <x:v>Tell me about a deal done by MS, valuation, how did you find the comps for it? | how to find comps | how to find comps for a hypothetical case | e.g., how did you do comps, how did you select the comparables, how did you find WACC in DCF, how did you find beta in WACC, what as...</x:v>
      </x:c>
    </x:row>
    <x:row r="17" ht="34" customHeight="1">
      <x:c r="A17" s="30" t="str">
        <x:v>CL0013</x:v>
      </x:c>
      <x:c r="B17" s="31" t="str">
        <x:v>Walk me through a DCF</x:v>
      </x:c>
      <x:c r="C17" s="31" t="str">
        <x:v>Valuation</x:v>
      </x:c>
      <x:c r="D17" s="69" t="n">
        <x:f>COUNTIF('All Questions'!$G$5:$G$1725,A17)</x:f>
        <x:v>10</x:v>
      </x:c>
      <x:c r="E17" s="31" t="str">
        <x:v>MS IBD; Deutsche; BNP Paribas; Lazard; Greenhill; Nomura</x:v>
      </x:c>
      <x:c r="F17" s="31" t="str">
        <x:v>IBD / GCM</x:v>
      </x:c>
      <x:c r="G17" s="31" t="str">
        <x:v>Walk me through DCF (general overview) | walk me through dcf | Walk me through DCF | Walk me through a dcf | walk through a dcf</x:v>
      </x:c>
    </x:row>
    <x:row r="18" ht="34" customHeight="1">
      <x:c r="A18" s="30" t="str">
        <x:v>CL0014</x:v>
      </x:c>
      <x:c r="B18" s="31" t="str">
        <x:v>What are your interests outside work and school?</x:v>
      </x:c>
      <x:c r="C18" s="31" t="str">
        <x:v>Other Question</x:v>
      </x:c>
      <x:c r="D18" s="69" t="n">
        <x:f>COUNTIF('All Questions'!$G$5:$G$1725,A18)</x:f>
        <x:v>10</x:v>
      </x:c>
      <x:c r="E18" s="31" t="str">
        <x:v>MS GCM; Deutsche; GS DCMECM; HSBC; Nomura; Houlihan Lokey; MS IED; BofA (GM); Others (eg. PE, CB...); MSPEA</x:v>
      </x:c>
      <x:c r="F18" s="31" t="str">
        <x:v>IBD / GCM; Sales &amp; Trading; PE / VC / Other</x:v>
      </x:c>
      <x:c r="G18" s="31" t="str">
        <x:v>Hobbies | Any hobbies? | What are your hobbies, show me your Instagram filters | any hobbies | Very demanding work, can you handle it? How will you balance your hobbies and interests?</x:v>
      </x:c>
    </x:row>
    <x:row r="19" ht="34" customHeight="1">
      <x:c r="A19" s="30" t="str">
        <x:v>CL0015</x:v>
      </x:c>
      <x:c r="B19" s="31" t="str">
        <x:v>Bridge equity value to enterprise value</x:v>
      </x:c>
      <x:c r="C19" s="31" t="str">
        <x:v>Valuation</x:v>
      </x:c>
      <x:c r="D19" s="69" t="n">
        <x:f>COUNTIF('All Questions'!$G$5:$G$1725,A19)</x:f>
        <x:v>8</x:v>
      </x:c>
      <x:c r="E19" s="31" t="str">
        <x:v>MS IBD; Citi; BNP Paribas; HSBC; Lazard; Greenhill</x:v>
      </x:c>
      <x:c r="F19" s="31" t="str">
        <x:v>IBD / GCM</x:v>
      </x:c>
      <x:c r="G19" s="31" t="str">
        <x:v>How do you find its equity value (from enterprise value)? | How will an increase in debt affect enterprise value and equity value | get enterprise value from equity value | how to get ev from equity value | is the value that you calculated from "70%" equity value or enterprise...</x:v>
      </x:c>
    </x:row>
    <x:row r="20" ht="52" customHeight="1">
      <x:c r="A20" s="30" t="str">
        <x:v>CL0016</x:v>
      </x:c>
      <x:c r="B20" s="31" t="str">
        <x:v>Explain convertible bonds and why an issuer might use them</x:v>
      </x:c>
      <x:c r="C20" s="31" t="str">
        <x:v>Accounting &amp; Financial Statements</x:v>
      </x:c>
      <x:c r="D20" s="69" t="n">
        <x:f>COUNTIF('All Questions'!$G$5:$G$1725,A20)</x:f>
        <x:v>8</x:v>
      </x:c>
      <x:c r="E20" s="31" t="str">
        <x:v>MS GCM; Barclays; Bofa GCM</x:v>
      </x:c>
      <x:c r="F20" s="31" t="str">
        <x:v>IBD / GCM</x:v>
      </x:c>
      <x:c r="G20" s="31" t="str">
        <x:v>What is convertible bonds | How do you price the convertible bonds | What are some inputs in calculating the price of convertible bonds | I am doing convertibles - any ideas or have been following any updates in this field? | (i said honestly no, but i do know that the convert...</x:v>
      </x:c>
    </x:row>
    <x:row r="21" ht="52" customHeight="1">
      <x:c r="A21" s="30" t="str">
        <x:v>CL0017</x:v>
      </x:c>
      <x:c r="B21" s="31" t="str">
        <x:v>Walk me through a deal you worked on</x:v>
      </x:c>
      <x:c r="C21" s="31" t="str">
        <x:v>Resume &amp; Experience</x:v>
      </x:c>
      <x:c r="D21" s="69" t="n">
        <x:f>COUNTIF('All Questions'!$G$5:$G$1725,A21)</x:f>
        <x:v>8</x:v>
      </x:c>
      <x:c r="E21" s="31" t="str">
        <x:v>MS GCM; UBS IBD; Barclays; Bofa IBD; Nomura; Houlihan Lokey; Fountainvest</x:v>
      </x:c>
      <x:c r="F21" s="31" t="str">
        <x:v>IBD / GCM; PE / VC / Other</x:v>
      </x:c>
      <x:c r="G21" s="31" t="str">
        <x:v>a firm/deal you worked on that you think is interesting; | Walk me thru ur first deal, closed? | For my most favourite internship, walk through deal, ask about equity-linked notes and whether it is closed | Tell me about a deal you worked on. | UBS walk me through a deal you w...</x:v>
      </x:c>
    </x:row>
    <x:row r="22" ht="34" customHeight="1">
      <x:c r="A22" s="30" t="str">
        <x:v>CL0018</x:v>
      </x:c>
      <x:c r="B22" s="31" t="str">
        <x:v>What is your current market outlook?</x:v>
      </x:c>
      <x:c r="C22" s="31" t="str">
        <x:v>Markets &amp; Macro</x:v>
      </x:c>
      <x:c r="D22" s="69" t="n">
        <x:f>COUNTIF('All Questions'!$G$5:$G$1725,A22)</x:f>
        <x:v>5</x:v>
      </x:c>
      <x:c r="E22" s="31" t="str">
        <x:v>MS GCM; Deutsche; Barclays; HSBC (GM)</x:v>
      </x:c>
      <x:c r="F22" s="31" t="str">
        <x:v>IBD / GCM; Sales &amp; Trading</x:v>
      </x:c>
      <x:c r="G22" s="31" t="str">
        <x:v>Market outlook | How do you view the HK and China market for past two weeks | Market views/market news (anything happening in the markets that you think is interesting) | tell me 2 main drivers of the market recently and where do u see markets going in the future</x:v>
      </x:c>
    </x:row>
    <x:row r="23" ht="34" customHeight="1">
      <x:c r="A23" s="30" t="str">
        <x:v>CL0019</x:v>
      </x:c>
      <x:c r="B23" s="31" t="str">
        <x:v>Return</x:v>
      </x:c>
      <x:c r="C23" s="31" t="str">
        <x:v>Other Question</x:v>
      </x:c>
      <x:c r="D23" s="69" t="n">
        <x:f>COUNTIF('All Questions'!$G$5:$G$1725,A23)</x:f>
        <x:v>4</x:v>
      </x:c>
      <x:c r="E23" s="31" t="str">
        <x:v>Deutsche</x:v>
      </x:c>
      <x:c r="F23" s="31" t="str">
        <x:v>IBD / GCM</x:v>
      </x:c>
      <x:c r="G23" s="31" t="str">
        <x:v>return? | Return？ | Return?</x:v>
      </x:c>
    </x:row>
    <x:row r="24" ht="34" customHeight="1">
      <x:c r="A24" s="30" t="str">
        <x:v>CL0020</x:v>
      </x:c>
      <x:c r="B24" s="31" t="str">
        <x:v>Why this role instead of another career path?</x:v>
      </x:c>
      <x:c r="C24" s="31" t="str">
        <x:v>Fit &amp; Motivation</x:v>
      </x:c>
      <x:c r="D24" s="69" t="n">
        <x:f>COUNTIF('All Questions'!$G$5:$G$1725,A24)</x:f>
        <x:v>4</x:v>
      </x:c>
      <x:c r="E24" s="31" t="str">
        <x:v>MS GCM; Nomura; Mckinsey</x:v>
      </x:c>
      <x:c r="F24" s="31" t="str">
        <x:v>IBD / GCM; Consulting</x:v>
      </x:c>
      <x:c r="G24" s="31" t="str">
        <x:v>why not consulting, PE | Why not ER? | why not pe | why not banking</x:v>
      </x:c>
    </x:row>
    <x:row r="25" ht="34" customHeight="1">
      <x:c r="A25" s="30" t="str">
        <x:v>CL0021</x:v>
      </x:c>
      <x:c r="B25" s="31" t="str">
        <x:v>DCF</x:v>
      </x:c>
      <x:c r="C25" s="31" t="str">
        <x:v>Valuation</x:v>
      </x:c>
      <x:c r="D25" s="69" t="n">
        <x:f>COUNTIF('All Questions'!$G$5:$G$1725,A25)</x:f>
        <x:v>3</x:v>
      </x:c>
      <x:c r="E25" s="31" t="str">
        <x:v>Barclays; BNP Paribas</x:v>
      </x:c>
      <x:c r="F25" s="31" t="str">
        <x:v>IBD / GCM</x:v>
      </x:c>
      <x:c r="G25" s="31" t="str">
        <x:v>DCF; | DCF</x:v>
      </x:c>
    </x:row>
    <x:row r="26" ht="34" customHeight="1">
      <x:c r="A26" s="30" t="str">
        <x:v>CL0022</x:v>
      </x:c>
      <x:c r="B26" s="31" t="str">
        <x:v>How to pronounce your name</x:v>
      </x:c>
      <x:c r="C26" s="31" t="str">
        <x:v>Other Question</x:v>
      </x:c>
      <x:c r="D26" s="69" t="n">
        <x:f>COUNTIF('All Questions'!$G$5:$G$1725,A26)</x:f>
        <x:v>3</x:v>
      </x:c>
      <x:c r="E26" s="31" t="str">
        <x:v>HSBC</x:v>
      </x:c>
      <x:c r="F26" s="31" t="str">
        <x:v>IBD / GCM</x:v>
      </x:c>
      <x:c r="G26" s="31" t="str">
        <x:v>How to pronounce your name</x:v>
      </x:c>
    </x:row>
    <x:row r="27" ht="100" customHeight="1">
      <x:c r="A27" s="30" t="str">
        <x:v>CL0023</x:v>
      </x:c>
      <x:c r="B27" s="31" t="str">
        <x:v>Tell me about a team conflict and how you handled it</x:v>
      </x:c>
      <x:c r="C27" s="31" t="str">
        <x:v>Valuation</x:v>
      </x:c>
      <x:c r="D27" s="69" t="n">
        <x:f>COUNTIF('All Questions'!$G$5:$G$1725,A27)</x:f>
        <x:v>3</x:v>
      </x:c>
      <x:c r="E27" s="31" t="str">
        <x:v>UBS IBD; Nomura; JPM PB</x:v>
      </x:c>
      <x:c r="F27" s="31" t="str">
        <x:v>IBD / GCM; PWM / AM</x:v>
      </x:c>
      <x:c r="G27" s="31" t="str">
        <x:v>Earn-out discussion → asked if the company keeps majority or minority. I said minority - she pushed back, saying it makes no sense for management to stay passive. I said incentives align via milestone gains and retention, but she strongly disagreed and said she would not advis...</x:v>
      </x:c>
    </x:row>
    <x:row r="28" ht="34" customHeight="1">
      <x:c r="A28" s="30" t="str">
        <x:v>CL0024</x:v>
      </x:c>
      <x:c r="B28" s="31" t="str">
        <x:v>Walk me through a deal</x:v>
      </x:c>
      <x:c r="C28" s="31" t="str">
        <x:v>Resume &amp; Experience</x:v>
      </x:c>
      <x:c r="D28" s="69" t="n">
        <x:f>COUNTIF('All Questions'!$G$5:$G$1725,A28)</x:f>
        <x:v>3</x:v>
      </x:c>
      <x:c r="E28" s="31" t="str">
        <x:v>Barclays</x:v>
      </x:c>
      <x:c r="F28" s="31" t="str">
        <x:v>IBD / GCM</x:v>
      </x:c>
      <x:c r="G28" s="31" t="str">
        <x:v>walk me through a deal</x:v>
      </x:c>
    </x:row>
    <x:row r="29" ht="76" customHeight="1">
      <x:c r="A29" s="30" t="str">
        <x:v>CL0025</x:v>
      </x:c>
      <x:c r="B29" s="31" t="str">
        <x:v>What are your greatest strengths and weaknesses?</x:v>
      </x:c>
      <x:c r="C29" s="31" t="str">
        <x:v>Behavioral &amp; Situational</x:v>
      </x:c>
      <x:c r="D29" s="69" t="n">
        <x:f>COUNTIF('All Questions'!$G$5:$G$1725,A29)</x:f>
        <x:v>3</x:v>
      </x:c>
      <x:c r="E29" s="31" t="str">
        <x:v>MS IBD; UBS IBD</x:v>
      </x:c>
      <x:c r="F29" s="31" t="str">
        <x:v>IBD / GCM</x:v>
      </x:c>
      <x:c r="G29" s="31" t="str">
        <x:v>Tell me your biggest strength and weakness | What's ur strength and weaknesses | considering the continued growth in ASEAN as opposed to the stagnant developments of the Greater China markets, do you think Singapore will overtake HK as an international financial hub in the fut...</x:v>
      </x:c>
    </x:row>
    <x:row r="30" ht="34" customHeight="1">
      <x:c r="A30" s="30" t="str">
        <x:v>CL0026</x:v>
      </x:c>
      <x:c r="B30" s="31" t="str">
        <x:v>What did you do in BNP</x:v>
      </x:c>
      <x:c r="C30" s="31" t="str">
        <x:v>Resume &amp; Experience</x:v>
      </x:c>
      <x:c r="D30" s="69" t="n">
        <x:f>COUNTIF('All Questions'!$G$5:$G$1725,A30)</x:f>
        <x:v>3</x:v>
      </x:c>
      <x:c r="E30" s="31" t="str">
        <x:v>Grant Samuel; Lazard</x:v>
      </x:c>
      <x:c r="F30" s="31" t="str">
        <x:v>IBD / GCM</x:v>
      </x:c>
      <x:c r="G30" s="31" t="str">
        <x:v>What did you do in BNP? | What did you do in BNP</x:v>
      </x:c>
    </x:row>
    <x:row r="31" ht="34" customHeight="1">
      <x:c r="A31" s="30" t="str">
        <x:v>CL0027</x:v>
      </x:c>
      <x:c r="B31" s="31" t="str">
        <x:v>What is your biggest strength / weakness?</x:v>
      </x:c>
      <x:c r="C31" s="31" t="str">
        <x:v>Behavioral &amp; Situational</x:v>
      </x:c>
      <x:c r="D31" s="69" t="n">
        <x:f>COUNTIF('All Questions'!$G$5:$G$1725,A31)</x:f>
        <x:v>3</x:v>
      </x:c>
      <x:c r="E31" s="31" t="str">
        <x:v>Citi; Barclays; HSBC</x:v>
      </x:c>
      <x:c r="F31" s="31" t="str">
        <x:v>IBD / GCM</x:v>
      </x:c>
      <x:c r="G31" s="31" t="str">
        <x:v>What's your biggest strength compared to all your competitors? | What’s your biggest weakness compared to other candidates | What's your biggest weakness</x:v>
      </x:c>
    </x:row>
    <x:row r="32" ht="34" customHeight="1">
      <x:c r="A32" s="30" t="str">
        <x:v>CL0028</x:v>
      </x:c>
      <x:c r="B32" s="31" t="str">
        <x:v>What is your outlook for interest rates?</x:v>
      </x:c>
      <x:c r="C32" s="31" t="str">
        <x:v>Markets &amp; Macro</x:v>
      </x:c>
      <x:c r="D32" s="69" t="n">
        <x:f>COUNTIF('All Questions'!$G$5:$G$1725,A32)</x:f>
        <x:v>3</x:v>
      </x:c>
      <x:c r="E32" s="31" t="str">
        <x:v>MS GCM</x:v>
      </x:c>
      <x:c r="F32" s="31" t="str">
        <x:v>IBD / GCM</x:v>
      </x:c>
      <x:c r="G32" s="31" t="str">
        <x:v>US interest rate forecast | Interest rate environment | views on interest rate</x:v>
      </x:c>
    </x:row>
    <x:row r="33" ht="34" customHeight="1">
      <x:c r="A33" s="30" t="str">
        <x:v>CL0029</x:v>
      </x:c>
      <x:c r="B33" s="31" t="str">
        <x:v>Why asset management?</x:v>
      </x:c>
      <x:c r="C33" s="31" t="str">
        <x:v>Fit &amp; Motivation</x:v>
      </x:c>
      <x:c r="D33" s="69" t="n">
        <x:f>COUNTIF('All Questions'!$G$5:$G$1725,A33)</x:f>
        <x:v>3</x:v>
      </x:c>
      <x:c r="E33" s="31" t="str">
        <x:v>JPM AM; UBS AM</x:v>
      </x:c>
      <x:c r="F33" s="31" t="str">
        <x:v>PWM / AM</x:v>
      </x:c>
      <x:c r="G33" s="31" t="str">
        <x:v>why AM? | Why AM ? | Why AM?</x:v>
      </x:c>
    </x:row>
    <x:row r="34" ht="34" customHeight="1">
      <x:c r="A34" s="30" t="str">
        <x:v>CL0030</x:v>
      </x:c>
      <x:c r="B34" s="31" t="str">
        <x:v>10 D&amp;A, impact on 3 statement, 40% Tax rate</x:v>
      </x:c>
      <x:c r="C34" s="31" t="str">
        <x:v>Accounting &amp; Financial Statements</x:v>
      </x:c>
      <x:c r="D34" s="69" t="n">
        <x:f>COUNTIF('All Questions'!$G$5:$G$1725,A34)</x:f>
        <x:v>2</x:v>
      </x:c>
      <x:c r="E34" s="31" t="str">
        <x:v>MS IBD</x:v>
      </x:c>
      <x:c r="F34" s="31" t="str">
        <x:v>IBD / GCM</x:v>
      </x:c>
      <x:c r="G34" s="31" t="str">
        <x:v>10 D&amp;A, impact on 3 statement, 40% Tax rate</x:v>
      </x:c>
    </x:row>
    <x:row r="35" ht="34" customHeight="1">
      <x:c r="A35" s="30" t="str">
        <x:v>CL0031</x:v>
      </x:c>
      <x:c r="B35" s="31" t="str">
        <x:v>100 CAPEX, impact on 3 statement</x:v>
      </x:c>
      <x:c r="C35" s="31" t="str">
        <x:v>Accounting &amp; Financial Statements</x:v>
      </x:c>
      <x:c r="D35" s="69" t="n">
        <x:f>COUNTIF('All Questions'!$G$5:$G$1725,A35)</x:f>
        <x:v>2</x:v>
      </x:c>
      <x:c r="E35" s="31" t="str">
        <x:v>MS IBD</x:v>
      </x:c>
      <x:c r="F35" s="31" t="str">
        <x:v>IBD / GCM</x:v>
      </x:c>
      <x:c r="G35" s="31" t="str">
        <x:v>100 CAPEX, impact on 3 statement</x:v>
      </x:c>
    </x:row>
    <x:row r="36" ht="34" customHeight="1">
      <x:c r="A36" s="30" t="str">
        <x:v>CL0032</x:v>
      </x:c>
      <x:c r="B36" s="31" t="str">
        <x:v>Do you have your own investment account</x:v>
      </x:c>
      <x:c r="C36" s="31" t="str">
        <x:v>Other Question</x:v>
      </x:c>
      <x:c r="D36" s="69" t="n">
        <x:f>COUNTIF('All Questions'!$G$5:$G$1725,A36)</x:f>
        <x:v>2</x:v>
      </x:c>
      <x:c r="E36" s="31" t="str">
        <x:v>BofA (GM)</x:v>
      </x:c>
      <x:c r="F36" s="31" t="str">
        <x:v>Sales &amp; Trading</x:v>
      </x:c>
      <x:c r="G36" s="31" t="str">
        <x:v>Do you have your own investment account?</x:v>
      </x:c>
    </x:row>
    <x:row r="37" ht="34" customHeight="1">
      <x:c r="A37" s="30" t="str">
        <x:v>CL0033</x:v>
      </x:c>
      <x:c r="B37" s="31" t="str">
        <x:v>How to find beta</x:v>
      </x:c>
      <x:c r="C37" s="31" t="str">
        <x:v>Valuation</x:v>
      </x:c>
      <x:c r="D37" s="69" t="n">
        <x:f>COUNTIF('All Questions'!$G$5:$G$1725,A37)</x:f>
        <x:v>2</x:v>
      </x:c>
      <x:c r="E37" s="31" t="str">
        <x:v>MS GCM; Deutsche</x:v>
      </x:c>
      <x:c r="F37" s="31" t="str">
        <x:v>IBD / GCM</x:v>
      </x:c>
      <x:c r="G37" s="31" t="str">
        <x:v>how to find beta</x:v>
      </x:c>
    </x:row>
    <x:row r="38" ht="34" customHeight="1">
      <x:c r="A38" s="30" t="str">
        <x:v>CL0034</x:v>
      </x:c>
      <x:c r="B38" s="31" t="str">
        <x:v>How to get from Equity Value to EV</x:v>
      </x:c>
      <x:c r="C38" s="31" t="str">
        <x:v>Valuation</x:v>
      </x:c>
      <x:c r="D38" s="69" t="n">
        <x:f>COUNTIF('All Questions'!$G$5:$G$1725,A38)</x:f>
        <x:v>2</x:v>
      </x:c>
      <x:c r="E38" s="31" t="str">
        <x:v>Deutsche; Grant Samuel</x:v>
      </x:c>
      <x:c r="F38" s="31" t="str">
        <x:v>IBD / GCM</x:v>
      </x:c>
      <x:c r="G38" s="31" t="str">
        <x:v>How to get from Equity Value to EV? | How to get equity value from EV</x:v>
      </x:c>
    </x:row>
    <x:row r="39" ht="34" customHeight="1">
      <x:c r="A39" s="30" t="str">
        <x:v>CL0035</x:v>
      </x:c>
      <x:c r="B39" s="31" t="str">
        <x:v>Introduce urself</x:v>
      </x:c>
      <x:c r="C39" s="31" t="str">
        <x:v>Other Question</x:v>
      </x:c>
      <x:c r="D39" s="69" t="n">
        <x:f>COUNTIF('All Questions'!$G$5:$G$1725,A39)</x:f>
        <x:v>2</x:v>
      </x:c>
      <x:c r="E39" s="31" t="str">
        <x:v>HSBC (GM)</x:v>
      </x:c>
      <x:c r="F39" s="31" t="str">
        <x:v>Sales &amp; Trading</x:v>
      </x:c>
      <x:c r="G39" s="31" t="str">
        <x:v>introduce urself</x:v>
      </x:c>
    </x:row>
    <x:row r="40" ht="34" customHeight="1">
      <x:c r="A40" s="30" t="str">
        <x:v>CL0036</x:v>
      </x:c>
      <x:c r="B40" s="31" t="str">
        <x:v>L Does BNP have return</x:v>
      </x:c>
      <x:c r="C40" s="31" t="str">
        <x:v>Other Question</x:v>
      </x:c>
      <x:c r="D40" s="69" t="n">
        <x:f>COUNTIF('All Questions'!$G$5:$G$1725,A40)</x:f>
        <x:v>2</x:v>
      </x:c>
      <x:c r="E40" s="31" t="str">
        <x:v>Jefferies</x:v>
      </x:c>
      <x:c r="F40" s="31" t="str">
        <x:v>IBD / GCM</x:v>
      </x:c>
      <x:c r="G40" s="31" t="str">
        <x:v>l Does BNP have return?</x:v>
      </x:c>
    </x:row>
    <x:row r="41" ht="34" customHeight="1">
      <x:c r="A41" s="30" t="str">
        <x:v>CL0037</x:v>
      </x:c>
      <x:c r="B41" s="31" t="str">
        <x:v>Major responsibilities in deal, company and industry overview</x:v>
      </x:c>
      <x:c r="C41" s="31" t="str">
        <x:v>Resume &amp; Experience</x:v>
      </x:c>
      <x:c r="D41" s="69" t="n">
        <x:f>COUNTIF('All Questions'!$G$5:$G$1725,A41)</x:f>
        <x:v>2</x:v>
      </x:c>
      <x:c r="E41" s="31" t="str">
        <x:v>Lazard</x:v>
      </x:c>
      <x:c r="F41" s="31" t="str">
        <x:v>IBD / GCM</x:v>
      </x:c>
      <x:c r="G41" s="31" t="str">
        <x:v>Major responsibilities in deal, company and industry overview</x:v>
      </x:c>
    </x:row>
    <x:row r="42" ht="34" customHeight="1">
      <x:c r="A42" s="30" t="str">
        <x:v>CL0038</x:v>
      </x:c>
      <x:c r="B42" s="31" t="str">
        <x:v>Motivational questioning, because I haven't done an IBD internship</x:v>
      </x:c>
      <x:c r="C42" s="31" t="str">
        <x:v>Fit &amp; Motivation</x:v>
      </x:c>
      <x:c r="D42" s="69" t="n">
        <x:f>COUNTIF('All Questions'!$G$5:$G$1725,A42)</x:f>
        <x:v>2</x:v>
      </x:c>
      <x:c r="E42" s="31" t="str">
        <x:v>BNP Paribas</x:v>
      </x:c>
      <x:c r="F42" s="31" t="str">
        <x:v>IBD / GCM</x:v>
      </x:c>
      <x:c r="G42" s="31" t="str">
        <x:v>Motivational questioning, because I haven't done an IBD internship.</x:v>
      </x:c>
    </x:row>
    <x:row r="43" ht="52" customHeight="1">
      <x:c r="A43" s="30" t="str">
        <x:v>CL0039</x:v>
      </x:c>
      <x:c r="B43" s="31" t="str">
        <x:v>My insights into the TMT industry and why I chose TMT (I originally worked primarily in pharmaceuticals)</x:v>
      </x:c>
      <x:c r="C43" s="31" t="str">
        <x:v>Fit &amp; Motivation</x:v>
      </x:c>
      <x:c r="D43" s="69" t="n">
        <x:f>COUNTIF('All Questions'!$G$5:$G$1725,A43)</x:f>
        <x:v>2</x:v>
      </x:c>
      <x:c r="E43" s="31" t="str">
        <x:v>BNP Paribas</x:v>
      </x:c>
      <x:c r="F43" s="31" t="str">
        <x:v>IBD / GCM</x:v>
      </x:c>
      <x:c r="G43" s="31" t="str">
        <x:v>My insights into the TMT industry and why I chose TMT (I originally worked primarily in pharmaceuticals).</x:v>
      </x:c>
    </x:row>
    <x:row r="44" ht="34" customHeight="1">
      <x:c r="A44" s="30" t="str">
        <x:v>CL0040</x:v>
      </x:c>
      <x:c r="B44" s="31" t="str">
        <x:v>Tell me about an intation you did (Company overview, investment thesis, industry, valuation)</x:v>
      </x:c>
      <x:c r="C44" s="31" t="str">
        <x:v>Valuation</x:v>
      </x:c>
      <x:c r="D44" s="69" t="n">
        <x:f>COUNTIF('All Questions'!$G$5:$G$1725,A44)</x:f>
        <x:v>2</x:v>
      </x:c>
      <x:c r="E44" s="31" t="str">
        <x:v>Bofa IBD</x:v>
      </x:c>
      <x:c r="F44" s="31" t="str">
        <x:v>IBD / GCM</x:v>
      </x:c>
      <x:c r="G44" s="31" t="str">
        <x:v>Tell me about an intation you did (Company overview, investment thesis, industry, valuation)</x:v>
      </x:c>
    </x:row>
    <x:row r="45" ht="34" customHeight="1">
      <x:c r="A45" s="30" t="str">
        <x:v>CL0041</x:v>
      </x:c>
      <x:c r="B45" s="31" t="str">
        <x:v>Walk me through a LBO</x:v>
      </x:c>
      <x:c r="C45" s="31" t="str">
        <x:v>Private Equity &amp; LBO</x:v>
      </x:c>
      <x:c r="D45" s="69" t="n">
        <x:f>COUNTIF('All Questions'!$G$5:$G$1725,A45)</x:f>
        <x:v>2</x:v>
      </x:c>
      <x:c r="E45" s="31" t="str">
        <x:v>MS IBD; Deutsche</x:v>
      </x:c>
      <x:c r="F45" s="31" t="str">
        <x:v>IBD / GCM</x:v>
      </x:c>
      <x:c r="G45" s="31" t="str">
        <x:v>Walk me through a LBO | walk me through lbo</x:v>
      </x:c>
    </x:row>
    <x:row r="46" ht="34" customHeight="1">
      <x:c r="A46" s="30" t="str">
        <x:v>CL0042</x:v>
      </x:c>
      <x:c r="B46" s="31" t="str">
        <x:v>Walk me through how you do DCF</x:v>
      </x:c>
      <x:c r="C46" s="31" t="str">
        <x:v>Valuation</x:v>
      </x:c>
      <x:c r="D46" s="69" t="n">
        <x:f>COUNTIF('All Questions'!$G$5:$G$1725,A46)</x:f>
        <x:v>2</x:v>
      </x:c>
      <x:c r="E46" s="31" t="str">
        <x:v>Bofa IBD</x:v>
      </x:c>
      <x:c r="F46" s="31" t="str">
        <x:v>IBD / GCM</x:v>
      </x:c>
      <x:c r="G46" s="31" t="str">
        <x:v>Walk me through how you do DCF</x:v>
      </x:c>
    </x:row>
    <x:row r="47" ht="34" customHeight="1">
      <x:c r="A47" s="30" t="str">
        <x:v>CL0043</x:v>
      </x:c>
      <x:c r="B47" s="31" t="str">
        <x:v>What did you do at BLK</x:v>
      </x:c>
      <x:c r="C47" s="31" t="str">
        <x:v>Resume &amp; Experience</x:v>
      </x:c>
      <x:c r="D47" s="69" t="n">
        <x:f>COUNTIF('All Questions'!$G$5:$G$1725,A47)</x:f>
        <x:v>2</x:v>
      </x:c>
      <x:c r="E47" s="31" t="str">
        <x:v>Deutsche</x:v>
      </x:c>
      <x:c r="F47" s="31" t="str">
        <x:v>IBD / GCM</x:v>
      </x:c>
      <x:c r="G47" s="31" t="str">
        <x:v>What did you do at BLK | What you did at BLK</x:v>
      </x:c>
    </x:row>
    <x:row r="48" ht="52" customHeight="1">
      <x:c r="A48" s="30" t="str">
        <x:v>CL0044</x:v>
      </x:c>
      <x:c r="B48" s="31" t="str">
        <x:v>What do you think will be the quality required for IBD roles, any story to support you have this quality</x:v>
      </x:c>
      <x:c r="C48" s="31" t="str">
        <x:v>Fit &amp; Motivation</x:v>
      </x:c>
      <x:c r="D48" s="69" t="n">
        <x:f>COUNTIF('All Questions'!$G$5:$G$1725,A48)</x:f>
        <x:v>2</x:v>
      </x:c>
      <x:c r="E48" s="31" t="str">
        <x:v>Deutsche</x:v>
      </x:c>
      <x:c r="F48" s="31" t="str">
        <x:v>IBD / GCM</x:v>
      </x:c>
      <x:c r="G48" s="31" t="str">
        <x:v>What do you think will be the quality required for IBD roles, any story to support you have this quality?</x:v>
      </x:c>
    </x:row>
    <x:row r="49" ht="34" customHeight="1">
      <x:c r="A49" s="30" t="str">
        <x:v>CL0045</x:v>
      </x:c>
      <x:c r="B49" s="31" t="str">
        <x:v>What is cost of equity</x:v>
      </x:c>
      <x:c r="C49" s="31" t="str">
        <x:v>Accounting &amp; Financial Statements</x:v>
      </x:c>
      <x:c r="D49" s="69" t="n">
        <x:f>COUNTIF('All Questions'!$G$5:$G$1725,A49)</x:f>
        <x:v>2</x:v>
      </x:c>
      <x:c r="E49" s="31" t="str">
        <x:v>MS IBD</x:v>
      </x:c>
      <x:c r="F49" s="31" t="str">
        <x:v>IBD / GCM</x:v>
      </x:c>
      <x:c r="G49" s="31" t="str">
        <x:v>what is cost of equity | What is cost of equity</x:v>
      </x:c>
    </x:row>
    <x:row r="50" ht="34" customHeight="1">
      <x:c r="A50" s="30" t="str">
        <x:v>CL0046</x:v>
      </x:c>
      <x:c r="B50" s="31" t="str">
        <x:v>What is goodwill</x:v>
      </x:c>
      <x:c r="C50" s="31" t="str">
        <x:v>Accounting &amp; Financial Statements</x:v>
      </x:c>
      <x:c r="D50" s="69" t="n">
        <x:f>COUNTIF('All Questions'!$G$5:$G$1725,A50)</x:f>
        <x:v>2</x:v>
      </x:c>
      <x:c r="E50" s="31" t="str">
        <x:v>MS IBD; Bofa IBD</x:v>
      </x:c>
      <x:c r="F50" s="31" t="str">
        <x:v>IBD / GCM</x:v>
      </x:c>
      <x:c r="G50" s="31" t="str">
        <x:v>What is goodwill | What is goodwill?</x:v>
      </x:c>
    </x:row>
    <x:row r="51" ht="34" customHeight="1">
      <x:c r="A51" s="30" t="str">
        <x:v>CL0047</x:v>
      </x:c>
      <x:c r="B51" s="31" t="str">
        <x:v>What is the equation for UFCF</x:v>
      </x:c>
      <x:c r="C51" s="31" t="str">
        <x:v>Accounting &amp; Financial Statements</x:v>
      </x:c>
      <x:c r="D51" s="69" t="n">
        <x:f>COUNTIF('All Questions'!$G$5:$G$1725,A51)</x:f>
        <x:v>2</x:v>
      </x:c>
      <x:c r="E51" s="31" t="str">
        <x:v>MS IBD</x:v>
      </x:c>
      <x:c r="F51" s="31" t="str">
        <x:v>IBD / GCM</x:v>
      </x:c>
      <x:c r="G51" s="31" t="str">
        <x:v>What is the equation for UFCF</x:v>
      </x:c>
    </x:row>
    <x:row r="52" ht="34" customHeight="1">
      <x:c r="A52" s="30" t="str">
        <x:v>CL0048</x:v>
      </x:c>
      <x:c r="B52" s="31" t="str">
        <x:v>What makes an M&amp;A deal accretive or dilutive?</x:v>
      </x:c>
      <x:c r="C52" s="31" t="str">
        <x:v>M&amp;A</x:v>
      </x:c>
      <x:c r="D52" s="69" t="n">
        <x:f>COUNTIF('All Questions'!$G$5:$G$1725,A52)</x:f>
        <x:v>2</x:v>
      </x:c>
      <x:c r="E52" s="31" t="str">
        <x:v>MS IBD; Grant Samuel</x:v>
      </x:c>
      <x:c r="F52" s="31" t="str">
        <x:v>IBD / GCM</x:v>
      </x:c>
      <x:c r="G52" s="31" t="str">
        <x:v>PE 25x acquires PE 15x, accretive or dilutive? Any assumptions? | All-stock deal, buyer has a higher p/e, is it accretive or dlitutive? Why?</x:v>
      </x:c>
    </x:row>
    <x:row r="53" ht="34" customHeight="1">
      <x:c r="A53" s="30" t="str">
        <x:v>CL0049</x:v>
      </x:c>
      <x:c r="B53" s="31" t="str">
        <x:v>What roles are you interested within the JPMAM</x:v>
      </x:c>
      <x:c r="C53" s="31" t="str">
        <x:v>Other Question</x:v>
      </x:c>
      <x:c r="D53" s="69" t="n">
        <x:f>COUNTIF('All Questions'!$G$5:$G$1725,A53)</x:f>
        <x:v>2</x:v>
      </x:c>
      <x:c r="E53" s="31" t="str">
        <x:v>JPM AM</x:v>
      </x:c>
      <x:c r="F53" s="31" t="str">
        <x:v>PWM / AM</x:v>
      </x:c>
      <x:c r="G53" s="31" t="str">
        <x:v>What roles are you interested within the JPMAM?</x:v>
      </x:c>
    </x:row>
    <x:row r="54" ht="34" customHeight="1">
      <x:c r="A54" s="30" t="str">
        <x:v>CL0050</x:v>
      </x:c>
      <x:c r="B54" s="31" t="str">
        <x:v>Which team do you prefer</x:v>
      </x:c>
      <x:c r="C54" s="31" t="str">
        <x:v>Fit &amp; Motivation</x:v>
      </x:c>
      <x:c r="D54" s="69" t="n">
        <x:f>COUNTIF('All Questions'!$G$5:$G$1725,A54)</x:f>
        <x:v>2</x:v>
      </x:c>
      <x:c r="E54" s="31" t="str">
        <x:v>MS GCM</x:v>
      </x:c>
      <x:c r="F54" s="31" t="str">
        <x:v>IBD / GCM</x:v>
      </x:c>
      <x:c r="G54" s="31" t="str">
        <x:v>Which team do you prefer</x:v>
      </x:c>
    </x:row>
    <x:row r="55" ht="34" customHeight="1">
      <x:c r="A55" s="30" t="str">
        <x:v>CL0051</x:v>
      </x:c>
      <x:c r="B55" s="31" t="str">
        <x:v>Why M&amp;A</x:v>
      </x:c>
      <x:c r="C55" s="31" t="str">
        <x:v>Fit &amp; Motivation</x:v>
      </x:c>
      <x:c r="D55" s="69" t="n">
        <x:f>COUNTIF('All Questions'!$G$5:$G$1725,A55)</x:f>
        <x:v>2</x:v>
      </x:c>
      <x:c r="E55" s="31" t="str">
        <x:v>UBS IBD; Lazard</x:v>
      </x:c>
      <x:c r="F55" s="31" t="str">
        <x:v>IBD / GCM</x:v>
      </x:c>
      <x:c r="G55" s="31" t="str">
        <x:v>Why M&amp;A</x:v>
      </x:c>
    </x:row>
    <x:row r="56" ht="34" customHeight="1">
      <x:c r="A56" s="30" t="str">
        <x:v>CL0052</x:v>
      </x:c>
      <x:c r="B56" s="31" t="str">
        <x:v>Why not law</x:v>
      </x:c>
      <x:c r="C56" s="31" t="str">
        <x:v>Fit &amp; Motivation</x:v>
      </x:c>
      <x:c r="D56" s="69" t="n">
        <x:f>COUNTIF('All Questions'!$G$5:$G$1725,A56)</x:f>
        <x:v>2</x:v>
      </x:c>
      <x:c r="E56" s="31" t="str">
        <x:v>Nomura</x:v>
      </x:c>
      <x:c r="F56" s="31" t="str">
        <x:v>IBD / GCM</x:v>
      </x:c>
      <x:c r="G56" s="31" t="str">
        <x:v>why not law</x:v>
      </x:c>
    </x:row>
    <x:row r="57" ht="76" customHeight="1">
      <x:c r="A57" s="30" t="str">
        <x:v>CL0053</x:v>
      </x:c>
      <x:c r="B57"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C57" s="31" t="str">
        <x:v>Accounting &amp; Financial Statements</x:v>
      </x:c>
      <x:c r="D57" s="69" t="n">
        <x:f>COUNTIF('All Questions'!$G$5:$G$1725,A57)</x:f>
        <x:v>1</x:v>
      </x:c>
      <x:c r="E57" s="31" t="str">
        <x:v>HSBC</x:v>
      </x:c>
      <x:c r="F57" s="31" t="str">
        <x:v>IBD / GCM</x:v>
      </x:c>
      <x:c r="G57"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row>
    <x:row r="58" ht="34" customHeight="1">
      <x:c r="A58" s="30" t="str">
        <x:v>CL0054</x:v>
      </x:c>
      <x:c r="B58" s="31" t="str">
        <x:v>(During the written test round they said it's for Capital Markets Team though)</x:v>
      </x:c>
      <x:c r="C58" s="31" t="str">
        <x:v>Behavioral &amp; Situational</x:v>
      </x:c>
      <x:c r="D58" s="69" t="n">
        <x:f>COUNTIF('All Questions'!$G$5:$G$1725,A58)</x:f>
        <x:v>1</x:v>
      </x:c>
      <x:c r="E58" s="31" t="str">
        <x:v>Barclays</x:v>
      </x:c>
      <x:c r="F58" s="31" t="str">
        <x:v>IBD / GCM</x:v>
      </x:c>
      <x:c r="G58" s="31" t="str">
        <x:v>(During the written test round they said it's for Capital Markets Team though)</x:v>
      </x:c>
    </x:row>
    <x:row r="59" ht="34" customHeight="1">
      <x:c r="A59" s="30" t="str">
        <x:v>CL0055</x:v>
      </x:c>
      <x:c r="B59" s="31" t="str">
        <x:v>(he asked me to elaborate a lot more almost cover every experience in details)</x:v>
      </x:c>
      <x:c r="C59" s="31" t="str">
        <x:v>Resume &amp; Experience</x:v>
      </x:c>
      <x:c r="D59" s="69" t="n">
        <x:f>COUNTIF('All Questions'!$G$5:$G$1725,A59)</x:f>
        <x:v>1</x:v>
      </x:c>
      <x:c r="E59" s="31" t="str">
        <x:v>Nomura</x:v>
      </x:c>
      <x:c r="F59" s="31" t="str">
        <x:v>IBD / GCM</x:v>
      </x:c>
      <x:c r="G59" s="31" t="str">
        <x:v>(he asked me to elaborate a lot more almost cover every experience in details)</x:v>
      </x:c>
    </x:row>
    <x:row r="60" ht="76" customHeight="1">
      <x:c r="A60" s="30" t="str">
        <x:v>CL0056</x:v>
      </x:c>
      <x:c r="B60" s="31" t="str">
        <x:v>(I acc didnt quite get the answer, but she said its the most common mistake - that we should use the projected EBITDA as well - like use 2029's EBITDA to arrive at the exit multiple)</x:v>
      </x:c>
      <x:c r="C60" s="31" t="str">
        <x:v>Behavioral &amp; Situational</x:v>
      </x:c>
      <x:c r="D60" s="69" t="n">
        <x:f>COUNTIF('All Questions'!$G$5:$G$1725,A60)</x:f>
        <x:v>1</x:v>
      </x:c>
      <x:c r="E60" s="31" t="str">
        <x:v>MS IBD</x:v>
      </x:c>
      <x:c r="F60" s="31" t="str">
        <x:v>IBD / GCM</x:v>
      </x:c>
      <x:c r="G60" s="31" t="str">
        <x:v>(I acc didnt quite get the answer, but she said its the most common mistake - that we should use the projected EBITDA as well - like use 2029's EBITDA to arrive at the exit multiple)</x:v>
      </x:c>
    </x:row>
    <x:row r="61" ht="34" customHeight="1">
      <x:c r="A61" s="30" t="str">
        <x:v>CL0057</x:v>
      </x:c>
      <x:c r="B61" s="31" t="str">
        <x:v>(I asked him is it global or just chinese market, he said global)</x:v>
      </x:c>
      <x:c r="C61" s="31" t="str">
        <x:v>Accounting &amp; Financial Statements</x:v>
      </x:c>
      <x:c r="D61" s="69" t="n">
        <x:f>COUNTIF('All Questions'!$G$5:$G$1725,A61)</x:f>
        <x:v>1</x:v>
      </x:c>
      <x:c r="E61" s="31" t="str">
        <x:v>Nomura</x:v>
      </x:c>
      <x:c r="F61" s="31" t="str">
        <x:v>IBD / GCM</x:v>
      </x:c>
      <x:c r="G61" s="31" t="str">
        <x:v>(I asked him is it global or just chinese market, he said global)</x:v>
      </x:c>
    </x:row>
    <x:row r="62" ht="34" customHeight="1">
      <x:c r="A62" s="30" t="str">
        <x:v>CL0058</x:v>
      </x:c>
      <x:c r="B62" s="31" t="str">
        <x:v>(I said I only know 1 deal so she changed to all technical)</x:v>
      </x:c>
      <x:c r="C62" s="31" t="str">
        <x:v>Company, Industry &amp; Deals</x:v>
      </x:c>
      <x:c r="D62" s="69" t="n">
        <x:f>COUNTIF('All Questions'!$G$5:$G$1725,A62)</x:f>
        <x:v>1</x:v>
      </x:c>
      <x:c r="E62" s="31" t="str">
        <x:v>Bofa IBD</x:v>
      </x:c>
      <x:c r="F62" s="31" t="str">
        <x:v>IBD / GCM</x:v>
      </x:c>
      <x:c r="G62" s="31" t="str">
        <x:v>(I said I only know 1 deal so she changed to all technical)</x:v>
      </x:c>
    </x:row>
    <x:row r="63" ht="34" customHeight="1">
      <x:c r="A63" s="30" t="str">
        <x:v>CL0059</x:v>
      </x:c>
      <x:c r="B63" s="31" t="str">
        <x:v>(i said i was the only intern so no team) then tell me a time when you work INDEPENDENTLY</x:v>
      </x:c>
      <x:c r="C63" s="31" t="str">
        <x:v>Behavioral &amp; Situational</x:v>
      </x:c>
      <x:c r="D63" s="69" t="n">
        <x:f>COUNTIF('All Questions'!$G$5:$G$1725,A63)</x:f>
        <x:v>1</x:v>
      </x:c>
      <x:c r="E63" s="31" t="str">
        <x:v>HSBC</x:v>
      </x:c>
      <x:c r="F63" s="31" t="str">
        <x:v>IBD / GCM</x:v>
      </x:c>
      <x:c r="G63" s="31" t="str">
        <x:v>(i said i was the only intern so no team) then tell me a time when you work INDEPENDENTLY</x:v>
      </x:c>
    </x:row>
    <x:row r="64" ht="34" customHeight="1">
      <x:c r="A64" s="30" t="str">
        <x:v>CL0060</x:v>
      </x:c>
      <x:c r="B64" s="31" t="str">
        <x:v>(I walked him through the DCF as well bc he wasn’t asking any technical questions…)</x:v>
      </x:c>
      <x:c r="C64" s="31" t="str">
        <x:v>Valuation</x:v>
      </x:c>
      <x:c r="D64" s="69" t="n">
        <x:f>COUNTIF('All Questions'!$G$5:$G$1725,A64)</x:f>
        <x:v>1</x:v>
      </x:c>
      <x:c r="E64" s="31" t="str">
        <x:v>Barclays</x:v>
      </x:c>
      <x:c r="F64" s="31" t="str">
        <x:v>IBD / GCM</x:v>
      </x:c>
      <x:c r="G64" s="31" t="str">
        <x:v>(I walked him through the DCF as well bc he wasn’t asking any technical questions…)</x:v>
      </x:c>
    </x:row>
    <x:row r="65" ht="34" customHeight="1">
      <x:c r="A65" s="30" t="str">
        <x:v>CL0061</x:v>
      </x:c>
      <x:c r="B65" s="31" t="str">
        <x:v>#remark: they only looks for trading role within the Cash EQ Team</x:v>
      </x:c>
      <x:c r="C65" s="31" t="str">
        <x:v>Sales &amp; Trading</x:v>
      </x:c>
      <x:c r="D65" s="69" t="n">
        <x:f>COUNTIF('All Questions'!$G$5:$G$1725,A65)</x:f>
        <x:v>1</x:v>
      </x:c>
      <x:c r="E65" s="31" t="str">
        <x:v>Barclays GM</x:v>
      </x:c>
      <x:c r="F65" s="31" t="str">
        <x:v>Sales &amp; Trading</x:v>
      </x:c>
      <x:c r="G65" s="31" t="str">
        <x:v>#remark: they only looks for trading role within the Cash EQ Team</x:v>
      </x:c>
    </x:row>
    <x:row r="66" ht="52" customHeight="1">
      <x:c r="A66" s="30" t="str">
        <x:v>CL0062</x:v>
      </x:c>
      <x:c r="B66" s="31" t="str">
        <x:v>&gt; in real life, earnout model, divide into phase to unlock, add put option, get liquidity much easier</x:v>
      </x:c>
      <x:c r="C66" s="31" t="str">
        <x:v>Sales &amp; Trading</x:v>
      </x:c>
      <x:c r="D66" s="69" t="n">
        <x:f>COUNTIF('All Questions'!$G$5:$G$1725,A66)</x:f>
        <x:v>1</x:v>
      </x:c>
      <x:c r="E66" s="31" t="str">
        <x:v>Grant Samuel</x:v>
      </x:c>
      <x:c r="F66" s="31" t="str">
        <x:v>IBD / GCM</x:v>
      </x:c>
      <x:c r="G66" s="31" t="str">
        <x:v>&gt; in real life, earnout model, divide into phase to unlock, add put option, get liquidity much easier</x:v>
      </x:c>
    </x:row>
    <x:row r="67" ht="34" customHeight="1">
      <x:c r="A67" s="30" t="str">
        <x:v>CL0063</x:v>
      </x:c>
      <x:c r="B67" s="31" t="str">
        <x:v>1 Case did in previous internship - what did you do</x:v>
      </x:c>
      <x:c r="C67" s="31" t="str">
        <x:v>Resume &amp; Experience</x:v>
      </x:c>
      <x:c r="D67" s="69" t="n">
        <x:f>COUNTIF('All Questions'!$G$5:$G$1725,A67)</x:f>
        <x:v>1</x:v>
      </x:c>
      <x:c r="E67" s="31" t="str">
        <x:v>Deutsche</x:v>
      </x:c>
      <x:c r="F67" s="31" t="str">
        <x:v>IBD / GCM</x:v>
      </x:c>
      <x:c r="G67" s="31" t="str">
        <x:v>1 Case did in previous internship - what did you do</x:v>
      </x:c>
    </x:row>
    <x:row r="68" ht="34" customHeight="1">
      <x:c r="A68" s="30" t="str">
        <x:v>CL0064</x:v>
      </x:c>
      <x:c r="B68" s="31" t="str">
        <x:v>100 sales, impact on 3 statement</x:v>
      </x:c>
      <x:c r="C68" s="31" t="str">
        <x:v>Accounting &amp; Financial Statements</x:v>
      </x:c>
      <x:c r="D68" s="69" t="n">
        <x:f>COUNTIF('All Questions'!$G$5:$G$1725,A68)</x:f>
        <x:v>1</x:v>
      </x:c>
      <x:c r="E68" s="31" t="str">
        <x:v>IDG Capital</x:v>
      </x:c>
      <x:c r="F68" s="31" t="str">
        <x:v>PE / VC / Other</x:v>
      </x:c>
      <x:c r="G68" s="31" t="str">
        <x:v>100 sales, impact on 3 statement</x:v>
      </x:c>
    </x:row>
    <x:row r="69" ht="76" customHeight="1">
      <x:c r="A69" s="30" t="str">
        <x:v>CL0065</x:v>
      </x:c>
      <x:c r="B69" s="31" t="str">
        <x:v>15 billion market cap, we now investment 1bn half is buying old shares and half is buying new shares. What is the % of old shares bought,and % of new shares bought ? (I said old shares is 0.5/15, and new shares 0.5/15.5??)</x:v>
      </x:c>
      <x:c r="C69" s="31" t="str">
        <x:v>Accounting &amp; Financial Statements</x:v>
      </x:c>
      <x:c r="D69" s="69" t="n">
        <x:f>COUNTIF('All Questions'!$G$5:$G$1725,A69)</x:f>
        <x:v>1</x:v>
      </x:c>
      <x:c r="E69" s="31" t="str">
        <x:v>MSPEA</x:v>
      </x:c>
      <x:c r="F69" s="31" t="str">
        <x:v>PE / VC / Other</x:v>
      </x:c>
      <x:c r="G69" s="31" t="str">
        <x:v>15 billion market cap, we now investment 1bn half is buying old shares and half is buying new shares. What is the % of old shares bought,and % of new shares bought ? (I said old shares is 0.5/15, and new shares 0.5/15.5??)</x:v>
      </x:c>
    </x:row>
    <x:row r="70" ht="34" customHeight="1">
      <x:c r="A70" s="30" t="str">
        <x:v>CL0066</x:v>
      </x:c>
      <x:c r="B70" s="31" t="str">
        <x:v>16 2nd Round Yining, ED China Team &amp; Chelsy(?) TMT</x:v>
      </x:c>
      <x:c r="C70" s="31" t="str">
        <x:v>Behavioral &amp; Situational</x:v>
      </x:c>
      <x:c r="D70" s="69" t="n">
        <x:f>COUNTIF('All Questions'!$G$5:$G$1725,A70)</x:f>
        <x:v>1</x:v>
      </x:c>
      <x:c r="E70" s="31" t="str">
        <x:v>Bofa IBD</x:v>
      </x:c>
      <x:c r="F70" s="31" t="str">
        <x:v>IBD / GCM</x:v>
      </x:c>
      <x:c r="G70" s="31" t="str">
        <x:v>16 2nd Round Yining, ED China Team &amp; Chelsy(?) TMT</x:v>
      </x:c>
    </x:row>
    <x:row r="71" ht="34" customHeight="1">
      <x:c r="A71" s="30" t="str">
        <x:v>CL0067</x:v>
      </x:c>
      <x:c r="B71" s="31" t="str">
        <x:v>1mil asset allocation</x:v>
      </x:c>
      <x:c r="C71" s="31" t="str">
        <x:v>Fit &amp; Motivation</x:v>
      </x:c>
      <x:c r="D71" s="69" t="n">
        <x:f>COUNTIF('All Questions'!$G$5:$G$1725,A71)</x:f>
        <x:v>1</x:v>
      </x:c>
      <x:c r="E71" s="31" t="str">
        <x:v>HSBC (GM)</x:v>
      </x:c>
      <x:c r="F71" s="31" t="str">
        <x:v>Sales &amp; Trading</x:v>
      </x:c>
      <x:c r="G71" s="31" t="str">
        <x:v>1mil asset allocation</x:v>
      </x:c>
    </x:row>
    <x:row r="72" ht="34" customHeight="1">
      <x:c r="A72" s="30" t="str">
        <x:v>CL0068</x:v>
      </x:c>
      <x:c r="B72" s="31" t="str">
        <x:v>1st Interviewer: Jim Chen, Private Capital Advisory</x:v>
      </x:c>
      <x:c r="C72" s="31" t="str">
        <x:v>Other Question</x:v>
      </x:c>
      <x:c r="D72" s="69" t="n">
        <x:f>COUNTIF('All Questions'!$G$5:$G$1725,A72)</x:f>
        <x:v>1</x:v>
      </x:c>
      <x:c r="E72" s="31" t="str">
        <x:v>Jefferies</x:v>
      </x:c>
      <x:c r="F72" s="31" t="str">
        <x:v>IBD / GCM</x:v>
      </x:c>
      <x:c r="G72" s="31" t="str">
        <x:v>1st Interviewer: Jim Chen, Private Capital Advisory</x:v>
      </x:c>
    </x:row>
    <x:row r="73" ht="34" customHeight="1">
      <x:c r="A73" s="30" t="str">
        <x:v>CL0069</x:v>
      </x:c>
      <x:c r="B73" s="31" t="str">
        <x:v>1st part: Business sense (asset allocation)</x:v>
      </x:c>
      <x:c r="C73" s="31" t="str">
        <x:v>Fit &amp; Motivation</x:v>
      </x:c>
      <x:c r="D73" s="69" t="n">
        <x:f>COUNTIF('All Questions'!$G$5:$G$1725,A73)</x:f>
        <x:v>1</x:v>
      </x:c>
      <x:c r="E73" s="31" t="str">
        <x:v>Citi PB</x:v>
      </x:c>
      <x:c r="F73" s="31" t="str">
        <x:v>PWM / AM</x:v>
      </x:c>
      <x:c r="G73" s="31" t="str">
        <x:v>1st part: Business sense (asset allocation)</x:v>
      </x:c>
    </x:row>
    <x:row r="74" ht="34" customHeight="1">
      <x:c r="A74" s="30" t="str">
        <x:v>CL0070</x:v>
      </x:c>
      <x:c r="B74" s="31" t="str">
        <x:v>2 Cases did in PEI - what did you do?, valuation, multiples</x:v>
      </x:c>
      <x:c r="C74" s="31" t="str">
        <x:v>Resume &amp; Experience</x:v>
      </x:c>
      <x:c r="D74" s="69" t="n">
        <x:f>COUNTIF('All Questions'!$G$5:$G$1725,A74)</x:f>
        <x:v>1</x:v>
      </x:c>
      <x:c r="E74" s="31" t="str">
        <x:v>Deutsche</x:v>
      </x:c>
      <x:c r="F74" s="31" t="str">
        <x:v>IBD / GCM</x:v>
      </x:c>
      <x:c r="G74" s="31" t="str">
        <x:v>2 Cases did in PEI - what did you do?, valuation, multiples</x:v>
      </x:c>
    </x:row>
    <x:row r="75" ht="34" customHeight="1">
      <x:c r="A75" s="30" t="str">
        <x:v>CL0071</x:v>
      </x:c>
      <x:c r="B75" s="31" t="str">
        <x:v>25bn market size, how do you get it</x:v>
      </x:c>
      <x:c r="C75" s="31" t="str">
        <x:v>Consulting &amp; Case</x:v>
      </x:c>
      <x:c r="D75" s="69" t="n">
        <x:f>COUNTIF('All Questions'!$G$5:$G$1725,A75)</x:f>
        <x:v>1</x:v>
      </x:c>
      <x:c r="E75" s="31" t="str">
        <x:v>CDH</x:v>
      </x:c>
      <x:c r="F75" s="31" t="str">
        <x:v>PE / VC / Other</x:v>
      </x:c>
      <x:c r="G75" s="31" t="str">
        <x:v>25bn market size, how do you get it?</x:v>
      </x:c>
    </x:row>
    <x:row r="76" ht="34" customHeight="1">
      <x:c r="A76" s="30" t="str">
        <x:v>CL0072</x:v>
      </x:c>
      <x:c r="B76" s="31" t="str">
        <x:v>2nd part: Market (give a news, asking the impact on PB Clients)</x:v>
      </x:c>
      <x:c r="C76" s="31" t="str">
        <x:v>Wealth &amp; Asset Management</x:v>
      </x:c>
      <x:c r="D76" s="69" t="n">
        <x:f>COUNTIF('All Questions'!$G$5:$G$1725,A76)</x:f>
        <x:v>1</x:v>
      </x:c>
      <x:c r="E76" s="31" t="str">
        <x:v>Citi PB</x:v>
      </x:c>
      <x:c r="F76" s="31" t="str">
        <x:v>PWM / AM</x:v>
      </x:c>
      <x:c r="G76" s="31" t="str">
        <x:v>2nd part: Market (give a news, asking the impact on PB Clients)</x:v>
      </x:c>
    </x:row>
    <x:row r="77" ht="34" customHeight="1">
      <x:c r="A77" s="30" t="str">
        <x:v>CL0073</x:v>
      </x:c>
      <x:c r="B77" s="31" t="str">
        <x:v>3 financial statements</x:v>
      </x:c>
      <x:c r="C77" s="31" t="str">
        <x:v>Accounting &amp; Financial Statements</x:v>
      </x:c>
      <x:c r="D77" s="69" t="n">
        <x:f>COUNTIF('All Questions'!$G$5:$G$1725,A77)</x:f>
        <x:v>1</x:v>
      </x:c>
      <x:c r="E77" s="31" t="str">
        <x:v>MS IBD</x:v>
      </x:c>
      <x:c r="F77" s="31" t="str">
        <x:v>IBD / GCM</x:v>
      </x:c>
      <x:c r="G77" s="31" t="str">
        <x:v>3 financial statements</x:v>
      </x:c>
    </x:row>
    <x:row r="78" ht="34" customHeight="1">
      <x:c r="A78" s="30" t="str">
        <x:v>CL0074</x:v>
      </x:c>
      <x:c r="B78" s="31" t="str">
        <x:v>3 Investment thesis for the logistic/freight forwarding business</x:v>
      </x:c>
      <x:c r="C78" s="31" t="str">
        <x:v>Investment Pitch</x:v>
      </x:c>
      <x:c r="D78" s="69" t="n">
        <x:f>COUNTIF('All Questions'!$G$5:$G$1725,A78)</x:f>
        <x:v>1</x:v>
      </x:c>
      <x:c r="E78" s="31" t="str">
        <x:v>Deutsche</x:v>
      </x:c>
      <x:c r="F78" s="31" t="str">
        <x:v>IBD / GCM</x:v>
      </x:c>
      <x:c r="G78" s="31" t="str">
        <x:v>3 Investment thesis for the logistic/freight forwarding business</x:v>
      </x:c>
    </x:row>
    <x:row r="79" ht="34" customHeight="1">
      <x:c r="A79" s="30" t="str">
        <x:v>CL0075</x:v>
      </x:c>
      <x:c r="B79" s="31" t="str">
        <x:v>3 statement question (seems like, but I don't remember)</x:v>
      </x:c>
      <x:c r="C79" s="31" t="str">
        <x:v>Accounting &amp; Financial Statements</x:v>
      </x:c>
      <x:c r="D79" s="69" t="n">
        <x:f>COUNTIF('All Questions'!$G$5:$G$1725,A79)</x:f>
        <x:v>1</x:v>
      </x:c>
      <x:c r="E79" s="31" t="str">
        <x:v>HSBC</x:v>
      </x:c>
      <x:c r="F79" s="31" t="str">
        <x:v>IBD / GCM</x:v>
      </x:c>
      <x:c r="G79" s="31" t="str">
        <x:v>3 statement question (seems like, but I don't remember)</x:v>
      </x:c>
    </x:row>
    <x:row r="80" ht="34" customHeight="1">
      <x:c r="A80" s="30" t="str">
        <x:v>CL0076</x:v>
      </x:c>
      <x:c r="B80" s="31" t="str">
        <x:v>3 statement tech without pen and paper</x:v>
      </x:c>
      <x:c r="C80" s="31" t="str">
        <x:v>Accounting &amp; Financial Statements</x:v>
      </x:c>
      <x:c r="D80" s="69" t="n">
        <x:f>COUNTIF('All Questions'!$G$5:$G$1725,A80)</x:f>
        <x:v>1</x:v>
      </x:c>
      <x:c r="E80" s="31" t="str">
        <x:v>Deutsche</x:v>
      </x:c>
      <x:c r="F80" s="31" t="str">
        <x:v>IBD / GCM</x:v>
      </x:c>
      <x:c r="G80" s="31" t="str">
        <x:v>3 statement tech without pen and paper</x:v>
      </x:c>
    </x:row>
    <x:row r="81" ht="52" customHeight="1">
      <x:c r="A81" s="30" t="str">
        <x:v>CL0077</x:v>
      </x:c>
      <x:c r="B81" s="31" t="str">
        <x:v>3 statement year 1 start 100M loan buy fixed asset; year 1 end 10M repayment, 5% interest, 10 year straight line depreciation, 30% tax rate</x:v>
      </x:c>
      <x:c r="C81" s="31" t="str">
        <x:v>Accounting &amp; Financial Statements</x:v>
      </x:c>
      <x:c r="D81" s="69" t="n">
        <x:f>COUNTIF('All Questions'!$G$5:$G$1725,A81)</x:f>
        <x:v>1</x:v>
      </x:c>
      <x:c r="E81" s="31" t="str">
        <x:v>Bofa IBD</x:v>
      </x:c>
      <x:c r="F81" s="31" t="str">
        <x:v>IBD / GCM</x:v>
      </x:c>
      <x:c r="G81" s="31" t="str">
        <x:v>3 statement year 1 start 100M loan buy fixed asset; year 1 end 10M repayment, 5% interest, 10 year straight line depreciation, 30% tax rate</x:v>
      </x:c>
    </x:row>
    <x:row r="82" ht="34" customHeight="1">
      <x:c r="A82" s="30" t="str">
        <x:v>CL0078</x:v>
      </x:c>
      <x:c r="B82" s="31" t="str">
        <x:v>3any preference sector for choosing to work? (i said industrials)</x:v>
      </x:c>
      <x:c r="C82" s="31" t="str">
        <x:v>Company, Industry &amp; Deals</x:v>
      </x:c>
      <x:c r="D82" s="69" t="n">
        <x:f>COUNTIF('All Questions'!$G$5:$G$1725,A82)</x:f>
        <x:v>1</x:v>
      </x:c>
      <x:c r="E82" s="31" t="str">
        <x:v>Bofa IBD</x:v>
      </x:c>
      <x:c r="F82" s="31" t="str">
        <x:v>IBD / GCM</x:v>
      </x:c>
      <x:c r="G82" s="31" t="str">
        <x:v>3any preference sector for choosing to work? (i said industrials)</x:v>
      </x:c>
    </x:row>
    <x:row r="83" ht="34" customHeight="1">
      <x:c r="A83" s="30" t="str">
        <x:v>CL0079</x:v>
      </x:c>
      <x:c r="B83" s="31" t="str">
        <x:v>3rd and 4th interviewer (two from private bank distribution)</x:v>
      </x:c>
      <x:c r="C83" s="31" t="str">
        <x:v>Wealth &amp; Asset Management</x:v>
      </x:c>
      <x:c r="D83" s="69" t="n">
        <x:f>COUNTIF('All Questions'!$G$5:$G$1725,A83)</x:f>
        <x:v>1</x:v>
      </x:c>
      <x:c r="E83" s="31" t="str">
        <x:v>BlackRock</x:v>
      </x:c>
      <x:c r="F83" s="31" t="str">
        <x:v>PWM / AM</x:v>
      </x:c>
      <x:c r="G83" s="31" t="str">
        <x:v>3rd and 4th interviewer (two from private bank distribution)</x:v>
      </x:c>
    </x:row>
    <x:row r="84" ht="52" customHeight="1">
      <x:c r="A84" s="30" t="str">
        <x:v>CL0080</x:v>
      </x:c>
      <x:c r="B84" s="31" t="str">
        <x:v>4any experience in electronic vehicles(get exposed to some, but could share another rragrding different industry in my internship, but she said not really interested😂)</x:v>
      </x:c>
      <x:c r="C84" s="31" t="str">
        <x:v>Resume &amp; Experience</x:v>
      </x:c>
      <x:c r="D84" s="69" t="n">
        <x:f>COUNTIF('All Questions'!$G$5:$G$1725,A84)</x:f>
        <x:v>1</x:v>
      </x:c>
      <x:c r="E84" s="31" t="str">
        <x:v>Bofa IBD</x:v>
      </x:c>
      <x:c r="F84" s="31" t="str">
        <x:v>IBD / GCM</x:v>
      </x:c>
      <x:c r="G84" s="31" t="str">
        <x:v>4any experience in electronic vehicles(get exposed to some, but could share another rragrding different industry in my internship, but she said not really interested😂)</x:v>
      </x:c>
    </x:row>
    <x:row r="85" ht="34" customHeight="1">
      <x:c r="A85" s="30" t="str">
        <x:v>CL0081</x:v>
      </x:c>
      <x:c r="B85" s="31" t="str">
        <x:v>5 Pages of JPM Funds details : with stats like CAGR, market trends</x:v>
      </x:c>
      <x:c r="C85" s="31" t="str">
        <x:v>Other Question</x:v>
      </x:c>
      <x:c r="D85" s="69" t="n">
        <x:f>COUNTIF('All Questions'!$G$5:$G$1725,A85)</x:f>
        <x:v>1</x:v>
      </x:c>
      <x:c r="E85" s="31" t="str">
        <x:v>JPM AM</x:v>
      </x:c>
      <x:c r="F85" s="31" t="str">
        <x:v>PWM / AM</x:v>
      </x:c>
      <x:c r="G85" s="31" t="str">
        <x:v>5 Pages of JPM Funds details : with stats like CAGR, market trends...</x:v>
      </x:c>
    </x:row>
    <x:row r="86" ht="34" customHeight="1">
      <x:c r="A86" s="30" t="str">
        <x:v>CL0082</x:v>
      </x:c>
      <x:c r="B86" s="31" t="str">
        <x:v>5for bain, any research in tmt? (yes), tell me about the semiconductor</x:v>
      </x:c>
      <x:c r="C86" s="31" t="str">
        <x:v>Other Question</x:v>
      </x:c>
      <x:c r="D86" s="69" t="n">
        <x:f>COUNTIF('All Questions'!$G$5:$G$1725,A86)</x:f>
        <x:v>1</x:v>
      </x:c>
      <x:c r="E86" s="31" t="str">
        <x:v>Bofa IBD</x:v>
      </x:c>
      <x:c r="F86" s="31" t="str">
        <x:v>IBD / GCM</x:v>
      </x:c>
      <x:c r="G86" s="31" t="str">
        <x:v>5for bain, any research in tmt? (yes), tell me about the semiconductor</x:v>
      </x:c>
    </x:row>
    <x:row r="87" ht="52" customHeight="1">
      <x:c r="A87" s="30" t="str">
        <x:v>CL0083</x:v>
      </x:c>
      <x:c r="B87" s="31" t="str">
        <x:v>6any valuation job before? tell me difference between different valuation mathod, (basically pros and cons)</x:v>
      </x:c>
      <x:c r="C87" s="31" t="str">
        <x:v>Valuation</x:v>
      </x:c>
      <x:c r="D87" s="69" t="n">
        <x:f>COUNTIF('All Questions'!$G$5:$G$1725,A87)</x:f>
        <x:v>1</x:v>
      </x:c>
      <x:c r="E87" s="31" t="str">
        <x:v>Bofa IBD</x:v>
      </x:c>
      <x:c r="F87" s="31" t="str">
        <x:v>IBD / GCM</x:v>
      </x:c>
      <x:c r="G87" s="31" t="str">
        <x:v>6any valuation job before? tell me difference between different valuation mathod, (basically pros and cons)</x:v>
      </x:c>
    </x:row>
    <x:row r="88" ht="34" customHeight="1">
      <x:c r="A88" s="30" t="str">
        <x:v>CL0084</x:v>
      </x:c>
      <x:c r="B88" s="31" t="str">
        <x:v>7how 3 statement changed if there will be minority interest</x:v>
      </x:c>
      <x:c r="C88" s="31" t="str">
        <x:v>Accounting &amp; Financial Statements</x:v>
      </x:c>
      <x:c r="D88" s="69" t="n">
        <x:f>COUNTIF('All Questions'!$G$5:$G$1725,A88)</x:f>
        <x:v>1</x:v>
      </x:c>
      <x:c r="E88" s="31" t="str">
        <x:v>Bofa IBD</x:v>
      </x:c>
      <x:c r="F88" s="31" t="str">
        <x:v>IBD / GCM</x:v>
      </x:c>
      <x:c r="G88" s="31" t="str">
        <x:v>7how 3 statement changed if there will be minority interest?</x:v>
      </x:c>
    </x:row>
    <x:row r="89" ht="52" customHeight="1">
      <x:c r="A89" s="30" t="str">
        <x:v>CL0085</x:v>
      </x:c>
      <x:c r="B89" s="31" t="str">
        <x:v>8 ev question, can equity value be negative? difference between book value and market value for equity value</x:v>
      </x:c>
      <x:c r="C89" s="31" t="str">
        <x:v>Valuation</x:v>
      </x:c>
      <x:c r="D89" s="69" t="n">
        <x:f>COUNTIF('All Questions'!$G$5:$G$1725,A89)</x:f>
        <x:v>1</x:v>
      </x:c>
      <x:c r="E89" s="31" t="str">
        <x:v>Bofa IBD</x:v>
      </x:c>
      <x:c r="F89" s="31" t="str">
        <x:v>IBD / GCM</x:v>
      </x:c>
      <x:c r="G89" s="31" t="str">
        <x:v>8 ev question, can equity value be negative? difference between book value and market value for equity value?</x:v>
      </x:c>
    </x:row>
    <x:row r="90" ht="34" customHeight="1">
      <x:c r="A90" s="30" t="str">
        <x:v>CL0086</x:v>
      </x:c>
      <x:c r="B90" s="31" t="str">
        <x:v>8 EV/EBITDA, 5 interest coverage ratio, 5% interest rate on debt, Loan to value? (0.5)</x:v>
      </x:c>
      <x:c r="C90" s="31" t="str">
        <x:v>Markets &amp; Macro</x:v>
      </x:c>
      <x:c r="D90" s="69" t="n">
        <x:f>COUNTIF('All Questions'!$G$5:$G$1725,A90)</x:f>
        <x:v>1</x:v>
      </x:c>
      <x:c r="E90" s="31" t="str">
        <x:v>Houlihan Lokey</x:v>
      </x:c>
      <x:c r="F90" s="31" t="str">
        <x:v>IBD / GCM</x:v>
      </x:c>
      <x:c r="G90" s="31" t="str">
        <x:v>8 EV/EBITDA, 5 interest coverage ratio, 5% interest rate on debt, Loan to value? (0.5)</x:v>
      </x:c>
    </x:row>
    <x:row r="91" ht="52" customHeight="1">
      <x:c r="A91" s="30" t="str">
        <x:v>CL0087</x:v>
      </x:c>
      <x:c r="B91" s="31" t="str">
        <x:v>8 jsa question, team 1 gave u a job, needa finish 12am. when working till 9pm, team b md gave you another project to do. also needa finish 12am. what would you do</x:v>
      </x:c>
      <x:c r="C91" s="31" t="str">
        <x:v>Behavioral &amp; Situational</x:v>
      </x:c>
      <x:c r="D91" s="69" t="n">
        <x:f>COUNTIF('All Questions'!$G$5:$G$1725,A91)</x:f>
        <x:v>1</x:v>
      </x:c>
      <x:c r="E91" s="31" t="str">
        <x:v>Bofa IBD</x:v>
      </x:c>
      <x:c r="F91" s="31" t="str">
        <x:v>IBD / GCM</x:v>
      </x:c>
      <x:c r="G91" s="31" t="str">
        <x:v>8 jsa question, team 1 gave u a job, needa finish 12am. when working till 9pm, team b md gave you another project to do. also needa finish 12am. what would you do?</x:v>
      </x:c>
    </x:row>
    <x:row r="92" ht="34" customHeight="1">
      <x:c r="A92" s="30" t="str">
        <x:v>CL0088</x:v>
      </x:c>
      <x:c r="B92" s="31" t="str">
        <x:v>A (100M market cap) buys B (50M market cap, 30M equity BV) for 50M, by 100% changes to equity value</x:v>
      </x:c>
      <x:c r="C92" s="31" t="str">
        <x:v>Valuation</x:v>
      </x:c>
      <x:c r="D92" s="69" t="n">
        <x:f>COUNTIF('All Questions'!$G$5:$G$1725,A92)</x:f>
        <x:v>1</x:v>
      </x:c>
      <x:c r="E92" s="31" t="str">
        <x:v>Bofa IBD</x:v>
      </x:c>
      <x:c r="F92" s="31" t="str">
        <x:v>IBD / GCM</x:v>
      </x:c>
      <x:c r="G92" s="31" t="str">
        <x:v>A (100M market cap) buys B (50M market cap, 30M equity BV) for 50M, by 100% changes to equity value?</x:v>
      </x:c>
    </x:row>
    <x:row r="93" ht="34" customHeight="1">
      <x:c r="A93" s="30" t="str">
        <x:v>CL0089</x:v>
      </x:c>
      <x:c r="B93" s="31" t="str">
        <x:v>A detailed breakdown of WACC, down to how beta is determined</x:v>
      </x:c>
      <x:c r="C93" s="31" t="str">
        <x:v>Accounting &amp; Financial Statements</x:v>
      </x:c>
      <x:c r="D93" s="69" t="n">
        <x:f>COUNTIF('All Questions'!$G$5:$G$1725,A93)</x:f>
        <x:v>1</x:v>
      </x:c>
      <x:c r="E93" s="31" t="str">
        <x:v>BNP Paribas</x:v>
      </x:c>
      <x:c r="F93" s="31" t="str">
        <x:v>IBD / GCM</x:v>
      </x:c>
      <x:c r="G93" s="31" t="str">
        <x:v>A detailed breakdown of WACC, down to how beta is determined.</x:v>
      </x:c>
    </x:row>
    <x:row r="94" ht="34" customHeight="1">
      <x:c r="A94" s="30" t="str">
        <x:v>CL0090</x:v>
      </x:c>
      <x:c r="B94" s="31" t="str">
        <x:v>A feedback you received and how you dealt with it</x:v>
      </x:c>
      <x:c r="C94" s="31" t="str">
        <x:v>Behavioral &amp; Situational</x:v>
      </x:c>
      <x:c r="D94" s="69" t="n">
        <x:f>COUNTIF('All Questions'!$G$5:$G$1725,A94)</x:f>
        <x:v>1</x:v>
      </x:c>
      <x:c r="E94" s="31" t="str">
        <x:v>UBS AM</x:v>
      </x:c>
      <x:c r="F94" s="31" t="str">
        <x:v>PWM / AM</x:v>
      </x:c>
      <x:c r="G94" s="31" t="str">
        <x:v>A feedback you received and how you dealt with it?</x:v>
      </x:c>
    </x:row>
    <x:row r="95" ht="34" customHeight="1">
      <x:c r="A95" s="30" t="str">
        <x:v>CL0091</x:v>
      </x:c>
      <x:c r="B95" s="31" t="str">
        <x:v>A owns 30% of B, how does A's three statement changes after B issued $10 dividends</x:v>
      </x:c>
      <x:c r="C95" s="31" t="str">
        <x:v>Accounting &amp; Financial Statements</x:v>
      </x:c>
      <x:c r="D95" s="69" t="n">
        <x:f>COUNTIF('All Questions'!$G$5:$G$1725,A95)</x:f>
        <x:v>1</x:v>
      </x:c>
      <x:c r="E95" s="31" t="str">
        <x:v>Deutsche</x:v>
      </x:c>
      <x:c r="F95" s="31" t="str">
        <x:v>IBD / GCM</x:v>
      </x:c>
      <x:c r="G95" s="31" t="str">
        <x:v>A owns 30% of B, how does A's three statement changes after B issued $10 dividends?</x:v>
      </x:c>
    </x:row>
    <x:row r="96" ht="76" customHeight="1">
      <x:c r="A96" s="30" t="str">
        <x:v>CL0092</x:v>
      </x:c>
      <x:c r="B96" s="31" t="str">
        <x:v>A super super long company pitch material for u to read, use 15 minutes to analyze this company, and calculate some unit economies and VC-focus accouting. Use 15 minutes to present your investment thesis</x:v>
      </x:c>
      <x:c r="C96" s="31" t="str">
        <x:v>Investment Pitch</x:v>
      </x:c>
      <x:c r="D96" s="69" t="n">
        <x:f>COUNTIF('All Questions'!$G$5:$G$1725,A96)</x:f>
        <x:v>1</x:v>
      </x:c>
      <x:c r="E96" s="31" t="str">
        <x:v>Mindworks Capital</x:v>
      </x:c>
      <x:c r="F96" s="31" t="str">
        <x:v>PE / VC / Other</x:v>
      </x:c>
      <x:c r="G96" s="31" t="str">
        <x:v>A super super long company pitch material for u to read, use 15 minutes to analyze this company, and calculate some unit economies and VC-focus accouting. Use 15 minutes to present your investment thesis.</x:v>
      </x:c>
    </x:row>
    <x:row r="97" ht="34" customHeight="1">
      <x:c r="A97" s="30" t="str">
        <x:v>CL0093</x:v>
      </x:c>
      <x:c r="B97" s="31" t="str">
        <x:v>A time you made a risky decision</x:v>
      </x:c>
      <x:c r="C97" s="31" t="str">
        <x:v>Other Question</x:v>
      </x:c>
      <x:c r="D97" s="69" t="n">
        <x:f>COUNTIF('All Questions'!$G$5:$G$1725,A97)</x:f>
        <x:v>1</x:v>
      </x:c>
      <x:c r="E97" s="31" t="str">
        <x:v>UBS AM</x:v>
      </x:c>
      <x:c r="F97" s="31" t="str">
        <x:v>PWM / AM</x:v>
      </x:c>
      <x:c r="G97" s="31" t="str">
        <x:v>A time you made a risky decision?</x:v>
      </x:c>
    </x:row>
    <x:row r="98" ht="34" customHeight="1">
      <x:c r="A98" s="30" t="str">
        <x:v>CL0094</x:v>
      </x:c>
      <x:c r="B98" s="31" t="str">
        <x:v>ABOUT AN EQUITY SEASONED OFFERING SOLUTION TO A COMPANY</x:v>
      </x:c>
      <x:c r="C98" s="31" t="str">
        <x:v>Capital Markets &amp; Financing</x:v>
      </x:c>
      <x:c r="D98" s="69" t="n">
        <x:f>COUNTIF('All Questions'!$G$5:$G$1725,A98)</x:f>
        <x:v>1</x:v>
      </x:c>
      <x:c r="E98" s="31" t="str">
        <x:v>MS GCM</x:v>
      </x:c>
      <x:c r="F98" s="31" t="str">
        <x:v>IBD / GCM</x:v>
      </x:c>
      <x:c r="G98" s="31" t="str">
        <x:v>ABOUT AN EQUITY SEASONED OFFERING SOLUTION TO A COMPANY</x:v>
      </x:c>
    </x:row>
    <x:row r="99" ht="52" customHeight="1">
      <x:c r="A99" s="30" t="str">
        <x:v>CL0095</x:v>
      </x:c>
      <x:c r="B99" s="31" t="str">
        <x:v>About biz model: so only installation? Do they manufacture these products themselves? Do they build factory</x:v>
      </x:c>
      <x:c r="C99" s="31" t="str">
        <x:v>Other Technical</x:v>
      </x:c>
      <x:c r="D99" s="69" t="n">
        <x:f>COUNTIF('All Questions'!$G$5:$G$1725,A99)</x:f>
        <x:v>1</x:v>
      </x:c>
      <x:c r="E99" s="31" t="str">
        <x:v>Lazard</x:v>
      </x:c>
      <x:c r="F99" s="31" t="str">
        <x:v>IBD / GCM</x:v>
      </x:c>
      <x:c r="G99" s="31" t="str">
        <x:v>About biz model: so only installation? Do they manufacture these products themselves? Do they build factory?</x:v>
      </x:c>
    </x:row>
    <x:row r="100" ht="34" customHeight="1">
      <x:c r="A100" s="30" t="str">
        <x:v>CL0096</x:v>
      </x:c>
      <x:c r="B100" s="31" t="str">
        <x:v>About last internship: prospectus, your role, solvency ratios, DSCR, protective covenants</x:v>
      </x:c>
      <x:c r="C100" s="31" t="str">
        <x:v>Resume &amp; Experience</x:v>
      </x:c>
      <x:c r="D100" s="69" t="n">
        <x:f>COUNTIF('All Questions'!$G$5:$G$1725,A100)</x:f>
        <x:v>1</x:v>
      </x:c>
      <x:c r="E100" s="31" t="str">
        <x:v>MS IBD</x:v>
      </x:c>
      <x:c r="F100" s="31" t="str">
        <x:v>IBD / GCM</x:v>
      </x:c>
      <x:c r="G100" s="31" t="str">
        <x:v>About last internship: prospectus, your role, solvency ratios, DSCR, protective covenants</x:v>
      </x:c>
    </x:row>
    <x:row r="101" ht="34" customHeight="1">
      <x:c r="A101" s="30" t="str">
        <x:v>CL0097</x:v>
      </x:c>
      <x:c r="B101" s="31" t="str">
        <x:v>About my investment memo — what were the key investment highlights</x:v>
      </x:c>
      <x:c r="C101" s="31" t="str">
        <x:v>Other Question</x:v>
      </x:c>
      <x:c r="D101" s="69" t="n">
        <x:f>COUNTIF('All Questions'!$G$5:$G$1725,A101)</x:f>
        <x:v>1</x:v>
      </x:c>
      <x:c r="E101" s="31" t="str">
        <x:v>BNP Paribas</x:v>
      </x:c>
      <x:c r="F101" s="31" t="str">
        <x:v>IBD / GCM</x:v>
      </x:c>
      <x:c r="G101" s="31" t="str">
        <x:v>About my investment memo — what were the key investment highlights?</x:v>
      </x:c>
    </x:row>
    <x:row r="102" ht="34" customHeight="1">
      <x:c r="A102" s="30" t="str">
        <x:v>CL0098</x:v>
      </x:c>
      <x:c r="B102" s="31" t="str">
        <x:v>Accounting question: Revenue 100, impact on 3 statement, make your own assumptuons</x:v>
      </x:c>
      <x:c r="C102" s="31" t="str">
        <x:v>Accounting &amp; Financial Statements</x:v>
      </x:c>
      <x:c r="D102" s="69" t="n">
        <x:f>COUNTIF('All Questions'!$G$5:$G$1725,A102)</x:f>
        <x:v>1</x:v>
      </x:c>
      <x:c r="E102" s="31" t="str">
        <x:v>UBS IBD</x:v>
      </x:c>
      <x:c r="F102" s="31" t="str">
        <x:v>IBD / GCM</x:v>
      </x:c>
      <x:c r="G102" s="31" t="str">
        <x:v>Accounting question: Revenue 100, impact on 3 statement, make your own assumptuons</x:v>
      </x:c>
    </x:row>
    <x:row r="103" ht="52" customHeight="1">
      <x:c r="A103" s="30" t="str">
        <x:v>CL0099</x:v>
      </x:c>
      <x:c r="B103" s="31" t="str">
        <x:v>Accounting: $10 deferred interest expense, 3 statement? (not under CFF, but under CFO just non-cash expense add back)</x:v>
      </x:c>
      <x:c r="C103" s="31" t="str">
        <x:v>Accounting &amp; Financial Statements</x:v>
      </x:c>
      <x:c r="D103" s="69" t="n">
        <x:f>COUNTIF('All Questions'!$G$5:$G$1725,A103)</x:f>
        <x:v>1</x:v>
      </x:c>
      <x:c r="E103" s="31" t="str">
        <x:v>CDH</x:v>
      </x:c>
      <x:c r="F103" s="31" t="str">
        <x:v>PE / VC / Other</x:v>
      </x:c>
      <x:c r="G103" s="31" t="str">
        <x:v>Accounting: $10 deferred interest expense, 3 statement? (not under CFF, but under CFO just non-cash expense add back)</x:v>
      </x:c>
    </x:row>
    <x:row r="104" ht="34" customHeight="1">
      <x:c r="A104" s="30" t="str">
        <x:v>CL0100</x:v>
      </x:c>
      <x:c r="B104" s="31" t="str">
        <x:v>Additional ways to look at valuation. I mentioned historical cost</x:v>
      </x:c>
      <x:c r="C104" s="31" t="str">
        <x:v>Valuation</x:v>
      </x:c>
      <x:c r="D104" s="69" t="n">
        <x:f>COUNTIF('All Questions'!$G$5:$G$1725,A104)</x:f>
        <x:v>1</x:v>
      </x:c>
      <x:c r="E104" s="31" t="str">
        <x:v>UBS IBD</x:v>
      </x:c>
      <x:c r="F104" s="31" t="str">
        <x:v>IBD / GCM</x:v>
      </x:c>
      <x:c r="G104" s="31" t="str">
        <x:v>Additional ways to look at valuation. I mentioned historical cost</x:v>
      </x:c>
    </x:row>
    <x:row r="105" ht="34" customHeight="1">
      <x:c r="A105" s="30" t="str">
        <x:v>CL0101</x:v>
      </x:c>
      <x:c r="B105" s="31" t="str">
        <x:v>Adjustments to EBITDA to find adjusted EBITDA</x:v>
      </x:c>
      <x:c r="C105" s="31" t="str">
        <x:v>Other Question</x:v>
      </x:c>
      <x:c r="D105" s="69" t="n">
        <x:f>COUNTIF('All Questions'!$G$5:$G$1725,A105)</x:f>
        <x:v>1</x:v>
      </x:c>
      <x:c r="E105" s="31" t="str">
        <x:v>Houlihan Lokey</x:v>
      </x:c>
      <x:c r="F105" s="31" t="str">
        <x:v>IBD / GCM</x:v>
      </x:c>
      <x:c r="G105" s="31" t="str">
        <x:v>Adjustments to EBITDA to find adjusted EBITDA?</x:v>
      </x:c>
    </x:row>
    <x:row r="106" ht="52" customHeight="1">
      <x:c r="A106" s="30" t="str">
        <x:v>CL0102</x:v>
      </x:c>
      <x:c r="B106" s="31" t="str">
        <x:v>Advise on bond issuance - terms (coupon rate, maturity) , market condition (assuming high-rate), steel industry</x:v>
      </x:c>
      <x:c r="C106" s="31" t="str">
        <x:v>Capital Markets &amp; Financing</x:v>
      </x:c>
      <x:c r="D106" s="69" t="n">
        <x:f>COUNTIF('All Questions'!$G$5:$G$1725,A106)</x:f>
        <x:v>1</x:v>
      </x:c>
      <x:c r="E106" s="31" t="str">
        <x:v>MS GCM</x:v>
      </x:c>
      <x:c r="F106" s="31" t="str">
        <x:v>IBD / GCM</x:v>
      </x:c>
      <x:c r="G106" s="31" t="str">
        <x:v>Advise on bond issuance - terms (coupon rate, maturity) , market condition (assuming high-rate), steel industry</x:v>
      </x:c>
    </x:row>
    <x:row r="107" ht="34" customHeight="1">
      <x:c r="A107" s="30" t="str">
        <x:v>CL0103</x:v>
      </x:c>
      <x:c r="B107" s="31" t="str">
        <x:v>Affiliate vs subsidiary and how are they reflected differently on FS</x:v>
      </x:c>
      <x:c r="C107" s="31" t="str">
        <x:v>Other Question</x:v>
      </x:c>
      <x:c r="D107" s="69" t="n">
        <x:f>COUNTIF('All Questions'!$G$5:$G$1725,A107)</x:f>
        <x:v>1</x:v>
      </x:c>
      <x:c r="E107" s="31" t="str">
        <x:v>Citi</x:v>
      </x:c>
      <x:c r="F107" s="31" t="str">
        <x:v>IBD / GCM</x:v>
      </x:c>
      <x:c r="G107" s="31" t="str">
        <x:v>Affiliate vs subsidiary and how are they reflected differently on FS?</x:v>
      </x:c>
    </x:row>
    <x:row r="108" ht="34" customHeight="1">
      <x:c r="A108" s="30" t="str">
        <x:v>CL0104</x:v>
      </x:c>
      <x:c r="B108" s="31" t="str">
        <x:v>After 1 year, what happens? Feel free to ask assumption (Tax: 20%)</x:v>
      </x:c>
      <x:c r="C108" s="31" t="str">
        <x:v>Other Question</x:v>
      </x:c>
      <x:c r="D108" s="69" t="n">
        <x:f>COUNTIF('All Questions'!$G$5:$G$1725,A108)</x:f>
        <x:v>1</x:v>
      </x:c>
      <x:c r="E108" s="31" t="str">
        <x:v>Bofa IBD</x:v>
      </x:c>
      <x:c r="F108" s="31" t="str">
        <x:v>IBD / GCM</x:v>
      </x:c>
      <x:c r="G108" s="31" t="str">
        <x:v>After 1 year, what happens? Feel free to ask assumption (Tax: 20%)</x:v>
      </x:c>
    </x:row>
    <x:row r="109" ht="34" customHeight="1">
      <x:c r="A109" s="30" t="str">
        <x:v>CL0105</x:v>
      </x:c>
      <x:c r="B109" s="31" t="str">
        <x:v>After 4 years, no residual value, straight-line depreciation for 10 years, tax rate 40%, 3 statement</x:v>
      </x:c>
      <x:c r="C109" s="31" t="str">
        <x:v>Accounting &amp; Financial Statements</x:v>
      </x:c>
      <x:c r="D109" s="69" t="n">
        <x:f>COUNTIF('All Questions'!$G$5:$G$1725,A109)</x:f>
        <x:v>1</x:v>
      </x:c>
      <x:c r="E109" s="31" t="str">
        <x:v>MS IBD</x:v>
      </x:c>
      <x:c r="F109" s="31" t="str">
        <x:v>IBD / GCM</x:v>
      </x:c>
      <x:c r="G109" s="31" t="str">
        <x:v>After 4 years, no residual value, straight-line depreciation for 10 years, tax rate 40%, 3 statement</x:v>
      </x:c>
    </x:row>
    <x:row r="110" ht="52" customHeight="1">
      <x:c r="A110" s="30" t="str">
        <x:v>CL0106</x:v>
      </x:c>
      <x:c r="B110" s="31" t="str">
        <x:v>AI semiconductor industry - overview, trends, opportunities, risks, competitor analysis, competitive edge</x:v>
      </x:c>
      <x:c r="C110" s="31" t="str">
        <x:v>Company, Industry &amp; Deals</x:v>
      </x:c>
      <x:c r="D110" s="69" t="n">
        <x:f>COUNTIF('All Questions'!$G$5:$G$1725,A110)</x:f>
        <x:v>1</x:v>
      </x:c>
      <x:c r="E110" s="31" t="str">
        <x:v>MS IBD</x:v>
      </x:c>
      <x:c r="F110" s="31" t="str">
        <x:v>IBD / GCM</x:v>
      </x:c>
      <x:c r="G110" s="31" t="str">
        <x:v>AI semiconductor industry - overview, trends, opportunities, risks, competitor analysis, competitive edge</x:v>
      </x:c>
    </x:row>
    <x:row r="111" ht="34" customHeight="1">
      <x:c r="A111" s="30" t="str">
        <x:v>CL0107</x:v>
      </x:c>
      <x:c r="B111" s="31" t="str">
        <x:v>Also asked me about a case competition experience on my cv</x:v>
      </x:c>
      <x:c r="C111" s="31" t="str">
        <x:v>Resume &amp; Experience</x:v>
      </x:c>
      <x:c r="D111" s="69" t="n">
        <x:f>COUNTIF('All Questions'!$G$5:$G$1725,A111)</x:f>
        <x:v>1</x:v>
      </x:c>
      <x:c r="E111" s="31" t="str">
        <x:v>BlackRock</x:v>
      </x:c>
      <x:c r="F111" s="31" t="str">
        <x:v>PWM / AM</x:v>
      </x:c>
      <x:c r="G111" s="31" t="str">
        <x:v>also asked me about a case competition experience on my cv</x:v>
      </x:c>
    </x:row>
    <x:row r="112" ht="76" customHeight="1">
      <x:c r="A112" s="30" t="str">
        <x:v>CL0108</x:v>
      </x:c>
      <x:c r="B112" s="31" t="str">
        <x:v>Also, please remember the company's specific valuation figure; he will check its accuracy on his phone on the spot. Furthermore, you must have a clear understanding of your role, such as in which specific detail the investment value analysis report will be used</x:v>
      </x:c>
      <x:c r="C112" s="31" t="str">
        <x:v>Valuation</x:v>
      </x:c>
      <x:c r="D112" s="69" t="n">
        <x:f>COUNTIF('All Questions'!$G$5:$G$1725,A112)</x:f>
        <x:v>1</x:v>
      </x:c>
      <x:c r="E112" s="31" t="str">
        <x:v>BNP Paribas</x:v>
      </x:c>
      <x:c r="F112" s="31" t="str">
        <x:v>IBD / GCM</x:v>
      </x:c>
      <x:c r="G112" s="31" t="str">
        <x:v>Also, please remember the company's specific valuation figure; he will check its accuracy on his phone on the spot. Furthermore, you must have a clear understanding of your role, such as in which specific detail the investment value analysis report will be used.</x:v>
      </x:c>
    </x:row>
    <x:row r="113" ht="76" customHeight="1">
      <x:c r="A113" s="30" t="str">
        <x:v>CL0109</x:v>
      </x:c>
      <x:c r="B113" s="31" t="str">
        <x:v>Although the company's valuation is relatively cheap compared to its sector peers, but its current 24x PE is almost two times high of the KOSPI. And the stock price's YTD is 70%. Where is your confidence to believe there will be even more potential</x:v>
      </x:c>
      <x:c r="C113" s="31" t="str">
        <x:v>Accounting &amp; Financial Statements</x:v>
      </x:c>
      <x:c r="D113" s="69" t="n">
        <x:f>COUNTIF('All Questions'!$G$5:$G$1725,A113)</x:f>
        <x:v>1</x:v>
      </x:c>
      <x:c r="E113" s="31" t="str">
        <x:v>MS IED</x:v>
      </x:c>
      <x:c r="F113" s="31" t="str">
        <x:v>Sales &amp; Trading</x:v>
      </x:c>
      <x:c r="G113" s="31" t="str">
        <x:v>Although the company's valuation is relatively cheap compared to its sector peers, but its current 24x PE is almost two times high of the KOSPI. And the stock price's YTD is 70%. Where is your confidence to believe there will be even more potential?</x:v>
      </x:c>
    </x:row>
    <x:row r="114" ht="34" customHeight="1">
      <x:c r="A114" s="30" t="str">
        <x:v>CL0110</x:v>
      </x:c>
      <x:c r="B114" s="31" t="str">
        <x:v>An excel file and other equity research reports are given, as well as Weilong's annual reports</x:v>
      </x:c>
      <x:c r="C114" s="31" t="str">
        <x:v>Other Technical</x:v>
      </x:c>
      <x:c r="D114" s="69" t="n">
        <x:f>COUNTIF('All Questions'!$G$5:$G$1725,A114)</x:f>
        <x:v>1</x:v>
      </x:c>
      <x:c r="E114" s="31" t="str">
        <x:v>BNP Paribas</x:v>
      </x:c>
      <x:c r="F114" s="31" t="str">
        <x:v>IBD / GCM</x:v>
      </x:c>
      <x:c r="G114" s="31" t="str">
        <x:v>an excel file and other equity research reports are given, as well as Weilong's annual reports</x:v>
      </x:c>
    </x:row>
    <x:row r="115" ht="34" customHeight="1">
      <x:c r="A115" s="30" t="str">
        <x:v>CL0111</x:v>
      </x:c>
      <x:c r="B115" s="31" t="str">
        <x:v>Any account to be created and why</x:v>
      </x:c>
      <x:c r="C115" s="31" t="str">
        <x:v>Other Question</x:v>
      </x:c>
      <x:c r="D115" s="69" t="n">
        <x:f>COUNTIF('All Questions'!$G$5:$G$1725,A115)</x:f>
        <x:v>1</x:v>
      </x:c>
      <x:c r="E115" s="31" t="str">
        <x:v>Bofa IBD</x:v>
      </x:c>
      <x:c r="F115" s="31" t="str">
        <x:v>IBD / GCM</x:v>
      </x:c>
      <x:c r="G115" s="31" t="str">
        <x:v>Any account to be created and why?</x:v>
      </x:c>
    </x:row>
    <x:row r="116" ht="34" customHeight="1">
      <x:c r="A116" s="30" t="str">
        <x:v>CL0112</x:v>
      </x:c>
      <x:c r="B116" s="31" t="str">
        <x:v>Any DCF work</x:v>
      </x:c>
      <x:c r="C116" s="31" t="str">
        <x:v>Valuation</x:v>
      </x:c>
      <x:c r="D116" s="69" t="n">
        <x:f>COUNTIF('All Questions'!$G$5:$G$1725,A116)</x:f>
        <x:v>1</x:v>
      </x:c>
      <x:c r="E116" s="31" t="str">
        <x:v>Bofa IBD</x:v>
      </x:c>
      <x:c r="F116" s="31" t="str">
        <x:v>IBD / GCM</x:v>
      </x:c>
      <x:c r="G116" s="31" t="str">
        <x:v>Any DCF work?</x:v>
      </x:c>
    </x:row>
    <x:row r="117" ht="34" customHeight="1">
      <x:c r="A117" s="30" t="str">
        <x:v>CL0113</x:v>
      </x:c>
      <x:c r="B117" s="31" t="str">
        <x:v>Any deal experiences</x:v>
      </x:c>
      <x:c r="C117" s="31" t="str">
        <x:v>Resume &amp; Experience</x:v>
      </x:c>
      <x:c r="D117" s="69" t="n">
        <x:f>COUNTIF('All Questions'!$G$5:$G$1725,A117)</x:f>
        <x:v>1</x:v>
      </x:c>
      <x:c r="E117" s="31" t="str">
        <x:v>MS IBD</x:v>
      </x:c>
      <x:c r="F117" s="31" t="str">
        <x:v>IBD / GCM</x:v>
      </x:c>
      <x:c r="G117" s="31" t="str">
        <x:v>Any deal experiences?</x:v>
      </x:c>
    </x:row>
    <x:row r="118" ht="34" customHeight="1">
      <x:c r="A118" s="30" t="str">
        <x:v>CL0114</x:v>
      </x:c>
      <x:c r="B118" s="31" t="str">
        <x:v>Any example for working under stress</x:v>
      </x:c>
      <x:c r="C118" s="31" t="str">
        <x:v>Other Question</x:v>
      </x:c>
      <x:c r="D118" s="69" t="n">
        <x:f>COUNTIF('All Questions'!$G$5:$G$1725,A118)</x:f>
        <x:v>1</x:v>
      </x:c>
      <x:c r="E118" s="31" t="str">
        <x:v>BofA (GM)</x:v>
      </x:c>
      <x:c r="F118" s="31" t="str">
        <x:v>Sales &amp; Trading</x:v>
      </x:c>
      <x:c r="G118" s="31" t="str">
        <x:v>Any example for working under stress?</x:v>
      </x:c>
    </x:row>
    <x:row r="119" ht="34" customHeight="1">
      <x:c r="A119" s="30" t="str">
        <x:v>CL0115</x:v>
      </x:c>
      <x:c r="B119" s="31" t="str">
        <x:v>Any exposure to china market</x:v>
      </x:c>
      <x:c r="C119" s="31" t="str">
        <x:v>Markets &amp; Macro</x:v>
      </x:c>
      <x:c r="D119" s="69" t="n">
        <x:f>COUNTIF('All Questions'!$G$5:$G$1725,A119)</x:f>
        <x:v>1</x:v>
      </x:c>
      <x:c r="E119" s="31" t="str">
        <x:v>Bofa IBD</x:v>
      </x:c>
      <x:c r="F119" s="31" t="str">
        <x:v>IBD / GCM</x:v>
      </x:c>
      <x:c r="G119" s="31" t="str">
        <x:v>Any exposure to china market?</x:v>
      </x:c>
    </x:row>
    <x:row r="120" ht="52" customHeight="1">
      <x:c r="A120" s="30" t="str">
        <x:v>CL0116</x:v>
      </x:c>
      <x:c r="B120" s="31" t="str">
        <x:v>Any IPO project experiences? Do you know anything about the HK IPO process? Like what documents to be submitted</x:v>
      </x:c>
      <x:c r="C120" s="31" t="str">
        <x:v>Resume &amp; Experience</x:v>
      </x:c>
      <x:c r="D120" s="69" t="n">
        <x:f>COUNTIF('All Questions'!$G$5:$G$1725,A120)</x:f>
        <x:v>1</x:v>
      </x:c>
      <x:c r="E120" s="31" t="str">
        <x:v>MS IBD</x:v>
      </x:c>
      <x:c r="F120" s="31" t="str">
        <x:v>IBD / GCM</x:v>
      </x:c>
      <x:c r="G120" s="31" t="str">
        <x:v>Any IPO project experiences? Do you know anything about the HK IPO process? Like what documents to be submitted?</x:v>
      </x:c>
    </x:row>
    <x:row r="121" ht="34" customHeight="1">
      <x:c r="A121" s="30" t="str">
        <x:v>CL0117</x:v>
      </x:c>
      <x:c r="B121" s="31" t="str">
        <x:v>Any other thesis to support this (industry trend)</x:v>
      </x:c>
      <x:c r="C121" s="31" t="str">
        <x:v>Company, Industry &amp; Deals</x:v>
      </x:c>
      <x:c r="D121" s="69" t="n">
        <x:f>COUNTIF('All Questions'!$G$5:$G$1725,A121)</x:f>
        <x:v>1</x:v>
      </x:c>
      <x:c r="E121" s="31" t="str">
        <x:v>Barclays</x:v>
      </x:c>
      <x:c r="F121" s="31" t="str">
        <x:v>IBD / GCM</x:v>
      </x:c>
      <x:c r="G121" s="31" t="str">
        <x:v>Any other thesis to support this (industry trend)</x:v>
      </x:c>
    </x:row>
    <x:row r="122" ht="34" customHeight="1">
      <x:c r="A122" s="30" t="str">
        <x:v>CL0118</x:v>
      </x:c>
      <x:c r="B122" s="31" t="str">
        <x:v>Any other valuation method aside dcf</x:v>
      </x:c>
      <x:c r="C122" s="31" t="str">
        <x:v>Valuation</x:v>
      </x:c>
      <x:c r="D122" s="69" t="n">
        <x:f>COUNTIF('All Questions'!$G$5:$G$1725,A122)</x:f>
        <x:v>1</x:v>
      </x:c>
      <x:c r="E122" s="31" t="str">
        <x:v>Barclays</x:v>
      </x:c>
      <x:c r="F122" s="31" t="str">
        <x:v>IBD / GCM</x:v>
      </x:c>
      <x:c r="G122" s="31" t="str">
        <x:v>any other valuation method aside dcf</x:v>
      </x:c>
    </x:row>
    <x:row r="123" ht="34" customHeight="1">
      <x:c r="A123" s="30" t="str">
        <x:v>CL0119</x:v>
      </x:c>
      <x:c r="B123" s="31" t="str">
        <x:v>Any preference for the particular asset class or roles</x:v>
      </x:c>
      <x:c r="C123" s="31" t="str">
        <x:v>Other Question</x:v>
      </x:c>
      <x:c r="D123" s="69" t="n">
        <x:f>COUNTIF('All Questions'!$G$5:$G$1725,A123)</x:f>
        <x:v>1</x:v>
      </x:c>
      <x:c r="E123" s="31" t="str">
        <x:v>BofA (GM)</x:v>
      </x:c>
      <x:c r="F123" s="31" t="str">
        <x:v>Sales &amp; Trading</x:v>
      </x:c>
      <x:c r="G123" s="31" t="str">
        <x:v>Any preference for the particular asset class or roles?</x:v>
      </x:c>
    </x:row>
    <x:row r="124" ht="34" customHeight="1">
      <x:c r="A124" s="30" t="str">
        <x:v>CL0120</x:v>
      </x:c>
      <x:c r="B124" s="31" t="str">
        <x:v>Any protection if indian premium collapse in the future, how would you plan to save the valuation</x:v>
      </x:c>
      <x:c r="C124" s="31" t="str">
        <x:v>Valuation</x:v>
      </x:c>
      <x:c r="D124" s="69" t="n">
        <x:f>COUNTIF('All Questions'!$G$5:$G$1725,A124)</x:f>
        <x:v>1</x:v>
      </x:c>
      <x:c r="E124" s="31" t="str">
        <x:v>Bofa IBD</x:v>
      </x:c>
      <x:c r="F124" s="31" t="str">
        <x:v>IBD / GCM</x:v>
      </x:c>
      <x:c r="G124" s="31" t="str">
        <x:v>Any protection if indian premium collapse in the future, how would you plan to save the valuation?</x:v>
      </x:c>
    </x:row>
    <x:row r="125" ht="34" customHeight="1">
      <x:c r="A125" s="30" t="str">
        <x:v>CL0121</x:v>
      </x:c>
      <x:c r="B125" s="31" t="str">
        <x:v>Any recent market trends that catch your attention</x:v>
      </x:c>
      <x:c r="C125" s="31" t="str">
        <x:v>Other Question</x:v>
      </x:c>
      <x:c r="D125" s="69" t="n">
        <x:f>COUNTIF('All Questions'!$G$5:$G$1725,A125)</x:f>
        <x:v>1</x:v>
      </x:c>
      <x:c r="E125" s="31" t="str">
        <x:v>Barclays</x:v>
      </x:c>
      <x:c r="F125" s="31" t="str">
        <x:v>IBD / GCM</x:v>
      </x:c>
      <x:c r="G125" s="31" t="str">
        <x:v>any recent market trends that catch your attention</x:v>
      </x:c>
    </x:row>
    <x:row r="126" ht="34" customHeight="1">
      <x:c r="A126" s="30" t="str">
        <x:v>CL0122</x:v>
      </x:c>
      <x:c r="B126" s="31" t="str">
        <x:v>Any sanity check after comps</x:v>
      </x:c>
      <x:c r="C126" s="31" t="str">
        <x:v>Valuation</x:v>
      </x:c>
      <x:c r="D126" s="69" t="n">
        <x:f>COUNTIF('All Questions'!$G$5:$G$1725,A126)</x:f>
        <x:v>1</x:v>
      </x:c>
      <x:c r="E126" s="31" t="str">
        <x:v>Lazard</x:v>
      </x:c>
      <x:c r="F126" s="31" t="str">
        <x:v>IBD / GCM</x:v>
      </x:c>
      <x:c r="G126" s="31" t="str">
        <x:v>Any sanity check after comps?</x:v>
      </x:c>
    </x:row>
    <x:row r="127" ht="34" customHeight="1">
      <x:c r="A127" s="30" t="str">
        <x:v>CL0123</x:v>
      </x:c>
      <x:c r="B127" s="31" t="str">
        <x:v>Any sectors with opportunities</x:v>
      </x:c>
      <x:c r="C127" s="31" t="str">
        <x:v>Company, Industry &amp; Deals</x:v>
      </x:c>
      <x:c r="D127" s="69" t="n">
        <x:f>COUNTIF('All Questions'!$G$5:$G$1725,A127)</x:f>
        <x:v>1</x:v>
      </x:c>
      <x:c r="E127" s="31" t="str">
        <x:v>UBS IBD</x:v>
      </x:c>
      <x:c r="F127" s="31" t="str">
        <x:v>IBD / GCM</x:v>
      </x:c>
      <x:c r="G127" s="31" t="str">
        <x:v>Any sectors with opportunities?</x:v>
      </x:c>
    </x:row>
    <x:row r="128" ht="52" customHeight="1">
      <x:c r="A128" s="30" t="str">
        <x:v>CL0124</x:v>
      </x:c>
      <x:c r="B128" s="31" t="str">
        <x:v>Any special considerations shen acquiring a hk-listed company (i bs about premium, she said shes looking into the more practical legal regulations for takeover in hk)</x:v>
      </x:c>
      <x:c r="C128" s="31" t="str">
        <x:v>Accounting &amp; Financial Statements</x:v>
      </x:c>
      <x:c r="D128" s="69" t="n">
        <x:f>COUNTIF('All Questions'!$G$5:$G$1725,A128)</x:f>
        <x:v>1</x:v>
      </x:c>
      <x:c r="E128" s="31" t="str">
        <x:v>JPM</x:v>
      </x:c>
      <x:c r="F128" s="31" t="str">
        <x:v>IBD / GCM</x:v>
      </x:c>
      <x:c r="G128" s="31" t="str">
        <x:v>any special considerations shen acquiring a hk-listed company (i bs about premium, she said shes looking into the more practical legal regulations for takeover in hk)</x:v>
      </x:c>
    </x:row>
    <x:row r="129" ht="34" customHeight="1">
      <x:c r="A129" s="30" t="str">
        <x:v>CL0125</x:v>
      </x:c>
      <x:c r="B129" s="31" t="str">
        <x:v>Any team preference, why</x:v>
      </x:c>
      <x:c r="C129" s="31" t="str">
        <x:v>Fit &amp; Motivation</x:v>
      </x:c>
      <x:c r="D129" s="69" t="n">
        <x:f>COUNTIF('All Questions'!$G$5:$G$1725,A129)</x:f>
        <x:v>1</x:v>
      </x:c>
      <x:c r="E129" s="31" t="str">
        <x:v>MS IBD</x:v>
      </x:c>
      <x:c r="F129" s="31" t="str">
        <x:v>IBD / GCM</x:v>
      </x:c>
      <x:c r="G129" s="31" t="str">
        <x:v>Any team preference, why?</x:v>
      </x:c>
    </x:row>
    <x:row r="130" ht="34" customHeight="1">
      <x:c r="A130" s="30" t="str">
        <x:v>CL0126</x:v>
      </x:c>
      <x:c r="B130" s="31" t="str">
        <x:v>Any trading ideas about the market now</x:v>
      </x:c>
      <x:c r="C130" s="31" t="str">
        <x:v>Sales &amp; Trading</x:v>
      </x:c>
      <x:c r="D130" s="69" t="n">
        <x:f>COUNTIF('All Questions'!$G$5:$G$1725,A130)</x:f>
        <x:v>1</x:v>
      </x:c>
      <x:c r="E130" s="31" t="str">
        <x:v>BofA (GM)</x:v>
      </x:c>
      <x:c r="F130" s="31" t="str">
        <x:v>Sales &amp; Trading</x:v>
      </x:c>
      <x:c r="G130" s="31" t="str">
        <x:v>Any trading ideas about the market now?</x:v>
      </x:c>
    </x:row>
    <x:row r="131" ht="34" customHeight="1">
      <x:c r="A131" s="30" t="str">
        <x:v>CL0127</x:v>
      </x:c>
      <x:c r="B131" s="31" t="str">
        <x:v>Any trading ideas now? Any market/asset class/single stock</x:v>
      </x:c>
      <x:c r="C131" s="31" t="str">
        <x:v>Sales &amp; Trading</x:v>
      </x:c>
      <x:c r="D131" s="69" t="n">
        <x:f>COUNTIF('All Questions'!$G$5:$G$1725,A131)</x:f>
        <x:v>1</x:v>
      </x:c>
      <x:c r="E131" s="31" t="str">
        <x:v>BofA (GM)</x:v>
      </x:c>
      <x:c r="F131" s="31" t="str">
        <x:v>Sales &amp; Trading</x:v>
      </x:c>
      <x:c r="G131" s="31" t="str">
        <x:v>Any trading ideas now? Any market/asset class/single stock.</x:v>
      </x:c>
    </x:row>
    <x:row r="132" ht="34" customHeight="1">
      <x:c r="A132" s="30" t="str">
        <x:v>CL0128</x:v>
      </x:c>
      <x:c r="B132" s="31" t="str">
        <x:v>Any valuation experience</x:v>
      </x:c>
      <x:c r="C132" s="31" t="str">
        <x:v>Resume &amp; Experience</x:v>
      </x:c>
      <x:c r="D132" s="69" t="n">
        <x:f>COUNTIF('All Questions'!$G$5:$G$1725,A132)</x:f>
        <x:v>1</x:v>
      </x:c>
      <x:c r="E132" s="31" t="str">
        <x:v>Deutsche</x:v>
      </x:c>
      <x:c r="F132" s="31" t="str">
        <x:v>IBD / GCM</x:v>
      </x:c>
      <x:c r="G132" s="31" t="str">
        <x:v>any valuation experience</x:v>
      </x:c>
    </x:row>
    <x:row r="133" ht="34" customHeight="1">
      <x:c r="A133" s="30" t="str">
        <x:v>CL0129</x:v>
      </x:c>
      <x:c r="B133" s="31" t="str">
        <x:v>Anything you could have done better in your Nomura internship</x:v>
      </x:c>
      <x:c r="C133" s="31" t="str">
        <x:v>Resume &amp; Experience</x:v>
      </x:c>
      <x:c r="D133" s="69" t="n">
        <x:f>COUNTIF('All Questions'!$G$5:$G$1725,A133)</x:f>
        <x:v>1</x:v>
      </x:c>
      <x:c r="E133" s="31" t="str">
        <x:v>Deutsche</x:v>
      </x:c>
      <x:c r="F133" s="31" t="str">
        <x:v>IBD / GCM</x:v>
      </x:c>
      <x:c r="G133" s="31" t="str">
        <x:v>Anything you could have done better in your Nomura internship?</x:v>
      </x:c>
    </x:row>
    <x:row r="134" ht="34" customHeight="1">
      <x:c r="A134" s="30" t="str">
        <x:v>CL0130</x:v>
      </x:c>
      <x:c r="B134" s="31" t="str">
        <x:v>Anything you particularly want to highlight on your CV</x:v>
      </x:c>
      <x:c r="C134" s="31" t="str">
        <x:v>Resume &amp; Experience</x:v>
      </x:c>
      <x:c r="D134" s="69" t="n">
        <x:f>COUNTIF('All Questions'!$G$5:$G$1725,A134)</x:f>
        <x:v>1</x:v>
      </x:c>
      <x:c r="E134" s="31" t="str">
        <x:v>BofA (GM)</x:v>
      </x:c>
      <x:c r="F134" s="31" t="str">
        <x:v>Sales &amp; Trading</x:v>
      </x:c>
      <x:c r="G134" s="31" t="str">
        <x:v>Anything you particularly want to highlight on your CV?</x:v>
      </x:c>
    </x:row>
    <x:row r="135" ht="34" customHeight="1">
      <x:c r="A135" s="30" t="str">
        <x:v>CL0131</x:v>
      </x:c>
      <x:c r="B135" s="31" t="str">
        <x:v>Anything you would like to tell me thats not on your CV</x:v>
      </x:c>
      <x:c r="C135" s="31" t="str">
        <x:v>Resume &amp; Experience</x:v>
      </x:c>
      <x:c r="D135" s="69" t="n">
        <x:f>COUNTIF('All Questions'!$G$5:$G$1725,A135)</x:f>
        <x:v>1</x:v>
      </x:c>
      <x:c r="E135" s="31" t="str">
        <x:v>Deutsche</x:v>
      </x:c>
      <x:c r="F135" s="31" t="str">
        <x:v>IBD / GCM</x:v>
      </x:c>
      <x:c r="G135" s="31" t="str">
        <x:v>Anything you would like to tell me thats not on your CV?</x:v>
      </x:c>
    </x:row>
    <x:row r="136" ht="34" customHeight="1">
      <x:c r="A136" s="30" t="str">
        <x:v>CL0132</x:v>
      </x:c>
      <x:c r="B136" s="31" t="str">
        <x:v>Are u native mainland Chinese</x:v>
      </x:c>
      <x:c r="C136" s="31" t="str">
        <x:v>Fit &amp; Motivation</x:v>
      </x:c>
      <x:c r="D136" s="69" t="n">
        <x:f>COUNTIF('All Questions'!$G$5:$G$1725,A136)</x:f>
        <x:v>1</x:v>
      </x:c>
      <x:c r="E136" s="31" t="str">
        <x:v>MS IBD</x:v>
      </x:c>
      <x:c r="F136" s="31" t="str">
        <x:v>IBD / GCM</x:v>
      </x:c>
      <x:c r="G136" s="31" t="str">
        <x:v>Are u native mainland Chinese</x:v>
      </x:c>
    </x:row>
    <x:row r="137" ht="34" customHeight="1">
      <x:c r="A137" s="30" t="str">
        <x:v>CL0133</x:v>
      </x:c>
      <x:c r="B137" s="31" t="str">
        <x:v>Are you born and raised in hk</x:v>
      </x:c>
      <x:c r="C137" s="31" t="str">
        <x:v>Other Question</x:v>
      </x:c>
      <x:c r="D137" s="69" t="n">
        <x:f>COUNTIF('All Questions'!$G$5:$G$1725,A137)</x:f>
        <x:v>1</x:v>
      </x:c>
      <x:c r="E137" s="31" t="str">
        <x:v>JPM</x:v>
      </x:c>
      <x:c r="F137" s="31" t="str">
        <x:v>IBD / GCM</x:v>
      </x:c>
      <x:c r="G137" s="31" t="str">
        <x:v>are you born and raised in hk</x:v>
      </x:c>
    </x:row>
    <x:row r="138" ht="34" customHeight="1">
      <x:c r="A138" s="30" t="str">
        <x:v>CL0134</x:v>
      </x:c>
      <x:c r="B138" s="31" t="str">
        <x:v>Are you familiar with company valuation</x:v>
      </x:c>
      <x:c r="C138" s="31" t="str">
        <x:v>Valuation</x:v>
      </x:c>
      <x:c r="D138" s="69" t="n">
        <x:f>COUNTIF('All Questions'!$G$5:$G$1725,A138)</x:f>
        <x:v>1</x:v>
      </x:c>
      <x:c r="E138" s="31" t="str">
        <x:v>BofA (GM)</x:v>
      </x:c>
      <x:c r="F138" s="31" t="str">
        <x:v>Sales &amp; Trading</x:v>
      </x:c>
      <x:c r="G138" s="31" t="str">
        <x:v>Are you familiar with company valuation?</x:v>
      </x:c>
    </x:row>
    <x:row r="139" ht="34" customHeight="1">
      <x:c r="A139" s="30" t="str">
        <x:v>CL0135</x:v>
      </x:c>
      <x:c r="B139" s="31" t="str">
        <x:v>Are you from Shanghai</x:v>
      </x:c>
      <x:c r="C139" s="31" t="str">
        <x:v>Other Question</x:v>
      </x:c>
      <x:c r="D139" s="69" t="n">
        <x:f>COUNTIF('All Questions'!$G$5:$G$1725,A139)</x:f>
        <x:v>1</x:v>
      </x:c>
      <x:c r="E139" s="31" t="str">
        <x:v>BofA (GM)</x:v>
      </x:c>
      <x:c r="F139" s="31" t="str">
        <x:v>Sales &amp; Trading</x:v>
      </x:c>
      <x:c r="G139" s="31" t="str">
        <x:v>Are you from Shanghai?</x:v>
      </x:c>
    </x:row>
    <x:row r="140" ht="34" customHeight="1">
      <x:c r="A140" s="30" t="str">
        <x:v>CL0136</x:v>
      </x:c>
      <x:c r="B140" s="31" t="str">
        <x:v>Are you good at math &amp; coding</x:v>
      </x:c>
      <x:c r="C140" s="31" t="str">
        <x:v>Other Technical</x:v>
      </x:c>
      <x:c r="D140" s="69" t="n">
        <x:f>COUNTIF('All Questions'!$G$5:$G$1725,A140)</x:f>
        <x:v>1</x:v>
      </x:c>
      <x:c r="E140" s="31" t="str">
        <x:v>MS IED</x:v>
      </x:c>
      <x:c r="F140" s="31" t="str">
        <x:v>Sales &amp; Trading</x:v>
      </x:c>
      <x:c r="G140" s="31" t="str">
        <x:v>are you good at math &amp; coding</x:v>
      </x:c>
    </x:row>
    <x:row r="141" ht="34" customHeight="1">
      <x:c r="A141" s="30" t="str">
        <x:v>CL0137</x:v>
      </x:c>
      <x:c r="B141" s="31" t="str">
        <x:v>Are you sure NI is positive</x:v>
      </x:c>
      <x:c r="C141" s="31" t="str">
        <x:v>Accounting &amp; Financial Statements</x:v>
      </x:c>
      <x:c r="D141" s="69" t="n">
        <x:f>COUNTIF('All Questions'!$G$5:$G$1725,A141)</x:f>
        <x:v>1</x:v>
      </x:c>
      <x:c r="E141" s="31" t="str">
        <x:v>MS GCM</x:v>
      </x:c>
      <x:c r="F141" s="31" t="str">
        <x:v>IBD / GCM</x:v>
      </x:c>
      <x:c r="G141" s="31" t="str">
        <x:v>Are you sure NI is positive?</x:v>
      </x:c>
    </x:row>
    <x:row r="142" ht="52" customHeight="1">
      <x:c r="A142" s="30" t="str">
        <x:v>CL0138</x:v>
      </x:c>
      <x:c r="B142" s="31" t="str">
        <x:v>Around 7 minutes of conversation afterwards on her M&amp;A experience and I said I also wanna do M&amp;A and she asked why and stuff</x:v>
      </x:c>
      <x:c r="C142" s="31" t="str">
        <x:v>Fit &amp; Motivation</x:v>
      </x:c>
      <x:c r="D142" s="69" t="n">
        <x:f>COUNTIF('All Questions'!$G$5:$G$1725,A142)</x:f>
        <x:v>1</x:v>
      </x:c>
      <x:c r="E142" s="31" t="str">
        <x:v>MS IBD</x:v>
      </x:c>
      <x:c r="F142" s="31" t="str">
        <x:v>IBD / GCM</x:v>
      </x:c>
      <x:c r="G142" s="31" t="str">
        <x:v>Around 7 minutes of conversation afterwards on her M&amp;A experience and I said I also wanna do M&amp;A and she asked why and stuff</x:v>
      </x:c>
    </x:row>
    <x:row r="143" ht="52" customHeight="1">
      <x:c r="A143" s="30" t="str">
        <x:v>CL0139</x:v>
      </x:c>
      <x:c r="B143" s="31" t="str">
        <x:v>As for last question I all talked about M&amp;A stuff so he asked me to talk about the IPO market as well</x:v>
      </x:c>
      <x:c r="C143" s="31" t="str">
        <x:v>Capital Markets &amp; Financing</x:v>
      </x:c>
      <x:c r="D143" s="69" t="n">
        <x:f>COUNTIF('All Questions'!$G$5:$G$1725,A143)</x:f>
        <x:v>1</x:v>
      </x:c>
      <x:c r="E143" s="31" t="str">
        <x:v>UBS IBD</x:v>
      </x:c>
      <x:c r="F143" s="31" t="str">
        <x:v>IBD / GCM</x:v>
      </x:c>
      <x:c r="G143" s="31" t="str">
        <x:v>As for last question I all talked about M&amp;A stuff so he asked me to talk about the IPO market as well</x:v>
      </x:c>
    </x:row>
    <x:row r="144" ht="52" customHeight="1">
      <x:c r="A144" s="30" t="str">
        <x:v>CL0140</x:v>
      </x:c>
      <x:c r="B144" s="31" t="str">
        <x:v>As most of the technical Qs are covered by the 1st round, this part didn’t involve pure tech, but very experience-driven</x:v>
      </x:c>
      <x:c r="C144" s="31" t="str">
        <x:v>Resume &amp; Experience</x:v>
      </x:c>
      <x:c r="D144" s="69" t="n">
        <x:f>COUNTIF('All Questions'!$G$5:$G$1725,A144)</x:f>
        <x:v>1</x:v>
      </x:c>
      <x:c r="E144" s="31" t="str">
        <x:v>Citi</x:v>
      </x:c>
      <x:c r="F144" s="31" t="str">
        <x:v>IBD / GCM</x:v>
      </x:c>
      <x:c r="G144" s="31" t="str">
        <x:v>As most of the technical Qs are covered by the 1st round, this part didn’t involve pure tech, but very experience-driven</x:v>
      </x:c>
    </x:row>
    <x:row r="145" ht="76" customHeight="1">
      <x:c r="A145" s="30" t="str">
        <x:v>CL0141</x:v>
      </x:c>
      <x:c r="B145" s="31" t="str">
        <x:v>As you can see, you are in the same round as two Masters student, and usually the superday applicant pool is full of people with direct ibd experience already but you don't have a lot, why should MS pick you</x:v>
      </x:c>
      <x:c r="C145" s="31" t="str">
        <x:v>Fit &amp; Motivation</x:v>
      </x:c>
      <x:c r="D145" s="69" t="n">
        <x:f>COUNTIF('All Questions'!$G$5:$G$1725,A145)</x:f>
        <x:v>1</x:v>
      </x:c>
      <x:c r="E145" s="31" t="str">
        <x:v>MS IBD</x:v>
      </x:c>
      <x:c r="F145" s="31" t="str">
        <x:v>IBD / GCM</x:v>
      </x:c>
      <x:c r="G145" s="31" t="str">
        <x:v>As you can see, you are in the same round as two Masters student, and usually the superday applicant pool is full of people with direct ibd experience already but you don't have a lot, why should MS pick you</x:v>
      </x:c>
    </x:row>
    <x:row r="146" ht="34" customHeight="1">
      <x:c r="A146" s="30" t="str">
        <x:v>CL0142</x:v>
      </x:c>
      <x:c r="B146" s="31" t="str">
        <x:v>Ask what I do and the deals for each internship</x:v>
      </x:c>
      <x:c r="C146" s="31" t="str">
        <x:v>Resume &amp; Experience</x:v>
      </x:c>
      <x:c r="D146" s="69" t="n">
        <x:f>COUNTIF('All Questions'!$G$5:$G$1725,A146)</x:f>
        <x:v>1</x:v>
      </x:c>
      <x:c r="E146" s="31" t="str">
        <x:v>Neuberger Berman</x:v>
      </x:c>
      <x:c r="F146" s="31" t="str">
        <x:v>PWM / AM</x:v>
      </x:c>
      <x:c r="G146" s="31" t="str">
        <x:v>Ask what I do and the deals for each internship</x:v>
      </x:c>
    </x:row>
    <x:row r="147" ht="52" customHeight="1">
      <x:c r="A147" s="30" t="str">
        <x:v>CL0143</x:v>
      </x:c>
      <x:c r="B147" s="31" t="str">
        <x:v>Asked a lot about CV, especially the mainland security firm experience (cuz of her background from mainland)</x:v>
      </x:c>
      <x:c r="C147" s="31" t="str">
        <x:v>Resume &amp; Experience</x:v>
      </x:c>
      <x:c r="D147" s="69" t="n">
        <x:f>COUNTIF('All Questions'!$G$5:$G$1725,A147)</x:f>
        <x:v>1</x:v>
      </x:c>
      <x:c r="E147" s="31" t="str">
        <x:v>MS IED</x:v>
      </x:c>
      <x:c r="F147" s="31" t="str">
        <x:v>Sales &amp; Trading</x:v>
      </x:c>
      <x:c r="G147" s="31" t="str">
        <x:v>asked a lot about CV, especially the mainland security firm experience (cuz of her background from mainland)</x:v>
      </x:c>
    </x:row>
    <x:row r="148" ht="34" customHeight="1">
      <x:c r="A148" s="30" t="str">
        <x:v>CL0144</x:v>
      </x:c>
      <x:c r="B148" s="31" t="str">
        <x:v>Asked about my view on HK IPOs, as I wrote about A1 filings in my current experience</x:v>
      </x:c>
      <x:c r="C148" s="31" t="str">
        <x:v>Resume &amp; Experience</x:v>
      </x:c>
      <x:c r="D148" s="69" t="n">
        <x:f>COUNTIF('All Questions'!$G$5:$G$1725,A148)</x:f>
        <x:v>1</x:v>
      </x:c>
      <x:c r="E148" s="31" t="str">
        <x:v>HKEX</x:v>
      </x:c>
      <x:c r="F148" s="31" t="str">
        <x:v>PE / VC / Other</x:v>
      </x:c>
      <x:c r="G148" s="31" t="str">
        <x:v>Asked about my view on HK IPOs, as I wrote about A1 filings in my current experience</x:v>
      </x:c>
    </x:row>
    <x:row r="149" ht="34" customHeight="1">
      <x:c r="A149" s="30" t="str">
        <x:v>CL0145</x:v>
      </x:c>
      <x:c r="B149" s="31" t="str">
        <x:v>Asked about something related to AMPB??? dont remember if she did</x:v>
      </x:c>
      <x:c r="C149" s="31" t="str">
        <x:v>Other Question</x:v>
      </x:c>
      <x:c r="D149" s="69" t="n">
        <x:f>COUNTIF('All Questions'!$G$5:$G$1725,A149)</x:f>
        <x:v>1</x:v>
      </x:c>
      <x:c r="E149" s="31" t="str">
        <x:v>HSBC</x:v>
      </x:c>
      <x:c r="F149" s="31" t="str">
        <x:v>IBD / GCM</x:v>
      </x:c>
      <x:c r="G149" s="31" t="str">
        <x:v>asked about something related to AMPB??? dont remember if she did</x:v>
      </x:c>
    </x:row>
    <x:row r="150" ht="52" customHeight="1">
      <x:c r="A150" s="30" t="str">
        <x:v>CL0146</x:v>
      </x:c>
      <x:c r="B150" s="31" t="str">
        <x:v>Asked about 我CV最底部的一個社團經驗 問我當時比亞迪的DCF build了啥 還有我target price跟driver之類的 太久了我一點也不記得 and asked about how's BYD currently doing</x:v>
      </x:c>
      <x:c r="C150" s="31" t="str">
        <x:v>Resume &amp; Experience</x:v>
      </x:c>
      <x:c r="D150" s="69" t="n">
        <x:f>COUNTIF('All Questions'!$G$5:$G$1725,A150)</x:f>
        <x:v>1</x:v>
      </x:c>
      <x:c r="E150" s="31" t="str">
        <x:v>UBS IBD</x:v>
      </x:c>
      <x:c r="F150" s="31" t="str">
        <x:v>IBD / GCM</x:v>
      </x:c>
      <x:c r="G150" s="31" t="str">
        <x:v>Asked about 我CV最底部的一個社團經驗 問我當時比亞迪的DCF build了啥 還有我target price跟driver之類的 太久了我一點也不記得 and asked about how's BYD currently doing</x:v>
      </x:c>
    </x:row>
    <x:row r="151" ht="52" customHeight="1">
      <x:c r="A151" s="30" t="str">
        <x:v>CL0147</x:v>
      </x:c>
      <x:c r="B151" s="31" t="str">
        <x:v>Asked back what kind of skill sets / characters are required for DCM, compared to my previous internships // compare the Debt market with PEVCIBD</x:v>
      </x:c>
      <x:c r="C151" s="31" t="str">
        <x:v>Resume &amp; Experience</x:v>
      </x:c>
      <x:c r="D151" s="69" t="n">
        <x:f>COUNTIF('All Questions'!$G$5:$G$1725,A151)</x:f>
        <x:v>1</x:v>
      </x:c>
      <x:c r="E151" s="31" t="str">
        <x:v>GS DCMECM</x:v>
      </x:c>
      <x:c r="F151" s="31" t="str">
        <x:v>IBD / GCM</x:v>
      </x:c>
      <x:c r="G151" s="31" t="str">
        <x:v>Asked back what kind of skill sets / characters are required for DCM, compared to my previous internships // compare the Debt market with PEVCIBD</x:v>
      </x:c>
    </x:row>
    <x:row r="152" ht="34" customHeight="1">
      <x:c r="A152" s="30" t="str">
        <x:v>CL0148</x:v>
      </x:c>
      <x:c r="B152" s="31" t="str">
        <x:v>Asset allocation (client profile is the interviewer himself)</x:v>
      </x:c>
      <x:c r="C152" s="31" t="str">
        <x:v>Fit &amp; Motivation</x:v>
      </x:c>
      <x:c r="D152" s="69" t="n">
        <x:f>COUNTIF('All Questions'!$G$5:$G$1725,A152)</x:f>
        <x:v>1</x:v>
      </x:c>
      <x:c r="E152" s="31" t="str">
        <x:v>MS IED</x:v>
      </x:c>
      <x:c r="F152" s="31" t="str">
        <x:v>Sales &amp; Trading</x:v>
      </x:c>
      <x:c r="G152" s="31" t="str">
        <x:v>Asset allocation (client profile is the interviewer himself)</x:v>
      </x:c>
    </x:row>
    <x:row r="153" ht="34" customHeight="1">
      <x:c r="A153" s="30" t="str">
        <x:v>CL0149</x:v>
      </x:c>
      <x:c r="B153" s="31" t="str">
        <x:v>Asset allocation question</x:v>
      </x:c>
      <x:c r="C153" s="31" t="str">
        <x:v>Fit &amp; Motivation</x:v>
      </x:c>
      <x:c r="D153" s="69" t="n">
        <x:f>COUNTIF('All Questions'!$G$5:$G$1725,A153)</x:f>
        <x:v>1</x:v>
      </x:c>
      <x:c r="E153" s="31" t="str">
        <x:v>BlackRock</x:v>
      </x:c>
      <x:c r="F153" s="31" t="str">
        <x:v>PWM / AM</x:v>
      </x:c>
      <x:c r="G153" s="31" t="str">
        <x:v>asset allocation question</x:v>
      </x:c>
    </x:row>
    <x:row r="154" ht="34" customHeight="1">
      <x:c r="A154" s="30" t="str">
        <x:v>CL0150</x:v>
      </x:c>
      <x:c r="B154" s="31" t="str">
        <x:v>Asset writedown 100, 3 statement</x:v>
      </x:c>
      <x:c r="C154" s="31" t="str">
        <x:v>Accounting &amp; Financial Statements</x:v>
      </x:c>
      <x:c r="D154" s="69" t="n">
        <x:f>COUNTIF('All Questions'!$G$5:$G$1725,A154)</x:f>
        <x:v>1</x:v>
      </x:c>
      <x:c r="E154" s="31" t="str">
        <x:v>Houlihan Lokey</x:v>
      </x:c>
      <x:c r="F154" s="31" t="str">
        <x:v>IBD / GCM</x:v>
      </x:c>
      <x:c r="G154" s="31" t="str">
        <x:v>Asset writedown 100, 3 statement</x:v>
      </x:c>
    </x:row>
    <x:row r="155" ht="52" customHeight="1">
      <x:c r="A155" s="30" t="str">
        <x:v>CL0151</x:v>
      </x:c>
      <x:c r="B155" s="31" t="str">
        <x:v>Assume I'm comparing two companies - one of them has a lot of D&amp;A while another doesn't - should I use EV/EBITDA or EV/EBIT</x:v>
      </x:c>
      <x:c r="C155" s="31" t="str">
        <x:v>Company, Industry &amp; Deals</x:v>
      </x:c>
      <x:c r="D155" s="69" t="n">
        <x:f>COUNTIF('All Questions'!$G$5:$G$1725,A155)</x:f>
        <x:v>1</x:v>
      </x:c>
      <x:c r="E155" s="31" t="str">
        <x:v>Deutsche</x:v>
      </x:c>
      <x:c r="F155" s="31" t="str">
        <x:v>IBD / GCM</x:v>
      </x:c>
      <x:c r="G155" s="31" t="str">
        <x:v>Assume I'm comparing two companies - one of them has a lot of D&amp;A while another doesn't - should I use EV/EBITDA or EV/EBIT?</x:v>
      </x:c>
    </x:row>
    <x:row r="156" ht="52" customHeight="1">
      <x:c r="A156" s="30" t="str">
        <x:v>CL0152</x:v>
      </x:c>
      <x:c r="B156" s="31" t="str">
        <x:v>B2B payment pre ipo: Tell me about industry, investment highlights, how you did trading comps, what are the competitors you chose</x:v>
      </x:c>
      <x:c r="C156" s="31" t="str">
        <x:v>Valuation</x:v>
      </x:c>
      <x:c r="D156" s="69" t="n">
        <x:f>COUNTIF('All Questions'!$G$5:$G$1725,A156)</x:f>
        <x:v>1</x:v>
      </x:c>
      <x:c r="E156" s="31" t="str">
        <x:v>Bofa IBD</x:v>
      </x:c>
      <x:c r="F156" s="31" t="str">
        <x:v>IBD / GCM</x:v>
      </x:c>
      <x:c r="G156" s="31" t="str">
        <x:v>B2B payment pre ipo: Tell me about industry, investment highlights, how you did trading comps, what are the competitors you chose</x:v>
      </x:c>
    </x:row>
    <x:row r="157" ht="34" customHeight="1">
      <x:c r="A157" s="30" t="str">
        <x:v>CL0153</x:v>
      </x:c>
      <x:c r="B157" s="31" t="str">
        <x:v>Background questions: where are you from? Where you grew up in</x:v>
      </x:c>
      <x:c r="C157" s="31" t="str">
        <x:v>Resume &amp; Experience</x:v>
      </x:c>
      <x:c r="D157" s="69" t="n">
        <x:f>COUNTIF('All Questions'!$G$5:$G$1725,A157)</x:f>
        <x:v>1</x:v>
      </x:c>
      <x:c r="E157" s="31" t="str">
        <x:v>Fountainvest</x:v>
      </x:c>
      <x:c r="F157" s="31" t="str">
        <x:v>PE / VC / Other</x:v>
      </x:c>
      <x:c r="G157" s="31" t="str">
        <x:v>Background questions: where are you from? Where you grew up in?</x:v>
      </x:c>
    </x:row>
    <x:row r="158" ht="34" customHeight="1">
      <x:c r="A158" s="30" t="str">
        <x:v>CL0154</x:v>
      </x:c>
      <x:c r="B158" s="31" t="str">
        <x:v>Baidu acquiring Sensetime deal walk through, do it make sense, why 5 yrs</x:v>
      </x:c>
      <x:c r="C158" s="31" t="str">
        <x:v>Fit &amp; Motivation</x:v>
      </x:c>
      <x:c r="D158" s="69" t="n">
        <x:f>COUNTIF('All Questions'!$G$5:$G$1725,A158)</x:f>
        <x:v>1</x:v>
      </x:c>
      <x:c r="E158" s="31" t="str">
        <x:v>Nomura</x:v>
      </x:c>
      <x:c r="F158" s="31" t="str">
        <x:v>IBD / GCM</x:v>
      </x:c>
      <x:c r="G158" s="31" t="str">
        <x:v>Baidu acquiring Sensetime deal walk through, do it make sense, why 5 yrs</x:v>
      </x:c>
    </x:row>
    <x:row r="159" ht="76" customHeight="1">
      <x:c r="A159" s="30" t="str">
        <x:v>CL0155</x:v>
      </x:c>
      <x:c r="B159" s="31" t="str">
        <x:v>Basically going over the case questions, asked me to expand on a few but overall straightforward. Case study is about Kao's acquisition of Bondi Sands (Nomura being the buyer's sole financial advisor), mainly tested on DCF, trading and transaction comps, multiples</x:v>
      </x:c>
      <x:c r="C159" s="31" t="str">
        <x:v>Accounting &amp; Financial Statements</x:v>
      </x:c>
      <x:c r="D159" s="69" t="n">
        <x:f>COUNTIF('All Questions'!$G$5:$G$1725,A159)</x:f>
        <x:v>1</x:v>
      </x:c>
      <x:c r="E159" s="31" t="str">
        <x:v>Nomura</x:v>
      </x:c>
      <x:c r="F159" s="31" t="str">
        <x:v>IBD / GCM</x:v>
      </x:c>
      <x:c r="G159" s="31" t="str">
        <x:v>Basically going over the case questions, asked me to expand on a few but overall straightforward. Case study is about Kao's acquisition of Bondi Sands (Nomura being the buyer's sole financial advisor), mainly tested on DCF, trading and transaction comps, multiples.</x:v>
      </x:c>
    </x:row>
    <x:row r="160" ht="34" customHeight="1">
      <x:c r="A160" s="30" t="str">
        <x:v>CL0156</x:v>
      </x:c>
      <x:c r="B160" s="31" t="str">
        <x:v>Basically just asked about each internship experience one by one</x:v>
      </x:c>
      <x:c r="C160" s="31" t="str">
        <x:v>Resume &amp; Experience</x:v>
      </x:c>
      <x:c r="D160" s="69" t="n">
        <x:f>COUNTIF('All Questions'!$G$5:$G$1725,A160)</x:f>
        <x:v>1</x:v>
      </x:c>
      <x:c r="E160" s="31" t="str">
        <x:v>UBS IBD</x:v>
      </x:c>
      <x:c r="F160" s="31" t="str">
        <x:v>IBD / GCM</x:v>
      </x:c>
      <x:c r="G160" s="31" t="str">
        <x:v>Basically just asked about each internship experience one by one</x:v>
      </x:c>
    </x:row>
    <x:row r="161" ht="34" customHeight="1">
      <x:c r="A161" s="30" t="str">
        <x:v>CL0157</x:v>
      </x:c>
      <x:c r="B161" s="31" t="str">
        <x:v>Before we start, what's something you want me to know about you</x:v>
      </x:c>
      <x:c r="C161" s="31" t="str">
        <x:v>Other Question</x:v>
      </x:c>
      <x:c r="D161" s="69" t="n">
        <x:f>COUNTIF('All Questions'!$G$5:$G$1725,A161)</x:f>
        <x:v>1</x:v>
      </x:c>
      <x:c r="E161" s="31" t="str">
        <x:v>Deutsche</x:v>
      </x:c>
      <x:c r="F161" s="31" t="str">
        <x:v>IBD / GCM</x:v>
      </x:c>
      <x:c r="G161" s="31" t="str">
        <x:v>Before we start, what's something you want me to know about you?</x:v>
      </x:c>
    </x:row>
    <x:row r="162" ht="34" customHeight="1">
      <x:c r="A162" s="30" t="str">
        <x:v>CL0158</x:v>
      </x:c>
      <x:c r="B162" s="31" t="str">
        <x:v>Behavourial on client asking u to do something illegal</x:v>
      </x:c>
      <x:c r="C162" s="31" t="str">
        <x:v>Other Question</x:v>
      </x:c>
      <x:c r="D162" s="69" t="n">
        <x:f>COUNTIF('All Questions'!$G$5:$G$1725,A162)</x:f>
        <x:v>1</x:v>
      </x:c>
      <x:c r="E162" s="31" t="str">
        <x:v>HSBC (GM)</x:v>
      </x:c>
      <x:c r="F162" s="31" t="str">
        <x:v>Sales &amp; Trading</x:v>
      </x:c>
      <x:c r="G162" s="31" t="str">
        <x:v>behavourial on client asking u to do something illegal</x:v>
      </x:c>
    </x:row>
    <x:row r="163" ht="34" customHeight="1">
      <x:c r="A163" s="30" t="str">
        <x:v>CL0159</x:v>
      </x:c>
      <x:c r="B163" s="31" t="str">
        <x:v>Behavourial on what would u do if client is mad at u and boss is away from desk</x:v>
      </x:c>
      <x:c r="C163" s="31" t="str">
        <x:v>Behavioral &amp; Situational</x:v>
      </x:c>
      <x:c r="D163" s="69" t="n">
        <x:f>COUNTIF('All Questions'!$G$5:$G$1725,A163)</x:f>
        <x:v>1</x:v>
      </x:c>
      <x:c r="E163" s="31" t="str">
        <x:v>MS IED</x:v>
      </x:c>
      <x:c r="F163" s="31" t="str">
        <x:v>Sales &amp; Trading</x:v>
      </x:c>
      <x:c r="G163" s="31" t="str">
        <x:v>behavourial on what would u do if client is mad at u and boss is away from desk</x:v>
      </x:c>
    </x:row>
    <x:row r="164" ht="52" customHeight="1">
      <x:c r="A164" s="30" t="str">
        <x:v>CL0160</x:v>
      </x:c>
      <x:c r="B164" s="31" t="str">
        <x:v>Behavourial: is fairness importnt to you in a team setting and what would u do to ensure fairness if it is impt for u</x:v>
      </x:c>
      <x:c r="C164" s="31" t="str">
        <x:v>Behavioral &amp; Situational</x:v>
      </x:c>
      <x:c r="D164" s="69" t="n">
        <x:f>COUNTIF('All Questions'!$G$5:$G$1725,A164)</x:f>
        <x:v>1</x:v>
      </x:c>
      <x:c r="E164" s="31" t="str">
        <x:v>HSBC (GM)</x:v>
      </x:c>
      <x:c r="F164" s="31" t="str">
        <x:v>Sales &amp; Trading</x:v>
      </x:c>
      <x:c r="G164" s="31" t="str">
        <x:v>behavourial: is fairness importnt to you in a team setting and what would u do to ensure fairness if it is impt for u</x:v>
      </x:c>
    </x:row>
    <x:row r="165" ht="34" customHeight="1">
      <x:c r="A165" s="30" t="str">
        <x:v>CL0161</x:v>
      </x:c>
      <x:c r="B165" s="31" t="str">
        <x:v>Beta</x:v>
      </x:c>
      <x:c r="C165" s="31" t="str">
        <x:v>Valuation</x:v>
      </x:c>
      <x:c r="D165" s="69" t="n">
        <x:f>COUNTIF('All Questions'!$G$5:$G$1725,A165)</x:f>
        <x:v>1</x:v>
      </x:c>
      <x:c r="E165" s="31" t="str">
        <x:v>MS IBD</x:v>
      </x:c>
      <x:c r="F165" s="31" t="str">
        <x:v>IBD / GCM</x:v>
      </x:c>
      <x:c r="G165" s="31" t="str">
        <x:v>Beta</x:v>
      </x:c>
    </x:row>
    <x:row r="166" ht="34" customHeight="1">
      <x:c r="A166" s="30" t="str">
        <x:v>CL0162</x:v>
      </x:c>
      <x:c r="B166" s="31" t="str">
        <x:v>Beta for tech companies</x:v>
      </x:c>
      <x:c r="C166" s="31" t="str">
        <x:v>Valuation</x:v>
      </x:c>
      <x:c r="D166" s="69" t="n">
        <x:f>COUNTIF('All Questions'!$G$5:$G$1725,A166)</x:f>
        <x:v>1</x:v>
      </x:c>
      <x:c r="E166" s="31" t="str">
        <x:v>HSBC</x:v>
      </x:c>
      <x:c r="F166" s="31" t="str">
        <x:v>IBD / GCM</x:v>
      </x:c>
      <x:c r="G166" s="31" t="str">
        <x:v>beta for tech companies</x:v>
      </x:c>
    </x:row>
    <x:row r="167" ht="52" customHeight="1">
      <x:c r="A167" s="30" t="str">
        <x:v>CL0163</x:v>
      </x:c>
      <x:c r="B167" s="31" t="str">
        <x:v>Biggest growth for investment bank in Asia? ( he told me to look into australia and Korea, China is still strong don't get faked)</x:v>
      </x:c>
      <x:c r="C167" s="31" t="str">
        <x:v>Accounting &amp; Financial Statements</x:v>
      </x:c>
      <x:c r="D167" s="69" t="n">
        <x:f>COUNTIF('All Questions'!$G$5:$G$1725,A167)</x:f>
        <x:v>1</x:v>
      </x:c>
      <x:c r="E167" s="31" t="str">
        <x:v>MS GCM</x:v>
      </x:c>
      <x:c r="F167" s="31" t="str">
        <x:v>IBD / GCM</x:v>
      </x:c>
      <x:c r="G167" s="31" t="str">
        <x:v>Biggest growth for investment bank in Asia? ( he told me to look into australia and Korea, China is still strong don't get faked)</x:v>
      </x:c>
    </x:row>
    <x:row r="168" ht="34" customHeight="1">
      <x:c r="A168" s="30" t="str">
        <x:v>CL0164</x:v>
      </x:c>
      <x:c r="B168" s="31" t="str">
        <x:v>BlackRock, do you have return offer, why</x:v>
      </x:c>
      <x:c r="C168" s="31" t="str">
        <x:v>Fit &amp; Motivation</x:v>
      </x:c>
      <x:c r="D168" s="69" t="n">
        <x:f>COUNTIF('All Questions'!$G$5:$G$1725,A168)</x:f>
        <x:v>1</x:v>
      </x:c>
      <x:c r="E168" s="31" t="str">
        <x:v>Bofa IBD</x:v>
      </x:c>
      <x:c r="F168" s="31" t="str">
        <x:v>IBD / GCM</x:v>
      </x:c>
      <x:c r="G168" s="31" t="str">
        <x:v>BlackRock, do you have return offer, why?</x:v>
      </x:c>
    </x:row>
    <x:row r="169" ht="34" customHeight="1">
      <x:c r="A169" s="30" t="str">
        <x:v>CL0165</x:v>
      </x:c>
      <x:c r="B169" s="31" t="str">
        <x:v>Born and raised in hk</x:v>
      </x:c>
      <x:c r="C169" s="31" t="str">
        <x:v>Other Question</x:v>
      </x:c>
      <x:c r="D169" s="69" t="n">
        <x:f>COUNTIF('All Questions'!$G$5:$G$1725,A169)</x:f>
        <x:v>1</x:v>
      </x:c>
      <x:c r="E169" s="31" t="str">
        <x:v>Nomura</x:v>
      </x:c>
      <x:c r="F169" s="31" t="str">
        <x:v>IBD / GCM</x:v>
      </x:c>
      <x:c r="G169" s="31" t="str">
        <x:v>born and raised in hk?</x:v>
      </x:c>
    </x:row>
    <x:row r="170" ht="34" customHeight="1">
      <x:c r="A170" s="30" t="str">
        <x:v>CL0166</x:v>
      </x:c>
      <x:c r="B170" s="31" t="str">
        <x:v>Brain teaser - no one from our batch answered it right, she gave very little time to think</x:v>
      </x:c>
      <x:c r="C170" s="31" t="str">
        <x:v>Consulting &amp; Case</x:v>
      </x:c>
      <x:c r="D170" s="69" t="n">
        <x:f>COUNTIF('All Questions'!$G$5:$G$1725,A170)</x:f>
        <x:v>1</x:v>
      </x:c>
      <x:c r="E170" s="31" t="str">
        <x:v>Deutsche</x:v>
      </x:c>
      <x:c r="F170" s="31" t="str">
        <x:v>IBD / GCM</x:v>
      </x:c>
      <x:c r="G170" s="31" t="str">
        <x:v>Brain teaser - no one from our batch answered it right, she gave very little time to think</x:v>
      </x:c>
    </x:row>
    <x:row r="171" ht="34" customHeight="1">
      <x:c r="A171" s="30" t="str">
        <x:v>CL0167</x:v>
      </x:c>
      <x:c r="B171" s="31" t="str">
        <x:v>Brain Teaser : How many coffee shops in Central</x:v>
      </x:c>
      <x:c r="C171" s="31" t="str">
        <x:v>Consulting &amp; Case</x:v>
      </x:c>
      <x:c r="D171" s="69" t="n">
        <x:f>COUNTIF('All Questions'!$G$5:$G$1725,A171)</x:f>
        <x:v>1</x:v>
      </x:c>
      <x:c r="E171" s="31" t="str">
        <x:v>GS PWM</x:v>
      </x:c>
      <x:c r="F171" s="31" t="str">
        <x:v>PWM / AM</x:v>
      </x:c>
      <x:c r="G171" s="31" t="str">
        <x:v>Brain Teaser : How many coffee shops in Central</x:v>
      </x:c>
    </x:row>
    <x:row r="172" ht="52" customHeight="1">
      <x:c r="A172" s="30" t="str">
        <x:v>CL0168</x:v>
      </x:c>
      <x:c r="B172" s="31" t="str">
        <x:v>Brain Teaser: 1 dice, throw twice, if not satisfied with the result of first throw, can throw again, what is the Ev</x:v>
      </x:c>
      <x:c r="C172" s="31" t="str">
        <x:v>Accounting &amp; Financial Statements</x:v>
      </x:c>
      <x:c r="D172" s="69" t="n">
        <x:f>COUNTIF('All Questions'!$G$5:$G$1725,A172)</x:f>
        <x:v>1</x:v>
      </x:c>
      <x:c r="E172" s="31" t="str">
        <x:v>UBS(GM Off cycle)</x:v>
      </x:c>
      <x:c r="F172" s="31" t="str">
        <x:v>Sales &amp; Trading</x:v>
      </x:c>
      <x:c r="G172" s="31" t="str">
        <x:v>Brain Teaser: 1 dice, throw twice, if not satisfied with the result of first throw, can throw again, what is the Ev</x:v>
      </x:c>
    </x:row>
    <x:row r="173" ht="52" customHeight="1">
      <x:c r="A173" s="30" t="str">
        <x:v>CL0169</x:v>
      </x:c>
      <x:c r="B173" s="31" t="str">
        <x:v>Brain teaser: 100 balls, 50 black and 50 white, how would you put them into two baskets (in any way u want) to maximize the probability to get a black ball</x:v>
      </x:c>
      <x:c r="C173" s="31" t="str">
        <x:v>Consulting &amp; Case</x:v>
      </x:c>
      <x:c r="D173" s="69" t="n">
        <x:f>COUNTIF('All Questions'!$G$5:$G$1725,A173)</x:f>
        <x:v>1</x:v>
      </x:c>
      <x:c r="E173" s="31" t="str">
        <x:v>HSBC</x:v>
      </x:c>
      <x:c r="F173" s="31" t="str">
        <x:v>IBD / GCM</x:v>
      </x:c>
      <x:c r="G173" s="31" t="str">
        <x:v>Brain teaser: 100 balls, 50 black and 50 white, how would you put them into two baskets (in any way u want) to maximize the probability to get a black ball</x:v>
      </x:c>
    </x:row>
    <x:row r="174" ht="76" customHeight="1">
      <x:c r="A174" s="30" t="str">
        <x:v>CL0170</x:v>
      </x:c>
      <x:c r="B174" s="31" t="str">
        <x:v>Brain Teaser: 100 participants, each write a number, the one closest to 80% of the average will win 100K, if same number from multiple participants, the prize will be split in between, what number will you write</x:v>
      </x:c>
      <x:c r="C174" s="31" t="str">
        <x:v>Valuation</x:v>
      </x:c>
      <x:c r="D174" s="69" t="n">
        <x:f>COUNTIF('All Questions'!$G$5:$G$1725,A174)</x:f>
        <x:v>1</x:v>
      </x:c>
      <x:c r="E174" s="31" t="str">
        <x:v>GS DCMECM</x:v>
      </x:c>
      <x:c r="F174" s="31" t="str">
        <x:v>IBD / GCM</x:v>
      </x:c>
      <x:c r="G174" s="31" t="str">
        <x:v>Brain Teaser: 100 participants, each write a number, the one closest to 80% of the average will win 100K, if same number from multiple participants, the prize will be split in between, what number will you write</x:v>
      </x:c>
    </x:row>
    <x:row r="175" ht="76" customHeight="1">
      <x:c r="A175" s="30" t="str">
        <x:v>CL0171</x:v>
      </x:c>
      <x:c r="B175" s="31" t="str">
        <x:v>Brain teaser: 3 boxes with fruits inside, 1 labelled as banana, 1 strawberries, 1 mixed, three are all incorrectly labelled, u can only draw once, how do you do so you can identify which box contains what</x:v>
      </x:c>
      <x:c r="C175" s="31" t="str">
        <x:v>Consulting &amp; Case</x:v>
      </x:c>
      <x:c r="D175" s="69" t="n">
        <x:f>COUNTIF('All Questions'!$G$5:$G$1725,A175)</x:f>
        <x:v>1</x:v>
      </x:c>
      <x:c r="E175" s="31" t="str">
        <x:v>HSBC</x:v>
      </x:c>
      <x:c r="F175" s="31" t="str">
        <x:v>IBD / GCM</x:v>
      </x:c>
      <x:c r="G175" s="31" t="str">
        <x:v>Brain teaser: 3 boxes with fruits inside, 1 labelled as banana, 1 strawberries, 1 mixed, three are all incorrectly labelled, u can only draw once, how do you do so you can identify which box contains what</x:v>
      </x:c>
    </x:row>
    <x:row r="176" ht="34" customHeight="1">
      <x:c r="A176" s="30" t="str">
        <x:v>CL0172</x:v>
      </x:c>
      <x:c r="B176" s="31" t="str">
        <x:v>Brain teaser: 5/8 100 sterling or 75% 100 dollars (forgot the actual number but key is to convert)</x:v>
      </x:c>
      <x:c r="C176" s="31" t="str">
        <x:v>Accounting &amp; Financial Statements</x:v>
      </x:c>
      <x:c r="D176" s="69" t="n">
        <x:f>COUNTIF('All Questions'!$G$5:$G$1725,A176)</x:f>
        <x:v>1</x:v>
      </x:c>
      <x:c r="E176" s="31" t="str">
        <x:v>HSBC (GM)</x:v>
      </x:c>
      <x:c r="F176" s="31" t="str">
        <x:v>Sales &amp; Trading</x:v>
      </x:c>
      <x:c r="G176" s="31" t="str">
        <x:v>brain teaser: 5/8 100 sterling or 75% 100 dollars (forgot the actual number but key is to convert)</x:v>
      </x:c>
    </x:row>
    <x:row r="177" ht="52" customHeight="1">
      <x:c r="A177" s="30" t="str">
        <x:v>CL0173</x:v>
      </x:c>
      <x:c r="B177" s="31" t="str">
        <x:v>Brain teaser: if u have 10*10*10 cube made up of 1*1*1 small cubes, and u paint the whole thing red how many small cubes are painted red</x:v>
      </x:c>
      <x:c r="C177" s="31" t="str">
        <x:v>Consulting &amp; Case</x:v>
      </x:c>
      <x:c r="D177" s="69" t="n">
        <x:f>COUNTIF('All Questions'!$G$5:$G$1725,A177)</x:f>
        <x:v>1</x:v>
      </x:c>
      <x:c r="E177" s="31" t="str">
        <x:v>HSBC (GM)</x:v>
      </x:c>
      <x:c r="F177" s="31" t="str">
        <x:v>Sales &amp; Trading</x:v>
      </x:c>
      <x:c r="G177" s="31" t="str">
        <x:v>brain teaser: if u have 10*10*10 cube made up of 1*1*1 small cubes, and u paint the whole thing red how many small cubes are painted red</x:v>
      </x:c>
    </x:row>
    <x:row r="178" ht="52" customHeight="1">
      <x:c r="A178" s="30" t="str">
        <x:v>CL0174</x:v>
      </x:c>
      <x:c r="B178" s="31" t="str">
        <x:v>Brain teaser: roll a dice and payoff is whatever u roll, u have the option of rolling again if u dont like your payoff, how much would u pay me so u wont loose or earn</x:v>
      </x:c>
      <x:c r="C178" s="31" t="str">
        <x:v>Accounting &amp; Financial Statements</x:v>
      </x:c>
      <x:c r="D178" s="69" t="n">
        <x:f>COUNTIF('All Questions'!$G$5:$G$1725,A178)</x:f>
        <x:v>1</x:v>
      </x:c>
      <x:c r="E178" s="31" t="str">
        <x:v>HSBC (GM)</x:v>
      </x:c>
      <x:c r="F178" s="31" t="str">
        <x:v>Sales &amp; Trading</x:v>
      </x:c>
      <x:c r="G178" s="31" t="str">
        <x:v>brain teaser: roll a dice and payoff is whatever u roll, u have the option of rolling again if u dont like your payoff, how much would u pay me so u wont loose or earn</x:v>
      </x:c>
    </x:row>
    <x:row r="179" ht="52" customHeight="1">
      <x:c r="A179" s="30" t="str">
        <x:v>CL0175</x:v>
      </x:c>
      <x:c r="B179" s="31" t="str">
        <x:v>Brain teaser: Y1 revenue is 100, Y2 decrease 20% from Y3 increase 10%, how many years to get back to over 100</x:v>
      </x:c>
      <x:c r="C179" s="31" t="str">
        <x:v>Accounting &amp; Financial Statements</x:v>
      </x:c>
      <x:c r="D179" s="69" t="n">
        <x:f>COUNTIF('All Questions'!$G$5:$G$1725,A179)</x:f>
        <x:v>1</x:v>
      </x:c>
      <x:c r="E179" s="31" t="str">
        <x:v>HSBC (GM)</x:v>
      </x:c>
      <x:c r="F179" s="31" t="str">
        <x:v>Sales &amp; Trading</x:v>
      </x:c>
      <x:c r="G179" s="31" t="str">
        <x:v>brain teaser: Y1 revenue is 100, Y2 decrease 20% from Y3 increase 10%, how many years to get back to over 100</x:v>
      </x:c>
    </x:row>
    <x:row r="180" ht="34" customHeight="1">
      <x:c r="A180" s="30" t="str">
        <x:v>CL0176</x:v>
      </x:c>
      <x:c r="B180" s="31" t="str">
        <x:v>Business model: Asset light or Asset heavy</x:v>
      </x:c>
      <x:c r="C180" s="31" t="str">
        <x:v>Company, Industry &amp; Deals</x:v>
      </x:c>
      <x:c r="D180" s="69" t="n">
        <x:f>COUNTIF('All Questions'!$G$5:$G$1725,A180)</x:f>
        <x:v>1</x:v>
      </x:c>
      <x:c r="E180" s="31" t="str">
        <x:v>Deutsche</x:v>
      </x:c>
      <x:c r="F180" s="31" t="str">
        <x:v>IBD / GCM</x:v>
      </x:c>
      <x:c r="G180" s="31" t="str">
        <x:v>Business model: Asset light or Asset heavy?</x:v>
      </x:c>
    </x:row>
    <x:row r="181" ht="34" customHeight="1">
      <x:c r="A181" s="30" t="str">
        <x:v>CL0177</x:v>
      </x:c>
      <x:c r="B181" s="31" t="str">
        <x:v>Business model? Why would industrial companies use energy storage systems</x:v>
      </x:c>
      <x:c r="C181" s="31" t="str">
        <x:v>Fit &amp; Motivation</x:v>
      </x:c>
      <x:c r="D181" s="69" t="n">
        <x:f>COUNTIF('All Questions'!$G$5:$G$1725,A181)</x:f>
        <x:v>1</x:v>
      </x:c>
      <x:c r="E181" s="31" t="str">
        <x:v>Barclays</x:v>
      </x:c>
      <x:c r="F181" s="31" t="str">
        <x:v>IBD / GCM</x:v>
      </x:c>
      <x:c r="G181" s="31" t="str">
        <x:v>Business model? Why would industrial companies use energy storage systems?</x:v>
      </x:c>
    </x:row>
    <x:row r="182" ht="34" customHeight="1">
      <x:c r="A182" s="30" t="str">
        <x:v>CL0178</x:v>
      </x:c>
      <x:c r="B182" s="31" t="str">
        <x:v>Buy $100 machine by debt - 3 FSs changes today + changes 1 yr after</x:v>
      </x:c>
      <x:c r="C182" s="31" t="str">
        <x:v>Accounting &amp; Financial Statements</x:v>
      </x:c>
      <x:c r="D182" s="69" t="n">
        <x:f>COUNTIF('All Questions'!$G$5:$G$1725,A182)</x:f>
        <x:v>1</x:v>
      </x:c>
      <x:c r="E182" s="31" t="str">
        <x:v>MS IBD</x:v>
      </x:c>
      <x:c r="F182" s="31" t="str">
        <x:v>IBD / GCM</x:v>
      </x:c>
      <x:c r="G182" s="31" t="str">
        <x:v>Buy $100 machine by debt - 3 FSs changes today + changes 1 yr after</x:v>
      </x:c>
    </x:row>
    <x:row r="183" ht="34" customHeight="1">
      <x:c r="A183" s="30" t="str">
        <x:v>CL0179</x:v>
      </x:c>
      <x:c r="B183" s="31" t="str">
        <x:v>Buying intangible asset counted as CAPEX</x:v>
      </x:c>
      <x:c r="C183" s="31" t="str">
        <x:v>Other Question</x:v>
      </x:c>
      <x:c r="D183" s="69" t="n">
        <x:f>COUNTIF('All Questions'!$G$5:$G$1725,A183)</x:f>
        <x:v>1</x:v>
      </x:c>
      <x:c r="E183" s="31" t="str">
        <x:v>Lazard</x:v>
      </x:c>
      <x:c r="F183" s="31" t="str">
        <x:v>IBD / GCM</x:v>
      </x:c>
      <x:c r="G183" s="31" t="str">
        <x:v>Buying intangible asset counted as CAPEX?</x:v>
      </x:c>
    </x:row>
    <x:row r="184" ht="34" customHeight="1">
      <x:c r="A184" s="30" t="str">
        <x:v>CL0180</x:v>
      </x:c>
      <x:c r="B184" s="31" t="str">
        <x:v>By debt/cash</x:v>
      </x:c>
      <x:c r="C184" s="31" t="str">
        <x:v>Other Question</x:v>
      </x:c>
      <x:c r="D184" s="69" t="n">
        <x:f>COUNTIF('All Questions'!$G$5:$G$1725,A184)</x:f>
        <x:v>1</x:v>
      </x:c>
      <x:c r="E184" s="31" t="str">
        <x:v>Nomura</x:v>
      </x:c>
      <x:c r="F184" s="31" t="str">
        <x:v>IBD / GCM</x:v>
      </x:c>
      <x:c r="G184" s="31" t="str">
        <x:v>by debt/cash?</x:v>
      </x:c>
    </x:row>
    <x:row r="185" ht="34" customHeight="1">
      <x:c r="A185" s="30" t="str">
        <x:v>CL0181</x:v>
      </x:c>
      <x:c r="B185" s="31" t="str">
        <x:v>Calculate EBITDA for a Chinese firm</x:v>
      </x:c>
      <x:c r="C185" s="31" t="str">
        <x:v>Other Technical</x:v>
      </x:c>
      <x:c r="D185" s="69" t="n">
        <x:f>COUNTIF('All Questions'!$G$5:$G$1725,A185)</x:f>
        <x:v>1</x:v>
      </x:c>
      <x:c r="E185" s="31" t="str">
        <x:v>MS IBD</x:v>
      </x:c>
      <x:c r="F185" s="31" t="str">
        <x:v>IBD / GCM</x:v>
      </x:c>
      <x:c r="G185" s="31" t="str">
        <x:v>Calculate EBITDA for a Chinese firm</x:v>
      </x:c>
    </x:row>
    <x:row r="186" ht="34" customHeight="1">
      <x:c r="A186" s="30" t="str">
        <x:v>CL0182</x:v>
      </x:c>
      <x:c r="B186" s="31" t="str">
        <x:v>Calculate the EV/EBITDA by using target price</x:v>
      </x:c>
      <x:c r="C186" s="31" t="str">
        <x:v>Other Technical</x:v>
      </x:c>
      <x:c r="D186" s="69" t="n">
        <x:f>COUNTIF('All Questions'!$G$5:$G$1725,A186)</x:f>
        <x:v>1</x:v>
      </x:c>
      <x:c r="E186" s="31" t="str">
        <x:v>UBS IBD</x:v>
      </x:c>
      <x:c r="F186" s="31" t="str">
        <x:v>IBD / GCM</x:v>
      </x:c>
      <x:c r="G186" s="31" t="str">
        <x:v>Calculate the EV/EBITDA by using target price</x:v>
      </x:c>
    </x:row>
    <x:row r="187" ht="34" customHeight="1">
      <x:c r="A187" s="30" t="str">
        <x:v>CL0183</x:v>
      </x:c>
      <x:c r="B187" s="31" t="str">
        <x:v>Can ask me directly if you are interested in the details</x:v>
      </x:c>
      <x:c r="C187" s="31" t="str">
        <x:v>Other Question</x:v>
      </x:c>
      <x:c r="D187" s="69" t="n">
        <x:f>COUNTIF('All Questions'!$G$5:$G$1725,A187)</x:f>
        <x:v>1</x:v>
      </x:c>
      <x:c r="E187" s="31" t="str">
        <x:v>Jefferies</x:v>
      </x:c>
      <x:c r="F187" s="31" t="str">
        <x:v>IBD / GCM</x:v>
      </x:c>
      <x:c r="G187" s="31" t="str">
        <x:v>Can ask me directly if you are interested in the details</x:v>
      </x:c>
    </x:row>
    <x:row r="188" ht="34" customHeight="1">
      <x:c r="A188" s="30" t="str">
        <x:v>CL0184</x:v>
      </x:c>
      <x:c r="B188" s="31" t="str">
        <x:v>Can pm me for more details if interested</x:v>
      </x:c>
      <x:c r="C188" s="31" t="str">
        <x:v>Other Question</x:v>
      </x:c>
      <x:c r="D188" s="69" t="n">
        <x:f>COUNTIF('All Questions'!$G$5:$G$1725,A188)</x:f>
        <x:v>1</x:v>
      </x:c>
      <x:c r="E188" s="31" t="str">
        <x:v>JPM Payment</x:v>
      </x:c>
      <x:c r="F188" s="31" t="str">
        <x:v>PE / VC / Other</x:v>
      </x:c>
      <x:c r="G188" s="31" t="str">
        <x:v>can pm me for more details if interested</x:v>
      </x:c>
    </x:row>
    <x:row r="189" ht="34" customHeight="1">
      <x:c r="A189" s="30" t="str">
        <x:v>CL0185</x:v>
      </x:c>
      <x:c r="B189" s="31" t="str">
        <x:v>Can u code in KGB</x:v>
      </x:c>
      <x:c r="C189" s="31" t="str">
        <x:v>Other Question</x:v>
      </x:c>
      <x:c r="D189" s="69" t="n">
        <x:f>COUNTIF('All Questions'!$G$5:$G$1725,A189)</x:f>
        <x:v>1</x:v>
      </x:c>
      <x:c r="E189" s="31" t="str">
        <x:v>MS IED</x:v>
      </x:c>
      <x:c r="F189" s="31" t="str">
        <x:v>Sales &amp; Trading</x:v>
      </x:c>
      <x:c r="G189" s="31" t="str">
        <x:v>can u code in KGB</x:v>
      </x:c>
    </x:row>
    <x:row r="190" ht="34" customHeight="1">
      <x:c r="A190" s="30" t="str">
        <x:v>CL0186</x:v>
      </x:c>
      <x:c r="B190" s="31" t="str">
        <x:v>Can we use NTM multiple</x:v>
      </x:c>
      <x:c r="C190" s="31" t="str">
        <x:v>Valuation</x:v>
      </x:c>
      <x:c r="D190" s="69" t="n">
        <x:f>COUNTIF('All Questions'!$G$5:$G$1725,A190)</x:f>
        <x:v>1</x:v>
      </x:c>
      <x:c r="E190" s="31" t="str">
        <x:v>Barclays</x:v>
      </x:c>
      <x:c r="F190" s="31" t="str">
        <x:v>IBD / GCM</x:v>
      </x:c>
      <x:c r="G190" s="31" t="str">
        <x:v>Can we use NTM multiple?</x:v>
      </x:c>
    </x:row>
    <x:row r="191" ht="34" customHeight="1">
      <x:c r="A191" s="30" t="str">
        <x:v>CL0187</x:v>
      </x:c>
      <x:c r="B191" s="31" t="str">
        <x:v>Can you accept the ibd hours after working at buyside</x:v>
      </x:c>
      <x:c r="C191" s="31" t="str">
        <x:v>M&amp;A</x:v>
      </x:c>
      <x:c r="D191" s="69" t="n">
        <x:f>COUNTIF('All Questions'!$G$5:$G$1725,A191)</x:f>
        <x:v>1</x:v>
      </x:c>
      <x:c r="E191" s="31" t="str">
        <x:v>Deutsche</x:v>
      </x:c>
      <x:c r="F191" s="31" t="str">
        <x:v>IBD / GCM</x:v>
      </x:c>
      <x:c r="G191" s="31" t="str">
        <x:v>can you accept the ibd hours after working at buyside?</x:v>
      </x:c>
    </x:row>
    <x:row r="192" ht="34" customHeight="1">
      <x:c r="A192" s="30" t="str">
        <x:v>CL0188</x:v>
      </x:c>
      <x:c r="B192" s="31" t="str">
        <x:v>Can you speak canto / mandarin? Feel free to ask me questions in mandarin</x:v>
      </x:c>
      <x:c r="C192" s="31" t="str">
        <x:v>Fit &amp; Motivation</x:v>
      </x:c>
      <x:c r="D192" s="69" t="n">
        <x:f>COUNTIF('All Questions'!$G$5:$G$1725,A192)</x:f>
        <x:v>1</x:v>
      </x:c>
      <x:c r="E192" s="31" t="str">
        <x:v>Barclays</x:v>
      </x:c>
      <x:c r="F192" s="31" t="str">
        <x:v>IBD / GCM</x:v>
      </x:c>
      <x:c r="G192" s="31" t="str">
        <x:v>Can you speak canto / mandarin? Feel free to ask me questions in mandarin.</x:v>
      </x:c>
    </x:row>
    <x:row r="193" ht="52" customHeight="1">
      <x:c r="A193" s="30" t="str">
        <x:v>CL0189</x:v>
      </x:c>
      <x:c r="B193" s="31" t="str">
        <x:v>Can you speak mandarin? (she just asked and then checked the box on my evaluation and then didn't ask me to try speaking at all lol)</x:v>
      </x:c>
      <x:c r="C193" s="31" t="str">
        <x:v>Fit &amp; Motivation</x:v>
      </x:c>
      <x:c r="D193" s="69" t="n">
        <x:f>COUNTIF('All Questions'!$G$5:$G$1725,A193)</x:f>
        <x:v>1</x:v>
      </x:c>
      <x:c r="E193" s="31" t="str">
        <x:v>MS IBD</x:v>
      </x:c>
      <x:c r="F193" s="31" t="str">
        <x:v>IBD / GCM</x:v>
      </x:c>
      <x:c r="G193" s="31" t="str">
        <x:v>Can you speak mandarin? (she just asked and then checked the box on my evaluation and then didn't ask me to try speaking at all lol)</x:v>
      </x:c>
    </x:row>
    <x:row r="194" ht="34" customHeight="1">
      <x:c r="A194" s="30" t="str">
        <x:v>CL0190</x:v>
      </x:c>
      <x:c r="B194" s="31" t="str">
        <x:v>CAPEX $100 to buy PPE</x:v>
      </x:c>
      <x:c r="C194" s="31" t="str">
        <x:v>Other Question</x:v>
      </x:c>
      <x:c r="D194" s="69" t="n">
        <x:f>COUNTIF('All Questions'!$G$5:$G$1725,A194)</x:f>
        <x:v>1</x:v>
      </x:c>
      <x:c r="E194" s="31" t="str">
        <x:v>Moelis</x:v>
      </x:c>
      <x:c r="F194" s="31" t="str">
        <x:v>IBD / GCM</x:v>
      </x:c>
      <x:c r="G194" s="31" t="str">
        <x:v>CAPEX $100 to buy PPE?</x:v>
      </x:c>
    </x:row>
    <x:row r="195" ht="52" customHeight="1">
      <x:c r="A195" s="30" t="str">
        <x:v>CL0191</x:v>
      </x:c>
      <x:c r="B195" s="31" t="str">
        <x:v>Case - breakfast bar / snack mixes / beverage company, successfully opened online shopping trial for selected goods, should expand online and by how much</x:v>
      </x:c>
      <x:c r="C195" s="31" t="str">
        <x:v>Consulting &amp; Case</x:v>
      </x:c>
      <x:c r="D195" s="69" t="n">
        <x:f>COUNTIF('All Questions'!$G$5:$G$1725,A195)</x:f>
        <x:v>1</x:v>
      </x:c>
      <x:c r="E195" s="31" t="str">
        <x:v>Mckinsey</x:v>
      </x:c>
      <x:c r="F195" s="31" t="str">
        <x:v>Consulting</x:v>
      </x:c>
      <x:c r="G195" s="31" t="str">
        <x:v>Case - breakfast bar / snack mixes / beverage company, successfully opened online shopping trial for selected goods, should expand online and by how much?</x:v>
      </x:c>
    </x:row>
    <x:row r="196" ht="34" customHeight="1">
      <x:c r="A196" s="30" t="str">
        <x:v>CL0192</x:v>
      </x:c>
      <x:c r="B196" s="31" t="str">
        <x:v>Case - Media, family owned company - sell / pass to next gen</x:v>
      </x:c>
      <x:c r="C196" s="31" t="str">
        <x:v>Consulting &amp; Case</x:v>
      </x:c>
      <x:c r="D196" s="69" t="n">
        <x:f>COUNTIF('All Questions'!$G$5:$G$1725,A196)</x:f>
        <x:v>1</x:v>
      </x:c>
      <x:c r="E196" s="31" t="str">
        <x:v>Mckinsey</x:v>
      </x:c>
      <x:c r="F196" s="31" t="str">
        <x:v>Consulting</x:v>
      </x:c>
      <x:c r="G196" s="31" t="str">
        <x:v>Case - Media, family owned company - sell / pass to next gen?</x:v>
      </x:c>
    </x:row>
    <x:row r="197" ht="34" customHeight="1">
      <x:c r="A197" s="30" t="str">
        <x:v>CL0193</x:v>
      </x:c>
      <x:c r="B197" s="31" t="str">
        <x:v>Case - Sports wearing brand (like Lululemon) - switch products to ESG related</x:v>
      </x:c>
      <x:c r="C197" s="31" t="str">
        <x:v>Consulting &amp; Case</x:v>
      </x:c>
      <x:c r="D197" s="69" t="n">
        <x:f>COUNTIF('All Questions'!$G$5:$G$1725,A197)</x:f>
        <x:v>1</x:v>
      </x:c>
      <x:c r="E197" s="31" t="str">
        <x:v>Mckinsey</x:v>
      </x:c>
      <x:c r="F197" s="31" t="str">
        <x:v>Consulting</x:v>
      </x:c>
      <x:c r="G197" s="31" t="str">
        <x:v>Case - Sports wearing brand (like Lululemon) - switch products to ESG related?</x:v>
      </x:c>
    </x:row>
    <x:row r="198" ht="34" customHeight="1">
      <x:c r="A198" s="30" t="str">
        <x:v>CL0194</x:v>
      </x:c>
      <x:c r="B198" s="31" t="str">
        <x:v>Case I did in my internship (EBITDA, Revenue breakdown, post-valuation...)</x:v>
      </x:c>
      <x:c r="C198" s="31" t="str">
        <x:v>Resume &amp; Experience</x:v>
      </x:c>
      <x:c r="D198" s="69" t="n">
        <x:f>COUNTIF('All Questions'!$G$5:$G$1725,A198)</x:f>
        <x:v>1</x:v>
      </x:c>
      <x:c r="E198" s="31" t="str">
        <x:v>Deutsche</x:v>
      </x:c>
      <x:c r="F198" s="31" t="str">
        <x:v>IBD / GCM</x:v>
      </x:c>
      <x:c r="G198" s="31" t="str">
        <x:v>Case I did in my internship (EBITDA, Revenue breakdown, post-valuation...)</x:v>
      </x:c>
    </x:row>
    <x:row r="199" ht="76" customHeight="1">
      <x:c r="A199" s="30" t="str">
        <x:v>CL0195</x:v>
      </x:c>
      <x:c r="B199" s="31" t="str">
        <x:v>Case study--advising on a European engineering company specialized in the provision of soil studies, financial sponsor exit strategies, business model analysis, accounting, basic valuation, DCF</x:v>
      </x:c>
      <x:c r="C199" s="31" t="str">
        <x:v>Accounting &amp; Financial Statements</x:v>
      </x:c>
      <x:c r="D199" s="69" t="n">
        <x:f>COUNTIF('All Questions'!$G$5:$G$1725,A199)</x:f>
        <x:v>1</x:v>
      </x:c>
      <x:c r="E199" s="31" t="str">
        <x:v>Nomura</x:v>
      </x:c>
      <x:c r="F199" s="31" t="str">
        <x:v>IBD / GCM</x:v>
      </x:c>
      <x:c r="G199" s="31" t="str">
        <x:v>Case study--advising on a European engineering company specialized in the provision of soil studies, financial sponsor exit strategies, business model analysis, accounting, basic valuation, DCF</x:v>
      </x:c>
    </x:row>
    <x:row r="200" ht="52" customHeight="1">
      <x:c r="A200" s="30" t="str">
        <x:v>CL0196</x:v>
      </x:c>
      <x:c r="B200" s="31" t="str">
        <x:v>Cases related questions - Revenue build up, multiples used (I mentioned the multiple used in power sector is unique) - lots of follow ups</x:v>
      </x:c>
      <x:c r="C200" s="31" t="str">
        <x:v>Accounting &amp; Financial Statements</x:v>
      </x:c>
      <x:c r="D200" s="69" t="n">
        <x:f>COUNTIF('All Questions'!$G$5:$G$1725,A200)</x:f>
        <x:v>1</x:v>
      </x:c>
      <x:c r="E200" s="31" t="str">
        <x:v>Deutsche</x:v>
      </x:c>
      <x:c r="F200" s="31" t="str">
        <x:v>IBD / GCM</x:v>
      </x:c>
      <x:c r="G200" s="31" t="str">
        <x:v>Cases related questions - Revenue build up, multiples used (I mentioned the multiple used in power sector is unique) - lots of follow ups</x:v>
      </x:c>
    </x:row>
    <x:row r="201" ht="34" customHeight="1">
      <x:c r="A201" s="30" t="str">
        <x:v>CL0197</x:v>
      </x:c>
      <x:c r="B201" s="31" t="str">
        <x:v>Cash flow $100 every year, 10% discount rate, how much would u pay to buy it</x:v>
      </x:c>
      <x:c r="C201" s="31" t="str">
        <x:v>Accounting &amp; Financial Statements</x:v>
      </x:c>
      <x:c r="D201" s="69" t="n">
        <x:f>COUNTIF('All Questions'!$G$5:$G$1725,A201)</x:f>
        <x:v>1</x:v>
      </x:c>
      <x:c r="E201" s="31" t="str">
        <x:v>Moelis</x:v>
      </x:c>
      <x:c r="F201" s="31" t="str">
        <x:v>IBD / GCM</x:v>
      </x:c>
      <x:c r="G201" s="31" t="str">
        <x:v>Cash flow $100 every year, 10% discount rate, how much would u pay to buy it?</x:v>
      </x:c>
    </x:row>
    <x:row r="202" ht="34" customHeight="1">
      <x:c r="A202" s="30" t="str">
        <x:v>CL0198</x:v>
      </x:c>
      <x:c r="B202" s="31" t="str">
        <x:v>China Real Estate - why is tackling this important</x:v>
      </x:c>
      <x:c r="C202" s="31" t="str">
        <x:v>Fit &amp; Motivation</x:v>
      </x:c>
      <x:c r="D202" s="69" t="n">
        <x:f>COUNTIF('All Questions'!$G$5:$G$1725,A202)</x:f>
        <x:v>1</x:v>
      </x:c>
      <x:c r="E202" s="31" t="str">
        <x:v>UBS IBD</x:v>
      </x:c>
      <x:c r="F202" s="31" t="str">
        <x:v>IBD / GCM</x:v>
      </x:c>
      <x:c r="G202" s="31" t="str">
        <x:v>China Real Estate - why is tackling this important?</x:v>
      </x:c>
    </x:row>
    <x:row r="203" ht="34" customHeight="1">
      <x:c r="A203" s="30" t="str">
        <x:v>CL0199</x:v>
      </x:c>
      <x:c r="B203" s="31" t="str">
        <x:v>Coding proficiency, any project experience with python</x:v>
      </x:c>
      <x:c r="C203" s="31" t="str">
        <x:v>Resume &amp; Experience</x:v>
      </x:c>
      <x:c r="D203" s="69" t="n">
        <x:f>COUNTIF('All Questions'!$G$5:$G$1725,A203)</x:f>
        <x:v>1</x:v>
      </x:c>
      <x:c r="E203" s="31" t="str">
        <x:v>UBS(GM Off cycle)</x:v>
      </x:c>
      <x:c r="F203" s="31" t="str">
        <x:v>Sales &amp; Trading</x:v>
      </x:c>
      <x:c r="G203" s="31" t="str">
        <x:v>Coding proficiency, any project experience with python</x:v>
      </x:c>
    </x:row>
    <x:row r="204" ht="34" customHeight="1">
      <x:c r="A204" s="30" t="str">
        <x:v>CL0200</x:v>
      </x:c>
      <x:c r="B204" s="31" t="str">
        <x:v>Combining all your internship experience, what is the most important takeaway</x:v>
      </x:c>
      <x:c r="C204" s="31" t="str">
        <x:v>Resume &amp; Experience</x:v>
      </x:c>
      <x:c r="D204" s="69" t="n">
        <x:f>COUNTIF('All Questions'!$G$5:$G$1725,A204)</x:f>
        <x:v>1</x:v>
      </x:c>
      <x:c r="E204" s="31" t="str">
        <x:v>Deutsche</x:v>
      </x:c>
      <x:c r="F204" s="31" t="str">
        <x:v>IBD / GCM</x:v>
      </x:c>
      <x:c r="G204" s="31" t="str">
        <x:v>Combining all your internship experience, what is the most important takeaway?</x:v>
      </x:c>
    </x:row>
    <x:row r="205" ht="34" customHeight="1">
      <x:c r="A205" s="30" t="str">
        <x:v>CL0201</x:v>
      </x:c>
      <x:c r="B205" s="31" t="str">
        <x:v>Commercial bank buyside pitch: investment highlights, operating metrics</x:v>
      </x:c>
      <x:c r="C205" s="31" t="str">
        <x:v>M&amp;A</x:v>
      </x:c>
      <x:c r="D205" s="69" t="n">
        <x:f>COUNTIF('All Questions'!$G$5:$G$1725,A205)</x:f>
        <x:v>1</x:v>
      </x:c>
      <x:c r="E205" s="31" t="str">
        <x:v>Bofa IBD</x:v>
      </x:c>
      <x:c r="F205" s="31" t="str">
        <x:v>IBD / GCM</x:v>
      </x:c>
      <x:c r="G205" s="31" t="str">
        <x:v>Commercial bank buyside pitch: investment highlights, operating metrics</x:v>
      </x:c>
    </x:row>
    <x:row r="206" ht="52" customHeight="1">
      <x:c r="A206" s="30" t="str">
        <x:v>CL0202</x:v>
      </x:c>
      <x:c r="B206" s="31" t="str">
        <x:v>Comparable companies: criteria, multiples (EV as compared to competitors), why use EV/EBITDA, not EV/E</x:v>
      </x:c>
      <x:c r="C206" s="31" t="str">
        <x:v>Fit &amp; Motivation</x:v>
      </x:c>
      <x:c r="D206" s="69" t="n">
        <x:f>COUNTIF('All Questions'!$G$5:$G$1725,A206)</x:f>
        <x:v>1</x:v>
      </x:c>
      <x:c r="E206" s="31" t="str">
        <x:v>Barclays</x:v>
      </x:c>
      <x:c r="F206" s="31" t="str">
        <x:v>IBD / GCM</x:v>
      </x:c>
      <x:c r="G206" s="31" t="str">
        <x:v>Comparable companies: criteria, multiples (EV as compared to competitors), why use EV/EBITDA, not EV/E</x:v>
      </x:c>
    </x:row>
    <x:row r="207" ht="34" customHeight="1">
      <x:c r="A207" s="30" t="str">
        <x:v>CL0203</x:v>
      </x:c>
      <x:c r="B207" s="31" t="str">
        <x:v>Compared with tencent, alibaba, why should I buy the one you pitch? its overvalued</x:v>
      </x:c>
      <x:c r="C207" s="31" t="str">
        <x:v>Fit &amp; Motivation</x:v>
      </x:c>
      <x:c r="D207" s="69" t="n">
        <x:f>COUNTIF('All Questions'!$G$5:$G$1725,A207)</x:f>
        <x:v>1</x:v>
      </x:c>
      <x:c r="E207" s="31" t="str">
        <x:v>Bofa GCM</x:v>
      </x:c>
      <x:c r="F207" s="31" t="str">
        <x:v>IBD / GCM</x:v>
      </x:c>
      <x:c r="G207" s="31" t="str">
        <x:v>compared with tencent, alibaba, why should I buy the one you pitch? its overvalued</x:v>
      </x:c>
    </x:row>
    <x:row r="208" ht="34" customHeight="1">
      <x:c r="A208" s="30" t="str">
        <x:v>CL0204</x:v>
      </x:c>
      <x:c r="B208" s="31" t="str">
        <x:v>Comps?? (forgot if she asked or not)</x:v>
      </x:c>
      <x:c r="C208" s="31" t="str">
        <x:v>Valuation</x:v>
      </x:c>
      <x:c r="D208" s="69" t="n">
        <x:f>COUNTIF('All Questions'!$G$5:$G$1725,A208)</x:f>
        <x:v>1</x:v>
      </x:c>
      <x:c r="E208" s="31" t="str">
        <x:v>BNP Paribas</x:v>
      </x:c>
      <x:c r="F208" s="31" t="str">
        <x:v>IBD / GCM</x:v>
      </x:c>
      <x:c r="G208" s="31" t="str">
        <x:v>Comps?? (forgot if she asked or not)</x:v>
      </x:c>
    </x:row>
    <x:row r="209" ht="34" customHeight="1">
      <x:c r="A209" s="30" t="str">
        <x:v>CL0205</x:v>
      </x:c>
      <x:c r="B209" s="31" t="str">
        <x:v>Consider AMPB major, why u want to do SnT</x:v>
      </x:c>
      <x:c r="C209" s="31" t="str">
        <x:v>Fit &amp; Motivation</x:v>
      </x:c>
      <x:c r="D209" s="69" t="n">
        <x:f>COUNTIF('All Questions'!$G$5:$G$1725,A209)</x:f>
        <x:v>1</x:v>
      </x:c>
      <x:c r="E209" s="31" t="str">
        <x:v>HSBC (GM)</x:v>
      </x:c>
      <x:c r="F209" s="31" t="str">
        <x:v>Sales &amp; Trading</x:v>
      </x:c>
      <x:c r="G209" s="31" t="str">
        <x:v>Consider AMPB major, why u want to do SnT?</x:v>
      </x:c>
    </x:row>
    <x:row r="210" ht="34" customHeight="1">
      <x:c r="A210" s="30" t="str">
        <x:v>CL0206</x:v>
      </x:c>
      <x:c r="B210" s="31" t="str">
        <x:v>Continuing the last question, do you know how to use Bloomberg</x:v>
      </x:c>
      <x:c r="C210" s="31" t="str">
        <x:v>Other Question</x:v>
      </x:c>
      <x:c r="D210" s="69" t="n">
        <x:f>COUNTIF('All Questions'!$G$5:$G$1725,A210)</x:f>
        <x:v>1</x:v>
      </x:c>
      <x:c r="E210" s="31" t="str">
        <x:v>BlackRock</x:v>
      </x:c>
      <x:c r="F210" s="31" t="str">
        <x:v>PWM / AM</x:v>
      </x:c>
      <x:c r="G210" s="31" t="str">
        <x:v>Continuing the last question, do you know how to use Bloomberg?</x:v>
      </x:c>
    </x:row>
    <x:row r="211" ht="34" customHeight="1">
      <x:c r="A211" s="30" t="str">
        <x:v>CL0207</x:v>
      </x:c>
      <x:c r="B211" s="31" t="str">
        <x:v>Cost of equity</x:v>
      </x:c>
      <x:c r="C211" s="31" t="str">
        <x:v>Valuation</x:v>
      </x:c>
      <x:c r="D211" s="69" t="n">
        <x:f>COUNTIF('All Questions'!$G$5:$G$1725,A211)</x:f>
        <x:v>1</x:v>
      </x:c>
      <x:c r="E211" s="31" t="str">
        <x:v>MS IBD</x:v>
      </x:c>
      <x:c r="F211" s="31" t="str">
        <x:v>IBD / GCM</x:v>
      </x:c>
      <x:c r="G211" s="31" t="str">
        <x:v>Cost of equity</x:v>
      </x:c>
    </x:row>
    <x:row r="212" ht="34" customHeight="1">
      <x:c r="A212" s="30" t="str">
        <x:v>CL0208</x:v>
      </x:c>
      <x:c r="B212" s="31" t="str">
        <x:v>Cost of equity formula</x:v>
      </x:c>
      <x:c r="C212" s="31" t="str">
        <x:v>Valuation</x:v>
      </x:c>
      <x:c r="D212" s="69" t="n">
        <x:f>COUNTIF('All Questions'!$G$5:$G$1725,A212)</x:f>
        <x:v>1</x:v>
      </x:c>
      <x:c r="E212" s="31" t="str">
        <x:v>MS IBD</x:v>
      </x:c>
      <x:c r="F212" s="31" t="str">
        <x:v>IBD / GCM</x:v>
      </x:c>
      <x:c r="G212" s="31" t="str">
        <x:v>Cost of equity formula</x:v>
      </x:c>
    </x:row>
    <x:row r="213" ht="34" customHeight="1">
      <x:c r="A213" s="30" t="str">
        <x:v>CL0209</x:v>
      </x:c>
      <x:c r="B213" s="31" t="str">
        <x:v>Cost of equity: Risk premium should you include country risk? (bro idk)</x:v>
      </x:c>
      <x:c r="C213" s="31" t="str">
        <x:v>Valuation</x:v>
      </x:c>
      <x:c r="D213" s="69" t="n">
        <x:f>COUNTIF('All Questions'!$G$5:$G$1725,A213)</x:f>
        <x:v>1</x:v>
      </x:c>
      <x:c r="E213" s="31" t="str">
        <x:v>Bofa IBD</x:v>
      </x:c>
      <x:c r="F213" s="31" t="str">
        <x:v>IBD / GCM</x:v>
      </x:c>
      <x:c r="G213" s="31" t="str">
        <x:v>Cost of equity: Risk premium should you include country risk? (bro idk)</x:v>
      </x:c>
    </x:row>
    <x:row r="214" ht="34" customHeight="1">
      <x:c r="A214" s="30" t="str">
        <x:v>CL0210</x:v>
      </x:c>
      <x:c r="B214" s="31" t="str">
        <x:v>Could you walk me through the DCF model you built for BYD</x:v>
      </x:c>
      <x:c r="C214" s="31" t="str">
        <x:v>Valuation</x:v>
      </x:c>
      <x:c r="D214" s="69" t="n">
        <x:f>COUNTIF('All Questions'!$G$5:$G$1725,A214)</x:f>
        <x:v>1</x:v>
      </x:c>
      <x:c r="E214" s="31" t="str">
        <x:v>Nomura</x:v>
      </x:c>
      <x:c r="F214" s="31" t="str">
        <x:v>IBD / GCM</x:v>
      </x:c>
      <x:c r="G214" s="31" t="str">
        <x:v>Could you walk me through the DCF model you built for BYD</x:v>
      </x:c>
    </x:row>
    <x:row r="215" ht="34" customHeight="1">
      <x:c r="A215" s="30" t="str">
        <x:v>CL0211</x:v>
      </x:c>
      <x:c r="B215" s="31" t="str">
        <x:v>CV based: First related internship, what did you do and what did you learn from it</x:v>
      </x:c>
      <x:c r="C215" s="31" t="str">
        <x:v>Resume &amp; Experience</x:v>
      </x:c>
      <x:c r="D215" s="69" t="n">
        <x:f>COUNTIF('All Questions'!$G$5:$G$1725,A215)</x:f>
        <x:v>1</x:v>
      </x:c>
      <x:c r="E215" s="31" t="str">
        <x:v>BofA (GM)</x:v>
      </x:c>
      <x:c r="F215" s="31" t="str">
        <x:v>Sales &amp; Trading</x:v>
      </x:c>
      <x:c r="G215" s="31" t="str">
        <x:v>CV based: First related internship, what did you do and what did you learn from it?</x:v>
      </x:c>
    </x:row>
    <x:row r="216" ht="34" customHeight="1">
      <x:c r="A216" s="30" t="str">
        <x:v>CL0212</x:v>
      </x:c>
      <x:c r="B216" s="31" t="str">
        <x:v>CV based: Second related internship, what did you do and what did you learn from it</x:v>
      </x:c>
      <x:c r="C216" s="31" t="str">
        <x:v>Resume &amp; Experience</x:v>
      </x:c>
      <x:c r="D216" s="69" t="n">
        <x:f>COUNTIF('All Questions'!$G$5:$G$1725,A216)</x:f>
        <x:v>1</x:v>
      </x:c>
      <x:c r="E216" s="31" t="str">
        <x:v>BofA (GM)</x:v>
      </x:c>
      <x:c r="F216" s="31" t="str">
        <x:v>Sales &amp; Trading</x:v>
      </x:c>
      <x:c r="G216" s="31" t="str">
        <x:v>CV based: Second related internship, what did you do and what did you learn from it?</x:v>
      </x:c>
    </x:row>
    <x:row r="217" ht="34" customHeight="1">
      <x:c r="A217" s="30" t="str">
        <x:v>CL0213</x:v>
      </x:c>
      <x:c r="B217" s="31" t="str">
        <x:v>CV project - ask in detail abt a CIM on market / investment rationale / sale process walk through</x:v>
      </x:c>
      <x:c r="C217" s="31" t="str">
        <x:v>Resume &amp; Experience</x:v>
      </x:c>
      <x:c r="D217" s="69" t="n">
        <x:f>COUNTIF('All Questions'!$G$5:$G$1725,A217)</x:f>
        <x:v>1</x:v>
      </x:c>
      <x:c r="E217" s="31" t="str">
        <x:v>Lazard</x:v>
      </x:c>
      <x:c r="F217" s="31" t="str">
        <x:v>IBD / GCM</x:v>
      </x:c>
      <x:c r="G217" s="31" t="str">
        <x:v>CV project - ask in detail abt a CIM on market / investment rationale / sale process walk through</x:v>
      </x:c>
    </x:row>
    <x:row r="218" ht="34" customHeight="1">
      <x:c r="A218" s="30" t="str">
        <x:v>CL0214</x:v>
      </x:c>
      <x:c r="B218" s="31" t="str">
        <x:v>CV question - tell me more about your work at ING Bank on the pitchbook (cantonese)</x:v>
      </x:c>
      <x:c r="C218" s="31" t="str">
        <x:v>Fit &amp; Motivation</x:v>
      </x:c>
      <x:c r="D218" s="69" t="n">
        <x:f>COUNTIF('All Questions'!$G$5:$G$1725,A218)</x:f>
        <x:v>1</x:v>
      </x:c>
      <x:c r="E218" s="31" t="str">
        <x:v>BlackRock</x:v>
      </x:c>
      <x:c r="F218" s="31" t="str">
        <x:v>PWM / AM</x:v>
      </x:c>
      <x:c r="G218" s="31" t="str">
        <x:v>CV question - tell me more about your work at ING Bank on the pitchbook (cantonese)</x:v>
      </x:c>
    </x:row>
    <x:row r="219" ht="34" customHeight="1">
      <x:c r="A219" s="30" t="str">
        <x:v>CL0215</x:v>
      </x:c>
      <x:c r="B219" s="31" t="str">
        <x:v>CV question - tell me project you did at Bain &amp; Company (not very deep)</x:v>
      </x:c>
      <x:c r="C219" s="31" t="str">
        <x:v>Resume &amp; Experience</x:v>
      </x:c>
      <x:c r="D219" s="69" t="n">
        <x:f>COUNTIF('All Questions'!$G$5:$G$1725,A219)</x:f>
        <x:v>1</x:v>
      </x:c>
      <x:c r="E219" s="31" t="str">
        <x:v>BlackRock</x:v>
      </x:c>
      <x:c r="F219" s="31" t="str">
        <x:v>PWM / AM</x:v>
      </x:c>
      <x:c r="G219" s="31" t="str">
        <x:v>CV question - tell me project you did at Bain &amp; Company (not very deep)</x:v>
      </x:c>
    </x:row>
    <x:row r="220" ht="34" customHeight="1">
      <x:c r="A220" s="30" t="str">
        <x:v>CL0216</x:v>
      </x:c>
      <x:c r="B220" s="31" t="str">
        <x:v>CV questions: all about your experience, detailed to modeling</x:v>
      </x:c>
      <x:c r="C220" s="31" t="str">
        <x:v>Resume &amp; Experience</x:v>
      </x:c>
      <x:c r="D220" s="69" t="n">
        <x:f>COUNTIF('All Questions'!$G$5:$G$1725,A220)</x:f>
        <x:v>1</x:v>
      </x:c>
      <x:c r="E220" s="31" t="str">
        <x:v>Citi</x:v>
      </x:c>
      <x:c r="F220" s="31" t="str">
        <x:v>IBD / GCM</x:v>
      </x:c>
      <x:c r="G220" s="31" t="str">
        <x:v>CV questions: all about your experience, detailed to modeling</x:v>
      </x:c>
    </x:row>
    <x:row r="221" ht="34" customHeight="1">
      <x:c r="A221" s="30" t="str">
        <x:v>CL0217</x:v>
      </x:c>
      <x:c r="B221" s="31" t="str">
        <x:v>Daiwa energy storage: walk me through industry, trends, company, highlight</x:v>
      </x:c>
      <x:c r="C221" s="31" t="str">
        <x:v>Company, Industry &amp; Deals</x:v>
      </x:c>
      <x:c r="D221" s="69" t="n">
        <x:f>COUNTIF('All Questions'!$G$5:$G$1725,A221)</x:f>
        <x:v>1</x:v>
      </x:c>
      <x:c r="E221" s="31" t="str">
        <x:v>Bofa IBD</x:v>
      </x:c>
      <x:c r="F221" s="31" t="str">
        <x:v>IBD / GCM</x:v>
      </x:c>
      <x:c r="G221" s="31" t="str">
        <x:v>Daiwa energy storage: walk me through industry, trends, company, highlight</x:v>
      </x:c>
    </x:row>
    <x:row r="222" ht="34" customHeight="1">
      <x:c r="A222" s="30" t="str">
        <x:v>CL0218</x:v>
      </x:c>
      <x:c r="B222" s="31" t="str">
        <x:v>Danny Lam, HR? COO</x:v>
      </x:c>
      <x:c r="C222" s="31" t="str">
        <x:v>Other Question</x:v>
      </x:c>
      <x:c r="D222" s="69" t="n">
        <x:f>COUNTIF('All Questions'!$G$5:$G$1725,A222)</x:f>
        <x:v>1</x:v>
      </x:c>
      <x:c r="E222" s="31" t="str">
        <x:v>MS GCM</x:v>
      </x:c>
      <x:c r="F222" s="31" t="str">
        <x:v>IBD / GCM</x:v>
      </x:c>
      <x:c r="G222" s="31" t="str">
        <x:v>Danny Lam, HR? COO?</x:v>
      </x:c>
    </x:row>
    <x:row r="223" ht="34" customHeight="1">
      <x:c r="A223" s="30" t="str">
        <x:v>CL0219</x:v>
      </x:c>
      <x:c r="B223" s="31" t="str">
        <x:v>DB有很多客戶是內地的國企，他們有自己不同的工作風格和文化，你覺得身為香港人，你會願意做嗎？還是你比較prefer跟more sophisticated的客戶交流</x:v>
      </x:c>
      <x:c r="C223" s="31" t="str">
        <x:v>Other Question</x:v>
      </x:c>
      <x:c r="D223" s="69" t="n">
        <x:f>COUNTIF('All Questions'!$G$5:$G$1725,A223)</x:f>
        <x:v>1</x:v>
      </x:c>
      <x:c r="E223" s="31" t="str">
        <x:v>Deutsche</x:v>
      </x:c>
      <x:c r="F223" s="31" t="str">
        <x:v>IBD / GCM</x:v>
      </x:c>
      <x:c r="G223" s="31" t="str">
        <x:v>DB有很多客戶是內地的國企，他們有自己不同的工作風格和文化，你覺得身為香港人，你會願意做嗎？還是你比較prefer跟more sophisticated的客戶交流?</x:v>
      </x:c>
    </x:row>
    <x:row r="224" ht="34" customHeight="1">
      <x:c r="A224" s="30" t="str">
        <x:v>CL0220</x:v>
      </x:c>
      <x:c r="B224" s="31" t="str">
        <x:v>DCF - PV proportion of the growth period and the TV</x:v>
      </x:c>
      <x:c r="C224" s="31" t="str">
        <x:v>Valuation</x:v>
      </x:c>
      <x:c r="D224" s="69" t="n">
        <x:f>COUNTIF('All Questions'!$G$5:$G$1725,A224)</x:f>
        <x:v>1</x:v>
      </x:c>
      <x:c r="E224" s="31" t="str">
        <x:v>BNP Paribas</x:v>
      </x:c>
      <x:c r="F224" s="31" t="str">
        <x:v>IBD / GCM</x:v>
      </x:c>
      <x:c r="G224" s="31" t="str">
        <x:v>DCF - PV proportion of the growth period and the TV</x:v>
      </x:c>
    </x:row>
    <x:row r="225" ht="34" customHeight="1">
      <x:c r="A225" s="30" t="str">
        <x:v>CL0221</x:v>
      </x:c>
      <x:c r="B225" s="31" t="str">
        <x:v>DCF - Time period of estimated</x:v>
      </x:c>
      <x:c r="C225" s="31" t="str">
        <x:v>Valuation</x:v>
      </x:c>
      <x:c r="D225" s="69" t="n">
        <x:f>COUNTIF('All Questions'!$G$5:$G$1725,A225)</x:f>
        <x:v>1</x:v>
      </x:c>
      <x:c r="E225" s="31" t="str">
        <x:v>BNP Paribas</x:v>
      </x:c>
      <x:c r="F225" s="31" t="str">
        <x:v>IBD / GCM</x:v>
      </x:c>
      <x:c r="G225" s="31" t="str">
        <x:v>DCF - Time period of estimated</x:v>
      </x:c>
    </x:row>
    <x:row r="226" ht="34" customHeight="1">
      <x:c r="A226" s="30" t="str">
        <x:v>CL0222</x:v>
      </x:c>
      <x:c r="B226" s="31" t="str">
        <x:v>DCF - when to use Gordon Growth Method and when to use Exit Multiple method for TV calculation</x:v>
      </x:c>
      <x:c r="C226" s="31" t="str">
        <x:v>Valuation</x:v>
      </x:c>
      <x:c r="D226" s="69" t="n">
        <x:f>COUNTIF('All Questions'!$G$5:$G$1725,A226)</x:f>
        <x:v>1</x:v>
      </x:c>
      <x:c r="E226" s="31" t="str">
        <x:v>Lazard</x:v>
      </x:c>
      <x:c r="F226" s="31" t="str">
        <x:v>IBD / GCM</x:v>
      </x:c>
      <x:c r="G226" s="31" t="str">
        <x:v>DCF - when to use Gordon Growth Method and when to use Exit Multiple method for TV calculation</x:v>
      </x:c>
    </x:row>
    <x:row r="227" ht="52" customHeight="1">
      <x:c r="A227" s="30" t="str">
        <x:v>CL0223</x:v>
      </x:c>
      <x:c r="B227" s="31" t="str">
        <x:v>DCF – what CF are you using (UFCF or LFCF)? What are the two ways to find the terminal value? What’s the discount rate used in DCF</x:v>
      </x:c>
      <x:c r="C227" s="31" t="str">
        <x:v>Valuation</x:v>
      </x:c>
      <x:c r="D227" s="69" t="n">
        <x:f>COUNTIF('All Questions'!$G$5:$G$1725,A227)</x:f>
        <x:v>1</x:v>
      </x:c>
      <x:c r="E227" s="31" t="str">
        <x:v>Jefferies</x:v>
      </x:c>
      <x:c r="F227" s="31" t="str">
        <x:v>IBD / GCM</x:v>
      </x:c>
      <x:c r="G227" s="31" t="str">
        <x:v>DCF – what CF are you using (UFCF or LFCF)? What are the two ways to find the terminal value? What’s the discount rate used in DCF?</x:v>
      </x:c>
    </x:row>
    <x:row r="228" ht="34" customHeight="1">
      <x:c r="A228" s="30" t="str">
        <x:v>CL0224</x:v>
      </x:c>
      <x:c r="B228" s="31" t="str">
        <x:v>DCF at Gusto Collective</x:v>
      </x:c>
      <x:c r="C228" s="31" t="str">
        <x:v>Valuation</x:v>
      </x:c>
      <x:c r="D228" s="69" t="n">
        <x:f>COUNTIF('All Questions'!$G$5:$G$1725,A228)</x:f>
        <x:v>1</x:v>
      </x:c>
      <x:c r="E228" s="31" t="str">
        <x:v>Moelis</x:v>
      </x:c>
      <x:c r="F228" s="31" t="str">
        <x:v>IBD / GCM</x:v>
      </x:c>
      <x:c r="G228" s="31" t="str">
        <x:v>DCF at Gusto Collective</x:v>
      </x:c>
    </x:row>
    <x:row r="229" ht="34" customHeight="1">
      <x:c r="A229" s="30" t="str">
        <x:v>CL0225</x:v>
      </x:c>
      <x:c r="B229" s="31" t="str">
        <x:v>DCF details (I mentioned about SOTP used in biotech)</x:v>
      </x:c>
      <x:c r="C229" s="31" t="str">
        <x:v>Valuation</x:v>
      </x:c>
      <x:c r="D229" s="69" t="n">
        <x:f>COUNTIF('All Questions'!$G$5:$G$1725,A229)</x:f>
        <x:v>1</x:v>
      </x:c>
      <x:c r="E229" s="31" t="str">
        <x:v>BNP Paribas</x:v>
      </x:c>
      <x:c r="F229" s="31" t="str">
        <x:v>IBD / GCM</x:v>
      </x:c>
      <x:c r="G229" s="31" t="str">
        <x:v>DCF details (I mentioned about SOTP used in biotech)</x:v>
      </x:c>
    </x:row>
    <x:row r="230" ht="34" customHeight="1">
      <x:c r="A230" s="30" t="str">
        <x:v>CL0226</x:v>
      </x:c>
      <x:c r="B230" s="31" t="str">
        <x:v>DCF model walk through, WACC</x:v>
      </x:c>
      <x:c r="C230" s="31" t="str">
        <x:v>Valuation</x:v>
      </x:c>
      <x:c r="D230" s="69" t="n">
        <x:f>COUNTIF('All Questions'!$G$5:$G$1725,A230)</x:f>
        <x:v>1</x:v>
      </x:c>
      <x:c r="E230" s="31" t="str">
        <x:v>Nomura</x:v>
      </x:c>
      <x:c r="F230" s="31" t="str">
        <x:v>IBD / GCM</x:v>
      </x:c>
      <x:c r="G230" s="31" t="str">
        <x:v>DCF model walk through, WACC?</x:v>
      </x:c>
    </x:row>
    <x:row r="231" ht="34" customHeight="1">
      <x:c r="A231" s="30" t="str">
        <x:v>CL0227</x:v>
      </x:c>
      <x:c r="B231" s="31" t="str">
        <x:v>DCF revenue stream breakdown</x:v>
      </x:c>
      <x:c r="C231" s="31" t="str">
        <x:v>Valuation</x:v>
      </x:c>
      <x:c r="D231" s="69" t="n">
        <x:f>COUNTIF('All Questions'!$G$5:$G$1725,A231)</x:f>
        <x:v>1</x:v>
      </x:c>
      <x:c r="E231" s="31" t="str">
        <x:v>Lazard</x:v>
      </x:c>
      <x:c r="F231" s="31" t="str">
        <x:v>IBD / GCM</x:v>
      </x:c>
      <x:c r="G231" s="31" t="str">
        <x:v>DCF revenue stream breakdown?</x:v>
      </x:c>
    </x:row>
    <x:row r="232" ht="34" customHeight="1">
      <x:c r="A232" s="30" t="str">
        <x:v>CL0228</x:v>
      </x:c>
      <x:c r="B232" s="31" t="str">
        <x:v>Deep dive DCF</x:v>
      </x:c>
      <x:c r="C232" s="31" t="str">
        <x:v>Valuation</x:v>
      </x:c>
      <x:c r="D232" s="69" t="n">
        <x:f>COUNTIF('All Questions'!$G$5:$G$1725,A232)</x:f>
        <x:v>1</x:v>
      </x:c>
      <x:c r="E232" s="31" t="str">
        <x:v>BNP Paribas</x:v>
      </x:c>
      <x:c r="F232" s="31" t="str">
        <x:v>IBD / GCM</x:v>
      </x:c>
      <x:c r="G232" s="31" t="str">
        <x:v>Deep dive DCF</x:v>
      </x:c>
    </x:row>
    <x:row r="233" ht="34" customHeight="1">
      <x:c r="A233" s="30" t="str">
        <x:v>CL0229</x:v>
      </x:c>
      <x:c r="B233" s="31" t="str">
        <x:v>Deep dive into each - DCF, comps, precedent transactions</x:v>
      </x:c>
      <x:c r="C233" s="31" t="str">
        <x:v>Valuation</x:v>
      </x:c>
      <x:c r="D233" s="69" t="n">
        <x:f>COUNTIF('All Questions'!$G$5:$G$1725,A233)</x:f>
        <x:v>1</x:v>
      </x:c>
      <x:c r="E233" s="31" t="str">
        <x:v>BNP Paribas</x:v>
      </x:c>
      <x:c r="F233" s="31" t="str">
        <x:v>IBD / GCM</x:v>
      </x:c>
      <x:c r="G233" s="31" t="str">
        <x:v>Deep dive into each - DCF, comps, precedent transactions</x:v>
      </x:c>
    </x:row>
    <x:row r="234" ht="34" customHeight="1">
      <x:c r="A234" s="30" t="str">
        <x:v>CL0230</x:v>
      </x:c>
      <x:c r="B234" s="31" t="str">
        <x:v>Describe a successful business organization</x:v>
      </x:c>
      <x:c r="C234" s="31" t="str">
        <x:v>Other Question</x:v>
      </x:c>
      <x:c r="D234" s="69" t="n">
        <x:f>COUNTIF('All Questions'!$G$5:$G$1725,A234)</x:f>
        <x:v>1</x:v>
      </x:c>
      <x:c r="E234" s="31" t="str">
        <x:v>GS PWM</x:v>
      </x:c>
      <x:c r="F234" s="31" t="str">
        <x:v>PWM / AM</x:v>
      </x:c>
      <x:c r="G234" s="31" t="str">
        <x:v>Describe a successful business organization</x:v>
      </x:c>
    </x:row>
    <x:row r="235" ht="52" customHeight="1">
      <x:c r="A235" s="30" t="str">
        <x:v>CL0231</x:v>
      </x:c>
      <x:c r="B235" s="31" t="str">
        <x:v>Describe a time when you are working in a team and have conflicts with others. How do you handle that</x:v>
      </x:c>
      <x:c r="C235" s="31" t="str">
        <x:v>Behavioral &amp; Situational</x:v>
      </x:c>
      <x:c r="D235" s="69" t="n">
        <x:f>COUNTIF('All Questions'!$G$5:$G$1725,A235)</x:f>
        <x:v>1</x:v>
      </x:c>
      <x:c r="E235" s="31" t="str">
        <x:v>JPM AM</x:v>
      </x:c>
      <x:c r="F235" s="31" t="str">
        <x:v>PWM / AM</x:v>
      </x:c>
      <x:c r="G235" s="31" t="str">
        <x:v>Describe a time when you are working in a team and have conflicts with others. How do you handle that?</x:v>
      </x:c>
    </x:row>
    <x:row r="236" ht="34" customHeight="1">
      <x:c r="A236" s="30" t="str">
        <x:v>CL0232</x:v>
      </x:c>
      <x:c r="B236" s="31" t="str">
        <x:v>Describe responsibilities of the FIG deal, investment highlights, valuation multiples</x:v>
      </x:c>
      <x:c r="C236" s="31" t="str">
        <x:v>Resume &amp; Experience</x:v>
      </x:c>
      <x:c r="D236" s="69" t="n">
        <x:f>COUNTIF('All Questions'!$G$5:$G$1725,A236)</x:f>
        <x:v>1</x:v>
      </x:c>
      <x:c r="E236" s="31" t="str">
        <x:v>Warburg Pincus</x:v>
      </x:c>
      <x:c r="F236" s="31" t="str">
        <x:v>PE / VC / Other</x:v>
      </x:c>
      <x:c r="G236" s="31" t="str">
        <x:v>Describe responsibilities of the FIG deal, investment highlights, valuation multiples</x:v>
      </x:c>
    </x:row>
    <x:row r="237" ht="34" customHeight="1">
      <x:c r="A237" s="30" t="str">
        <x:v>CL0233</x:v>
      </x:c>
      <x:c r="B237" s="31" t="str">
        <x:v>Detailed questions on lastest internship (start with "tell us what did you do...")</x:v>
      </x:c>
      <x:c r="C237" s="31" t="str">
        <x:v>Resume &amp; Experience</x:v>
      </x:c>
      <x:c r="D237" s="69" t="n">
        <x:f>COUNTIF('All Questions'!$G$5:$G$1725,A237)</x:f>
        <x:v>1</x:v>
      </x:c>
      <x:c r="E237" s="31" t="str">
        <x:v>BNP Paribas</x:v>
      </x:c>
      <x:c r="F237" s="31" t="str">
        <x:v>IBD / GCM</x:v>
      </x:c>
      <x:c r="G237" s="31" t="str">
        <x:v>Detailed questions on lastest internship (start with "tell us what did you do...")</x:v>
      </x:c>
    </x:row>
    <x:row r="238" ht="34" customHeight="1">
      <x:c r="A238" s="30" t="str">
        <x:v>CL0234</x:v>
      </x:c>
      <x:c r="B238" s="31" t="str">
        <x:v>Dick Lee, MD and APAC Head of Corporate Equity Derivatives</x:v>
      </x:c>
      <x:c r="C238" s="31" t="str">
        <x:v>Sales &amp; Trading</x:v>
      </x:c>
      <x:c r="D238" s="69" t="n">
        <x:f>COUNTIF('All Questions'!$G$5:$G$1725,A238)</x:f>
        <x:v>1</x:v>
      </x:c>
      <x:c r="E238" s="31" t="str">
        <x:v>MS GCM</x:v>
      </x:c>
      <x:c r="F238" s="31" t="str">
        <x:v>IBD / GCM</x:v>
      </x:c>
      <x:c r="G238" s="31" t="str">
        <x:v>Dick Lee, MD and APAC Head of Corporate Equity Derivatives</x:v>
      </x:c>
    </x:row>
    <x:row r="239" ht="34" customHeight="1">
      <x:c r="A239" s="30" t="str">
        <x:v>CL0235</x:v>
      </x:c>
      <x:c r="B239" s="31" t="str">
        <x:v>Did anyone else involved in this task? What did they do</x:v>
      </x:c>
      <x:c r="C239" s="31" t="str">
        <x:v>Consulting &amp; Case</x:v>
      </x:c>
      <x:c r="D239" s="69" t="n">
        <x:f>COUNTIF('All Questions'!$G$5:$G$1725,A239)</x:f>
        <x:v>1</x:v>
      </x:c>
      <x:c r="E239" s="31" t="str">
        <x:v>Mckinsey</x:v>
      </x:c>
      <x:c r="F239" s="31" t="str">
        <x:v>Consulting</x:v>
      </x:c>
      <x:c r="G239" s="31" t="str">
        <x:v>Did anyone else involved in this task? What did they do</x:v>
      </x:c>
    </x:row>
    <x:row r="240" ht="34" customHeight="1">
      <x:c r="A240" s="30" t="str">
        <x:v>CL0236</x:v>
      </x:c>
      <x:c r="B240" s="31" t="str">
        <x:v>Did I choose ECM as my first preference</x:v>
      </x:c>
      <x:c r="C240" s="31" t="str">
        <x:v>Capital Markets &amp; Financing</x:v>
      </x:c>
      <x:c r="D240" s="69" t="n">
        <x:f>COUNTIF('All Questions'!$G$5:$G$1725,A240)</x:f>
        <x:v>1</x:v>
      </x:c>
      <x:c r="E240" s="31" t="str">
        <x:v>GS DCMECM</x:v>
      </x:c>
      <x:c r="F240" s="31" t="str">
        <x:v>IBD / GCM</x:v>
      </x:c>
      <x:c r="G240" s="31" t="str">
        <x:v>Did I choose ECM as my first preference</x:v>
      </x:c>
    </x:row>
    <x:row r="241" ht="34" customHeight="1">
      <x:c r="A241" s="30" t="str">
        <x:v>CL0237</x:v>
      </x:c>
      <x:c r="B241" s="31" t="str">
        <x:v>Did you build a model for it</x:v>
      </x:c>
      <x:c r="C241" s="31" t="str">
        <x:v>Other Technical</x:v>
      </x:c>
      <x:c r="D241" s="69" t="n">
        <x:f>COUNTIF('All Questions'!$G$5:$G$1725,A241)</x:f>
        <x:v>1</x:v>
      </x:c>
      <x:c r="E241" s="31" t="str">
        <x:v>Deutsche</x:v>
      </x:c>
      <x:c r="F241" s="31" t="str">
        <x:v>IBD / GCM</x:v>
      </x:c>
      <x:c r="G241" s="31" t="str">
        <x:v>Did you build a model for it</x:v>
      </x:c>
    </x:row>
    <x:row r="242" ht="34" customHeight="1">
      <x:c r="A242" s="30" t="str">
        <x:v>CL0238</x:v>
      </x:c>
      <x:c r="B242" s="31" t="str">
        <x:v>Did you do any financial modelling before</x:v>
      </x:c>
      <x:c r="C242" s="31" t="str">
        <x:v>Other Technical</x:v>
      </x:c>
      <x:c r="D242" s="69" t="n">
        <x:f>COUNTIF('All Questions'!$G$5:$G$1725,A242)</x:f>
        <x:v>1</x:v>
      </x:c>
      <x:c r="E242" s="31" t="str">
        <x:v>MS IBD</x:v>
      </x:c>
      <x:c r="F242" s="31" t="str">
        <x:v>IBD / GCM</x:v>
      </x:c>
      <x:c r="G242" s="31" t="str">
        <x:v>Did you do any financial modelling before</x:v>
      </x:c>
    </x:row>
    <x:row r="243" ht="34" customHeight="1">
      <x:c r="A243" s="30" t="str">
        <x:v>CL0239</x:v>
      </x:c>
      <x:c r="B243" s="31" t="str">
        <x:v>Did you do any valuation work</x:v>
      </x:c>
      <x:c r="C243" s="31" t="str">
        <x:v>Valuation</x:v>
      </x:c>
      <x:c r="D243" s="69" t="n">
        <x:f>COUNTIF('All Questions'!$G$5:$G$1725,A243)</x:f>
        <x:v>1</x:v>
      </x:c>
      <x:c r="E243" s="31" t="str">
        <x:v>Bofa IBD</x:v>
      </x:c>
      <x:c r="F243" s="31" t="str">
        <x:v>IBD / GCM</x:v>
      </x:c>
      <x:c r="G243" s="31" t="str">
        <x:v>Did you do any valuation work?</x:v>
      </x:c>
    </x:row>
    <x:row r="244" ht="34" customHeight="1">
      <x:c r="A244" s="30" t="str">
        <x:v>CL0240</x:v>
      </x:c>
      <x:c r="B244" s="31" t="str">
        <x:v>Did you do credit anlysis</x:v>
      </x:c>
      <x:c r="C244" s="31" t="str">
        <x:v>Other Question</x:v>
      </x:c>
      <x:c r="D244" s="69" t="n">
        <x:f>COUNTIF('All Questions'!$G$5:$G$1725,A244)</x:f>
        <x:v>1</x:v>
      </x:c>
      <x:c r="E244" s="31" t="str">
        <x:v>MS IBD</x:v>
      </x:c>
      <x:c r="F244" s="31" t="str">
        <x:v>IBD / GCM</x:v>
      </x:c>
      <x:c r="G244" s="31" t="str">
        <x:v>Did you do credit anlysis?</x:v>
      </x:c>
    </x:row>
    <x:row r="245" ht="34" customHeight="1">
      <x:c r="A245" s="30" t="str">
        <x:v>CL0241</x:v>
      </x:c>
      <x:c r="B245" s="31" t="str">
        <x:v>Did you do DCF before</x:v>
      </x:c>
      <x:c r="C245" s="31" t="str">
        <x:v>Valuation</x:v>
      </x:c>
      <x:c r="D245" s="69" t="n">
        <x:f>COUNTIF('All Questions'!$G$5:$G$1725,A245)</x:f>
        <x:v>1</x:v>
      </x:c>
      <x:c r="E245" s="31" t="str">
        <x:v>MS IBD</x:v>
      </x:c>
      <x:c r="F245" s="31" t="str">
        <x:v>IBD / GCM</x:v>
      </x:c>
      <x:c r="G245" s="31" t="str">
        <x:v>Did you do DCF before</x:v>
      </x:c>
    </x:row>
    <x:row r="246" ht="52" customHeight="1">
      <x:c r="A246" s="30" t="str">
        <x:v>CL0242</x:v>
      </x:c>
      <x:c r="B246" s="31" t="str">
        <x:v>Did you follow the news yesterday – US election? Do you know how the market movement went after that</x:v>
      </x:c>
      <x:c r="C246" s="31" t="str">
        <x:v>Other Question</x:v>
      </x:c>
      <x:c r="D246" s="69" t="n">
        <x:f>COUNTIF('All Questions'!$G$5:$G$1725,A246)</x:f>
        <x:v>1</x:v>
      </x:c>
      <x:c r="E246" s="31" t="str">
        <x:v>Jefferies</x:v>
      </x:c>
      <x:c r="F246" s="31" t="str">
        <x:v>IBD / GCM</x:v>
      </x:c>
      <x:c r="G246" s="31" t="str">
        <x:v>Did you follow the news yesterday – US election? Do you know how the market movement went after that?</x:v>
      </x:c>
    </x:row>
    <x:row r="247" ht="34" customHeight="1">
      <x:c r="A247" s="30" t="str">
        <x:v>CL0243</x:v>
      </x:c>
      <x:c r="B247" s="31" t="str">
        <x:v>Did you get any feedback from Lazard? Why didn't you get in</x:v>
      </x:c>
      <x:c r="C247" s="31" t="str">
        <x:v>Fit &amp; Motivation</x:v>
      </x:c>
      <x:c r="D247" s="69" t="n">
        <x:f>COUNTIF('All Questions'!$G$5:$G$1725,A247)</x:f>
        <x:v>1</x:v>
      </x:c>
      <x:c r="E247" s="31" t="str">
        <x:v>Grant Samuel</x:v>
      </x:c>
      <x:c r="F247" s="31" t="str">
        <x:v>IBD / GCM</x:v>
      </x:c>
      <x:c r="G247" s="31" t="str">
        <x:v>Did you get any feedback from Lazard? Why didn't you get in?</x:v>
      </x:c>
    </x:row>
    <x:row r="248" ht="34" customHeight="1">
      <x:c r="A248" s="30" t="str">
        <x:v>CL0244</x:v>
      </x:c>
      <x:c r="B248" s="31" t="str">
        <x:v>Did you get return and why not</x:v>
      </x:c>
      <x:c r="C248" s="31" t="str">
        <x:v>Fit &amp; Motivation</x:v>
      </x:c>
      <x:c r="D248" s="69" t="n">
        <x:f>COUNTIF('All Questions'!$G$5:$G$1725,A248)</x:f>
        <x:v>1</x:v>
      </x:c>
      <x:c r="E248" s="31" t="str">
        <x:v>Barclays</x:v>
      </x:c>
      <x:c r="F248" s="31" t="str">
        <x:v>IBD / GCM</x:v>
      </x:c>
      <x:c r="G248" s="31" t="str">
        <x:v>Did you get return and why not</x:v>
      </x:c>
    </x:row>
    <x:row r="249" ht="34" customHeight="1">
      <x:c r="A249" s="30" t="str">
        <x:v>CL0245</x:v>
      </x:c>
      <x:c r="B249" s="31" t="str">
        <x:v>Did you get return from Nomura? What's the return rate</x:v>
      </x:c>
      <x:c r="C249" s="31" t="str">
        <x:v>Other Question</x:v>
      </x:c>
      <x:c r="D249" s="69" t="n">
        <x:f>COUNTIF('All Questions'!$G$5:$G$1725,A249)</x:f>
        <x:v>1</x:v>
      </x:c>
      <x:c r="E249" s="31" t="str">
        <x:v>MS IBD</x:v>
      </x:c>
      <x:c r="F249" s="31" t="str">
        <x:v>IBD / GCM</x:v>
      </x:c>
      <x:c r="G249" s="31" t="str">
        <x:v>Did you get return from Nomura? What's the return rate?</x:v>
      </x:c>
    </x:row>
    <x:row r="250" ht="34" customHeight="1">
      <x:c r="A250" s="30" t="str">
        <x:v>CL0246</x:v>
      </x:c>
      <x:c r="B250" s="31" t="str">
        <x:v>Did you have return? What's the return rate? (but she was nice about it)</x:v>
      </x:c>
      <x:c r="C250" s="31" t="str">
        <x:v>Other Question</x:v>
      </x:c>
      <x:c r="D250" s="69" t="n">
        <x:f>COUNTIF('All Questions'!$G$5:$G$1725,A250)</x:f>
        <x:v>1</x:v>
      </x:c>
      <x:c r="E250" s="31" t="str">
        <x:v>MS IBD</x:v>
      </x:c>
      <x:c r="F250" s="31" t="str">
        <x:v>IBD / GCM</x:v>
      </x:c>
      <x:c r="G250" s="31" t="str">
        <x:v>Did you have return? What's the return rate? (but she was nice about it)</x:v>
      </x:c>
    </x:row>
    <x:row r="251" ht="34" customHeight="1">
      <x:c r="A251" s="30" t="str">
        <x:v>CL0247</x:v>
      </x:c>
      <x:c r="B251" s="31" t="str">
        <x:v>Did you interact with clients at KPMG (in chinese)</x:v>
      </x:c>
      <x:c r="C251" s="31" t="str">
        <x:v>Other Question</x:v>
      </x:c>
      <x:c r="D251" s="69" t="n">
        <x:f>COUNTIF('All Questions'!$G$5:$G$1725,A251)</x:f>
        <x:v>1</x:v>
      </x:c>
      <x:c r="E251" s="31" t="str">
        <x:v>Barclays</x:v>
      </x:c>
      <x:c r="F251" s="31" t="str">
        <x:v>IBD / GCM</x:v>
      </x:c>
      <x:c r="G251" s="31" t="str">
        <x:v>did you interact with clients at KPMG (in chinese)</x:v>
      </x:c>
    </x:row>
    <x:row r="252" ht="34" customHeight="1">
      <x:c r="A252" s="30" t="str">
        <x:v>CL0248</x:v>
      </x:c>
      <x:c r="B252" s="31" t="str">
        <x:v>Did you network in UBS? How</x:v>
      </x:c>
      <x:c r="C252" s="31" t="str">
        <x:v>Other Question</x:v>
      </x:c>
      <x:c r="D252" s="69" t="n">
        <x:f>COUNTIF('All Questions'!$G$5:$G$1725,A252)</x:f>
        <x:v>1</x:v>
      </x:c>
      <x:c r="E252" s="31" t="str">
        <x:v>Warburg Pincus</x:v>
      </x:c>
      <x:c r="F252" s="31" t="str">
        <x:v>PE / VC / Other</x:v>
      </x:c>
      <x:c r="G252" s="31" t="str">
        <x:v>Did you network in UBS? How?</x:v>
      </x:c>
    </x:row>
    <x:row r="253" ht="34" customHeight="1">
      <x:c r="A253" s="30" t="str">
        <x:v>CL0249</x:v>
      </x:c>
      <x:c r="B253" s="31" t="str">
        <x:v>Did you participate in the financing work</x:v>
      </x:c>
      <x:c r="C253" s="31" t="str">
        <x:v>Capital Markets &amp; Financing</x:v>
      </x:c>
      <x:c r="D253" s="69" t="n">
        <x:f>COUNTIF('All Questions'!$G$5:$G$1725,A253)</x:f>
        <x:v>1</x:v>
      </x:c>
      <x:c r="E253" s="31" t="str">
        <x:v>Nomura</x:v>
      </x:c>
      <x:c r="F253" s="31" t="str">
        <x:v>IBD / GCM</x:v>
      </x:c>
      <x:c r="G253" s="31" t="str">
        <x:v>Did you participate in the financing work</x:v>
      </x:c>
    </x:row>
    <x:row r="254" ht="34" customHeight="1">
      <x:c r="A254" s="30" t="str">
        <x:v>CL0250</x:v>
      </x:c>
      <x:c r="B254" s="31" t="str">
        <x:v>Did you take into account of A/H share premium</x:v>
      </x:c>
      <x:c r="C254" s="31" t="str">
        <x:v>Other Question</x:v>
      </x:c>
      <x:c r="D254" s="69" t="n">
        <x:f>COUNTIF('All Questions'!$G$5:$G$1725,A254)</x:f>
        <x:v>1</x:v>
      </x:c>
      <x:c r="E254" s="31" t="str">
        <x:v>Deutsche</x:v>
      </x:c>
      <x:c r="F254" s="31" t="str">
        <x:v>IBD / GCM</x:v>
      </x:c>
      <x:c r="G254" s="31" t="str">
        <x:v>Did you take into account of A/H share premium</x:v>
      </x:c>
    </x:row>
    <x:row r="255" ht="34" customHeight="1">
      <x:c r="A255" s="30" t="str">
        <x:v>CL0251</x:v>
      </x:c>
      <x:c r="B255" s="31" t="str">
        <x:v>Did you use LTM multiple or NTM mulitiple, why</x:v>
      </x:c>
      <x:c r="C255" s="31" t="str">
        <x:v>Valuation</x:v>
      </x:c>
      <x:c r="D255" s="69" t="n">
        <x:f>COUNTIF('All Questions'!$G$5:$G$1725,A255)</x:f>
        <x:v>1</x:v>
      </x:c>
      <x:c r="E255" s="31" t="str">
        <x:v>Barclays</x:v>
      </x:c>
      <x:c r="F255" s="31" t="str">
        <x:v>IBD / GCM</x:v>
      </x:c>
      <x:c r="G255" s="31" t="str">
        <x:v>Did you use LTM multiple or NTM mulitiple, why?</x:v>
      </x:c>
    </x:row>
    <x:row r="256" ht="34" customHeight="1">
      <x:c r="A256" s="30" t="str">
        <x:v>CL0252</x:v>
      </x:c>
      <x:c r="B256" s="31" t="str">
        <x:v>Difference between different valuation multiples - P/E, EV/EBITDA, EV/EBIT</x:v>
      </x:c>
      <x:c r="C256" s="31" t="str">
        <x:v>Valuation</x:v>
      </x:c>
      <x:c r="D256" s="69" t="n">
        <x:f>COUNTIF('All Questions'!$G$5:$G$1725,A256)</x:f>
        <x:v>1</x:v>
      </x:c>
      <x:c r="E256" s="31" t="str">
        <x:v>Deutsche</x:v>
      </x:c>
      <x:c r="F256" s="31" t="str">
        <x:v>IBD / GCM</x:v>
      </x:c>
      <x:c r="G256" s="31" t="str">
        <x:v>Difference between different valuation multiples - P/E, EV/EBITDA, EV/EBIT</x:v>
      </x:c>
    </x:row>
    <x:row r="257" ht="34" customHeight="1">
      <x:c r="A257" s="30" t="str">
        <x:v>CL0253</x:v>
      </x:c>
      <x:c r="B257" s="31" t="str">
        <x:v>Difference between EV/ebitda, EV/revenue</x:v>
      </x:c>
      <x:c r="C257" s="31" t="str">
        <x:v>Company, Industry &amp; Deals</x:v>
      </x:c>
      <x:c r="D257" s="69" t="n">
        <x:f>COUNTIF('All Questions'!$G$5:$G$1725,A257)</x:f>
        <x:v>1</x:v>
      </x:c>
      <x:c r="E257" s="31" t="str">
        <x:v>BNP Paribas</x:v>
      </x:c>
      <x:c r="F257" s="31" t="str">
        <x:v>IBD / GCM</x:v>
      </x:c>
      <x:c r="G257" s="31" t="str">
        <x:v>Difference between EV/ebitda, EV/revenue</x:v>
      </x:c>
    </x:row>
    <x:row r="258" ht="34" customHeight="1">
      <x:c r="A258" s="30" t="str">
        <x:v>CL0254</x:v>
      </x:c>
      <x:c r="B258" s="31" t="str">
        <x:v>Difference between liquidity and solvency</x:v>
      </x:c>
      <x:c r="C258" s="31" t="str">
        <x:v>Other Question</x:v>
      </x:c>
      <x:c r="D258" s="69" t="n">
        <x:f>COUNTIF('All Questions'!$G$5:$G$1725,A258)</x:f>
        <x:v>1</x:v>
      </x:c>
      <x:c r="E258" s="31" t="str">
        <x:v>Citi</x:v>
      </x:c>
      <x:c r="F258" s="31" t="str">
        <x:v>IBD / GCM</x:v>
      </x:c>
      <x:c r="G258" s="31" t="str">
        <x:v>Difference between liquidity and solvency?</x:v>
      </x:c>
    </x:row>
    <x:row r="259" ht="34" customHeight="1">
      <x:c r="A259" s="30" t="str">
        <x:v>CL0255</x:v>
      </x:c>
      <x:c r="B259" s="31" t="str">
        <x:v>Difference between PE, EV/EBITDA, EV/EBIT</x:v>
      </x:c>
      <x:c r="C259" s="31" t="str">
        <x:v>Other Question</x:v>
      </x:c>
      <x:c r="D259" s="69" t="n">
        <x:f>COUNTIF('All Questions'!$G$5:$G$1725,A259)</x:f>
        <x:v>1</x:v>
      </x:c>
      <x:c r="E259" s="31" t="str">
        <x:v>Nomura</x:v>
      </x:c>
      <x:c r="F259" s="31" t="str">
        <x:v>IBD / GCM</x:v>
      </x:c>
      <x:c r="G259" s="31" t="str">
        <x:v>Difference between PE, EV/EBITDA, EV/EBIT</x:v>
      </x:c>
    </x:row>
    <x:row r="260" ht="34" customHeight="1">
      <x:c r="A260" s="30" t="str">
        <x:v>CL0256</x:v>
      </x:c>
      <x:c r="B260" s="31" t="str">
        <x:v>Different ways of privatisation</x:v>
      </x:c>
      <x:c r="C260" s="31" t="str">
        <x:v>Other Question</x:v>
      </x:c>
      <x:c r="D260" s="69" t="n">
        <x:f>COUNTIF('All Questions'!$G$5:$G$1725,A260)</x:f>
        <x:v>1</x:v>
      </x:c>
      <x:c r="E260" s="31" t="str">
        <x:v>BNP Paribas</x:v>
      </x:c>
      <x:c r="F260" s="31" t="str">
        <x:v>IBD / GCM</x:v>
      </x:c>
      <x:c r="G260" s="31" t="str">
        <x:v>Different ways of privatisation?</x:v>
      </x:c>
    </x:row>
    <x:row r="261" ht="34" customHeight="1">
      <x:c r="A261" s="30" t="str">
        <x:v>CL0257</x:v>
      </x:c>
      <x:c r="B261" s="31" t="str">
        <x:v>Discuss about how to optimize efficiency in an organization</x:v>
      </x:c>
      <x:c r="C261" s="31" t="str">
        <x:v>Other Question</x:v>
      </x:c>
      <x:c r="D261" s="69" t="n">
        <x:f>COUNTIF('All Questions'!$G$5:$G$1725,A261)</x:f>
        <x:v>1</x:v>
      </x:c>
      <x:c r="E261" s="31" t="str">
        <x:v>HSBC (GM)</x:v>
      </x:c>
      <x:c r="F261" s="31" t="str">
        <x:v>Sales &amp; Trading</x:v>
      </x:c>
      <x:c r="G261" s="31" t="str">
        <x:v>discuss about how to optimize efficiency in an organization</x:v>
      </x:c>
    </x:row>
    <x:row r="262" ht="52" customHeight="1">
      <x:c r="A262" s="30" t="str">
        <x:v>CL0258</x:v>
      </x:c>
      <x:c r="B262" s="31" t="str">
        <x:v>Discuss how the US tariffs announcements and the overall erratic policy will impact its role in the global economy and monetary system in the medium or long term</x:v>
      </x:c>
      <x:c r="C262" s="31" t="str">
        <x:v>Markets &amp; Macro</x:v>
      </x:c>
      <x:c r="D262" s="69" t="n">
        <x:f>COUNTIF('All Questions'!$G$5:$G$1725,A262)</x:f>
        <x:v>1</x:v>
      </x:c>
      <x:c r="E262" s="31" t="str">
        <x:v>UBS IBD</x:v>
      </x:c>
      <x:c r="F262" s="31" t="str">
        <x:v>IBD / GCM</x:v>
      </x:c>
      <x:c r="G262" s="31" t="str">
        <x:v>Discuss how the US tariffs announcements and the overall erratic policy will impact its role in the global economy and monetary system in the medium or long term.</x:v>
      </x:c>
    </x:row>
    <x:row r="263" ht="34" customHeight="1">
      <x:c r="A263" s="30" t="str">
        <x:v>CL0259</x:v>
      </x:c>
      <x:c r="B263" s="31" t="str">
        <x:v>Discuss tariff effect on Chinese EV makers blabla</x:v>
      </x:c>
      <x:c r="C263" s="31" t="str">
        <x:v>Markets &amp; Macro</x:v>
      </x:c>
      <x:c r="D263" s="69" t="n">
        <x:f>COUNTIF('All Questions'!$G$5:$G$1725,A263)</x:f>
        <x:v>1</x:v>
      </x:c>
      <x:c r="E263" s="31" t="str">
        <x:v>Nomura</x:v>
      </x:c>
      <x:c r="F263" s="31" t="str">
        <x:v>IBD / GCM</x:v>
      </x:c>
      <x:c r="G263" s="31" t="str">
        <x:v>Discuss tariff effect on Chinese EV makers blabla</x:v>
      </x:c>
    </x:row>
    <x:row r="264" ht="34" customHeight="1">
      <x:c r="A264" s="30" t="str">
        <x:v>CL0260</x:v>
      </x:c>
      <x:c r="B264" s="31" t="str">
        <x:v>Discuss Trump's presidency's effect on Chinese EV makers blabla</x:v>
      </x:c>
      <x:c r="C264" s="31" t="str">
        <x:v>Other Question</x:v>
      </x:c>
      <x:c r="D264" s="69" t="n">
        <x:f>COUNTIF('All Questions'!$G$5:$G$1725,A264)</x:f>
        <x:v>1</x:v>
      </x:c>
      <x:c r="E264" s="31" t="str">
        <x:v>Nomura</x:v>
      </x:c>
      <x:c r="F264" s="31" t="str">
        <x:v>IBD / GCM</x:v>
      </x:c>
      <x:c r="G264" s="31" t="str">
        <x:v>Discuss Trump's presidency's effect on Chinese EV makers blabla</x:v>
      </x:c>
    </x:row>
    <x:row r="265" ht="34" customHeight="1">
      <x:c r="A265" s="30" t="str">
        <x:v>CL0261</x:v>
      </x:c>
      <x:c r="B265" s="31" t="str">
        <x:v>Discuss what's going on in China's stock market</x:v>
      </x:c>
      <x:c r="C265" s="31" t="str">
        <x:v>Markets &amp; Macro</x:v>
      </x:c>
      <x:c r="D265" s="69" t="n">
        <x:f>COUNTIF('All Questions'!$G$5:$G$1725,A265)</x:f>
        <x:v>1</x:v>
      </x:c>
      <x:c r="E265" s="31" t="str">
        <x:v>MS IED</x:v>
      </x:c>
      <x:c r="F265" s="31" t="str">
        <x:v>Sales &amp; Trading</x:v>
      </x:c>
      <x:c r="G265" s="31" t="str">
        <x:v>Discuss what's going on in China's stock market</x:v>
      </x:c>
    </x:row>
    <x:row r="266" ht="34" customHeight="1">
      <x:c r="A266" s="30" t="str">
        <x:v>CL0262</x:v>
      </x:c>
      <x:c r="B266" s="31" t="str">
        <x:v>Do u forsee any geopolitical concerns</x:v>
      </x:c>
      <x:c r="C266" s="31" t="str">
        <x:v>Markets &amp; Macro</x:v>
      </x:c>
      <x:c r="D266" s="69" t="n">
        <x:f>COUNTIF('All Questions'!$G$5:$G$1725,A266)</x:f>
        <x:v>1</x:v>
      </x:c>
      <x:c r="E266" s="31" t="str">
        <x:v>MS IED</x:v>
      </x:c>
      <x:c r="F266" s="31" t="str">
        <x:v>Sales &amp; Trading</x:v>
      </x:c>
      <x:c r="G266" s="31" t="str">
        <x:v>do u forsee any geopolitical concerns</x:v>
      </x:c>
    </x:row>
    <x:row r="267" ht="34" customHeight="1">
      <x:c r="A267" s="30" t="str">
        <x:v>CL0263</x:v>
      </x:c>
      <x:c r="B267" s="31" t="str">
        <x:v>Do u invest? what do u invest in and why</x:v>
      </x:c>
      <x:c r="C267" s="31" t="str">
        <x:v>Other Question</x:v>
      </x:c>
      <x:c r="D267" s="69" t="n">
        <x:f>COUNTIF('All Questions'!$G$5:$G$1725,A267)</x:f>
        <x:v>1</x:v>
      </x:c>
      <x:c r="E267" s="31" t="str">
        <x:v>BlackRock</x:v>
      </x:c>
      <x:c r="F267" s="31" t="str">
        <x:v>PWM / AM</x:v>
      </x:c>
      <x:c r="G267" s="31" t="str">
        <x:v>do u invest? what do u invest in and why</x:v>
      </x:c>
    </x:row>
    <x:row r="268" ht="34" customHeight="1">
      <x:c r="A268" s="30" t="str">
        <x:v>CL0264</x:v>
      </x:c>
      <x:c r="B268" s="31" t="str">
        <x:v>Do u think u can work long hours</x:v>
      </x:c>
      <x:c r="C268" s="31" t="str">
        <x:v>Fit &amp; Motivation</x:v>
      </x:c>
      <x:c r="D268" s="69" t="n">
        <x:f>COUNTIF('All Questions'!$G$5:$G$1725,A268)</x:f>
        <x:v>1</x:v>
      </x:c>
      <x:c r="E268" s="31" t="str">
        <x:v>Bofa IBD</x:v>
      </x:c>
      <x:c r="F268" s="31" t="str">
        <x:v>IBD / GCM</x:v>
      </x:c>
      <x:c r="G268" s="31" t="str">
        <x:v>Do u think u can work long hours</x:v>
      </x:c>
    </x:row>
    <x:row r="269" ht="34" customHeight="1">
      <x:c r="A269" s="30" t="str">
        <x:v>CL0265</x:v>
      </x:c>
      <x:c r="B269" s="31" t="str">
        <x:v>Do u use levered or unlevered fcf for dcf</x:v>
      </x:c>
      <x:c r="C269" s="31" t="str">
        <x:v>Valuation</x:v>
      </x:c>
      <x:c r="D269" s="69" t="n">
        <x:f>COUNTIF('All Questions'!$G$5:$G$1725,A269)</x:f>
        <x:v>1</x:v>
      </x:c>
      <x:c r="E269" s="31" t="str">
        <x:v>Barclays</x:v>
      </x:c>
      <x:c r="F269" s="31" t="str">
        <x:v>IBD / GCM</x:v>
      </x:c>
      <x:c r="G269" s="31" t="str">
        <x:v>do u use levered or unlevered fcf for dcf</x:v>
      </x:c>
    </x:row>
    <x:row r="270" ht="34" customHeight="1">
      <x:c r="A270" s="30" t="str">
        <x:v>CL0266</x:v>
      </x:c>
      <x:c r="B270" s="31" t="str">
        <x:v>Do valuation of xhs</x:v>
      </x:c>
      <x:c r="C270" s="31" t="str">
        <x:v>Valuation</x:v>
      </x:c>
      <x:c r="D270" s="69" t="n">
        <x:f>COUNTIF('All Questions'!$G$5:$G$1725,A270)</x:f>
        <x:v>1</x:v>
      </x:c>
      <x:c r="E270" s="31" t="str">
        <x:v>MS GCM</x:v>
      </x:c>
      <x:c r="F270" s="31" t="str">
        <x:v>IBD / GCM</x:v>
      </x:c>
      <x:c r="G270" s="31" t="str">
        <x:v>Do valuation of xhs;</x:v>
      </x:c>
    </x:row>
    <x:row r="271" ht="52" customHeight="1">
      <x:c r="A271" s="30" t="str">
        <x:v>CL0267</x:v>
      </x:c>
      <x:c r="B271" s="31" t="str">
        <x:v>Do you apply for other banks' programs? Then why BofA? (I said rotational opportunities within a real universal bank + friends' recommendation)</x:v>
      </x:c>
      <x:c r="C271" s="31" t="str">
        <x:v>Fit &amp; Motivation</x:v>
      </x:c>
      <x:c r="D271" s="69" t="n">
        <x:f>COUNTIF('All Questions'!$G$5:$G$1725,A271)</x:f>
        <x:v>1</x:v>
      </x:c>
      <x:c r="E271" s="31" t="str">
        <x:v>BofA (GM)</x:v>
      </x:c>
      <x:c r="F271" s="31" t="str">
        <x:v>Sales &amp; Trading</x:v>
      </x:c>
      <x:c r="G271" s="31" t="str">
        <x:v>Do you apply for other banks' programs? Then why BofA? (I said rotational opportunities within a real universal bank + friends' recommendation)</x:v>
      </x:c>
    </x:row>
    <x:row r="272" ht="34" customHeight="1">
      <x:c r="A272" s="30" t="str">
        <x:v>CL0268</x:v>
      </x:c>
      <x:c r="B272" s="31" t="str">
        <x:v>Do you follow the market</x:v>
      </x:c>
      <x:c r="C272" s="31" t="str">
        <x:v>Other Question</x:v>
      </x:c>
      <x:c r="D272" s="69" t="n">
        <x:f>COUNTIF('All Questions'!$G$5:$G$1725,A272)</x:f>
        <x:v>1</x:v>
      </x:c>
      <x:c r="E272" s="31" t="str">
        <x:v>BofA (GM)</x:v>
      </x:c>
      <x:c r="F272" s="31" t="str">
        <x:v>Sales &amp; Trading</x:v>
      </x:c>
      <x:c r="G272" s="31" t="str">
        <x:v>Do you follow the market?</x:v>
      </x:c>
    </x:row>
    <x:row r="273" ht="34" customHeight="1">
      <x:c r="A273" s="30" t="str">
        <x:v>CL0269</x:v>
      </x:c>
      <x:c r="B273" s="31" t="str">
        <x:v>Do you follow the stock market closely? What's a stock you've been following closely</x:v>
      </x:c>
      <x:c r="C273" s="31" t="str">
        <x:v>Markets &amp; Macro</x:v>
      </x:c>
      <x:c r="D273" s="69" t="n">
        <x:f>COUNTIF('All Questions'!$G$5:$G$1725,A273)</x:f>
        <x:v>1</x:v>
      </x:c>
      <x:c r="E273" s="31" t="str">
        <x:v>UBS IBD</x:v>
      </x:c>
      <x:c r="F273" s="31" t="str">
        <x:v>IBD / GCM</x:v>
      </x:c>
      <x:c r="G273" s="31" t="str">
        <x:v>Do you follow the stock market closely? What's a stock you've been following closely?</x:v>
      </x:c>
    </x:row>
    <x:row r="274" ht="34" customHeight="1">
      <x:c r="A274" s="30" t="str">
        <x:v>CL0270</x:v>
      </x:c>
      <x:c r="B274" s="31" t="str">
        <x:v>Do you have any bio experiences? Why do you want to work in healthcare</x:v>
      </x:c>
      <x:c r="C274" s="31" t="str">
        <x:v>Fit &amp; Motivation</x:v>
      </x:c>
      <x:c r="D274" s="69" t="n">
        <x:f>COUNTIF('All Questions'!$G$5:$G$1725,A274)</x:f>
        <x:v>1</x:v>
      </x:c>
      <x:c r="E274" s="31" t="str">
        <x:v>Centrium</x:v>
      </x:c>
      <x:c r="F274" s="31" t="str">
        <x:v>PE / VC / Other</x:v>
      </x:c>
      <x:c r="G274" s="31" t="str">
        <x:v>Do you have any bio experiences? Why do you want to work in healthcare?</x:v>
      </x:c>
    </x:row>
    <x:row r="275" ht="34" customHeight="1">
      <x:c r="A275" s="30" t="str">
        <x:v>CL0271</x:v>
      </x:c>
      <x:c r="B275" s="31" t="str">
        <x:v>Do you have any preference between client roles and investment roles</x:v>
      </x:c>
      <x:c r="C275" s="31" t="str">
        <x:v>Other Question</x:v>
      </x:c>
      <x:c r="D275" s="69" t="n">
        <x:f>COUNTIF('All Questions'!$G$5:$G$1725,A275)</x:f>
        <x:v>1</x:v>
      </x:c>
      <x:c r="E275" s="31" t="str">
        <x:v>JPM AM</x:v>
      </x:c>
      <x:c r="F275" s="31" t="str">
        <x:v>PWM / AM</x:v>
      </x:c>
      <x:c r="G275" s="31" t="str">
        <x:v>Do you have any preference between client roles and investment roles?</x:v>
      </x:c>
    </x:row>
    <x:row r="276" ht="52" customHeight="1">
      <x:c r="A276" s="30" t="str">
        <x:v>CL0272</x:v>
      </x:c>
      <x:c r="B276" s="31" t="str">
        <x:v>Do you have experience doing comparable comps and precedant transaction analysis in your previous internship</x:v>
      </x:c>
      <x:c r="C276" s="31" t="str">
        <x:v>Resume &amp; Experience</x:v>
      </x:c>
      <x:c r="D276" s="69" t="n">
        <x:f>COUNTIF('All Questions'!$G$5:$G$1725,A276)</x:f>
        <x:v>1</x:v>
      </x:c>
      <x:c r="E276" s="31" t="str">
        <x:v>Nomura</x:v>
      </x:c>
      <x:c r="F276" s="31" t="str">
        <x:v>IBD / GCM</x:v>
      </x:c>
      <x:c r="G276" s="31" t="str">
        <x:v>Do you have experience doing comparable comps and precedant transaction analysis in your previous internship?</x:v>
      </x:c>
    </x:row>
    <x:row r="277" ht="34" customHeight="1">
      <x:c r="A277" s="30" t="str">
        <x:v>CL0273</x:v>
      </x:c>
      <x:c r="B277" s="31" t="str">
        <x:v>Do you know about LBO? In what situations do you use it and in what situations do you not use it</x:v>
      </x:c>
      <x:c r="C277" s="31" t="str">
        <x:v>Private Equity &amp; LBO</x:v>
      </x:c>
      <x:c r="D277" s="69" t="n">
        <x:f>COUNTIF('All Questions'!$G$5:$G$1725,A277)</x:f>
        <x:v>1</x:v>
      </x:c>
      <x:c r="E277" s="31" t="str">
        <x:v>Jefferies</x:v>
      </x:c>
      <x:c r="F277" s="31" t="str">
        <x:v>IBD / GCM</x:v>
      </x:c>
      <x:c r="G277" s="31" t="str">
        <x:v>Do you know about LBO? In what situations do you use it and in what situations do you not use it?</x:v>
      </x:c>
    </x:row>
    <x:row r="278" ht="34" customHeight="1">
      <x:c r="A278" s="30" t="str">
        <x:v>CL0274</x:v>
      </x:c>
      <x:c r="B278" s="31" t="str">
        <x:v>Do you know about the hours of investment banking</x:v>
      </x:c>
      <x:c r="C278" s="31" t="str">
        <x:v>Other Question</x:v>
      </x:c>
      <x:c r="D278" s="69" t="n">
        <x:f>COUNTIF('All Questions'!$G$5:$G$1725,A278)</x:f>
        <x:v>1</x:v>
      </x:c>
      <x:c r="E278" s="31" t="str">
        <x:v>Jefferies</x:v>
      </x:c>
      <x:c r="F278" s="31" t="str">
        <x:v>IBD / GCM</x:v>
      </x:c>
      <x:c r="G278" s="31" t="str">
        <x:v>Do you know about the hours of investment banking?</x:v>
      </x:c>
    </x:row>
    <x:row r="279" ht="34" customHeight="1">
      <x:c r="A279" s="30" t="str">
        <x:v>CL0275</x:v>
      </x:c>
      <x:c r="B279" s="31" t="str">
        <x:v>Do you know any PE firms</x:v>
      </x:c>
      <x:c r="C279" s="31" t="str">
        <x:v>Other Question</x:v>
      </x:c>
      <x:c r="D279" s="69" t="n">
        <x:f>COUNTIF('All Questions'!$G$5:$G$1725,A279)</x:f>
        <x:v>1</x:v>
      </x:c>
      <x:c r="E279" s="31" t="str">
        <x:v>BNP Paribas</x:v>
      </x:c>
      <x:c r="F279" s="31" t="str">
        <x:v>IBD / GCM</x:v>
      </x:c>
      <x:c r="G279" s="31" t="str">
        <x:v>Do you know any PE firms</x:v>
      </x:c>
    </x:row>
    <x:row r="280" ht="34" customHeight="1">
      <x:c r="A280" s="30" t="str">
        <x:v>CL0276</x:v>
      </x:c>
      <x:c r="B280" s="31" t="str">
        <x:v>Do you know anyone from DB and learned from them</x:v>
      </x:c>
      <x:c r="C280" s="31" t="str">
        <x:v>Other Question</x:v>
      </x:c>
      <x:c r="D280" s="69" t="n">
        <x:f>COUNTIF('All Questions'!$G$5:$G$1725,A280)</x:f>
        <x:v>1</x:v>
      </x:c>
      <x:c r="E280" s="31" t="str">
        <x:v>Deutsche</x:v>
      </x:c>
      <x:c r="F280" s="31" t="str">
        <x:v>IBD / GCM</x:v>
      </x:c>
      <x:c r="G280" s="31" t="str">
        <x:v>Do you know anyone from DB and learned from them?</x:v>
      </x:c>
    </x:row>
    <x:row r="281" ht="34" customHeight="1">
      <x:c r="A281" s="30" t="str">
        <x:v>CL0277</x:v>
      </x:c>
      <x:c r="B281" s="31" t="str">
        <x:v>Do you know deferred tax assets and liabilities</x:v>
      </x:c>
      <x:c r="C281" s="31" t="str">
        <x:v>Accounting &amp; Financial Statements</x:v>
      </x:c>
      <x:c r="D281" s="69" t="n">
        <x:f>COUNTIF('All Questions'!$G$5:$G$1725,A281)</x:f>
        <x:v>1</x:v>
      </x:c>
      <x:c r="E281" s="31" t="str">
        <x:v>MS IBD</x:v>
      </x:c>
      <x:c r="F281" s="31" t="str">
        <x:v>IBD / GCM</x:v>
      </x:c>
      <x:c r="G281" s="31" t="str">
        <x:v>Do you know deferred tax assets and liabilities?</x:v>
      </x:c>
    </x:row>
    <x:row r="282" ht="34" customHeight="1">
      <x:c r="A282" s="30" t="str">
        <x:v>CL0278</x:v>
      </x:c>
      <x:c r="B282" s="31" t="str">
        <x:v>Do you know IFRS 16</x:v>
      </x:c>
      <x:c r="C282" s="31" t="str">
        <x:v>Other Question</x:v>
      </x:c>
      <x:c r="D282" s="69" t="n">
        <x:f>COUNTIF('All Questions'!$G$5:$G$1725,A282)</x:f>
        <x:v>1</x:v>
      </x:c>
      <x:c r="E282" s="31" t="str">
        <x:v>BNP Paribas</x:v>
      </x:c>
      <x:c r="F282" s="31" t="str">
        <x:v>IBD / GCM</x:v>
      </x:c>
      <x:c r="G282" s="31" t="str">
        <x:v>Do you know IFRS 16?</x:v>
      </x:c>
    </x:row>
    <x:row r="283" ht="34" customHeight="1">
      <x:c r="A283" s="30" t="str">
        <x:v>CL0279</x:v>
      </x:c>
      <x:c r="B283" s="31" t="str">
        <x:v>Do you know Rita Zhang from GF Holdings (hk)</x:v>
      </x:c>
      <x:c r="C283" s="31" t="str">
        <x:v>Other Question</x:v>
      </x:c>
      <x:c r="D283" s="69" t="n">
        <x:f>COUNTIF('All Questions'!$G$5:$G$1725,A283)</x:f>
        <x:v>1</x:v>
      </x:c>
      <x:c r="E283" s="31" t="str">
        <x:v>Nomura</x:v>
      </x:c>
      <x:c r="F283" s="31" t="str">
        <x:v>IBD / GCM</x:v>
      </x:c>
      <x:c r="G283" s="31" t="str">
        <x:v>Do you know Rita Zhang from GF Holdings (hk)?</x:v>
      </x:c>
    </x:row>
    <x:row r="284" ht="34" customHeight="1">
      <x:c r="A284" s="30" t="str">
        <x:v>CL0280</x:v>
      </x:c>
      <x:c r="B284" s="31" t="str">
        <x:v>Do you know the interest rate right now</x:v>
      </x:c>
      <x:c r="C284" s="31" t="str">
        <x:v>Markets &amp; Macro</x:v>
      </x:c>
      <x:c r="D284" s="69" t="n">
        <x:f>COUNTIF('All Questions'!$G$5:$G$1725,A284)</x:f>
        <x:v>1</x:v>
      </x:c>
      <x:c r="E284" s="31" t="str">
        <x:v>HSBC</x:v>
      </x:c>
      <x:c r="F284" s="31" t="str">
        <x:v>IBD / GCM</x:v>
      </x:c>
      <x:c r="G284" s="31" t="str">
        <x:v>Do you know the interest rate right now</x:v>
      </x:c>
    </x:row>
    <x:row r="285" ht="34" customHeight="1">
      <x:c r="A285" s="30" t="str">
        <x:v>CL0281</x:v>
      </x:c>
      <x:c r="B285" s="31" t="str">
        <x:v>Do you know why credit suisse failed</x:v>
      </x:c>
      <x:c r="C285" s="31" t="str">
        <x:v>Fit &amp; Motivation</x:v>
      </x:c>
      <x:c r="D285" s="69" t="n">
        <x:f>COUNTIF('All Questions'!$G$5:$G$1725,A285)</x:f>
        <x:v>1</x:v>
      </x:c>
      <x:c r="E285" s="31" t="str">
        <x:v>HSBC (GM)</x:v>
      </x:c>
      <x:c r="F285" s="31" t="str">
        <x:v>Sales &amp; Trading</x:v>
      </x:c>
      <x:c r="G285" s="31" t="str">
        <x:v>do you know why credit suisse failed</x:v>
      </x:c>
    </x:row>
    <x:row r="286" ht="34" customHeight="1">
      <x:c r="A286" s="30" t="str">
        <x:v>CL0282</x:v>
      </x:c>
      <x:c r="B286" s="31" t="str">
        <x:v>Do you like clubbing? You seem quiet (LMAO...)</x:v>
      </x:c>
      <x:c r="C286" s="31" t="str">
        <x:v>Other Question</x:v>
      </x:c>
      <x:c r="D286" s="69" t="n">
        <x:f>COUNTIF('All Questions'!$G$5:$G$1725,A286)</x:f>
        <x:v>1</x:v>
      </x:c>
      <x:c r="E286" s="31" t="str">
        <x:v>Deutsche</x:v>
      </x:c>
      <x:c r="F286" s="31" t="str">
        <x:v>IBD / GCM</x:v>
      </x:c>
      <x:c r="G286" s="31" t="str">
        <x:v>Do you like clubbing? You seem quiet (LMAO...)</x:v>
      </x:c>
    </x:row>
    <x:row r="287" ht="34" customHeight="1">
      <x:c r="A287" s="30" t="str">
        <x:v>CL0283</x:v>
      </x:c>
      <x:c r="B287" s="31" t="str">
        <x:v>Do you like financing / capital markets</x:v>
      </x:c>
      <x:c r="C287" s="31" t="str">
        <x:v>Capital Markets &amp; Financing</x:v>
      </x:c>
      <x:c r="D287" s="69" t="n">
        <x:f>COUNTIF('All Questions'!$G$5:$G$1725,A287)</x:f>
        <x:v>1</x:v>
      </x:c>
      <x:c r="E287" s="31" t="str">
        <x:v>MS IBD</x:v>
      </x:c>
      <x:c r="F287" s="31" t="str">
        <x:v>IBD / GCM</x:v>
      </x:c>
      <x:c r="G287" s="31" t="str">
        <x:v>Do you like financing / capital markets?</x:v>
      </x:c>
    </x:row>
    <x:row r="288" ht="34" customHeight="1">
      <x:c r="A288" s="30" t="str">
        <x:v>CL0284</x:v>
      </x:c>
      <x:c r="B288" s="31" t="str">
        <x:v>Do you like toronto or guangzhou or hong kong (in chinese)</x:v>
      </x:c>
      <x:c r="C288" s="31" t="str">
        <x:v>Fit &amp; Motivation</x:v>
      </x:c>
      <x:c r="D288" s="69" t="n">
        <x:f>COUNTIF('All Questions'!$G$5:$G$1725,A288)</x:f>
        <x:v>1</x:v>
      </x:c>
      <x:c r="E288" s="31" t="str">
        <x:v>Barclays</x:v>
      </x:c>
      <x:c r="F288" s="31" t="str">
        <x:v>IBD / GCM</x:v>
      </x:c>
      <x:c r="G288" s="31" t="str">
        <x:v>do you like toronto or guangzhou or hong kong (in chinese)</x:v>
      </x:c>
    </x:row>
    <x:row r="289" ht="34" customHeight="1">
      <x:c r="A289" s="30" t="str">
        <x:v>CL0285</x:v>
      </x:c>
      <x:c r="B289" s="31" t="str">
        <x:v>Do you only like organising or leading, not like participating</x:v>
      </x:c>
      <x:c r="C289" s="31" t="str">
        <x:v>Other Question</x:v>
      </x:c>
      <x:c r="D289" s="69" t="n">
        <x:f>COUNTIF('All Questions'!$G$5:$G$1725,A289)</x:f>
        <x:v>1</x:v>
      </x:c>
      <x:c r="E289" s="31" t="str">
        <x:v>Deutsche</x:v>
      </x:c>
      <x:c r="F289" s="31" t="str">
        <x:v>IBD / GCM</x:v>
      </x:c>
      <x:c r="G289" s="31" t="str">
        <x:v>Do you only like organising or leading, not like participating?</x:v>
      </x:c>
    </x:row>
    <x:row r="290" ht="34" customHeight="1">
      <x:c r="A290" s="30" t="str">
        <x:v>CL0286</x:v>
      </x:c>
      <x:c r="B290" s="31" t="str">
        <x:v>Do you plan on doing IBD for a long time? Or will you plan to switch careers like a lot of juniors</x:v>
      </x:c>
      <x:c r="C290" s="31" t="str">
        <x:v>Fit &amp; Motivation</x:v>
      </x:c>
      <x:c r="D290" s="69" t="n">
        <x:f>COUNTIF('All Questions'!$G$5:$G$1725,A290)</x:f>
        <x:v>1</x:v>
      </x:c>
      <x:c r="E290" s="31" t="str">
        <x:v>MS IBD</x:v>
      </x:c>
      <x:c r="F290" s="31" t="str">
        <x:v>IBD / GCM</x:v>
      </x:c>
      <x:c r="G290" s="31" t="str">
        <x:v>Do you plan on doing IBD for a long time? Or will you plan to switch careers like a lot of juniors?</x:v>
      </x:c>
    </x:row>
    <x:row r="291" ht="52" customHeight="1">
      <x:c r="A291" s="30" t="str">
        <x:v>CL0287</x:v>
      </x:c>
      <x:c r="B291" s="31" t="str">
        <x:v>Do you prefer to work in teams or work independently? And give me an example of having the contrast experiences</x:v>
      </x:c>
      <x:c r="C291" s="31" t="str">
        <x:v>Resume &amp; Experience</x:v>
      </x:c>
      <x:c r="D291" s="69" t="n">
        <x:f>COUNTIF('All Questions'!$G$5:$G$1725,A291)</x:f>
        <x:v>1</x:v>
      </x:c>
      <x:c r="E291" s="31" t="str">
        <x:v>JPM AM</x:v>
      </x:c>
      <x:c r="F291" s="31" t="str">
        <x:v>PWM / AM</x:v>
      </x:c>
      <x:c r="G291" s="31" t="str">
        <x:v>Do you prefer to work in teams or work independently? And give me an example of having the contrast experiences.</x:v>
      </x:c>
    </x:row>
    <x:row r="292" ht="34" customHeight="1">
      <x:c r="A292" s="30" t="str">
        <x:v>CL0288</x:v>
      </x:c>
      <x:c r="B292" s="31" t="str">
        <x:v>Do you see the world trending towards globalization or deglobalization</x:v>
      </x:c>
      <x:c r="C292" s="31" t="str">
        <x:v>Markets &amp; Macro</x:v>
      </x:c>
      <x:c r="D292" s="69" t="n">
        <x:f>COUNTIF('All Questions'!$G$5:$G$1725,A292)</x:f>
        <x:v>1</x:v>
      </x:c>
      <x:c r="E292" s="31" t="str">
        <x:v>HSBC (GM)</x:v>
      </x:c>
      <x:c r="F292" s="31" t="str">
        <x:v>Sales &amp; Trading</x:v>
      </x:c>
      <x:c r="G292" s="31" t="str">
        <x:v>do you see the world trending towards globalization or deglobalization</x:v>
      </x:c>
    </x:row>
    <x:row r="293" ht="34" customHeight="1">
      <x:c r="A293" s="30" t="str">
        <x:v>CL0289</x:v>
      </x:c>
      <x:c r="B293" s="31" t="str">
        <x:v>Do you speak catonese</x:v>
      </x:c>
      <x:c r="C293" s="31" t="str">
        <x:v>Other Question</x:v>
      </x:c>
      <x:c r="D293" s="69" t="n">
        <x:f>COUNTIF('All Questions'!$G$5:$G$1725,A293)</x:f>
        <x:v>1</x:v>
      </x:c>
      <x:c r="E293" s="31" t="str">
        <x:v>HSBC CMB</x:v>
      </x:c>
      <x:c r="F293" s="31" t="str">
        <x:v>PE / VC / Other</x:v>
      </x:c>
      <x:c r="G293" s="31" t="str">
        <x:v>Do you speak catonese</x:v>
      </x:c>
    </x:row>
    <x:row r="294" ht="52" customHeight="1">
      <x:c r="A294" s="30" t="str">
        <x:v>CL0290</x:v>
      </x:c>
      <x:c r="B294" s="31" t="str">
        <x:v>Do you speak Mandarin? Use Mandarin to answer – if you are given a superpower, what do you want it to be</x:v>
      </x:c>
      <x:c r="C294" s="31" t="str">
        <x:v>Fit &amp; Motivation</x:v>
      </x:c>
      <x:c r="D294" s="69" t="n">
        <x:f>COUNTIF('All Questions'!$G$5:$G$1725,A294)</x:f>
        <x:v>1</x:v>
      </x:c>
      <x:c r="E294" s="31" t="str">
        <x:v>Jefferies</x:v>
      </x:c>
      <x:c r="F294" s="31" t="str">
        <x:v>IBD / GCM</x:v>
      </x:c>
      <x:c r="G294" s="31" t="str">
        <x:v>Do you speak Mandarin? Use Mandarin to answer – if you are given a superpower, what do you want it to be?</x:v>
      </x:c>
    </x:row>
    <x:row r="295" ht="34" customHeight="1">
      <x:c r="A295" s="30" t="str">
        <x:v>CL0291</x:v>
      </x:c>
      <x:c r="B295" s="31" t="str">
        <x:v>Do you the difference between High Touch, Low Touch, and PT (Portfolio Trading)</x:v>
      </x:c>
      <x:c r="C295" s="31" t="str">
        <x:v>Sales &amp; Trading</x:v>
      </x:c>
      <x:c r="D295" s="69" t="n">
        <x:f>COUNTIF('All Questions'!$G$5:$G$1725,A295)</x:f>
        <x:v>1</x:v>
      </x:c>
      <x:c r="E295" s="31" t="str">
        <x:v>Barclays GM</x:v>
      </x:c>
      <x:c r="F295" s="31" t="str">
        <x:v>Sales &amp; Trading</x:v>
      </x:c>
      <x:c r="G295" s="31" t="str">
        <x:v>Do you the difference between High Touch, Low Touch, and PT (Portfolio Trading)?</x:v>
      </x:c>
    </x:row>
    <x:row r="296" ht="34" customHeight="1">
      <x:c r="A296" s="30" t="str">
        <x:v>CL0292</x:v>
      </x:c>
      <x:c r="B296" s="31" t="str">
        <x:v>Do you think AI is beneficial or harmful for decision-making</x:v>
      </x:c>
      <x:c r="C296" s="31" t="str">
        <x:v>Accounting &amp; Financial Statements</x:v>
      </x:c>
      <x:c r="D296" s="69" t="n">
        <x:f>COUNTIF('All Questions'!$G$5:$G$1725,A296)</x:f>
        <x:v>1</x:v>
      </x:c>
      <x:c r="E296" s="31" t="str">
        <x:v>GS PWM</x:v>
      </x:c>
      <x:c r="F296" s="31" t="str">
        <x:v>PWM / AM</x:v>
      </x:c>
      <x:c r="G296" s="31" t="str">
        <x:v>Do you think AI is beneficial or harmful for decision-making?</x:v>
      </x:c>
    </x:row>
    <x:row r="297" ht="52" customHeight="1">
      <x:c r="A297" s="30" t="str">
        <x:v>CL0293</x:v>
      </x:c>
      <x:c r="B297" s="31" t="str">
        <x:v>Do you think it's cheaper for Tech companies like Alibaba and Tencent to raise funds or bluechip companies</x:v>
      </x:c>
      <x:c r="C297" s="31" t="str">
        <x:v>Capital Markets &amp; Financing</x:v>
      </x:c>
      <x:c r="D297" s="69" t="n">
        <x:f>COUNTIF('All Questions'!$G$5:$G$1725,A297)</x:f>
        <x:v>1</x:v>
      </x:c>
      <x:c r="E297" s="31" t="str">
        <x:v>HSBC</x:v>
      </x:c>
      <x:c r="F297" s="31" t="str">
        <x:v>IBD / GCM</x:v>
      </x:c>
      <x:c r="G297" s="31" t="str">
        <x:v>Do you think it's cheaper for Tech companies like Alibaba and Tencent to raise funds or bluechip companies</x:v>
      </x:c>
    </x:row>
    <x:row r="298" ht="34" customHeight="1">
      <x:c r="A298" s="30" t="str">
        <x:v>CL0294</x:v>
      </x:c>
      <x:c r="B298" s="31" t="str">
        <x:v>Do you think it's directly comparable (cuz i used big companies)</x:v>
      </x:c>
      <x:c r="C298" s="31" t="str">
        <x:v>Valuation</x:v>
      </x:c>
      <x:c r="D298" s="69" t="n">
        <x:f>COUNTIF('All Questions'!$G$5:$G$1725,A298)</x:f>
        <x:v>1</x:v>
      </x:c>
      <x:c r="E298" s="31" t="str">
        <x:v>HSBC</x:v>
      </x:c>
      <x:c r="F298" s="31" t="str">
        <x:v>IBD / GCM</x:v>
      </x:c>
      <x:c r="G298" s="31" t="str">
        <x:v>do you think it's directly comparable (cuz i used big companies)</x:v>
      </x:c>
    </x:row>
    <x:row r="299" ht="34" customHeight="1">
      <x:c r="A299" s="30" t="str">
        <x:v>CL0295</x:v>
      </x:c>
      <x:c r="B299" s="31" t="str">
        <x:v>Do you think it's going to be effective? Why would this round of policy stimulus be different</x:v>
      </x:c>
      <x:c r="C299" s="31" t="str">
        <x:v>Fit &amp; Motivation</x:v>
      </x:c>
      <x:c r="D299" s="69" t="n">
        <x:f>COUNTIF('All Questions'!$G$5:$G$1725,A299)</x:f>
        <x:v>1</x:v>
      </x:c>
      <x:c r="E299" s="31" t="str">
        <x:v>UBS IBD</x:v>
      </x:c>
      <x:c r="F299" s="31" t="str">
        <x:v>IBD / GCM</x:v>
      </x:c>
      <x:c r="G299" s="31" t="str">
        <x:v>Do you think it's going to be effective? Why would this round of policy stimulus be different?</x:v>
      </x:c>
    </x:row>
    <x:row r="300" ht="34" customHeight="1">
      <x:c r="A300" s="30" t="str">
        <x:v>CL0296</x:v>
      </x:c>
      <x:c r="B300" s="31" t="str">
        <x:v>Do you think it's possible that people can give excellent result on all the given tasks? why</x:v>
      </x:c>
      <x:c r="C300" s="31" t="str">
        <x:v>Other Technical</x:v>
      </x:c>
      <x:c r="D300" s="69" t="n">
        <x:f>COUNTIF('All Questions'!$G$5:$G$1725,A300)</x:f>
        <x:v>1</x:v>
      </x:c>
      <x:c r="E300" s="31" t="str">
        <x:v>HSBC</x:v>
      </x:c>
      <x:c r="F300" s="31" t="str">
        <x:v>IBD / GCM</x:v>
      </x:c>
      <x:c r="G300" s="31" t="str">
        <x:v>do you think it's possible that people can give excellent result on all the given tasks? why?</x:v>
      </x:c>
    </x:row>
    <x:row r="301" ht="34" customHeight="1">
      <x:c r="A301" s="30" t="str">
        <x:v>CL0297</x:v>
      </x:c>
      <x:c r="B301" s="31" t="str">
        <x:v>Do you think Tesla is undervalued or overvalued</x:v>
      </x:c>
      <x:c r="C301" s="31" t="str">
        <x:v>Accounting &amp; Financial Statements</x:v>
      </x:c>
      <x:c r="D301" s="69" t="n">
        <x:f>COUNTIF('All Questions'!$G$5:$G$1725,A301)</x:f>
        <x:v>1</x:v>
      </x:c>
      <x:c r="E301" s="31" t="str">
        <x:v>Nomura</x:v>
      </x:c>
      <x:c r="F301" s="31" t="str">
        <x:v>IBD / GCM</x:v>
      </x:c>
      <x:c r="G301" s="31" t="str">
        <x:v>Do you think Tesla is undervalued or overvalued</x:v>
      </x:c>
    </x:row>
    <x:row r="302" ht="34" customHeight="1">
      <x:c r="A302" s="30" t="str">
        <x:v>CL0298</x:v>
      </x:c>
      <x:c r="B302" s="31" t="str">
        <x:v>Do you think the growth rate for the target company is higher or the one for WPP is higher</x:v>
      </x:c>
      <x:c r="C302" s="31" t="str">
        <x:v>Accounting &amp; Financial Statements</x:v>
      </x:c>
      <x:c r="D302" s="69" t="n">
        <x:f>COUNTIF('All Questions'!$G$5:$G$1725,A302)</x:f>
        <x:v>1</x:v>
      </x:c>
      <x:c r="E302" s="31" t="str">
        <x:v>HSBC</x:v>
      </x:c>
      <x:c r="F302" s="31" t="str">
        <x:v>IBD / GCM</x:v>
      </x:c>
      <x:c r="G302" s="31" t="str">
        <x:v>do you think the growth rate for the target company is higher or the one for WPP is higher</x:v>
      </x:c>
    </x:row>
    <x:row r="303" ht="34" customHeight="1">
      <x:c r="A303" s="30" t="str">
        <x:v>CL0299</x:v>
      </x:c>
      <x:c r="B303" s="31" t="str">
        <x:v>Do you think this is an attractive investment opportunity? Why</x:v>
      </x:c>
      <x:c r="C303" s="31" t="str">
        <x:v>Accounting &amp; Financial Statements</x:v>
      </x:c>
      <x:c r="D303" s="69" t="n">
        <x:f>COUNTIF('All Questions'!$G$5:$G$1725,A303)</x:f>
        <x:v>1</x:v>
      </x:c>
      <x:c r="E303" s="31" t="str">
        <x:v>Fountainvest</x:v>
      </x:c>
      <x:c r="F303" s="31" t="str">
        <x:v>PE / VC / Other</x:v>
      </x:c>
      <x:c r="G303" s="31" t="str">
        <x:v>Do you think this is an attractive investment opportunity? Why?</x:v>
      </x:c>
    </x:row>
    <x:row r="304" ht="34" customHeight="1">
      <x:c r="A304" s="30" t="str">
        <x:v>CL0300</x:v>
      </x:c>
      <x:c r="B304" s="31" t="str">
        <x:v>Do you think you have a thin skin or thick skin</x:v>
      </x:c>
      <x:c r="C304" s="31" t="str">
        <x:v>Other Question</x:v>
      </x:c>
      <x:c r="D304" s="69" t="n">
        <x:f>COUNTIF('All Questions'!$G$5:$G$1725,A304)</x:f>
        <x:v>1</x:v>
      </x:c>
      <x:c r="E304" s="31" t="str">
        <x:v>HSBC</x:v>
      </x:c>
      <x:c r="F304" s="31" t="str">
        <x:v>IBD / GCM</x:v>
      </x:c>
      <x:c r="G304" s="31" t="str">
        <x:v>Do you think you have a thin skin or thick skin</x:v>
      </x:c>
    </x:row>
    <x:row r="305" ht="34" customHeight="1">
      <x:c r="A305" s="30" t="str">
        <x:v>CL0301</x:v>
      </x:c>
      <x:c r="B305" s="31" t="str">
        <x:v>Do you watch any games, favorite character in LOL (i said idk and he said i should know…)</x:v>
      </x:c>
      <x:c r="C305" s="31" t="str">
        <x:v>Other Question</x:v>
      </x:c>
      <x:c r="D305" s="69" t="n">
        <x:f>COUNTIF('All Questions'!$G$5:$G$1725,A305)</x:f>
        <x:v>1</x:v>
      </x:c>
      <x:c r="E305" s="31" t="str">
        <x:v>JPM</x:v>
      </x:c>
      <x:c r="F305" s="31" t="str">
        <x:v>IBD / GCM</x:v>
      </x:c>
      <x:c r="G305" s="31" t="str">
        <x:v>Do you watch any games, favorite character in LOL (i said idk and he said i should know…)</x:v>
      </x:c>
    </x:row>
    <x:row r="306" ht="52" customHeight="1">
      <x:c r="A306" s="30" t="str">
        <x:v>CL0302</x:v>
      </x:c>
      <x:c r="B306" s="31" t="str">
        <x:v>Does buying intangible assets count as CAPEX? (think it's a must-ask question for this interviewer lol, my friends also got the same question)</x:v>
      </x:c>
      <x:c r="C306" s="31" t="str">
        <x:v>Other Question</x:v>
      </x:c>
      <x:c r="D306" s="69" t="n">
        <x:f>COUNTIF('All Questions'!$G$5:$G$1725,A306)</x:f>
        <x:v>1</x:v>
      </x:c>
      <x:c r="E306" s="31" t="str">
        <x:v>Lazard</x:v>
      </x:c>
      <x:c r="F306" s="31" t="str">
        <x:v>IBD / GCM</x:v>
      </x:c>
      <x:c r="G306" s="31" t="str">
        <x:v>Does buying intangible assets count as CAPEX? (think it's a must-ask question for this interviewer lol, my friends also got the same question)</x:v>
      </x:c>
    </x:row>
    <x:row r="307" ht="52" customHeight="1">
      <x:c r="A307" s="30" t="str">
        <x:v>CL0303</x:v>
      </x:c>
      <x:c r="B307" s="31" t="str">
        <x:v>Don’t be aggressive, I personally answered 3 to 4 questions, and didn’t answer the most difficult LBO question, but still got into the 2nd round interview</x:v>
      </x:c>
      <x:c r="C307" s="31" t="str">
        <x:v>Behavioral &amp; Situational</x:v>
      </x:c>
      <x:c r="D307" s="69" t="n">
        <x:f>COUNTIF('All Questions'!$G$5:$G$1725,A307)</x:f>
        <x:v>1</x:v>
      </x:c>
      <x:c r="E307" s="31" t="str">
        <x:v>Citi</x:v>
      </x:c>
      <x:c r="F307" s="31" t="str">
        <x:v>IBD / GCM</x:v>
      </x:c>
      <x:c r="G307" s="31" t="str">
        <x:v>Don’t be aggressive, I personally answered 3 to 4 questions, and didn’t answer the most difficult LBO question, but still got into the 2nd round interview</x:v>
      </x:c>
    </x:row>
    <x:row r="308" ht="34" customHeight="1">
      <x:c r="A308" s="30" t="str">
        <x:v>CL0304</x:v>
      </x:c>
      <x:c r="B308" s="31" t="str">
        <x:v>Dongwei stock initiation: revenue drivers, top-line CAGR, why such high growth</x:v>
      </x:c>
      <x:c r="C308" s="31" t="str">
        <x:v>Fit &amp; Motivation</x:v>
      </x:c>
      <x:c r="D308" s="69" t="n">
        <x:f>COUNTIF('All Questions'!$G$5:$G$1725,A308)</x:f>
        <x:v>1</x:v>
      </x:c>
      <x:c r="E308" s="31" t="str">
        <x:v>Bofa IBD</x:v>
      </x:c>
      <x:c r="F308" s="31" t="str">
        <x:v>IBD / GCM</x:v>
      </x:c>
      <x:c r="G308" s="31" t="str">
        <x:v>Dongwei stock initiation: revenue drivers, top-line CAGR, why such high growth?</x:v>
      </x:c>
    </x:row>
    <x:row r="309" ht="52" customHeight="1">
      <x:c r="A309" s="30" t="str">
        <x:v>CL0305</x:v>
      </x:c>
      <x:c r="B309" s="31" t="str">
        <x:v>E.g. advising on buy side, seller asks for crazy valuation, what is the counter thing, anything u can add to the term sheet</x:v>
      </x:c>
      <x:c r="C309" s="31" t="str">
        <x:v>Accounting &amp; Financial Statements</x:v>
      </x:c>
      <x:c r="D309" s="69" t="n">
        <x:f>COUNTIF('All Questions'!$G$5:$G$1725,A309)</x:f>
        <x:v>1</x:v>
      </x:c>
      <x:c r="E309" s="31" t="str">
        <x:v>Grant Samuel</x:v>
      </x:c>
      <x:c r="F309" s="31" t="str">
        <x:v>IBD / GCM</x:v>
      </x:c>
      <x:c r="G309" s="31" t="str">
        <x:v>e.g. advising on buy side, seller asks for crazy valuation, what is the counter thing, anything u can add to the term sheet?</x:v>
      </x:c>
    </x:row>
    <x:row r="310" ht="52" customHeight="1">
      <x:c r="A310" s="30" t="str">
        <x:v>CL0306</x:v>
      </x:c>
      <x:c r="B310" s="31" t="str">
        <x:v>E.g. if the client has one property in HK, one in London, and just bought one in a Tier 3 city in Mainland, what will you do</x:v>
      </x:c>
      <x:c r="C310" s="31" t="str">
        <x:v>Other Question</x:v>
      </x:c>
      <x:c r="D310" s="69" t="n">
        <x:f>COUNTIF('All Questions'!$G$5:$G$1725,A310)</x:f>
        <x:v>1</x:v>
      </x:c>
      <x:c r="E310" s="31" t="str">
        <x:v>BNP Paribas</x:v>
      </x:c>
      <x:c r="F310" s="31" t="str">
        <x:v>IBD / GCM</x:v>
      </x:c>
      <x:c r="G310" s="31" t="str">
        <x:v>e.g. if the client has one property in HK, one in London, and just bought one in a Tier 3 city in Mainland, what will you do</x:v>
      </x:c>
    </x:row>
    <x:row r="311" ht="34" customHeight="1">
      <x:c r="A311" s="30" t="str">
        <x:v>CL0307</x:v>
      </x:c>
      <x:c r="B311" s="31" t="str">
        <x:v>Effect of gain on sale of asset on EBITDA? (No change) Position on financial statement</x:v>
      </x:c>
      <x:c r="C311" s="31" t="str">
        <x:v>Accounting &amp; Financial Statements</x:v>
      </x:c>
      <x:c r="D311" s="69" t="n">
        <x:f>COUNTIF('All Questions'!$G$5:$G$1725,A311)</x:f>
        <x:v>1</x:v>
      </x:c>
      <x:c r="E311" s="31" t="str">
        <x:v>MSPEA</x:v>
      </x:c>
      <x:c r="F311" s="31" t="str">
        <x:v>PE / VC / Other</x:v>
      </x:c>
      <x:c r="G311" s="31" t="str">
        <x:v>Effect of gain on sale of asset on EBITDA? (No change) Position on financial statement?</x:v>
      </x:c>
    </x:row>
    <x:row r="312" ht="34" customHeight="1">
      <x:c r="A312" s="30" t="str">
        <x:v>CL0308</x:v>
      </x:c>
      <x:c r="B312" s="31" t="str">
        <x:v>Enterprise Value (also drill about it)</x:v>
      </x:c>
      <x:c r="C312" s="31" t="str">
        <x:v>Valuation</x:v>
      </x:c>
      <x:c r="D312" s="69" t="n">
        <x:f>COUNTIF('All Questions'!$G$5:$G$1725,A312)</x:f>
        <x:v>1</x:v>
      </x:c>
      <x:c r="E312" s="31" t="str">
        <x:v>BNP Paribas</x:v>
      </x:c>
      <x:c r="F312" s="31" t="str">
        <x:v>IBD / GCM</x:v>
      </x:c>
      <x:c r="G312" s="31" t="str">
        <x:v>Enterprise Value (also drill about it)</x:v>
      </x:c>
    </x:row>
    <x:row r="313" ht="34" customHeight="1">
      <x:c r="A313" s="30" t="str">
        <x:v>CL0309</x:v>
      </x:c>
      <x:c r="B313" s="31" t="str">
        <x:v>Enterprise value questions</x:v>
      </x:c>
      <x:c r="C313" s="31" t="str">
        <x:v>Valuation</x:v>
      </x:c>
      <x:c r="D313" s="69" t="n">
        <x:f>COUNTIF('All Questions'!$G$5:$G$1725,A313)</x:f>
        <x:v>1</x:v>
      </x:c>
      <x:c r="E313" s="31" t="str">
        <x:v>Bofa IBD</x:v>
      </x:c>
      <x:c r="F313" s="31" t="str">
        <x:v>IBD / GCM</x:v>
      </x:c>
      <x:c r="G313" s="31" t="str">
        <x:v>Enterprise value questions</x:v>
      </x:c>
    </x:row>
    <x:row r="314" ht="34" customHeight="1">
      <x:c r="A314" s="30" t="str">
        <x:v>CL0310</x:v>
      </x:c>
      <x:c r="B314" s="31" t="str">
        <x:v>Enterprise value: how to account for cash, long term investment, short term financial instrument</x:v>
      </x:c>
      <x:c r="C314" s="31" t="str">
        <x:v>Valuation</x:v>
      </x:c>
      <x:c r="D314" s="69" t="n">
        <x:f>COUNTIF('All Questions'!$G$5:$G$1725,A314)</x:f>
        <x:v>1</x:v>
      </x:c>
      <x:c r="E314" s="31" t="str">
        <x:v>Bofa IBD</x:v>
      </x:c>
      <x:c r="F314" s="31" t="str">
        <x:v>IBD / GCM</x:v>
      </x:c>
      <x:c r="G314" s="31" t="str">
        <x:v>Enterprise value: how to account for cash, long term investment, short term financial instrument</x:v>
      </x:c>
    </x:row>
    <x:row r="315" ht="34" customHeight="1">
      <x:c r="A315" s="30" t="str">
        <x:v>CL0311</x:v>
      </x:c>
      <x:c r="B315" s="31" t="str">
        <x:v>Enterprise Value的公式是什麼、除了standard formula裡面的items還有一些其他什麼items</x:v>
      </x:c>
      <x:c r="C315" s="31" t="str">
        <x:v>Valuation</x:v>
      </x:c>
      <x:c r="D315" s="69" t="n">
        <x:f>COUNTIF('All Questions'!$G$5:$G$1725,A315)</x:f>
        <x:v>1</x:v>
      </x:c>
      <x:c r="E315" s="31" t="str">
        <x:v>Lazard</x:v>
      </x:c>
      <x:c r="F315" s="31" t="str">
        <x:v>IBD / GCM</x:v>
      </x:c>
      <x:c r="G315" s="31" t="str">
        <x:v>Enterprise Value的公式是什麼、除了standard formula裡面的items還有一些其他什麼items</x:v>
      </x:c>
    </x:row>
    <x:row r="316" ht="52" customHeight="1">
      <x:c r="A316" s="30" t="str">
        <x:v>CL0312</x:v>
      </x:c>
      <x:c r="B316" s="31" t="str">
        <x:v>Entry: EBITDA $100, $600 debt, no cash, 10x multiple. Exit: Year 5 EBITDA $150, exit 9x multiple. What is the MOIC? (2.5x)</x:v>
      </x:c>
      <x:c r="C316" s="31" t="str">
        <x:v>Accounting &amp; Financial Statements</x:v>
      </x:c>
      <x:c r="D316" s="69" t="n">
        <x:f>COUNTIF('All Questions'!$G$5:$G$1725,A316)</x:f>
        <x:v>1</x:v>
      </x:c>
      <x:c r="E316" s="31" t="str">
        <x:v>Moelis</x:v>
      </x:c>
      <x:c r="F316" s="31" t="str">
        <x:v>IBD / GCM</x:v>
      </x:c>
      <x:c r="G316" s="31" t="str">
        <x:v>Entry: EBITDA $100, $600 debt, no cash, 10x multiple. Exit: Year 5 EBITDA $150, exit 9x multiple. What is the MOIC? (2.5x)</x:v>
      </x:c>
    </x:row>
    <x:row r="317" ht="34" customHeight="1">
      <x:c r="A317" s="30" t="str">
        <x:v>CL0313</x:v>
      </x:c>
      <x:c r="B317" s="31" t="str">
        <x:v>ER internship, pitched him a stock I worked on</x:v>
      </x:c>
      <x:c r="C317" s="31" t="str">
        <x:v>Resume &amp; Experience</x:v>
      </x:c>
      <x:c r="D317" s="69" t="n">
        <x:f>COUNTIF('All Questions'!$G$5:$G$1725,A317)</x:f>
        <x:v>1</x:v>
      </x:c>
      <x:c r="E317" s="31" t="str">
        <x:v>Bofa GCM</x:v>
      </x:c>
      <x:c r="F317" s="31" t="str">
        <x:v>IBD / GCM</x:v>
      </x:c>
      <x:c r="G317" s="31" t="str">
        <x:v>ER internship, pitched him a stock I worked on</x:v>
      </x:c>
    </x:row>
    <x:row r="318" ht="34" customHeight="1">
      <x:c r="A318" s="30" t="str">
        <x:v>CL0314</x:v>
      </x:c>
      <x:c r="B318" s="31" t="str">
        <x:v>EV 150, Senior debt 100, CPS 100, what is the value of CPS</x:v>
      </x:c>
      <x:c r="C318" s="31" t="str">
        <x:v>Accounting &amp; Financial Statements</x:v>
      </x:c>
      <x:c r="D318" s="69" t="n">
        <x:f>COUNTIF('All Questions'!$G$5:$G$1725,A318)</x:f>
        <x:v>1</x:v>
      </x:c>
      <x:c r="E318" s="31" t="str">
        <x:v>Houlihan Lokey</x:v>
      </x:c>
      <x:c r="F318" s="31" t="str">
        <x:v>IBD / GCM</x:v>
      </x:c>
      <x:c r="G318" s="31" t="str">
        <x:v>EV 150, Senior debt 100, CPS 100, what is the value of CPS?</x:v>
      </x:c>
    </x:row>
    <x:row r="319" ht="52" customHeight="1">
      <x:c r="A319" s="30" t="str">
        <x:v>CL0315</x:v>
      </x:c>
      <x:c r="B319" s="31" t="str">
        <x:v>EV Equity bridge, where is Minority interest and why? Where is non-operating asset and why? (I fucked up this one)</x:v>
      </x:c>
      <x:c r="C319" s="31" t="str">
        <x:v>Fit &amp; Motivation</x:v>
      </x:c>
      <x:c r="D319" s="69" t="n">
        <x:f>COUNTIF('All Questions'!$G$5:$G$1725,A319)</x:f>
        <x:v>1</x:v>
      </x:c>
      <x:c r="E319" s="31" t="str">
        <x:v>Deutsche</x:v>
      </x:c>
      <x:c r="F319" s="31" t="str">
        <x:v>IBD / GCM</x:v>
      </x:c>
      <x:c r="G319" s="31" t="str">
        <x:v>EV Equity bridge, where is Minority interest and why? Where is non-operating asset and why? (I fucked up this one)</x:v>
      </x:c>
    </x:row>
    <x:row r="320" ht="34" customHeight="1">
      <x:c r="A320" s="30" t="str">
        <x:v>CL0316</x:v>
      </x:c>
      <x:c r="B320" s="31" t="str">
        <x:v>EV: market cap use which one? Diluted market cap? Total market cap? Floating market caps</x:v>
      </x:c>
      <x:c r="C320" s="31" t="str">
        <x:v>Other Question</x:v>
      </x:c>
      <x:c r="D320" s="69" t="n">
        <x:f>COUNTIF('All Questions'!$G$5:$G$1725,A320)</x:f>
        <x:v>1</x:v>
      </x:c>
      <x:c r="E320" s="31" t="str">
        <x:v>MSPEA</x:v>
      </x:c>
      <x:c r="F320" s="31" t="str">
        <x:v>PE / VC / Other</x:v>
      </x:c>
      <x:c r="G320" s="31" t="str">
        <x:v>EV: market cap use which one? Diluted market cap? Total market cap? Floating market caps</x:v>
      </x:c>
    </x:row>
    <x:row r="321" ht="34" customHeight="1">
      <x:c r="A321" s="30" t="str">
        <x:v>CL0317</x:v>
      </x:c>
      <x:c r="B321" s="31" t="str">
        <x:v>EV/EBITDA vs EV/sales 分别</x:v>
      </x:c>
      <x:c r="C321" s="31" t="str">
        <x:v>Other Question</x:v>
      </x:c>
      <x:c r="D321" s="69" t="n">
        <x:f>COUNTIF('All Questions'!$G$5:$G$1725,A321)</x:f>
        <x:v>1</x:v>
      </x:c>
      <x:c r="E321" s="31" t="str">
        <x:v>MSPEA</x:v>
      </x:c>
      <x:c r="F321" s="31" t="str">
        <x:v>PE / VC / Other</x:v>
      </x:c>
      <x:c r="G321" s="31" t="str">
        <x:v>EV/EBITDA vs EV/sales 分别？</x:v>
      </x:c>
    </x:row>
    <x:row r="322" ht="52" customHeight="1">
      <x:c r="A322" s="30" t="str">
        <x:v>CL0318</x:v>
      </x:c>
      <x:c r="B322" s="31" t="str">
        <x:v>EV/EBITDA=5, Interest coverage =5, what's loan to value (need to ask for lended interest rate of 5%). Answer is 1.25</x:v>
      </x:c>
      <x:c r="C322" s="31" t="str">
        <x:v>Accounting &amp; Financial Statements</x:v>
      </x:c>
      <x:c r="D322" s="69" t="n">
        <x:f>COUNTIF('All Questions'!$G$5:$G$1725,A322)</x:f>
        <x:v>1</x:v>
      </x:c>
      <x:c r="E322" s="31" t="str">
        <x:v>Houlihan Lokey</x:v>
      </x:c>
      <x:c r="F322" s="31" t="str">
        <x:v>IBD / GCM</x:v>
      </x:c>
      <x:c r="G322" s="31" t="str">
        <x:v>EV/EBITDA=5, Interest coverage =5, what's loan to value (need to ask for lended interest rate of 5%). Answer is 1.25</x:v>
      </x:c>
    </x:row>
    <x:row r="323" ht="34" customHeight="1">
      <x:c r="A323" s="30" t="str">
        <x:v>CL0319</x:v>
      </x:c>
      <x:c r="B323" s="31" t="str">
        <x:v>Experience of approaching difficult question and find a solution with positive outcome</x:v>
      </x:c>
      <x:c r="C323" s="31" t="str">
        <x:v>Resume &amp; Experience</x:v>
      </x:c>
      <x:c r="D323" s="69" t="n">
        <x:f>COUNTIF('All Questions'!$G$5:$G$1725,A323)</x:f>
        <x:v>1</x:v>
      </x:c>
      <x:c r="E323" s="31" t="str">
        <x:v>Deutsche</x:v>
      </x:c>
      <x:c r="F323" s="31" t="str">
        <x:v>IBD / GCM</x:v>
      </x:c>
      <x:c r="G323" s="31" t="str">
        <x:v>Experience of approaching difficult question and find a solution with positive outcome</x:v>
      </x:c>
    </x:row>
    <x:row r="324" ht="34" customHeight="1">
      <x:c r="A324" s="30" t="str">
        <x:v>CL0320</x:v>
      </x:c>
      <x:c r="B324" s="31" t="str">
        <x:v>Explain different multiples and their applications</x:v>
      </x:c>
      <x:c r="C324" s="31" t="str">
        <x:v>Valuation</x:v>
      </x:c>
      <x:c r="D324" s="69" t="n">
        <x:f>COUNTIF('All Questions'!$G$5:$G$1725,A324)</x:f>
        <x:v>1</x:v>
      </x:c>
      <x:c r="E324" s="31" t="str">
        <x:v>MS GCM</x:v>
      </x:c>
      <x:c r="F324" s="31" t="str">
        <x:v>IBD / GCM</x:v>
      </x:c>
      <x:c r="G324" s="31" t="str">
        <x:v>explain different multiples and their applications</x:v>
      </x:c>
    </x:row>
    <x:row r="325" ht="34" customHeight="1">
      <x:c r="A325" s="30" t="str">
        <x:v>CL0321</x:v>
      </x:c>
      <x:c r="B325" s="31" t="str">
        <x:v>Explain minority interest, do minority shareholders also share your revenue (only NI sharing)</x:v>
      </x:c>
      <x:c r="C325" s="31" t="str">
        <x:v>Accounting &amp; Financial Statements</x:v>
      </x:c>
      <x:c r="D325" s="69" t="n">
        <x:f>COUNTIF('All Questions'!$G$5:$G$1725,A325)</x:f>
        <x:v>1</x:v>
      </x:c>
      <x:c r="E325" s="31" t="str">
        <x:v>MS IBD</x:v>
      </x:c>
      <x:c r="F325" s="31" t="str">
        <x:v>IBD / GCM</x:v>
      </x:c>
      <x:c r="G325" s="31" t="str">
        <x:v>Explain minority interest, do minority shareholders also share your revenue (only NI sharing)</x:v>
      </x:c>
    </x:row>
    <x:row r="326" ht="34" customHeight="1">
      <x:c r="A326" s="30" t="str">
        <x:v>CL0322</x:v>
      </x:c>
      <x:c r="B326" s="31" t="str">
        <x:v>Explain my major (my major title is Asset Management) and why I'm not doing this</x:v>
      </x:c>
      <x:c r="C326" s="31" t="str">
        <x:v>Fit &amp; Motivation</x:v>
      </x:c>
      <x:c r="D326" s="69" t="n">
        <x:f>COUNTIF('All Questions'!$G$5:$G$1725,A326)</x:f>
        <x:v>1</x:v>
      </x:c>
      <x:c r="E326" s="31" t="str">
        <x:v>UBS IBD</x:v>
      </x:c>
      <x:c r="F326" s="31" t="str">
        <x:v>IBD / GCM</x:v>
      </x:c>
      <x:c r="G326" s="31" t="str">
        <x:v>Explain my major (my major title is Asset Management) and why I'm not doing this</x:v>
      </x:c>
    </x:row>
    <x:row r="327" ht="34" customHeight="1">
      <x:c r="A327" s="30" t="str">
        <x:v>CL0323</x:v>
      </x:c>
      <x:c r="B327" s="31" t="str">
        <x:v>Factors to consider when extending a loan to clients</x:v>
      </x:c>
      <x:c r="C327" s="31" t="str">
        <x:v>Other Question</x:v>
      </x:c>
      <x:c r="D327" s="69" t="n">
        <x:f>COUNTIF('All Questions'!$G$5:$G$1725,A327)</x:f>
        <x:v>1</x:v>
      </x:c>
      <x:c r="E327" s="31" t="str">
        <x:v>Citi</x:v>
      </x:c>
      <x:c r="F327" s="31" t="str">
        <x:v>IBD / GCM</x:v>
      </x:c>
      <x:c r="G327" s="31" t="str">
        <x:v>Factors to consider when extending a loan to clients?</x:v>
      </x:c>
    </x:row>
    <x:row r="328" ht="34" customHeight="1">
      <x:c r="A328" s="30" t="str">
        <x:v>CL0324</x:v>
      </x:c>
      <x:c r="B328" s="31" t="str">
        <x:v>Financial instrument taken stock at end of 2022, now 31st Jan 2023, use which value</x:v>
      </x:c>
      <x:c r="C328" s="31" t="str">
        <x:v>Other Question</x:v>
      </x:c>
      <x:c r="D328" s="69" t="n">
        <x:f>COUNTIF('All Questions'!$G$5:$G$1725,A328)</x:f>
        <x:v>1</x:v>
      </x:c>
      <x:c r="E328" s="31" t="str">
        <x:v>Bofa IBD</x:v>
      </x:c>
      <x:c r="F328" s="31" t="str">
        <x:v>IBD / GCM</x:v>
      </x:c>
      <x:c r="G328" s="31" t="str">
        <x:v>Financial instrument taken stock at end of 2022, now 31st Jan 2023, use which value?</x:v>
      </x:c>
    </x:row>
    <x:row r="329" ht="52" customHeight="1">
      <x:c r="A329" s="30" t="str">
        <x:v>CL0325</x:v>
      </x:c>
      <x:c r="B329" s="31" t="str">
        <x:v>For a company with high debt usage vs low debt, but similar EV/EBIT, which company will you invest in</x:v>
      </x:c>
      <x:c r="C329" s="31" t="str">
        <x:v>Company, Industry &amp; Deals</x:v>
      </x:c>
      <x:c r="D329" s="69" t="n">
        <x:f>COUNTIF('All Questions'!$G$5:$G$1725,A329)</x:f>
        <x:v>1</x:v>
      </x:c>
      <x:c r="E329" s="31" t="str">
        <x:v>MSPEA</x:v>
      </x:c>
      <x:c r="F329" s="31" t="str">
        <x:v>PE / VC / Other</x:v>
      </x:c>
      <x:c r="G329" s="31" t="str">
        <x:v>For a company with high debt usage vs low debt, but similar EV/EBIT, which company will you invest in?</x:v>
      </x:c>
    </x:row>
    <x:row r="330" ht="34" customHeight="1">
      <x:c r="A330" s="30" t="str">
        <x:v>CL0326</x:v>
      </x:c>
      <x:c r="B330" s="31" t="str">
        <x:v>For a consumer packaging company, what are some mertics for credit analysis</x:v>
      </x:c>
      <x:c r="C330" s="31" t="str">
        <x:v>Company, Industry &amp; Deals</x:v>
      </x:c>
      <x:c r="D330" s="69" t="n">
        <x:f>COUNTIF('All Questions'!$G$5:$G$1725,A330)</x:f>
        <x:v>1</x:v>
      </x:c>
      <x:c r="E330" s="31" t="str">
        <x:v>GS DCMECM</x:v>
      </x:c>
      <x:c r="F330" s="31" t="str">
        <x:v>IBD / GCM</x:v>
      </x:c>
      <x:c r="G330" s="31" t="str">
        <x:v>For a consumer packaging company, what are some mertics for credit analysis</x:v>
      </x:c>
    </x:row>
    <x:row r="331" ht="34" customHeight="1">
      <x:c r="A331" s="30" t="str">
        <x:v>CL0327</x:v>
      </x:c>
      <x:c r="B331" s="31" t="str">
        <x:v>For a PE, do you think "strategic fit" still matters</x:v>
      </x:c>
      <x:c r="C331" s="31" t="str">
        <x:v>Fit &amp; Motivation</x:v>
      </x:c>
      <x:c r="D331" s="69" t="n">
        <x:f>COUNTIF('All Questions'!$G$5:$G$1725,A331)</x:f>
        <x:v>1</x:v>
      </x:c>
      <x:c r="E331" s="31" t="str">
        <x:v>Lazard</x:v>
      </x:c>
      <x:c r="F331" s="31" t="str">
        <x:v>IBD / GCM</x:v>
      </x:c>
      <x:c r="G331" s="31" t="str">
        <x:v>For a PE, do you think "strategic fit" still matters?</x:v>
      </x:c>
    </x:row>
    <x:row r="332" ht="34" customHeight="1">
      <x:c r="A332" s="30" t="str">
        <x:v>CL0328</x:v>
      </x:c>
      <x:c r="B332" s="31" t="str">
        <x:v>For companies like Tencent, 3 main items of financial statements to look at</x:v>
      </x:c>
      <x:c r="C332" s="31" t="str">
        <x:v>Accounting &amp; Financial Statements</x:v>
      </x:c>
      <x:c r="D332" s="69" t="n">
        <x:f>COUNTIF('All Questions'!$G$5:$G$1725,A332)</x:f>
        <x:v>1</x:v>
      </x:c>
      <x:c r="E332" s="31" t="str">
        <x:v>UBS IBD</x:v>
      </x:c>
      <x:c r="F332" s="31" t="str">
        <x:v>IBD / GCM</x:v>
      </x:c>
      <x:c r="G332" s="31" t="str">
        <x:v>For companies like Tencent, 3 main items of financial statements to look at</x:v>
      </x:c>
    </x:row>
    <x:row r="333" ht="52" customHeight="1">
      <x:c r="A333" s="30" t="str">
        <x:v>CL0329</x:v>
      </x:c>
      <x:c r="B333" s="31" t="str">
        <x:v>For CPS, how does it affect the enterprise value? How much is pre money and post money valuation? (I said counted as preferred shares at first)</x:v>
      </x:c>
      <x:c r="C333" s="31" t="str">
        <x:v>Accounting &amp; Financial Statements</x:v>
      </x:c>
      <x:c r="D333" s="69" t="n">
        <x:f>COUNTIF('All Questions'!$G$5:$G$1725,A333)</x:f>
        <x:v>1</x:v>
      </x:c>
      <x:c r="E333" s="31" t="str">
        <x:v>MSPEA</x:v>
      </x:c>
      <x:c r="F333" s="31" t="str">
        <x:v>PE / VC / Other</x:v>
      </x:c>
      <x:c r="G333" s="31" t="str">
        <x:v>For CPS, how does it affect the enterprise value? How much is pre money and post money valuation? (I said counted as preferred shares at first)</x:v>
      </x:c>
    </x:row>
    <x:row r="334" ht="52" customHeight="1">
      <x:c r="A334" s="30" t="str">
        <x:v>CL0330</x:v>
      </x:c>
      <x:c r="B334" s="31" t="str">
        <x:v>For example, now is 2025 the EV/EBITDA multiple is 10x, you are exiting in 2029, and the EBITDA is 30m, could you apply the 10x multiple to get the terminal value</x:v>
      </x:c>
      <x:c r="C334" s="31" t="str">
        <x:v>Accounting &amp; Financial Statements</x:v>
      </x:c>
      <x:c r="D334" s="69" t="n">
        <x:f>COUNTIF('All Questions'!$G$5:$G$1725,A334)</x:f>
        <x:v>1</x:v>
      </x:c>
      <x:c r="E334" s="31" t="str">
        <x:v>MS IBD</x:v>
      </x:c>
      <x:c r="F334" s="31" t="str">
        <x:v>IBD / GCM</x:v>
      </x:c>
      <x:c r="G334" s="31" t="str">
        <x:v>For example, now is 2025 the EV/EBITDA multiple is 10x, you are exiting in 2029, and the EBITDA is 30m, could you apply the 10x multiple to get the terminal value</x:v>
      </x:c>
    </x:row>
    <x:row r="335" ht="34" customHeight="1">
      <x:c r="A335" s="30" t="str">
        <x:v>CL0331</x:v>
      </x:c>
      <x:c r="B335" s="31" t="str">
        <x:v>For private companies - how to find the equity value</x:v>
      </x:c>
      <x:c r="C335" s="31" t="str">
        <x:v>Valuation</x:v>
      </x:c>
      <x:c r="D335" s="69" t="n">
        <x:f>COUNTIF('All Questions'!$G$5:$G$1725,A335)</x:f>
        <x:v>1</x:v>
      </x:c>
      <x:c r="E335" s="31" t="str">
        <x:v>Lazard</x:v>
      </x:c>
      <x:c r="F335" s="31" t="str">
        <x:v>IBD / GCM</x:v>
      </x:c>
      <x:c r="G335" s="31" t="str">
        <x:v>For private companies - how to find the equity value</x:v>
      </x:c>
    </x:row>
    <x:row r="336" ht="34" customHeight="1">
      <x:c r="A336" s="30" t="str">
        <x:v>CL0332</x:v>
      </x:c>
      <x:c r="B336" s="31" t="str">
        <x:v>For that internship experience ask about DCF and comps in detail</x:v>
      </x:c>
      <x:c r="C336" s="31" t="str">
        <x:v>Resume &amp; Experience</x:v>
      </x:c>
      <x:c r="D336" s="69" t="n">
        <x:f>COUNTIF('All Questions'!$G$5:$G$1725,A336)</x:f>
        <x:v>1</x:v>
      </x:c>
      <x:c r="E336" s="31" t="str">
        <x:v>UBS IBD</x:v>
      </x:c>
      <x:c r="F336" s="31" t="str">
        <x:v>IBD / GCM</x:v>
      </x:c>
      <x:c r="G336" s="31" t="str">
        <x:v>For that internship experience ask about DCF and comps in detail</x:v>
      </x:c>
    </x:row>
    <x:row r="337" ht="34" customHeight="1">
      <x:c r="A337" s="30" t="str">
        <x:v>CL0333</x:v>
      </x:c>
      <x:c r="B337" s="31" t="str">
        <x:v>For the credit analysis, what was the revenue build up? How did you do the model</x:v>
      </x:c>
      <x:c r="C337" s="31" t="str">
        <x:v>Company, Industry &amp; Deals</x:v>
      </x:c>
      <x:c r="D337" s="69" t="n">
        <x:f>COUNTIF('All Questions'!$G$5:$G$1725,A337)</x:f>
        <x:v>1</x:v>
      </x:c>
      <x:c r="E337" s="31" t="str">
        <x:v>Bofa IBD</x:v>
      </x:c>
      <x:c r="F337" s="31" t="str">
        <x:v>IBD / GCM</x:v>
      </x:c>
      <x:c r="G337" s="31" t="str">
        <x:v>For the credit analysis, what was the revenue build up? How did you do the model ?</x:v>
      </x:c>
    </x:row>
    <x:row r="338" ht="52" customHeight="1">
      <x:c r="A338" s="30" t="str">
        <x:v>CL0334</x:v>
      </x:c>
      <x:c r="B338" s="31" t="str">
        <x:v>For the same company, how would you do trading comps and precedent transactions and what are some companies you would look at for trading comps</x:v>
      </x:c>
      <x:c r="C338" s="31" t="str">
        <x:v>Valuation</x:v>
      </x:c>
      <x:c r="D338" s="69" t="n">
        <x:f>COUNTIF('All Questions'!$G$5:$G$1725,A338)</x:f>
        <x:v>1</x:v>
      </x:c>
      <x:c r="E338" s="31" t="str">
        <x:v>MS IBD</x:v>
      </x:c>
      <x:c r="F338" s="31" t="str">
        <x:v>IBD / GCM</x:v>
      </x:c>
      <x:c r="G338" s="31" t="str">
        <x:v>For the same company, how would you do trading comps and precedent transactions and what are some companies you would look at for trading comps?</x:v>
      </x:c>
    </x:row>
    <x:row r="339" ht="34" customHeight="1">
      <x:c r="A339" s="30" t="str">
        <x:v>CL0335</x:v>
      </x:c>
      <x:c r="B339" s="31" t="str">
        <x:v>For trading comps and transaction comps, how do you get the comparables</x:v>
      </x:c>
      <x:c r="C339" s="31" t="str">
        <x:v>Valuation</x:v>
      </x:c>
      <x:c r="D339" s="69" t="n">
        <x:f>COUNTIF('All Questions'!$G$5:$G$1725,A339)</x:f>
        <x:v>1</x:v>
      </x:c>
      <x:c r="E339" s="31" t="str">
        <x:v>Deutsche</x:v>
      </x:c>
      <x:c r="F339" s="31" t="str">
        <x:v>IBD / GCM</x:v>
      </x:c>
      <x:c r="G339" s="31" t="str">
        <x:v>For trading comps and transaction comps, how do you get the comparables?</x:v>
      </x:c>
    </x:row>
    <x:row r="340" ht="34" customHeight="1">
      <x:c r="A340" s="30" t="str">
        <x:v>CL0336</x:v>
      </x:c>
      <x:c r="B340" s="31" t="str">
        <x:v>For trading comps, how would you pick? (Also have operating metrics!!)</x:v>
      </x:c>
      <x:c r="C340" s="31" t="str">
        <x:v>Valuation</x:v>
      </x:c>
      <x:c r="D340" s="69" t="n">
        <x:f>COUNTIF('All Questions'!$G$5:$G$1725,A340)</x:f>
        <x:v>1</x:v>
      </x:c>
      <x:c r="E340" s="31" t="str">
        <x:v>Bofa IBD</x:v>
      </x:c>
      <x:c r="F340" s="31" t="str">
        <x:v>IBD / GCM</x:v>
      </x:c>
      <x:c r="G340" s="31" t="str">
        <x:v>For trading comps, how would you pick? (Also have operating metrics!!)</x:v>
      </x:c>
    </x:row>
    <x:row r="341" ht="34" customHeight="1">
      <x:c r="A341" s="30" t="str">
        <x:v>CL0337</x:v>
      </x:c>
      <x:c r="B341" s="31" t="str">
        <x:v>For trading comps, what's the difference between EV/EBITDA, P/E, and EV/Sales</x:v>
      </x:c>
      <x:c r="C341" s="31" t="str">
        <x:v>Valuation</x:v>
      </x:c>
      <x:c r="D341" s="69" t="n">
        <x:f>COUNTIF('All Questions'!$G$5:$G$1725,A341)</x:f>
        <x:v>1</x:v>
      </x:c>
      <x:c r="E341" s="31" t="str">
        <x:v>Grant Samuel</x:v>
      </x:c>
      <x:c r="F341" s="31" t="str">
        <x:v>IBD / GCM</x:v>
      </x:c>
      <x:c r="G341" s="31" t="str">
        <x:v>For trading comps, what's the difference between EV/EBITDA, P/E, and EV/Sales</x:v>
      </x:c>
    </x:row>
    <x:row r="342" ht="34" customHeight="1">
      <x:c r="A342" s="30" t="str">
        <x:v>CL0338</x:v>
      </x:c>
      <x:c r="B342" s="31" t="str">
        <x:v>For trading comps, which multiples are considered primary/secondary</x:v>
      </x:c>
      <x:c r="C342" s="31" t="str">
        <x:v>Valuation</x:v>
      </x:c>
      <x:c r="D342" s="69" t="n">
        <x:f>COUNTIF('All Questions'!$G$5:$G$1725,A342)</x:f>
        <x:v>1</x:v>
      </x:c>
      <x:c r="E342" s="31" t="str">
        <x:v>MS IBD</x:v>
      </x:c>
      <x:c r="F342" s="31" t="str">
        <x:v>IBD / GCM</x:v>
      </x:c>
      <x:c r="G342" s="31" t="str">
        <x:v>For trading comps, which multiples are considered primary/secondary</x:v>
      </x:c>
    </x:row>
    <x:row r="343" ht="34" customHeight="1">
      <x:c r="A343" s="30" t="str">
        <x:v>CL0339</x:v>
      </x:c>
      <x:c r="B343" s="31" t="str">
        <x:v>For WACC, if company was in a net cash position, how does this affect and how do you find the acc</x:v>
      </x:c>
      <x:c r="C343" s="31" t="str">
        <x:v>Valuation</x:v>
      </x:c>
      <x:c r="D343" s="69" t="n">
        <x:f>COUNTIF('All Questions'!$G$5:$G$1725,A343)</x:f>
        <x:v>1</x:v>
      </x:c>
      <x:c r="E343" s="31" t="str">
        <x:v>Bofa IBD</x:v>
      </x:c>
      <x:c r="F343" s="31" t="str">
        <x:v>IBD / GCM</x:v>
      </x:c>
      <x:c r="G343" s="31" t="str">
        <x:v>For WACC, if company was in a net cash position, how does this affect and how do you find the acc</x:v>
      </x:c>
    </x:row>
    <x:row r="344" ht="34" customHeight="1">
      <x:c r="A344" s="30" t="str">
        <x:v>CL0340</x:v>
      </x:c>
      <x:c r="B344" s="31" t="str">
        <x:v>Formula of enterprise value</x:v>
      </x:c>
      <x:c r="C344" s="31" t="str">
        <x:v>Valuation</x:v>
      </x:c>
      <x:c r="D344" s="69" t="n">
        <x:f>COUNTIF('All Questions'!$G$5:$G$1725,A344)</x:f>
        <x:v>1</x:v>
      </x:c>
      <x:c r="E344" s="31" t="str">
        <x:v>Bofa IBD</x:v>
      </x:c>
      <x:c r="F344" s="31" t="str">
        <x:v>IBD / GCM</x:v>
      </x:c>
      <x:c r="G344" s="31" t="str">
        <x:v>Formula of enterprise value</x:v>
      </x:c>
    </x:row>
    <x:row r="345" ht="34" customHeight="1">
      <x:c r="A345" s="30" t="str">
        <x:v>CL0341</x:v>
      </x:c>
      <x:c r="B345" s="31" t="str">
        <x:v>Formula: FCF, NWC, common items of non-cash expense</x:v>
      </x:c>
      <x:c r="C345" s="31" t="str">
        <x:v>Accounting &amp; Financial Statements</x:v>
      </x:c>
      <x:c r="D345" s="69" t="n">
        <x:f>COUNTIF('All Questions'!$G$5:$G$1725,A345)</x:f>
        <x:v>1</x:v>
      </x:c>
      <x:c r="E345" s="31" t="str">
        <x:v>Barclays</x:v>
      </x:c>
      <x:c r="F345" s="31" t="str">
        <x:v>IBD / GCM</x:v>
      </x:c>
      <x:c r="G345" s="31" t="str">
        <x:v>Formula: FCF, NWC, common items of non-cash expense</x:v>
      </x:c>
    </x:row>
    <x:row r="346" ht="34" customHeight="1">
      <x:c r="A346" s="30" t="str">
        <x:v>CL0342</x:v>
      </x:c>
      <x:c r="B346" s="31" t="str">
        <x:v>Get FCFE from FCFF</x:v>
      </x:c>
      <x:c r="C346" s="31" t="str">
        <x:v>Valuation</x:v>
      </x:c>
      <x:c r="D346" s="69" t="n">
        <x:f>COUNTIF('All Questions'!$G$5:$G$1725,A346)</x:f>
        <x:v>1</x:v>
      </x:c>
      <x:c r="E346" s="31" t="str">
        <x:v>MS IBD</x:v>
      </x:c>
      <x:c r="F346" s="31" t="str">
        <x:v>IBD / GCM</x:v>
      </x:c>
      <x:c r="G346" s="31" t="str">
        <x:v>Get FCFE from FCFF</x:v>
      </x:c>
    </x:row>
    <x:row r="347" ht="34" customHeight="1">
      <x:c r="A347" s="30" t="str">
        <x:v>CL0343</x:v>
      </x:c>
      <x:c r="B347" s="31" t="str">
        <x:v>Get FCFF from revenue</x:v>
      </x:c>
      <x:c r="C347" s="31" t="str">
        <x:v>Valuation</x:v>
      </x:c>
      <x:c r="D347" s="69" t="n">
        <x:f>COUNTIF('All Questions'!$G$5:$G$1725,A347)</x:f>
        <x:v>1</x:v>
      </x:c>
      <x:c r="E347" s="31" t="str">
        <x:v>MS IBD</x:v>
      </x:c>
      <x:c r="F347" s="31" t="str">
        <x:v>IBD / GCM</x:v>
      </x:c>
      <x:c r="G347" s="31" t="str">
        <x:v>Get FCFF from revenue</x:v>
      </x:c>
    </x:row>
    <x:row r="348" ht="34" customHeight="1">
      <x:c r="A348" s="30" t="str">
        <x:v>CL0344</x:v>
      </x:c>
      <x:c r="B348" s="31" t="str">
        <x:v>Give me a case when you were doing a project and got stuck with it? How did you handle that</x:v>
      </x:c>
      <x:c r="C348" s="31" t="str">
        <x:v>Other Question</x:v>
      </x:c>
      <x:c r="D348" s="69" t="n">
        <x:f>COUNTIF('All Questions'!$G$5:$G$1725,A348)</x:f>
        <x:v>1</x:v>
      </x:c>
      <x:c r="E348" s="31" t="str">
        <x:v>MS IED</x:v>
      </x:c>
      <x:c r="F348" s="31" t="str">
        <x:v>Sales &amp; Trading</x:v>
      </x:c>
      <x:c r="G348" s="31" t="str">
        <x:v>Give me a case when you were doing a project and got stuck with it? How did you handle that?</x:v>
      </x:c>
    </x:row>
    <x:row r="349" ht="52" customHeight="1">
      <x:c r="A349" s="30" t="str">
        <x:v>CL0345</x:v>
      </x:c>
      <x:c r="B349" s="31" t="str">
        <x:v>Give me an example of one vessel's (eg. capex, contract length, charter operating EPC rates, years of return etc)</x:v>
      </x:c>
      <x:c r="C349" s="31" t="str">
        <x:v>Other Question</x:v>
      </x:c>
      <x:c r="D349" s="69" t="n">
        <x:f>COUNTIF('All Questions'!$G$5:$G$1725,A349)</x:f>
        <x:v>1</x:v>
      </x:c>
      <x:c r="E349" s="31" t="str">
        <x:v>Fountainvest</x:v>
      </x:c>
      <x:c r="F349" s="31" t="str">
        <x:v>PE / VC / Other</x:v>
      </x:c>
      <x:c r="G349" s="31" t="str">
        <x:v>Give me an example of one vessel's (eg. capex, contract length, charter operating EPC rates, years of return etc)</x:v>
      </x:c>
    </x:row>
    <x:row r="350" ht="34" customHeight="1">
      <x:c r="A350" s="30" t="str">
        <x:v>CL0346</x:v>
      </x:c>
      <x:c r="B350" s="31" t="str">
        <x:v>Give me an example showing that you're detail oriented</x:v>
      </x:c>
      <x:c r="C350" s="31" t="str">
        <x:v>Behavioral &amp; Situational</x:v>
      </x:c>
      <x:c r="D350" s="69" t="n">
        <x:f>COUNTIF('All Questions'!$G$5:$G$1725,A350)</x:f>
        <x:v>1</x:v>
      </x:c>
      <x:c r="E350" s="31" t="str">
        <x:v>UBS IBD</x:v>
      </x:c>
      <x:c r="F350" s="31" t="str">
        <x:v>IBD / GCM</x:v>
      </x:c>
      <x:c r="G350" s="31" t="str">
        <x:v>Give me an example showing that you're detail oriented</x:v>
      </x:c>
    </x:row>
    <x:row r="351" ht="34" customHeight="1">
      <x:c r="A351" s="30" t="str">
        <x:v>CL0347</x:v>
      </x:c>
      <x:c r="B351" s="31" t="str">
        <x:v>Give me an example that you find you could have done better afterwards</x:v>
      </x:c>
      <x:c r="C351" s="31" t="str">
        <x:v>Other Question</x:v>
      </x:c>
      <x:c r="D351" s="69" t="n">
        <x:f>COUNTIF('All Questions'!$G$5:$G$1725,A351)</x:f>
        <x:v>1</x:v>
      </x:c>
      <x:c r="E351" s="31" t="str">
        <x:v>JPM AM</x:v>
      </x:c>
      <x:c r="F351" s="31" t="str">
        <x:v>PWM / AM</x:v>
      </x:c>
      <x:c r="G351" s="31" t="str">
        <x:v>Give me an example that you find you could have done better afterwards.</x:v>
      </x:c>
    </x:row>
    <x:row r="352" ht="34" customHeight="1">
      <x:c r="A352" s="30" t="str">
        <x:v>CL0348</x:v>
      </x:c>
      <x:c r="B352" s="31" t="str">
        <x:v>Give me an example when you are tackling with a task with ambiguity</x:v>
      </x:c>
      <x:c r="C352" s="31" t="str">
        <x:v>Other Question</x:v>
      </x:c>
      <x:c r="D352" s="69" t="n">
        <x:f>COUNTIF('All Questions'!$G$5:$G$1725,A352)</x:f>
        <x:v>1</x:v>
      </x:c>
      <x:c r="E352" s="31" t="str">
        <x:v>GS PWM</x:v>
      </x:c>
      <x:c r="F352" s="31" t="str">
        <x:v>PWM / AM</x:v>
      </x:c>
      <x:c r="G352" s="31" t="str">
        <x:v>Give me an example when you are tackling with a task with ambiguity</x:v>
      </x:c>
    </x:row>
    <x:row r="353" ht="34" customHeight="1">
      <x:c r="A353" s="30" t="str">
        <x:v>CL0349</x:v>
      </x:c>
      <x:c r="B353" s="31" t="str">
        <x:v>Give me one investment idea</x:v>
      </x:c>
      <x:c r="C353" s="31" t="str">
        <x:v>Investment Pitch</x:v>
      </x:c>
      <x:c r="D353" s="69" t="n">
        <x:f>COUNTIF('All Questions'!$G$5:$G$1725,A353)</x:f>
        <x:v>1</x:v>
      </x:c>
      <x:c r="E353" s="31" t="str">
        <x:v>MS IED</x:v>
      </x:c>
      <x:c r="F353" s="31" t="str">
        <x:v>Sales &amp; Trading</x:v>
      </x:c>
      <x:c r="G353" s="31" t="str">
        <x:v>Give me one investment idea</x:v>
      </x:c>
    </x:row>
    <x:row r="354" ht="34" customHeight="1">
      <x:c r="A354" s="30" t="str">
        <x:v>CL0350</x:v>
      </x:c>
      <x:c r="B354" s="31" t="str">
        <x:v>Give me short introduction of yourself</x:v>
      </x:c>
      <x:c r="C354" s="31" t="str">
        <x:v>Other Question</x:v>
      </x:c>
      <x:c r="D354" s="69" t="n">
        <x:f>COUNTIF('All Questions'!$G$5:$G$1725,A354)</x:f>
        <x:v>1</x:v>
      </x:c>
      <x:c r="E354" s="31" t="str">
        <x:v>Barclays</x:v>
      </x:c>
      <x:c r="F354" s="31" t="str">
        <x:v>IBD / GCM</x:v>
      </x:c>
      <x:c r="G354" s="31" t="str">
        <x:v>Give me short introduction of yourself.</x:v>
      </x:c>
    </x:row>
    <x:row r="355" ht="34" customHeight="1">
      <x:c r="A355" s="30" t="str">
        <x:v>CL0351</x:v>
      </x:c>
      <x:c r="B355" s="31" t="str">
        <x:v>Give you 1 mn today, or 100k per year for the rest of your life, which one do you prefer</x:v>
      </x:c>
      <x:c r="C355" s="31" t="str">
        <x:v>Other Question</x:v>
      </x:c>
      <x:c r="D355" s="69" t="n">
        <x:f>COUNTIF('All Questions'!$G$5:$G$1725,A355)</x:f>
        <x:v>1</x:v>
      </x:c>
      <x:c r="E355" s="31" t="str">
        <x:v>MS IED</x:v>
      </x:c>
      <x:c r="F355" s="31" t="str">
        <x:v>Sales &amp; Trading</x:v>
      </x:c>
      <x:c r="G355" s="31" t="str">
        <x:v>Give you 1 mn today, or 100k per year for the rest of your life, which one do you prefer?</x:v>
      </x:c>
    </x:row>
    <x:row r="356" ht="34" customHeight="1">
      <x:c r="A356" s="30" t="str">
        <x:v>CL0352</x:v>
      </x:c>
      <x:c r="B356" s="31" t="str">
        <x:v>Given Market situation, invest in fixed / floating rate now</x:v>
      </x:c>
      <x:c r="C356" s="31" t="str">
        <x:v>Other Question</x:v>
      </x:c>
      <x:c r="D356" s="69" t="n">
        <x:f>COUNTIF('All Questions'!$G$5:$G$1725,A356)</x:f>
        <x:v>1</x:v>
      </x:c>
      <x:c r="E356" s="31" t="str">
        <x:v>JPM (GM)</x:v>
      </x:c>
      <x:c r="F356" s="31" t="str">
        <x:v>Sales &amp; Trading</x:v>
      </x:c>
      <x:c r="G356" s="31" t="str">
        <x:v>Given Market situation, invest in fixed / floating rate now?</x:v>
      </x:c>
    </x:row>
    <x:row r="357" ht="52" customHeight="1">
      <x:c r="A357" s="30" t="str">
        <x:v>CL0353</x:v>
      </x:c>
      <x:c r="B357" s="31" t="str">
        <x:v>Given that you have the operating model already, ,and u dont need to do further assumptions, what steps would you take to convert this into an LBO model</x:v>
      </x:c>
      <x:c r="C357" s="31" t="str">
        <x:v>Private Equity &amp; LBO</x:v>
      </x:c>
      <x:c r="D357" s="69" t="n">
        <x:f>COUNTIF('All Questions'!$G$5:$G$1725,A357)</x:f>
        <x:v>1</x:v>
      </x:c>
      <x:c r="E357" s="31" t="str">
        <x:v>Citi</x:v>
      </x:c>
      <x:c r="F357" s="31" t="str">
        <x:v>IBD / GCM</x:v>
      </x:c>
      <x:c r="G357" s="31" t="str">
        <x:v>given that you have the operating model already, ,and u dont need to do further assumptions, what steps would you take to convert this into an LBO model</x:v>
      </x:c>
    </x:row>
    <x:row r="358" ht="76" customHeight="1">
      <x:c r="A358" s="30" t="str">
        <x:v>CL0354</x:v>
      </x:c>
      <x:c r="B358" s="31" t="str">
        <x:v>Given that you have the projected working capital on a consumer company you’re trying to buy, you see that the inventory is reducing, the cash is flat, CA is pretty flat too, do you spot any red flags</x:v>
      </x:c>
      <x:c r="C358" s="31" t="str">
        <x:v>Accounting &amp; Financial Statements</x:v>
      </x:c>
      <x:c r="D358" s="69" t="n">
        <x:f>COUNTIF('All Questions'!$G$5:$G$1725,A358)</x:f>
        <x:v>1</x:v>
      </x:c>
      <x:c r="E358" s="31" t="str">
        <x:v>Moelis</x:v>
      </x:c>
      <x:c r="F358" s="31" t="str">
        <x:v>IBD / GCM</x:v>
      </x:c>
      <x:c r="G358" s="31" t="str">
        <x:v>Given that you have the projected working capital on a consumer company you’re trying to buy, you see that the inventory is reducing, the cash is flat, CA is pretty flat too, do you spot any red flags?</x:v>
      </x:c>
    </x:row>
    <x:row r="359" ht="52" customHeight="1">
      <x:c r="A359" s="30" t="str">
        <x:v>CL0355</x:v>
      </x:c>
      <x:c r="B359" s="31" t="str">
        <x:v>Given the current market is expecting a rate cut cycle, how would you advise someone to refinance now</x:v>
      </x:c>
      <x:c r="C359" s="31" t="str">
        <x:v>Accounting &amp; Financial Statements</x:v>
      </x:c>
      <x:c r="D359" s="69" t="n">
        <x:f>COUNTIF('All Questions'!$G$5:$G$1725,A359)</x:f>
        <x:v>1</x:v>
      </x:c>
      <x:c r="E359" s="31" t="str">
        <x:v>GS DCMECM</x:v>
      </x:c>
      <x:c r="F359" s="31" t="str">
        <x:v>IBD / GCM</x:v>
      </x:c>
      <x:c r="G359" s="31" t="str">
        <x:v>Given the current market is expecting a rate cut cycle, how would you advise someone to refinance now</x:v>
      </x:c>
    </x:row>
    <x:row r="360" ht="34" customHeight="1">
      <x:c r="A360" s="30" t="str">
        <x:v>CL0356</x:v>
      </x:c>
      <x:c r="B360" s="31" t="str">
        <x:v>Given the high interest rates right now, is debt still cheap</x:v>
      </x:c>
      <x:c r="C360" s="31" t="str">
        <x:v>Accounting &amp; Financial Statements</x:v>
      </x:c>
      <x:c r="D360" s="69" t="n">
        <x:f>COUNTIF('All Questions'!$G$5:$G$1725,A360)</x:f>
        <x:v>1</x:v>
      </x:c>
      <x:c r="E360" s="31" t="str">
        <x:v>HSBC</x:v>
      </x:c>
      <x:c r="F360" s="31" t="str">
        <x:v>IBD / GCM</x:v>
      </x:c>
      <x:c r="G360" s="31" t="str">
        <x:v>Given the high interest rates right now, is debt still cheap</x:v>
      </x:c>
    </x:row>
    <x:row r="361" ht="34" customHeight="1">
      <x:c r="A361" s="30" t="str">
        <x:v>CL0357</x:v>
      </x:c>
      <x:c r="B361" s="31" t="str">
        <x:v>Given the situation, how do you think it will affect the China and HK market</x:v>
      </x:c>
      <x:c r="C361" s="31" t="str">
        <x:v>Markets &amp; Macro</x:v>
      </x:c>
      <x:c r="D361" s="69" t="n">
        <x:f>COUNTIF('All Questions'!$G$5:$G$1725,A361)</x:f>
        <x:v>1</x:v>
      </x:c>
      <x:c r="E361" s="31" t="str">
        <x:v>Jefferies</x:v>
      </x:c>
      <x:c r="F361" s="31" t="str">
        <x:v>IBD / GCM</x:v>
      </x:c>
      <x:c r="G361" s="31" t="str">
        <x:v>Given the situation, how do you think it will affect the China and HK market?</x:v>
      </x:c>
    </x:row>
    <x:row r="362" ht="34" customHeight="1">
      <x:c r="A362" s="30" t="str">
        <x:v>CL0358</x:v>
      </x:c>
      <x:c r="B362" s="31" t="str">
        <x:v>Global Markets做了什么，觉得有趣吗</x:v>
      </x:c>
      <x:c r="C362" s="31" t="str">
        <x:v>Other Question</x:v>
      </x:c>
      <x:c r="D362" s="69" t="n">
        <x:f>COUNTIF('All Questions'!$G$5:$G$1725,A362)</x:f>
        <x:v>1</x:v>
      </x:c>
      <x:c r="E362" s="31" t="str">
        <x:v>Nomura</x:v>
      </x:c>
      <x:c r="F362" s="31" t="str">
        <x:v>IBD / GCM</x:v>
      </x:c>
      <x:c r="G362" s="31" t="str">
        <x:v>Global Markets做了什么，觉得有趣吗？</x:v>
      </x:c>
    </x:row>
    <x:row r="363" ht="34" customHeight="1">
      <x:c r="A363" s="30" t="str">
        <x:v>CL0359</x:v>
      </x:c>
      <x:c r="B363" s="31" t="str">
        <x:v>Growth rate in near term and to 2030</x:v>
      </x:c>
      <x:c r="C363" s="31" t="str">
        <x:v>Company, Industry &amp; Deals</x:v>
      </x:c>
      <x:c r="D363" s="69" t="n">
        <x:f>COUNTIF('All Questions'!$G$5:$G$1725,A363)</x:f>
        <x:v>1</x:v>
      </x:c>
      <x:c r="E363" s="31" t="str">
        <x:v>Deutsche</x:v>
      </x:c>
      <x:c r="F363" s="31" t="str">
        <x:v>IBD / GCM</x:v>
      </x:c>
      <x:c r="G363" s="31" t="str">
        <x:v>Growth rate in near term and to 2030?</x:v>
      </x:c>
    </x:row>
    <x:row r="364" ht="34" customHeight="1">
      <x:c r="A364" s="30" t="str">
        <x:v>CL0360</x:v>
      </x:c>
      <x:c r="B364" s="31" t="str">
        <x:v>Have I done model? Have I taken corporate finance and accounting</x:v>
      </x:c>
      <x:c r="C364" s="31" t="str">
        <x:v>Accounting &amp; Financial Statements</x:v>
      </x:c>
      <x:c r="D364" s="69" t="n">
        <x:f>COUNTIF('All Questions'!$G$5:$G$1725,A364)</x:f>
        <x:v>1</x:v>
      </x:c>
      <x:c r="E364" s="31" t="str">
        <x:v>Bofa IBD</x:v>
      </x:c>
      <x:c r="F364" s="31" t="str">
        <x:v>IBD / GCM</x:v>
      </x:c>
      <x:c r="G364" s="31" t="str">
        <x:v>Have I done model? Have I taken corporate finance and accounting?</x:v>
      </x:c>
    </x:row>
    <x:row r="365" ht="34" customHeight="1">
      <x:c r="A365" s="30" t="str">
        <x:v>CL0361</x:v>
      </x:c>
      <x:c r="B365" s="31" t="str">
        <x:v>Have you chatted with Joseph from Odysseus? (is her 学长)</x:v>
      </x:c>
      <x:c r="C365" s="31" t="str">
        <x:v>Accounting &amp; Financial Statements</x:v>
      </x:c>
      <x:c r="D365" s="69" t="n">
        <x:f>COUNTIF('All Questions'!$G$5:$G$1725,A365)</x:f>
        <x:v>1</x:v>
      </x:c>
      <x:c r="E365" s="31" t="str">
        <x:v>Nomura</x:v>
      </x:c>
      <x:c r="F365" s="31" t="str">
        <x:v>IBD / GCM</x:v>
      </x:c>
      <x:c r="G365" s="31" t="str">
        <x:v>Have you chatted with Joseph from Odysseus? (is her 学长)</x:v>
      </x:c>
    </x:row>
    <x:row r="366" ht="34" customHeight="1">
      <x:c r="A366" s="30" t="str">
        <x:v>CL0362</x:v>
      </x:c>
      <x:c r="B366" s="31" t="str">
        <x:v>Have you encoutered different opinion with others in past working experiences</x:v>
      </x:c>
      <x:c r="C366" s="31" t="str">
        <x:v>Resume &amp; Experience</x:v>
      </x:c>
      <x:c r="D366" s="69" t="n">
        <x:f>COUNTIF('All Questions'!$G$5:$G$1725,A366)</x:f>
        <x:v>1</x:v>
      </x:c>
      <x:c r="E366" s="31" t="str">
        <x:v>Barclays</x:v>
      </x:c>
      <x:c r="F366" s="31" t="str">
        <x:v>IBD / GCM</x:v>
      </x:c>
      <x:c r="G366" s="31" t="str">
        <x:v>Have you encoutered different opinion with others in past working experiences?</x:v>
      </x:c>
    </x:row>
    <x:row r="367" ht="34" customHeight="1">
      <x:c r="A367" s="30" t="str">
        <x:v>CL0363</x:v>
      </x:c>
      <x:c r="B367" s="31" t="str">
        <x:v>Have you ever failed</x:v>
      </x:c>
      <x:c r="C367" s="31" t="str">
        <x:v>Behavioral &amp; Situational</x:v>
      </x:c>
      <x:c r="D367" s="69" t="n">
        <x:f>COUNTIF('All Questions'!$G$5:$G$1725,A367)</x:f>
        <x:v>1</x:v>
      </x:c>
      <x:c r="E367" s="31" t="str">
        <x:v>Deutsche</x:v>
      </x:c>
      <x:c r="F367" s="31" t="str">
        <x:v>IBD / GCM</x:v>
      </x:c>
      <x:c r="G367" s="31" t="str">
        <x:v>Have you ever failed?</x:v>
      </x:c>
    </x:row>
    <x:row r="368" ht="34" customHeight="1">
      <x:c r="A368" s="30" t="str">
        <x:v>CL0364</x:v>
      </x:c>
      <x:c r="B368" s="31" t="str">
        <x:v>Have you followed the fed interest rate hike</x:v>
      </x:c>
      <x:c r="C368" s="31" t="str">
        <x:v>Markets &amp; Macro</x:v>
      </x:c>
      <x:c r="D368" s="69" t="n">
        <x:f>COUNTIF('All Questions'!$G$5:$G$1725,A368)</x:f>
        <x:v>1</x:v>
      </x:c>
      <x:c r="E368" s="31" t="str">
        <x:v>Nomura</x:v>
      </x:c>
      <x:c r="F368" s="31" t="str">
        <x:v>IBD / GCM</x:v>
      </x:c>
      <x:c r="G368" s="31" t="str">
        <x:v>have you followed the fed interest rate hike</x:v>
      </x:c>
    </x:row>
    <x:row r="369" ht="34" customHeight="1">
      <x:c r="A369" s="30" t="str">
        <x:v>CL0365</x:v>
      </x:c>
      <x:c r="B369" s="31" t="str">
        <x:v>Have you used chinese in your prev internships</x:v>
      </x:c>
      <x:c r="C369" s="31" t="str">
        <x:v>Resume &amp; Experience</x:v>
      </x:c>
      <x:c r="D369" s="69" t="n">
        <x:f>COUNTIF('All Questions'!$G$5:$G$1725,A369)</x:f>
        <x:v>1</x:v>
      </x:c>
      <x:c r="E369" s="31" t="str">
        <x:v>Barclays</x:v>
      </x:c>
      <x:c r="F369" s="31" t="str">
        <x:v>IBD / GCM</x:v>
      </x:c>
      <x:c r="G369" s="31" t="str">
        <x:v>have you used chinese in your prev internships?</x:v>
      </x:c>
    </x:row>
    <x:row r="370" ht="34" customHeight="1">
      <x:c r="A370" s="30" t="str">
        <x:v>CL0366</x:v>
      </x:c>
      <x:c r="B370" s="31" t="str">
        <x:v>HK market – bear market, what do you think about the HK market in the future</x:v>
      </x:c>
      <x:c r="C370" s="31" t="str">
        <x:v>Markets &amp; Macro</x:v>
      </x:c>
      <x:c r="D370" s="69" t="n">
        <x:f>COUNTIF('All Questions'!$G$5:$G$1725,A370)</x:f>
        <x:v>1</x:v>
      </x:c>
      <x:c r="E370" s="31" t="str">
        <x:v>Jefferies</x:v>
      </x:c>
      <x:c r="F370" s="31" t="str">
        <x:v>IBD / GCM</x:v>
      </x:c>
      <x:c r="G370" s="31" t="str">
        <x:v>HK market – bear market, what do you think about the HK market in the future?</x:v>
      </x:c>
    </x:row>
    <x:row r="371" ht="34" customHeight="1">
      <x:c r="A371" s="30" t="str">
        <x:v>CL0367</x:v>
      </x:c>
      <x:c r="B371" s="31" t="str">
        <x:v>HKEX: what was your responsibility and what did you learn from it</x:v>
      </x:c>
      <x:c r="C371" s="31" t="str">
        <x:v>Resume &amp; Experience</x:v>
      </x:c>
      <x:c r="D371" s="69" t="n">
        <x:f>COUNTIF('All Questions'!$G$5:$G$1725,A371)</x:f>
        <x:v>1</x:v>
      </x:c>
      <x:c r="E371" s="31" t="str">
        <x:v>Bofa IBD</x:v>
      </x:c>
      <x:c r="F371" s="31" t="str">
        <x:v>IBD / GCM</x:v>
      </x:c>
      <x:c r="G371" s="31" t="str">
        <x:v>HKEX: what was your responsibility and what did you learn from it?</x:v>
      </x:c>
    </x:row>
    <x:row r="372" ht="34" customHeight="1">
      <x:c r="A372" s="30" t="str">
        <x:v>CL0368</x:v>
      </x:c>
      <x:c r="B372" s="31" t="str">
        <x:v>How a deal couldn't get listed, factors</x:v>
      </x:c>
      <x:c r="C372" s="31" t="str">
        <x:v>Company, Industry &amp; Deals</x:v>
      </x:c>
      <x:c r="D372" s="69" t="n">
        <x:f>COUNTIF('All Questions'!$G$5:$G$1725,A372)</x:f>
        <x:v>1</x:v>
      </x:c>
      <x:c r="E372" s="31" t="str">
        <x:v>MS GCM</x:v>
      </x:c>
      <x:c r="F372" s="31" t="str">
        <x:v>IBD / GCM</x:v>
      </x:c>
      <x:c r="G372" s="31" t="str">
        <x:v>how a deal couldn't get listed, factors?</x:v>
      </x:c>
    </x:row>
    <x:row r="373" ht="34" customHeight="1">
      <x:c r="A373" s="30" t="str">
        <x:v>CL0369</x:v>
      </x:c>
      <x:c r="B373" s="31" t="str">
        <x:v>How about buy-side, difference</x:v>
      </x:c>
      <x:c r="C373" s="31" t="str">
        <x:v>M&amp;A</x:v>
      </x:c>
      <x:c r="D373" s="69" t="n">
        <x:f>COUNTIF('All Questions'!$G$5:$G$1725,A373)</x:f>
        <x:v>1</x:v>
      </x:c>
      <x:c r="E373" s="31" t="str">
        <x:v>BNP Paribas</x:v>
      </x:c>
      <x:c r="F373" s="31" t="str">
        <x:v>IBD / GCM</x:v>
      </x:c>
      <x:c r="G373" s="31" t="str">
        <x:v>How about buy-side, difference?</x:v>
      </x:c>
    </x:row>
    <x:row r="374" ht="34" customHeight="1">
      <x:c r="A374" s="30" t="str">
        <x:v>CL0370</x:v>
      </x:c>
      <x:c r="B374" s="31" t="str">
        <x:v>How about for leveraged loans</x:v>
      </x:c>
      <x:c r="C374" s="31" t="str">
        <x:v>Capital Markets &amp; Financing</x:v>
      </x:c>
      <x:c r="D374" s="69" t="n">
        <x:f>COUNTIF('All Questions'!$G$5:$G$1725,A374)</x:f>
        <x:v>1</x:v>
      </x:c>
      <x:c r="E374" s="31" t="str">
        <x:v>MS IBD</x:v>
      </x:c>
      <x:c r="F374" s="31" t="str">
        <x:v>IBD / GCM</x:v>
      </x:c>
      <x:c r="G374" s="31" t="str">
        <x:v>How about for leveraged loans</x:v>
      </x:c>
    </x:row>
    <x:row r="375" ht="34" customHeight="1">
      <x:c r="A375" s="30" t="str">
        <x:v>CL0371</x:v>
      </x:c>
      <x:c r="B375" s="31" t="str">
        <x:v>How about now its 2026, and the multiple is 9x, what should you use</x:v>
      </x:c>
      <x:c r="C375" s="31" t="str">
        <x:v>Accounting &amp; Financial Statements</x:v>
      </x:c>
      <x:c r="D375" s="69" t="n">
        <x:f>COUNTIF('All Questions'!$G$5:$G$1725,A375)</x:f>
        <x:v>1</x:v>
      </x:c>
      <x:c r="E375" s="31" t="str">
        <x:v>MS IBD</x:v>
      </x:c>
      <x:c r="F375" s="31" t="str">
        <x:v>IBD / GCM</x:v>
      </x:c>
      <x:c r="G375" s="31" t="str">
        <x:v>How about now its 2026, and the multiple is 9x, what should you use</x:v>
      </x:c>
    </x:row>
    <x:row r="376" ht="34" customHeight="1">
      <x:c r="A376" s="30" t="str">
        <x:v>CL0372</x:v>
      </x:c>
      <x:c r="B376" s="31" t="str">
        <x:v>How am i enjoying football</x:v>
      </x:c>
      <x:c r="C376" s="31" t="str">
        <x:v>Other Question</x:v>
      </x:c>
      <x:c r="D376" s="69" t="n">
        <x:f>COUNTIF('All Questions'!$G$5:$G$1725,A376)</x:f>
        <x:v>1</x:v>
      </x:c>
      <x:c r="E376" s="31" t="str">
        <x:v>JPM</x:v>
      </x:c>
      <x:c r="F376" s="31" t="str">
        <x:v>IBD / GCM</x:v>
      </x:c>
      <x:c r="G376" s="31" t="str">
        <x:v>how am i enjoying football</x:v>
      </x:c>
    </x:row>
    <x:row r="377" ht="34" customHeight="1">
      <x:c r="A377" s="30" t="str">
        <x:v>CL0373</x:v>
      </x:c>
      <x:c r="B377" s="31" t="str">
        <x:v>How are the 3 FS linked together</x:v>
      </x:c>
      <x:c r="C377" s="31" t="str">
        <x:v>Other Question</x:v>
      </x:c>
      <x:c r="D377" s="69" t="n">
        <x:f>COUNTIF('All Questions'!$G$5:$G$1725,A377)</x:f>
        <x:v>1</x:v>
      </x:c>
      <x:c r="E377" s="31" t="str">
        <x:v>Jefferies</x:v>
      </x:c>
      <x:c r="F377" s="31" t="str">
        <x:v>IBD / GCM</x:v>
      </x:c>
      <x:c r="G377" s="31" t="str">
        <x:v>How are the 3 FS linked together?</x:v>
      </x:c>
    </x:row>
    <x:row r="378" ht="34" customHeight="1">
      <x:c r="A378" s="30" t="str">
        <x:v>CL0374</x:v>
      </x:c>
      <x:c r="B378" s="31" t="str">
        <x:v>How chinese drug company grow big globally</x:v>
      </x:c>
      <x:c r="C378" s="31" t="str">
        <x:v>Company, Industry &amp; Deals</x:v>
      </x:c>
      <x:c r="D378" s="69" t="n">
        <x:f>COUNTIF('All Questions'!$G$5:$G$1725,A378)</x:f>
        <x:v>1</x:v>
      </x:c>
      <x:c r="E378" s="31" t="str">
        <x:v>MS GCM</x:v>
      </x:c>
      <x:c r="F378" s="31" t="str">
        <x:v>IBD / GCM</x:v>
      </x:c>
      <x:c r="G378" s="31" t="str">
        <x:v>how chinese drug company grow big globally?</x:v>
      </x:c>
    </x:row>
    <x:row r="379" ht="34" customHeight="1">
      <x:c r="A379" s="30" t="str">
        <x:v>CL0375</x:v>
      </x:c>
      <x:c r="B379" s="31" t="str">
        <x:v>How did I get into finance</x:v>
      </x:c>
      <x:c r="C379" s="31" t="str">
        <x:v>Other Technical</x:v>
      </x:c>
      <x:c r="D379" s="69" t="n">
        <x:f>COUNTIF('All Questions'!$G$5:$G$1725,A379)</x:f>
        <x:v>1</x:v>
      </x:c>
      <x:c r="E379" s="31" t="str">
        <x:v>GS DCMECM</x:v>
      </x:c>
      <x:c r="F379" s="31" t="str">
        <x:v>IBD / GCM</x:v>
      </x:c>
      <x:c r="G379" s="31" t="str">
        <x:v>How did I get into finance</x:v>
      </x:c>
    </x:row>
    <x:row r="380" ht="34" customHeight="1">
      <x:c r="A380" s="30" t="str">
        <x:v>CL0376</x:v>
      </x:c>
      <x:c r="B380" s="31" t="str">
        <x:v>How did i valuate for AIBC case com</x:v>
      </x:c>
      <x:c r="C380" s="31" t="str">
        <x:v>Other Question</x:v>
      </x:c>
      <x:c r="D380" s="69" t="n">
        <x:f>COUNTIF('All Questions'!$G$5:$G$1725,A380)</x:f>
        <x:v>1</x:v>
      </x:c>
      <x:c r="E380" s="31" t="str">
        <x:v>JPM</x:v>
      </x:c>
      <x:c r="F380" s="31" t="str">
        <x:v>IBD / GCM</x:v>
      </x:c>
      <x:c r="G380" s="31" t="str">
        <x:v>how did i valuate for AIBC case com</x:v>
      </x:c>
    </x:row>
    <x:row r="381" ht="34" customHeight="1">
      <x:c r="A381" s="30" t="str">
        <x:v>CL0377</x:v>
      </x:c>
      <x:c r="B381" s="31" t="str">
        <x:v>How did u build the DCF model for BYD</x:v>
      </x:c>
      <x:c r="C381" s="31" t="str">
        <x:v>Valuation</x:v>
      </x:c>
      <x:c r="D381" s="69" t="n">
        <x:f>COUNTIF('All Questions'!$G$5:$G$1725,A381)</x:f>
        <x:v>1</x:v>
      </x:c>
      <x:c r="E381" s="31" t="str">
        <x:v>Nomura</x:v>
      </x:c>
      <x:c r="F381" s="31" t="str">
        <x:v>IBD / GCM</x:v>
      </x:c>
      <x:c r="G381" s="31" t="str">
        <x:v>How did u build the DCF model for BYD</x:v>
      </x:c>
    </x:row>
    <x:row r="382" ht="34" customHeight="1">
      <x:c r="A382" s="30" t="str">
        <x:v>CL0378</x:v>
      </x:c>
      <x:c r="B382" s="31" t="str">
        <x:v>How did you build up the revenue forecast/model</x:v>
      </x:c>
      <x:c r="C382" s="31" t="str">
        <x:v>Company, Industry &amp; Deals</x:v>
      </x:c>
      <x:c r="D382" s="69" t="n">
        <x:f>COUNTIF('All Questions'!$G$5:$G$1725,A382)</x:f>
        <x:v>1</x:v>
      </x:c>
      <x:c r="E382" s="31" t="str">
        <x:v>BNP Paribas</x:v>
      </x:c>
      <x:c r="F382" s="31" t="str">
        <x:v>IBD / GCM</x:v>
      </x:c>
      <x:c r="G382" s="31" t="str">
        <x:v>How did you build up the revenue forecast/model?</x:v>
      </x:c>
    </x:row>
    <x:row r="383" ht="34" customHeight="1">
      <x:c r="A383" s="30" t="str">
        <x:v>CL0379</x:v>
      </x:c>
      <x:c r="B383" s="31" t="str">
        <x:v>How did you contribute to the financial model</x:v>
      </x:c>
      <x:c r="C383" s="31" t="str">
        <x:v>Other Technical</x:v>
      </x:c>
      <x:c r="D383" s="69" t="n">
        <x:f>COUNTIF('All Questions'!$G$5:$G$1725,A383)</x:f>
        <x:v>1</x:v>
      </x:c>
      <x:c r="E383" s="31" t="str">
        <x:v>Barclays</x:v>
      </x:c>
      <x:c r="F383" s="31" t="str">
        <x:v>IBD / GCM</x:v>
      </x:c>
      <x:c r="G383" s="31" t="str">
        <x:v>How did you contribute to the financial model?</x:v>
      </x:c>
    </x:row>
    <x:row r="384" ht="34" customHeight="1">
      <x:c r="A384" s="30" t="str">
        <x:v>CL0380</x:v>
      </x:c>
      <x:c r="B384" s="31" t="str">
        <x:v>How did you do company comparable analysis for the companies you looked at</x:v>
      </x:c>
      <x:c r="C384" s="31" t="str">
        <x:v>Valuation</x:v>
      </x:c>
      <x:c r="D384" s="69" t="n">
        <x:f>COUNTIF('All Questions'!$G$5:$G$1725,A384)</x:f>
        <x:v>1</x:v>
      </x:c>
      <x:c r="E384" s="31" t="str">
        <x:v>UBS IBD</x:v>
      </x:c>
      <x:c r="F384" s="31" t="str">
        <x:v>IBD / GCM</x:v>
      </x:c>
      <x:c r="G384" s="31" t="str">
        <x:v>How did you do company comparable analysis for the companies you looked at</x:v>
      </x:c>
    </x:row>
    <x:row r="385" ht="34" customHeight="1">
      <x:c r="A385" s="30" t="str">
        <x:v>CL0381</x:v>
      </x:c>
      <x:c r="B385" s="31" t="str">
        <x:v>How did you do comps analysis for the international school platform</x:v>
      </x:c>
      <x:c r="C385" s="31" t="str">
        <x:v>Resume &amp; Experience</x:v>
      </x:c>
      <x:c r="D385" s="69" t="n">
        <x:f>COUNTIF('All Questions'!$G$5:$G$1725,A385)</x:f>
        <x:v>1</x:v>
      </x:c>
      <x:c r="E385" s="31" t="str">
        <x:v>Bofa IBD</x:v>
      </x:c>
      <x:c r="F385" s="31" t="str">
        <x:v>IBD / GCM</x:v>
      </x:c>
      <x:c r="G385" s="31" t="str">
        <x:v>How did you do comps analysis for the international school platform?</x:v>
      </x:c>
    </x:row>
    <x:row r="386" ht="34" customHeight="1">
      <x:c r="A386" s="30" t="str">
        <x:v>CL0382</x:v>
      </x:c>
      <x:c r="B386" s="31" t="str">
        <x:v>How did you do DCF for the energy storage company in ur ER internship</x:v>
      </x:c>
      <x:c r="C386" s="31" t="str">
        <x:v>Resume &amp; Experience</x:v>
      </x:c>
      <x:c r="D386" s="69" t="n">
        <x:f>COUNTIF('All Questions'!$G$5:$G$1725,A386)</x:f>
        <x:v>1</x:v>
      </x:c>
      <x:c r="E386" s="31" t="str">
        <x:v>Moelis</x:v>
      </x:c>
      <x:c r="F386" s="31" t="str">
        <x:v>IBD / GCM</x:v>
      </x:c>
      <x:c r="G386" s="31" t="str">
        <x:v>How did you do DCF for the energy storage company in ur ER internship?</x:v>
      </x:c>
    </x:row>
    <x:row r="387" ht="34" customHeight="1">
      <x:c r="A387" s="30" t="str">
        <x:v>CL0383</x:v>
      </x:c>
      <x:c r="B387" s="31" t="str">
        <x:v>How did you do revenue and cost breakdown for it</x:v>
      </x:c>
      <x:c r="C387" s="31" t="str">
        <x:v>Company, Industry &amp; Deals</x:v>
      </x:c>
      <x:c r="D387" s="69" t="n">
        <x:f>COUNTIF('All Questions'!$G$5:$G$1725,A387)</x:f>
        <x:v>1</x:v>
      </x:c>
      <x:c r="E387" s="31" t="str">
        <x:v>UBS IBD</x:v>
      </x:c>
      <x:c r="F387" s="31" t="str">
        <x:v>IBD / GCM</x:v>
      </x:c>
      <x:c r="G387" s="31" t="str">
        <x:v>How did you do revenue and cost breakdown for it?</x:v>
      </x:c>
    </x:row>
    <x:row r="388" ht="34" customHeight="1">
      <x:c r="A388" s="30" t="str">
        <x:v>CL0384</x:v>
      </x:c>
      <x:c r="B388" s="31" t="str">
        <x:v>How did you do the model for your equity research internship</x:v>
      </x:c>
      <x:c r="C388" s="31" t="str">
        <x:v>Resume &amp; Experience</x:v>
      </x:c>
      <x:c r="D388" s="69" t="n">
        <x:f>COUNTIF('All Questions'!$G$5:$G$1725,A388)</x:f>
        <x:v>1</x:v>
      </x:c>
      <x:c r="E388" s="31" t="str">
        <x:v>Barclays</x:v>
      </x:c>
      <x:c r="F388" s="31" t="str">
        <x:v>IBD / GCM</x:v>
      </x:c>
      <x:c r="G388" s="31" t="str">
        <x:v>How did you do the model for your equity research internship</x:v>
      </x:c>
    </x:row>
    <x:row r="389" ht="34" customHeight="1">
      <x:c r="A389" s="30" t="str">
        <x:v>CL0385</x:v>
      </x:c>
      <x:c r="B389" s="31" t="str">
        <x:v>How did you do the valuation</x:v>
      </x:c>
      <x:c r="C389" s="31" t="str">
        <x:v>Valuation</x:v>
      </x:c>
      <x:c r="D389" s="69" t="n">
        <x:f>COUNTIF('All Questions'!$G$5:$G$1725,A389)</x:f>
        <x:v>1</x:v>
      </x:c>
      <x:c r="E389" s="31" t="str">
        <x:v>Moelis</x:v>
      </x:c>
      <x:c r="F389" s="31" t="str">
        <x:v>IBD / GCM</x:v>
      </x:c>
      <x:c r="G389" s="31" t="str">
        <x:v>How did you do the valuation?</x:v>
      </x:c>
    </x:row>
    <x:row r="390" ht="34" customHeight="1">
      <x:c r="A390" s="30" t="str">
        <x:v>CL0386</x:v>
      </x:c>
      <x:c r="B390" s="31" t="str">
        <x:v>How did you do valuation for the target company</x:v>
      </x:c>
      <x:c r="C390" s="31" t="str">
        <x:v>Valuation</x:v>
      </x:c>
      <x:c r="D390" s="69" t="n">
        <x:f>COUNTIF('All Questions'!$G$5:$G$1725,A390)</x:f>
        <x:v>1</x:v>
      </x:c>
      <x:c r="E390" s="31" t="str">
        <x:v>Barclays</x:v>
      </x:c>
      <x:c r="F390" s="31" t="str">
        <x:v>IBD / GCM</x:v>
      </x:c>
      <x:c r="G390" s="31" t="str">
        <x:v>How did you do valuation for the target company</x:v>
      </x:c>
    </x:row>
    <x:row r="391" ht="34" customHeight="1">
      <x:c r="A391" s="30" t="str">
        <x:v>CL0387</x:v>
      </x:c>
      <x:c r="B391" s="31" t="str">
        <x:v>How did you do valuation in the project</x:v>
      </x:c>
      <x:c r="C391" s="31" t="str">
        <x:v>Valuation</x:v>
      </x:c>
      <x:c r="D391" s="69" t="n">
        <x:f>COUNTIF('All Questions'!$G$5:$G$1725,A391)</x:f>
        <x:v>1</x:v>
      </x:c>
      <x:c r="E391" s="31" t="str">
        <x:v>Nomura</x:v>
      </x:c>
      <x:c r="F391" s="31" t="str">
        <x:v>IBD / GCM</x:v>
      </x:c>
      <x:c r="G391" s="31" t="str">
        <x:v>how did you do valuation in the project</x:v>
      </x:c>
    </x:row>
    <x:row r="392" ht="34" customHeight="1">
      <x:c r="A392" s="30" t="str">
        <x:v>CL0388</x:v>
      </x:c>
      <x:c r="B392" s="31" t="str">
        <x:v>How did you find the forecast numbers</x:v>
      </x:c>
      <x:c r="C392" s="31" t="str">
        <x:v>Other Question</x:v>
      </x:c>
      <x:c r="D392" s="69" t="n">
        <x:f>COUNTIF('All Questions'!$G$5:$G$1725,A392)</x:f>
        <x:v>1</x:v>
      </x:c>
      <x:c r="E392" s="31" t="str">
        <x:v>Moelis</x:v>
      </x:c>
      <x:c r="F392" s="31" t="str">
        <x:v>IBD / GCM</x:v>
      </x:c>
      <x:c r="G392" s="31" t="str">
        <x:v>How did you find the forecast numbers?</x:v>
      </x:c>
    </x:row>
    <x:row r="393" ht="34" customHeight="1">
      <x:c r="A393" s="30" t="str">
        <x:v>CL0389</x:v>
      </x:c>
      <x:c r="B393" s="31" t="str">
        <x:v>How did you find the terminal value</x:v>
      </x:c>
      <x:c r="C393" s="31" t="str">
        <x:v>Valuation</x:v>
      </x:c>
      <x:c r="D393" s="69" t="n">
        <x:f>COUNTIF('All Questions'!$G$5:$G$1725,A393)</x:f>
        <x:v>1</x:v>
      </x:c>
      <x:c r="E393" s="31" t="str">
        <x:v>HSBC</x:v>
      </x:c>
      <x:c r="F393" s="31" t="str">
        <x:v>IBD / GCM</x:v>
      </x:c>
      <x:c r="G393" s="31" t="str">
        <x:v>how did you find the terminal value</x:v>
      </x:c>
    </x:row>
    <x:row r="394" ht="34" customHeight="1">
      <x:c r="A394" s="30" t="str">
        <x:v>CL0390</x:v>
      </x:c>
      <x:c r="B394" s="31" t="str">
        <x:v>How did you justify this company is growing faster than market average? Growth driver</x:v>
      </x:c>
      <x:c r="C394" s="31" t="str">
        <x:v>Accounting &amp; Financial Statements</x:v>
      </x:c>
      <x:c r="D394" s="69" t="n">
        <x:f>COUNTIF('All Questions'!$G$5:$G$1725,A394)</x:f>
        <x:v>1</x:v>
      </x:c>
      <x:c r="E394" s="31" t="str">
        <x:v>Bofa IBD</x:v>
      </x:c>
      <x:c r="F394" s="31" t="str">
        <x:v>IBD / GCM</x:v>
      </x:c>
      <x:c r="G394" s="31" t="str">
        <x:v>How did you justify this company is growing faster than market average? Growth driver?</x:v>
      </x:c>
    </x:row>
    <x:row r="395" ht="34" customHeight="1">
      <x:c r="A395" s="30" t="str">
        <x:v>CL0391</x:v>
      </x:c>
      <x:c r="B395" s="31" t="str">
        <x:v>How did you project the revenue</x:v>
      </x:c>
      <x:c r="C395" s="31" t="str">
        <x:v>Company, Industry &amp; Deals</x:v>
      </x:c>
      <x:c r="D395" s="69" t="n">
        <x:f>COUNTIF('All Questions'!$G$5:$G$1725,A395)</x:f>
        <x:v>1</x:v>
      </x:c>
      <x:c r="E395" s="31" t="str">
        <x:v>Lazard</x:v>
      </x:c>
      <x:c r="F395" s="31" t="str">
        <x:v>IBD / GCM</x:v>
      </x:c>
      <x:c r="G395" s="31" t="str">
        <x:v>How did you project the revenue?</x:v>
      </x:c>
    </x:row>
    <x:row r="396" ht="34" customHeight="1">
      <x:c r="A396" s="30" t="str">
        <x:v>CL0392</x:v>
      </x:c>
      <x:c r="B396" s="31" t="str">
        <x:v>How did you quantitativly contribute to the project</x:v>
      </x:c>
      <x:c r="C396" s="31" t="str">
        <x:v>Other Question</x:v>
      </x:c>
      <x:c r="D396" s="69" t="n">
        <x:f>COUNTIF('All Questions'!$G$5:$G$1725,A396)</x:f>
        <x:v>1</x:v>
      </x:c>
      <x:c r="E396" s="31" t="str">
        <x:v>Barclays</x:v>
      </x:c>
      <x:c r="F396" s="31" t="str">
        <x:v>IBD / GCM</x:v>
      </x:c>
      <x:c r="G396" s="31" t="str">
        <x:v>How did you quantitativly contribute to the project?</x:v>
      </x:c>
    </x:row>
    <x:row r="397" ht="34" customHeight="1">
      <x:c r="A397" s="30" t="str">
        <x:v>CL0393</x:v>
      </x:c>
      <x:c r="B397" s="31" t="str">
        <x:v>How did you secure the internships (i said cold email)</x:v>
      </x:c>
      <x:c r="C397" s="31" t="str">
        <x:v>Resume &amp; Experience</x:v>
      </x:c>
      <x:c r="D397" s="69" t="n">
        <x:f>COUNTIF('All Questions'!$G$5:$G$1725,A397)</x:f>
        <x:v>1</x:v>
      </x:c>
      <x:c r="E397" s="31" t="str">
        <x:v>Nomura</x:v>
      </x:c>
      <x:c r="F397" s="31" t="str">
        <x:v>IBD / GCM</x:v>
      </x:c>
      <x:c r="G397" s="31" t="str">
        <x:v>how did you secure the internships (i said cold email)</x:v>
      </x:c>
    </x:row>
    <x:row r="398" ht="34" customHeight="1">
      <x:c r="A398" s="30" t="str">
        <x:v>CL0394</x:v>
      </x:c>
      <x:c r="B398" s="31" t="str">
        <x:v>How do equity fund/buyout fund make money</x:v>
      </x:c>
      <x:c r="C398" s="31" t="str">
        <x:v>Private Equity &amp; LBO</x:v>
      </x:c>
      <x:c r="D398" s="69" t="n">
        <x:f>COUNTIF('All Questions'!$G$5:$G$1725,A398)</x:f>
        <x:v>1</x:v>
      </x:c>
      <x:c r="E398" s="31" t="str">
        <x:v>MS IBD</x:v>
      </x:c>
      <x:c r="F398" s="31" t="str">
        <x:v>IBD / GCM</x:v>
      </x:c>
      <x:c r="G398" s="31" t="str">
        <x:v>How do equity fund/buyout fund make money</x:v>
      </x:c>
    </x:row>
    <x:row r="399" ht="34" customHeight="1">
      <x:c r="A399" s="30" t="str">
        <x:v>CL0395</x:v>
      </x:c>
      <x:c r="B399" s="31" t="str">
        <x:v>How do to comparable company analysis and your choice of multiples</x:v>
      </x:c>
      <x:c r="C399" s="31" t="str">
        <x:v>Valuation</x:v>
      </x:c>
      <x:c r="D399" s="69" t="n">
        <x:f>COUNTIF('All Questions'!$G$5:$G$1725,A399)</x:f>
        <x:v>1</x:v>
      </x:c>
      <x:c r="E399" s="31" t="str">
        <x:v>Bofa IBD</x:v>
      </x:c>
      <x:c r="F399" s="31" t="str">
        <x:v>IBD / GCM</x:v>
      </x:c>
      <x:c r="G399" s="31" t="str">
        <x:v>How do to comparable company analysis and your choice of multiples</x:v>
      </x:c>
    </x:row>
    <x:row r="400" ht="34" customHeight="1">
      <x:c r="A400" s="30" t="str">
        <x:v>CL0396</x:v>
      </x:c>
      <x:c r="B400" s="31" t="str">
        <x:v>How do u see the AM landscape? Digitalization</x:v>
      </x:c>
      <x:c r="C400" s="31" t="str">
        <x:v>Wealth &amp; Asset Management</x:v>
      </x:c>
      <x:c r="D400" s="69" t="n">
        <x:f>COUNTIF('All Questions'!$G$5:$G$1725,A400)</x:f>
        <x:v>1</x:v>
      </x:c>
      <x:c r="E400" s="31" t="str">
        <x:v>JPM AM</x:v>
      </x:c>
      <x:c r="F400" s="31" t="str">
        <x:v>PWM / AM</x:v>
      </x:c>
      <x:c r="G400" s="31" t="str">
        <x:v>How do u see the AM landscape? Digitalization?</x:v>
      </x:c>
    </x:row>
    <x:row r="401" ht="34" customHeight="1">
      <x:c r="A401" s="30" t="str">
        <x:v>CL0397</x:v>
      </x:c>
      <x:c r="B401" s="31" t="str">
        <x:v>How do u usually keep updated with the market</x:v>
      </x:c>
      <x:c r="C401" s="31" t="str">
        <x:v>Other Question</x:v>
      </x:c>
      <x:c r="D401" s="69" t="n">
        <x:f>COUNTIF('All Questions'!$G$5:$G$1725,A401)</x:f>
        <x:v>1</x:v>
      </x:c>
      <x:c r="E401" s="31" t="str">
        <x:v>Barclays GM</x:v>
      </x:c>
      <x:c r="F401" s="31" t="str">
        <x:v>Sales &amp; Trading</x:v>
      </x:c>
      <x:c r="G401" s="31" t="str">
        <x:v>How do u usually keep updated with the market?</x:v>
      </x:c>
    </x:row>
    <x:row r="402" ht="34" customHeight="1">
      <x:c r="A402" s="30" t="str">
        <x:v>CL0398</x:v>
      </x:c>
      <x:c r="B402" s="31" t="str">
        <x:v>How do you account for cash in net working capital</x:v>
      </x:c>
      <x:c r="C402" s="31" t="str">
        <x:v>Accounting &amp; Financial Statements</x:v>
      </x:c>
      <x:c r="D402" s="69" t="n">
        <x:f>COUNTIF('All Questions'!$G$5:$G$1725,A402)</x:f>
        <x:v>1</x:v>
      </x:c>
      <x:c r="E402" s="31" t="str">
        <x:v>Bofa IBD</x:v>
      </x:c>
      <x:c r="F402" s="31" t="str">
        <x:v>IBD / GCM</x:v>
      </x:c>
      <x:c r="G402" s="31" t="str">
        <x:v>How do you account for cash in net working capital?</x:v>
      </x:c>
    </x:row>
    <x:row r="403" ht="34" customHeight="1">
      <x:c r="A403" s="30" t="str">
        <x:v>CL0399</x:v>
      </x:c>
      <x:c r="B403" s="31" t="str">
        <x:v>How do you account for equity investment in net working capital</x:v>
      </x:c>
      <x:c r="C403" s="31" t="str">
        <x:v>Accounting &amp; Financial Statements</x:v>
      </x:c>
      <x:c r="D403" s="69" t="n">
        <x:f>COUNTIF('All Questions'!$G$5:$G$1725,A403)</x:f>
        <x:v>1</x:v>
      </x:c>
      <x:c r="E403" s="31" t="str">
        <x:v>Bofa IBD</x:v>
      </x:c>
      <x:c r="F403" s="31" t="str">
        <x:v>IBD / GCM</x:v>
      </x:c>
      <x:c r="G403" s="31" t="str">
        <x:v>How do you account for equity investment in net working capital?</x:v>
      </x:c>
    </x:row>
    <x:row r="404" ht="34" customHeight="1">
      <x:c r="A404" s="30" t="str">
        <x:v>CL0400</x:v>
      </x:c>
      <x:c r="B404" s="31" t="str">
        <x:v>How do you assess the performance of a company</x:v>
      </x:c>
      <x:c r="C404" s="31" t="str">
        <x:v>Company, Industry &amp; Deals</x:v>
      </x:c>
      <x:c r="D404" s="69" t="n">
        <x:f>COUNTIF('All Questions'!$G$5:$G$1725,A404)</x:f>
        <x:v>1</x:v>
      </x:c>
      <x:c r="E404" s="31" t="str">
        <x:v>MS GCM</x:v>
      </x:c>
      <x:c r="F404" s="31" t="str">
        <x:v>IBD / GCM</x:v>
      </x:c>
      <x:c r="G404" s="31" t="str">
        <x:v>how do you assess the performance of a company</x:v>
      </x:c>
    </x:row>
    <x:row r="405" ht="34" customHeight="1">
      <x:c r="A405" s="30" t="str">
        <x:v>CL0401</x:v>
      </x:c>
      <x:c r="B405" s="31" t="str">
        <x:v>How do you calculate the value of preferred shares</x:v>
      </x:c>
      <x:c r="C405" s="31" t="str">
        <x:v>Private Equity &amp; LBO</x:v>
      </x:c>
      <x:c r="D405" s="69" t="n">
        <x:f>COUNTIF('All Questions'!$G$5:$G$1725,A405)</x:f>
        <x:v>1</x:v>
      </x:c>
      <x:c r="E405" s="31" t="str">
        <x:v>Bofa IBD</x:v>
      </x:c>
      <x:c r="F405" s="31" t="str">
        <x:v>IBD / GCM</x:v>
      </x:c>
      <x:c r="G405" s="31" t="str">
        <x:v>How do you calculate the value of preferred shares</x:v>
      </x:c>
    </x:row>
    <x:row r="406" ht="34" customHeight="1">
      <x:c r="A406" s="30" t="str">
        <x:v>CL0402</x:v>
      </x:c>
      <x:c r="B406" s="31" t="str">
        <x:v>How do you compare DCF, EV/EBITDA, PE valuation methodology for this company</x:v>
      </x:c>
      <x:c r="C406" s="31" t="str">
        <x:v>Valuation</x:v>
      </x:c>
      <x:c r="D406" s="69" t="n">
        <x:f>COUNTIF('All Questions'!$G$5:$G$1725,A406)</x:f>
        <x:v>1</x:v>
      </x:c>
      <x:c r="E406" s="31" t="str">
        <x:v>Citi</x:v>
      </x:c>
      <x:c r="F406" s="31" t="str">
        <x:v>IBD / GCM</x:v>
      </x:c>
      <x:c r="G406" s="31" t="str">
        <x:v>How do you compare DCF, EV/EBITDA, PE valuation methodology for this company?</x:v>
      </x:c>
    </x:row>
    <x:row r="407" ht="34" customHeight="1">
      <x:c r="A407" s="30" t="str">
        <x:v>CL0403</x:v>
      </x:c>
      <x:c r="B407" s="31" t="str">
        <x:v>How do you deal with an ethical dillemma or "grey area"</x:v>
      </x:c>
      <x:c r="C407" s="31" t="str">
        <x:v>Behavioral &amp; Situational</x:v>
      </x:c>
      <x:c r="D407" s="69" t="n">
        <x:f>COUNTIF('All Questions'!$G$5:$G$1725,A407)</x:f>
        <x:v>1</x:v>
      </x:c>
      <x:c r="E407" s="31" t="str">
        <x:v>BofA (GM)</x:v>
      </x:c>
      <x:c r="F407" s="31" t="str">
        <x:v>Sales &amp; Trading</x:v>
      </x:c>
      <x:c r="G407" s="31" t="str">
        <x:v>How do you deal with an ethical dillemma or "grey area"?</x:v>
      </x:c>
    </x:row>
    <x:row r="408" ht="34" customHeight="1">
      <x:c r="A408" s="30" t="str">
        <x:v>CL0404</x:v>
      </x:c>
      <x:c r="B408" s="31" t="str">
        <x:v>How do you define value stock/growth stock</x:v>
      </x:c>
      <x:c r="C408" s="31" t="str">
        <x:v>Company, Industry &amp; Deals</x:v>
      </x:c>
      <x:c r="D408" s="69" t="n">
        <x:f>COUNTIF('All Questions'!$G$5:$G$1725,A408)</x:f>
        <x:v>1</x:v>
      </x:c>
      <x:c r="E408" s="31" t="str">
        <x:v>MS GCM</x:v>
      </x:c>
      <x:c r="F408" s="31" t="str">
        <x:v>IBD / GCM</x:v>
      </x:c>
      <x:c r="G408" s="31" t="str">
        <x:v>how do you define value stock/growth stock?</x:v>
      </x:c>
    </x:row>
    <x:row r="409" ht="34" customHeight="1">
      <x:c r="A409" s="30" t="str">
        <x:v>CL0405</x:v>
      </x:c>
      <x:c r="B409" s="31" t="str">
        <x:v>How do you dissect and understand an industry</x:v>
      </x:c>
      <x:c r="C409" s="31" t="str">
        <x:v>Company, Industry &amp; Deals</x:v>
      </x:c>
      <x:c r="D409" s="69" t="n">
        <x:f>COUNTIF('All Questions'!$G$5:$G$1725,A409)</x:f>
        <x:v>1</x:v>
      </x:c>
      <x:c r="E409" s="31" t="str">
        <x:v>Fountainvest</x:v>
      </x:c>
      <x:c r="F409" s="31" t="str">
        <x:v>PE / VC / Other</x:v>
      </x:c>
      <x:c r="G409" s="31" t="str">
        <x:v>How do you dissect and understand an industry?</x:v>
      </x:c>
    </x:row>
    <x:row r="410" ht="34" customHeight="1">
      <x:c r="A410" s="30" t="str">
        <x:v>CL0406</x:v>
      </x:c>
      <x:c r="B410" s="31" t="str">
        <x:v>How do you do dcf</x:v>
      </x:c>
      <x:c r="C410" s="31" t="str">
        <x:v>Valuation</x:v>
      </x:c>
      <x:c r="D410" s="69" t="n">
        <x:f>COUNTIF('All Questions'!$G$5:$G$1725,A410)</x:f>
        <x:v>1</x:v>
      </x:c>
      <x:c r="E410" s="31" t="str">
        <x:v>JPM</x:v>
      </x:c>
      <x:c r="F410" s="31" t="str">
        <x:v>IBD / GCM</x:v>
      </x:c>
      <x:c r="G410" s="31" t="str">
        <x:v>how do you do dcf</x:v>
      </x:c>
    </x:row>
    <x:row r="411" ht="34" customHeight="1">
      <x:c r="A411" s="30" t="str">
        <x:v>CL0407</x:v>
      </x:c>
      <x:c r="B411" s="31" t="str">
        <x:v>How do you do the buyer research for project 1</x:v>
      </x:c>
      <x:c r="C411" s="31" t="str">
        <x:v>M&amp;A</x:v>
      </x:c>
      <x:c r="D411" s="69" t="n">
        <x:f>COUNTIF('All Questions'!$G$5:$G$1725,A411)</x:f>
        <x:v>1</x:v>
      </x:c>
      <x:c r="E411" s="31" t="str">
        <x:v>Lazard</x:v>
      </x:c>
      <x:c r="F411" s="31" t="str">
        <x:v>IBD / GCM</x:v>
      </x:c>
      <x:c r="G411" s="31" t="str">
        <x:v>How do you do the buyer research for project 1</x:v>
      </x:c>
    </x:row>
    <x:row r="412" ht="34" customHeight="1">
      <x:c r="A412" s="30" t="str">
        <x:v>CL0408</x:v>
      </x:c>
      <x:c r="B412" s="31" t="str">
        <x:v>How do you do you find comparable companies</x:v>
      </x:c>
      <x:c r="C412" s="31" t="str">
        <x:v>Valuation</x:v>
      </x:c>
      <x:c r="D412" s="69" t="n">
        <x:f>COUNTIF('All Questions'!$G$5:$G$1725,A412)</x:f>
        <x:v>1</x:v>
      </x:c>
      <x:c r="E412" s="31" t="str">
        <x:v>UBS IBD</x:v>
      </x:c>
      <x:c r="F412" s="31" t="str">
        <x:v>IBD / GCM</x:v>
      </x:c>
      <x:c r="G412" s="31" t="str">
        <x:v>How do you do you find comparable companies</x:v>
      </x:c>
    </x:row>
    <x:row r="413" ht="34" customHeight="1">
      <x:c r="A413" s="30" t="str">
        <x:v>CL0409</x:v>
      </x:c>
      <x:c r="B413" s="31" t="str">
        <x:v>How do you enhance personal growth? What habits do you cultivate</x:v>
      </x:c>
      <x:c r="C413" s="31" t="str">
        <x:v>Company, Industry &amp; Deals</x:v>
      </x:c>
      <x:c r="D413" s="69" t="n">
        <x:f>COUNTIF('All Questions'!$G$5:$G$1725,A413)</x:f>
        <x:v>1</x:v>
      </x:c>
      <x:c r="E413" s="31" t="str">
        <x:v>Barclays</x:v>
      </x:c>
      <x:c r="F413" s="31" t="str">
        <x:v>IBD / GCM</x:v>
      </x:c>
      <x:c r="G413" s="31" t="str">
        <x:v>How do you enhance personal growth? What habits do you cultivate?</x:v>
      </x:c>
    </x:row>
    <x:row r="414" ht="34" customHeight="1">
      <x:c r="A414" s="30" t="str">
        <x:v>CL0410</x:v>
      </x:c>
      <x:c r="B414" s="31" t="str">
        <x:v>How do you find cost of debt</x:v>
      </x:c>
      <x:c r="C414" s="31" t="str">
        <x:v>Valuation</x:v>
      </x:c>
      <x:c r="D414" s="69" t="n">
        <x:f>COUNTIF('All Questions'!$G$5:$G$1725,A414)</x:f>
        <x:v>1</x:v>
      </x:c>
      <x:c r="E414" s="31" t="str">
        <x:v>UBS IBD</x:v>
      </x:c>
      <x:c r="F414" s="31" t="str">
        <x:v>IBD / GCM</x:v>
      </x:c>
      <x:c r="G414" s="31" t="str">
        <x:v>How do you find cost of debt?</x:v>
      </x:c>
    </x:row>
    <x:row r="415" ht="34" customHeight="1">
      <x:c r="A415" s="30" t="str">
        <x:v>CL0411</x:v>
      </x:c>
      <x:c r="B415" s="31" t="str">
        <x:v>How do you find the difference between management consulting and investment banking</x:v>
      </x:c>
      <x:c r="C415" s="31" t="str">
        <x:v>Other Question</x:v>
      </x:c>
      <x:c r="D415" s="69" t="n">
        <x:f>COUNTIF('All Questions'!$G$5:$G$1725,A415)</x:f>
        <x:v>1</x:v>
      </x:c>
      <x:c r="E415" s="31" t="str">
        <x:v>Jefferies</x:v>
      </x:c>
      <x:c r="F415" s="31" t="str">
        <x:v>IBD / GCM</x:v>
      </x:c>
      <x:c r="G415" s="31" t="str">
        <x:v>How do you find the difference between management consulting and investment banking?</x:v>
      </x:c>
    </x:row>
    <x:row r="416" ht="34" customHeight="1">
      <x:c r="A416" s="30" t="str">
        <x:v>CL0412</x:v>
      </x:c>
      <x:c r="B416" s="31" t="str">
        <x:v>How do you find the FCF of 2022E</x:v>
      </x:c>
      <x:c r="C416" s="31" t="str">
        <x:v>Other Question</x:v>
      </x:c>
      <x:c r="D416" s="69" t="n">
        <x:f>COUNTIF('All Questions'!$G$5:$G$1725,A416)</x:f>
        <x:v>1</x:v>
      </x:c>
      <x:c r="E416" s="31" t="str">
        <x:v>UBS IBD</x:v>
      </x:c>
      <x:c r="F416" s="31" t="str">
        <x:v>IBD / GCM</x:v>
      </x:c>
      <x:c r="G416" s="31" t="str">
        <x:v>How do you find the FCF of 2022E</x:v>
      </x:c>
    </x:row>
    <x:row r="417" ht="34" customHeight="1">
      <x:c r="A417" s="30" t="str">
        <x:v>CL0413</x:v>
      </x:c>
      <x:c r="B417" s="31" t="str">
        <x:v>How do you forecast revenue of the company? What is the revenue</x:v>
      </x:c>
      <x:c r="C417" s="31" t="str">
        <x:v>Accounting &amp; Financial Statements</x:v>
      </x:c>
      <x:c r="D417" s="69" t="n">
        <x:f>COUNTIF('All Questions'!$G$5:$G$1725,A417)</x:f>
        <x:v>1</x:v>
      </x:c>
      <x:c r="E417" s="31" t="str">
        <x:v>CDH</x:v>
      </x:c>
      <x:c r="F417" s="31" t="str">
        <x:v>PE / VC / Other</x:v>
      </x:c>
      <x:c r="G417" s="31" t="str">
        <x:v>How do you forecast revenue of the company? What is the revenue?</x:v>
      </x:c>
    </x:row>
    <x:row r="418" ht="34" customHeight="1">
      <x:c r="A418" s="30" t="str">
        <x:v>CL0414</x:v>
      </x:c>
      <x:c r="B418" s="31" t="str">
        <x:v>How do you get beta (levered/unlevered)</x:v>
      </x:c>
      <x:c r="C418" s="31" t="str">
        <x:v>Valuation</x:v>
      </x:c>
      <x:c r="D418" s="69" t="n">
        <x:f>COUNTIF('All Questions'!$G$5:$G$1725,A418)</x:f>
        <x:v>1</x:v>
      </x:c>
      <x:c r="E418" s="31" t="str">
        <x:v>BNP Paribas</x:v>
      </x:c>
      <x:c r="F418" s="31" t="str">
        <x:v>IBD / GCM</x:v>
      </x:c>
      <x:c r="G418" s="31" t="str">
        <x:v>How do you get beta (levered/unlevered)</x:v>
      </x:c>
    </x:row>
    <x:row r="419" ht="34" customHeight="1">
      <x:c r="A419" s="30" t="str">
        <x:v>CL0415</x:v>
      </x:c>
      <x:c r="B419" s="31" t="str">
        <x:v>How do you get enterprise value from levered fcf</x:v>
      </x:c>
      <x:c r="C419" s="31" t="str">
        <x:v>Valuation</x:v>
      </x:c>
      <x:c r="D419" s="69" t="n">
        <x:f>COUNTIF('All Questions'!$G$5:$G$1725,A419)</x:f>
        <x:v>1</x:v>
      </x:c>
      <x:c r="E419" s="31" t="str">
        <x:v>Barclays</x:v>
      </x:c>
      <x:c r="F419" s="31" t="str">
        <x:v>IBD / GCM</x:v>
      </x:c>
      <x:c r="G419" s="31" t="str">
        <x:v>How do you get enterprise value from levered fcf</x:v>
      </x:c>
    </x:row>
    <x:row r="420" ht="34" customHeight="1">
      <x:c r="A420" s="30" t="str">
        <x:v>CL0416</x:v>
      </x:c>
      <x:c r="B420" s="31" t="str">
        <x:v>How do you know the person who referred you</x:v>
      </x:c>
      <x:c r="C420" s="31" t="str">
        <x:v>Other Question</x:v>
      </x:c>
      <x:c r="D420" s="69" t="n">
        <x:f>COUNTIF('All Questions'!$G$5:$G$1725,A420)</x:f>
        <x:v>1</x:v>
      </x:c>
      <x:c r="E420" s="31" t="str">
        <x:v>CDH</x:v>
      </x:c>
      <x:c r="F420" s="31" t="str">
        <x:v>PE / VC / Other</x:v>
      </x:c>
      <x:c r="G420" s="31" t="str">
        <x:v>How do you know the person who referred you?</x:v>
      </x:c>
    </x:row>
    <x:row r="421" ht="34" customHeight="1">
      <x:c r="A421" s="30" t="str">
        <x:v>CL0417</x:v>
      </x:c>
      <x:c r="B421" s="31" t="str">
        <x:v>How do you like about HK</x:v>
      </x:c>
      <x:c r="C421" s="31" t="str">
        <x:v>Other Question</x:v>
      </x:c>
      <x:c r="D421" s="69" t="n">
        <x:f>COUNTIF('All Questions'!$G$5:$G$1725,A421)</x:f>
        <x:v>1</x:v>
      </x:c>
      <x:c r="E421" s="31" t="str">
        <x:v>Deutsche</x:v>
      </x:c>
      <x:c r="F421" s="31" t="str">
        <x:v>IBD / GCM</x:v>
      </x:c>
      <x:c r="G421" s="31" t="str">
        <x:v>How do you like about HK?</x:v>
      </x:c>
    </x:row>
    <x:row r="422" ht="34" customHeight="1">
      <x:c r="A422" s="30" t="str">
        <x:v>CL0418</x:v>
      </x:c>
      <x:c r="B422" s="31" t="str">
        <x:v>How do you manage risks</x:v>
      </x:c>
      <x:c r="C422" s="31" t="str">
        <x:v>Other Question</x:v>
      </x:c>
      <x:c r="D422" s="69" t="n">
        <x:f>COUNTIF('All Questions'!$G$5:$G$1725,A422)</x:f>
        <x:v>1</x:v>
      </x:c>
      <x:c r="E422" s="31" t="str">
        <x:v>Barclays</x:v>
      </x:c>
      <x:c r="F422" s="31" t="str">
        <x:v>IBD / GCM</x:v>
      </x:c>
      <x:c r="G422" s="31" t="str">
        <x:v>How do you manage risks?</x:v>
      </x:c>
    </x:row>
    <x:row r="423" ht="76" customHeight="1">
      <x:c r="A423" s="30" t="str">
        <x:v>CL0419</x:v>
      </x:c>
      <x:c r="B423" s="31" t="str">
        <x:v>How do you prioritize and manage multiple tasks?</x:v>
      </x:c>
      <x:c r="C423" s="31" t="str">
        <x:v>Fit &amp; Motivation</x:v>
      </x:c>
      <x:c r="D423" s="69" t="n">
        <x:f>COUNTIF('All Questions'!$G$5:$G$1725,A423)</x:f>
        <x:v>1</x:v>
      </x:c>
      <x:c r="E423" s="31" t="str">
        <x:v>Mckinsey</x:v>
      </x:c>
      <x:c r="F423" s="31" t="str">
        <x:v>Consulting</x:v>
      </x:c>
      <x:c r="G423" s="31" t="str">
        <x:v>Q3 Given breakfact bar &amp; snack mixes share the same cutting mechine, to decide whether company need buy a second mechine, calculate how much snack mixes can be produced if prioritizing to fit breakfast bar's demand</x:v>
      </x:c>
    </x:row>
    <x:row r="424" ht="52" customHeight="1">
      <x:c r="A424" s="30" t="str">
        <x:v>CL0420</x:v>
      </x:c>
      <x:c r="B424" s="31" t="str">
        <x:v>How do you project the growth rate for revenues given you brokedown revenue by single client account</x:v>
      </x:c>
      <x:c r="C424" s="31" t="str">
        <x:v>Company, Industry &amp; Deals</x:v>
      </x:c>
      <x:c r="D424" s="69" t="n">
        <x:f>COUNTIF('All Questions'!$G$5:$G$1725,A424)</x:f>
        <x:v>1</x:v>
      </x:c>
      <x:c r="E424" s="31" t="str">
        <x:v>Bofa IBD</x:v>
      </x:c>
      <x:c r="F424" s="31" t="str">
        <x:v>IBD / GCM</x:v>
      </x:c>
      <x:c r="G424" s="31" t="str">
        <x:v>How do you project the growth rate for revenues given you brokedown revenue by single client account?</x:v>
      </x:c>
    </x:row>
    <x:row r="425" ht="34" customHeight="1">
      <x:c r="A425" s="30" t="str">
        <x:v>CL0421</x:v>
      </x:c>
      <x:c r="B425" s="31" t="str">
        <x:v>How do you see the conglomerates sector</x:v>
      </x:c>
      <x:c r="C425" s="31" t="str">
        <x:v>Company, Industry &amp; Deals</x:v>
      </x:c>
      <x:c r="D425" s="69" t="n">
        <x:f>COUNTIF('All Questions'!$G$5:$G$1725,A425)</x:f>
        <x:v>1</x:v>
      </x:c>
      <x:c r="E425" s="31" t="str">
        <x:v>Citi PB</x:v>
      </x:c>
      <x:c r="F425" s="31" t="str">
        <x:v>PWM / AM</x:v>
      </x:c>
      <x:c r="G425" s="31" t="str">
        <x:v>How do you see the conglomerates sector?</x:v>
      </x:c>
    </x:row>
    <x:row r="426" ht="34" customHeight="1">
      <x:c r="A426" s="30" t="str">
        <x:v>CL0422</x:v>
      </x:c>
      <x:c r="B426" s="31" t="str">
        <x:v>How do you see the equity market</x:v>
      </x:c>
      <x:c r="C426" s="31" t="str">
        <x:v>Markets &amp; Macro</x:v>
      </x:c>
      <x:c r="D426" s="69" t="n">
        <x:f>COUNTIF('All Questions'!$G$5:$G$1725,A426)</x:f>
        <x:v>1</x:v>
      </x:c>
      <x:c r="E426" s="31" t="str">
        <x:v>UBS IBD</x:v>
      </x:c>
      <x:c r="F426" s="31" t="str">
        <x:v>IBD / GCM</x:v>
      </x:c>
      <x:c r="G426" s="31" t="str">
        <x:v>How do you see the equity market</x:v>
      </x:c>
    </x:row>
    <x:row r="427" ht="34" customHeight="1">
      <x:c r="A427" s="30" t="str">
        <x:v>CL0423</x:v>
      </x:c>
      <x:c r="B427" s="31" t="str">
        <x:v>How do you see yourself in 3 to 5 years</x:v>
      </x:c>
      <x:c r="C427" s="31" t="str">
        <x:v>Other Question</x:v>
      </x:c>
      <x:c r="D427" s="69" t="n">
        <x:f>COUNTIF('All Questions'!$G$5:$G$1725,A427)</x:f>
        <x:v>1</x:v>
      </x:c>
      <x:c r="E427" s="31" t="str">
        <x:v>Jefferies</x:v>
      </x:c>
      <x:c r="F427" s="31" t="str">
        <x:v>IBD / GCM</x:v>
      </x:c>
      <x:c r="G427" s="31" t="str">
        <x:v>How do you see yourself in 3 to 5 years?</x:v>
      </x:c>
    </x:row>
    <x:row r="428" ht="34" customHeight="1">
      <x:c r="A428" s="30" t="str">
        <x:v>CL0424</x:v>
      </x:c>
      <x:c r="B428" s="31" t="str">
        <x:v>How do you see yourself in 5 yrs</x:v>
      </x:c>
      <x:c r="C428" s="31" t="str">
        <x:v>Other Question</x:v>
      </x:c>
      <x:c r="D428" s="69" t="n">
        <x:f>COUNTIF('All Questions'!$G$5:$G$1725,A428)</x:f>
        <x:v>1</x:v>
      </x:c>
      <x:c r="E428" s="31" t="str">
        <x:v>Nomura</x:v>
      </x:c>
      <x:c r="F428" s="31" t="str">
        <x:v>IBD / GCM</x:v>
      </x:c>
      <x:c r="G428" s="31" t="str">
        <x:v>how do you see yourself in 5 yrs</x:v>
      </x:c>
    </x:row>
    <x:row r="429" ht="34" customHeight="1">
      <x:c r="A429" s="30" t="str">
        <x:v>CL0425</x:v>
      </x:c>
      <x:c r="B429" s="31" t="str">
        <x:v>How do you see yourself short-term and long-term in ibd and pe</x:v>
      </x:c>
      <x:c r="C429" s="31" t="str">
        <x:v>Other Question</x:v>
      </x:c>
      <x:c r="D429" s="69" t="n">
        <x:f>COUNTIF('All Questions'!$G$5:$G$1725,A429)</x:f>
        <x:v>1</x:v>
      </x:c>
      <x:c r="E429" s="31" t="str">
        <x:v>Nomura</x:v>
      </x:c>
      <x:c r="F429" s="31" t="str">
        <x:v>IBD / GCM</x:v>
      </x:c>
      <x:c r="G429" s="31" t="str">
        <x:v>how do you see yourself short-term and long-term in ibd and pe</x:v>
      </x:c>
    </x:row>
    <x:row r="430" ht="34" customHeight="1">
      <x:c r="A430" s="30" t="str">
        <x:v>CL0426</x:v>
      </x:c>
      <x:c r="B430" s="31" t="str">
        <x:v>How do you split work</x:v>
      </x:c>
      <x:c r="C430" s="31" t="str">
        <x:v>Resume &amp; Experience</x:v>
      </x:c>
      <x:c r="D430" s="69" t="n">
        <x:f>COUNTIF('All Questions'!$G$5:$G$1725,A430)</x:f>
        <x:v>1</x:v>
      </x:c>
      <x:c r="E430" s="31" t="str">
        <x:v>Deutsche</x:v>
      </x:c>
      <x:c r="F430" s="31" t="str">
        <x:v>IBD / GCM</x:v>
      </x:c>
      <x:c r="G430" s="31" t="str">
        <x:v>How do you split work</x:v>
      </x:c>
    </x:row>
    <x:row r="431" ht="34" customHeight="1">
      <x:c r="A431" s="30" t="str">
        <x:v>CL0427</x:v>
      </x:c>
      <x:c r="B431" s="31" t="str">
        <x:v>How do you think of the EV market in the future</x:v>
      </x:c>
      <x:c r="C431" s="31" t="str">
        <x:v>Other Question</x:v>
      </x:c>
      <x:c r="D431" s="69" t="n">
        <x:f>COUNTIF('All Questions'!$G$5:$G$1725,A431)</x:f>
        <x:v>1</x:v>
      </x:c>
      <x:c r="E431" s="31" t="str">
        <x:v>Nomura</x:v>
      </x:c>
      <x:c r="F431" s="31" t="str">
        <x:v>IBD / GCM</x:v>
      </x:c>
      <x:c r="G431" s="31" t="str">
        <x:v>How do you think of the EV market in the future</x:v>
      </x:c>
    </x:row>
    <x:row r="432" ht="34" customHeight="1">
      <x:c r="A432" s="30" t="str">
        <x:v>CL0428</x:v>
      </x:c>
      <x:c r="B432" s="31" t="str">
        <x:v>How do you think your major has benefited you</x:v>
      </x:c>
      <x:c r="C432" s="31" t="str">
        <x:v>Fit &amp; Motivation</x:v>
      </x:c>
      <x:c r="D432" s="69" t="n">
        <x:f>COUNTIF('All Questions'!$G$5:$G$1725,A432)</x:f>
        <x:v>1</x:v>
      </x:c>
      <x:c r="E432" s="31" t="str">
        <x:v>HSBC (GM)</x:v>
      </x:c>
      <x:c r="F432" s="31" t="str">
        <x:v>Sales &amp; Trading</x:v>
      </x:c>
      <x:c r="G432" s="31" t="str">
        <x:v>how do you think your major has benefited you</x:v>
      </x:c>
    </x:row>
    <x:row r="433" ht="34" customHeight="1">
      <x:c r="A433" s="30" t="str">
        <x:v>CL0429</x:v>
      </x:c>
      <x:c r="B433" s="31" t="str">
        <x:v>How do you value mining assets</x:v>
      </x:c>
      <x:c r="C433" s="31" t="str">
        <x:v>Other Question</x:v>
      </x:c>
      <x:c r="D433" s="69" t="n">
        <x:f>COUNTIF('All Questions'!$G$5:$G$1725,A433)</x:f>
        <x:v>1</x:v>
      </x:c>
      <x:c r="E433" s="31" t="str">
        <x:v>Grant Samuel</x:v>
      </x:c>
      <x:c r="F433" s="31" t="str">
        <x:v>IBD / GCM</x:v>
      </x:c>
      <x:c r="G433" s="31" t="str">
        <x:v>How do you value mining assets</x:v>
      </x:c>
    </x:row>
    <x:row r="434" ht="34" customHeight="1">
      <x:c r="A434" s="30" t="str">
        <x:v>CL0430</x:v>
      </x:c>
      <x:c r="B434" s="31" t="str">
        <x:v>How do you view the china economy</x:v>
      </x:c>
      <x:c r="C434" s="31" t="str">
        <x:v>Other Question</x:v>
      </x:c>
      <x:c r="D434" s="69" t="n">
        <x:f>COUNTIF('All Questions'!$G$5:$G$1725,A434)</x:f>
        <x:v>1</x:v>
      </x:c>
      <x:c r="E434" s="31" t="str">
        <x:v>Nomura</x:v>
      </x:c>
      <x:c r="F434" s="31" t="str">
        <x:v>IBD / GCM</x:v>
      </x:c>
      <x:c r="G434" s="31" t="str">
        <x:v>how do you view the china economy</x:v>
      </x:c>
    </x:row>
    <x:row r="435" ht="34" customHeight="1">
      <x:c r="A435" s="30" t="str">
        <x:v>CL0431</x:v>
      </x:c>
      <x:c r="B435" s="31" t="str">
        <x:v>How do you view the recent stock rally? is it sustainable</x:v>
      </x:c>
      <x:c r="C435" s="31" t="str">
        <x:v>Accounting &amp; Financial Statements</x:v>
      </x:c>
      <x:c r="D435" s="69" t="n">
        <x:f>COUNTIF('All Questions'!$G$5:$G$1725,A435)</x:f>
        <x:v>1</x:v>
      </x:c>
      <x:c r="E435" s="31" t="str">
        <x:v>Bofa GCM</x:v>
      </x:c>
      <x:c r="F435" s="31" t="str">
        <x:v>IBD / GCM</x:v>
      </x:c>
      <x:c r="G435" s="31" t="str">
        <x:v>how do you view the recent stock rally? is it sustainable?</x:v>
      </x:c>
    </x:row>
    <x:row r="436" ht="34" customHeight="1">
      <x:c r="A436" s="30" t="str">
        <x:v>CL0432</x:v>
      </x:c>
      <x:c r="B436" s="31" t="str">
        <x:v>How does credit default swaps work, what are some other ways to hedge balance sheet exposure</x:v>
      </x:c>
      <x:c r="C436" s="31" t="str">
        <x:v>Accounting &amp; Financial Statements</x:v>
      </x:c>
      <x:c r="D436" s="69" t="n">
        <x:f>COUNTIF('All Questions'!$G$5:$G$1725,A436)</x:f>
        <x:v>1</x:v>
      </x:c>
      <x:c r="E436" s="31" t="str">
        <x:v>Citi</x:v>
      </x:c>
      <x:c r="F436" s="31" t="str">
        <x:v>IBD / GCM</x:v>
      </x:c>
      <x:c r="G436" s="31" t="str">
        <x:v>How does credit default swaps work, what are some other ways to hedge balance sheet exposure?</x:v>
      </x:c>
    </x:row>
    <x:row r="437" ht="34" customHeight="1">
      <x:c r="A437" s="30" t="str">
        <x:v>CL0433</x:v>
      </x:c>
      <x:c r="B437" s="31" t="str">
        <x:v>How does interest rate impact the stock market</x:v>
      </x:c>
      <x:c r="C437" s="31" t="str">
        <x:v>Markets &amp; Macro</x:v>
      </x:c>
      <x:c r="D437" s="69" t="n">
        <x:f>COUNTIF('All Questions'!$G$5:$G$1725,A437)</x:f>
        <x:v>1</x:v>
      </x:c>
      <x:c r="E437" s="31" t="str">
        <x:v>HSBC</x:v>
      </x:c>
      <x:c r="F437" s="31" t="str">
        <x:v>IBD / GCM</x:v>
      </x:c>
      <x:c r="G437" s="31" t="str">
        <x:v>How does interest rate impact the stock market</x:v>
      </x:c>
    </x:row>
    <x:row r="438" ht="34" customHeight="1">
      <x:c r="A438" s="30" t="str">
        <x:v>CL0434</x:v>
      </x:c>
      <x:c r="B438" s="31" t="str">
        <x:v>How does the amortizing loan work and how does bullet repayment affect the total interest costs</x:v>
      </x:c>
      <x:c r="C438" s="31" t="str">
        <x:v>Other Question</x:v>
      </x:c>
      <x:c r="D438" s="69" t="n">
        <x:f>COUNTIF('All Questions'!$G$5:$G$1725,A438)</x:f>
        <x:v>1</x:v>
      </x:c>
      <x:c r="E438" s="31" t="str">
        <x:v>Citi</x:v>
      </x:c>
      <x:c r="F438" s="31" t="str">
        <x:v>IBD / GCM</x:v>
      </x:c>
      <x:c r="G438" s="31" t="str">
        <x:v>How does the amortizing loan work and how does bullet repayment affect the total interest costs?</x:v>
      </x:c>
    </x:row>
    <x:row r="439" ht="34" customHeight="1">
      <x:c r="A439" s="30" t="str">
        <x:v>CL0435</x:v>
      </x:c>
      <x:c r="B439" s="31" t="str">
        <x:v>How does the company's cash flow look like</x:v>
      </x:c>
      <x:c r="C439" s="31" t="str">
        <x:v>Accounting &amp; Financial Statements</x:v>
      </x:c>
      <x:c r="D439" s="69" t="n">
        <x:f>COUNTIF('All Questions'!$G$5:$G$1725,A439)</x:f>
        <x:v>1</x:v>
      </x:c>
      <x:c r="E439" s="31" t="str">
        <x:v>Lazard</x:v>
      </x:c>
      <x:c r="F439" s="31" t="str">
        <x:v>IBD / GCM</x:v>
      </x:c>
      <x:c r="G439" s="31" t="str">
        <x:v>How does the company's cash flow look like?</x:v>
      </x:c>
    </x:row>
    <x:row r="440" ht="34" customHeight="1">
      <x:c r="A440" s="30" t="str">
        <x:v>CL0436</x:v>
      </x:c>
      <x:c r="B440" s="31" t="str">
        <x:v>How does this affect companies who want to issue debt, 1year ago vs now vs future</x:v>
      </x:c>
      <x:c r="C440" s="31" t="str">
        <x:v>Company, Industry &amp; Deals</x:v>
      </x:c>
      <x:c r="D440" s="69" t="n">
        <x:f>COUNTIF('All Questions'!$G$5:$G$1725,A440)</x:f>
        <x:v>1</x:v>
      </x:c>
      <x:c r="E440" s="31" t="str">
        <x:v>GS DCMECM</x:v>
      </x:c>
      <x:c r="F440" s="31" t="str">
        <x:v>IBD / GCM</x:v>
      </x:c>
      <x:c r="G440" s="31" t="str">
        <x:v>How does this affect companies who want to issue debt, 1year ago vs now vs future</x:v>
      </x:c>
    </x:row>
    <x:row r="441" ht="52" customHeight="1">
      <x:c r="A441" s="30" t="str">
        <x:v>CL0437</x:v>
      </x:c>
      <x:c r="B441" s="31" t="str">
        <x:v>How exactly do you apply the comparable company valuation method (this could be in the technology industry, or it could be an industry you've worked in before)</x:v>
      </x:c>
      <x:c r="C441" s="31" t="str">
        <x:v>Accounting &amp; Financial Statements</x:v>
      </x:c>
      <x:c r="D441" s="69" t="n">
        <x:f>COUNTIF('All Questions'!$G$5:$G$1725,A441)</x:f>
        <x:v>1</x:v>
      </x:c>
      <x:c r="E441" s="31" t="str">
        <x:v>BNP Paribas</x:v>
      </x:c>
      <x:c r="F441" s="31" t="str">
        <x:v>IBD / GCM</x:v>
      </x:c>
      <x:c r="G441" s="31" t="str">
        <x:v>How exactly do you apply the comparable company valuation method (this could be in the technology industry, or it could be an industry you've worked in before)?</x:v>
      </x:c>
    </x:row>
    <x:row r="442" ht="34" customHeight="1">
      <x:c r="A442" s="30" t="str">
        <x:v>CL0438</x:v>
      </x:c>
      <x:c r="B442" s="31" t="str">
        <x:v>How familiar are you with mainland china (since u stayed in the us for a yr and grew up in hk)</x:v>
      </x:c>
      <x:c r="C442" s="31" t="str">
        <x:v>Other Question</x:v>
      </x:c>
      <x:c r="D442" s="69" t="n">
        <x:f>COUNTIF('All Questions'!$G$5:$G$1725,A442)</x:f>
        <x:v>1</x:v>
      </x:c>
      <x:c r="E442" s="31" t="str">
        <x:v>Nomura</x:v>
      </x:c>
      <x:c r="F442" s="31" t="str">
        <x:v>IBD / GCM</x:v>
      </x:c>
      <x:c r="G442" s="31" t="str">
        <x:v>how familiar are you with mainland china (since u stayed in the us for a yr and grew up in hk)</x:v>
      </x:c>
    </x:row>
    <x:row r="443" ht="34" customHeight="1">
      <x:c r="A443" s="30" t="str">
        <x:v>CL0439</x:v>
      </x:c>
      <x:c r="B443" s="31" t="str">
        <x:v>How good are you with numbers</x:v>
      </x:c>
      <x:c r="C443" s="31" t="str">
        <x:v>Other Question</x:v>
      </x:c>
      <x:c r="D443" s="69" t="n">
        <x:f>COUNTIF('All Questions'!$G$5:$G$1725,A443)</x:f>
        <x:v>1</x:v>
      </x:c>
      <x:c r="E443" s="31" t="str">
        <x:v>GS DCMECM</x:v>
      </x:c>
      <x:c r="F443" s="31" t="str">
        <x:v>IBD / GCM</x:v>
      </x:c>
      <x:c r="G443" s="31" t="str">
        <x:v>How good are you with numbers</x:v>
      </x:c>
    </x:row>
    <x:row r="444" ht="34" customHeight="1">
      <x:c r="A444" s="30" t="str">
        <x:v>CL0440</x:v>
      </x:c>
      <x:c r="B444" s="31" t="str">
        <x:v>How good is your mandarin</x:v>
      </x:c>
      <x:c r="C444" s="31" t="str">
        <x:v>Fit &amp; Motivation</x:v>
      </x:c>
      <x:c r="D444" s="69" t="n">
        <x:f>COUNTIF('All Questions'!$G$5:$G$1725,A444)</x:f>
        <x:v>1</x:v>
      </x:c>
      <x:c r="E444" s="31" t="str">
        <x:v>MS IBD</x:v>
      </x:c>
      <x:c r="F444" s="31" t="str">
        <x:v>IBD / GCM</x:v>
      </x:c>
      <x:c r="G444" s="31" t="str">
        <x:v>How good is your mandarin</x:v>
      </x:c>
    </x:row>
    <x:row r="445" ht="34" customHeight="1">
      <x:c r="A445" s="30" t="str">
        <x:v>CL0441</x:v>
      </x:c>
      <x:c r="B445" s="31" t="str">
        <x:v>How good is your technicals</x:v>
      </x:c>
      <x:c r="C445" s="31" t="str">
        <x:v>Accounting &amp; Financial Statements</x:v>
      </x:c>
      <x:c r="D445" s="69" t="n">
        <x:f>COUNTIF('All Questions'!$G$5:$G$1725,A445)</x:f>
        <x:v>1</x:v>
      </x:c>
      <x:c r="E445" s="31" t="str">
        <x:v>MS IBD</x:v>
      </x:c>
      <x:c r="F445" s="31" t="str">
        <x:v>IBD / GCM</x:v>
      </x:c>
      <x:c r="G445" s="31" t="str">
        <x:v>How good is your technicals</x:v>
      </x:c>
    </x:row>
    <x:row r="446" ht="52" customHeight="1">
      <x:c r="A446" s="30" t="str">
        <x:v>CL0442</x:v>
      </x:c>
      <x:c r="B446" s="31" t="str">
        <x:v>How I justify using 75th percentile and what may be the reasons that its current trading price is low</x:v>
      </x:c>
      <x:c r="C446" s="31" t="str">
        <x:v>Accounting &amp; Financial Statements</x:v>
      </x:c>
      <x:c r="D446" s="69" t="n">
        <x:f>COUNTIF('All Questions'!$G$5:$G$1725,A446)</x:f>
        <x:v>1</x:v>
      </x:c>
      <x:c r="E446" s="31" t="str">
        <x:v>UBS IBD</x:v>
      </x:c>
      <x:c r="F446" s="31" t="str">
        <x:v>IBD / GCM</x:v>
      </x:c>
      <x:c r="G446" s="31" t="str">
        <x:v>How I justify using 75th percentile and what may be the reasons that its current trading price is low</x:v>
      </x:c>
    </x:row>
    <x:row r="447" ht="52" customHeight="1">
      <x:c r="A447" s="30" t="str">
        <x:v>CL0443</x:v>
      </x:c>
      <x:c r="B447" s="31" t="str">
        <x:v>How I would build a DCF for this company, how to make the model dynamic (mainly the revenue build-up), and other key inputs needed</x:v>
      </x:c>
      <x:c r="C447" s="31" t="str">
        <x:v>Valuation</x:v>
      </x:c>
      <x:c r="D447" s="69" t="n">
        <x:f>COUNTIF('All Questions'!$G$5:$G$1725,A447)</x:f>
        <x:v>1</x:v>
      </x:c>
      <x:c r="E447" s="31" t="str">
        <x:v>UBS IBD</x:v>
      </x:c>
      <x:c r="F447" s="31" t="str">
        <x:v>IBD / GCM</x:v>
      </x:c>
      <x:c r="G447" s="31" t="str">
        <x:v>How I would build a DCF for this company, how to make the model dynamic (mainly the revenue build-up), and other key inputs needed</x:v>
      </x:c>
    </x:row>
    <x:row r="448" ht="34" customHeight="1">
      <x:c r="A448" s="30" t="str">
        <x:v>CL0444</x:v>
      </x:c>
      <x:c r="B448" s="31" t="str">
        <x:v>How interest rate affects the global markets and different assets</x:v>
      </x:c>
      <x:c r="C448" s="31" t="str">
        <x:v>Markets &amp; Macro</x:v>
      </x:c>
      <x:c r="D448" s="69" t="n">
        <x:f>COUNTIF('All Questions'!$G$5:$G$1725,A448)</x:f>
        <x:v>1</x:v>
      </x:c>
      <x:c r="E448" s="31" t="str">
        <x:v>HSBC (GM)</x:v>
      </x:c>
      <x:c r="F448" s="31" t="str">
        <x:v>Sales &amp; Trading</x:v>
      </x:c>
      <x:c r="G448" s="31" t="str">
        <x:v>how interest rate affects the global markets and different assets</x:v>
      </x:c>
    </x:row>
    <x:row r="449" ht="34" customHeight="1">
      <x:c r="A449" s="30" t="str">
        <x:v>CL0445</x:v>
      </x:c>
      <x:c r="B449" s="31" t="str">
        <x:v>How is EBITDA derived</x:v>
      </x:c>
      <x:c r="C449" s="31" t="str">
        <x:v>Accounting &amp; Financial Statements</x:v>
      </x:c>
      <x:c r="D449" s="69" t="n">
        <x:f>COUNTIF('All Questions'!$G$5:$G$1725,A449)</x:f>
        <x:v>1</x:v>
      </x:c>
      <x:c r="E449" s="31" t="str">
        <x:v>BofA (GM)</x:v>
      </x:c>
      <x:c r="F449" s="31" t="str">
        <x:v>Sales &amp; Trading</x:v>
      </x:c>
      <x:c r="G449" s="31" t="str">
        <x:v>How is EBITDA derived?</x:v>
      </x:c>
    </x:row>
    <x:row r="450" ht="34" customHeight="1">
      <x:c r="A450" s="30" t="str">
        <x:v>CL0446</x:v>
      </x:c>
      <x:c r="B450" s="31" t="str">
        <x:v>How is the company funded, and how is the leverage and ROA like</x:v>
      </x:c>
      <x:c r="C450" s="31" t="str">
        <x:v>Accounting &amp; Financial Statements</x:v>
      </x:c>
      <x:c r="D450" s="69" t="n">
        <x:f>COUNTIF('All Questions'!$G$5:$G$1725,A450)</x:f>
        <x:v>1</x:v>
      </x:c>
      <x:c r="E450" s="31" t="str">
        <x:v>UBS AM</x:v>
      </x:c>
      <x:c r="F450" s="31" t="str">
        <x:v>PWM / AM</x:v>
      </x:c>
      <x:c r="G450" s="31" t="str">
        <x:v>How is the company funded, and how is the leverage and ROA like?</x:v>
      </x:c>
    </x:row>
    <x:row r="451" ht="34" customHeight="1">
      <x:c r="A451" s="30" t="str">
        <x:v>CL0447</x:v>
      </x:c>
      <x:c r="B451" s="31" t="str">
        <x:v>How is the electricity price like in China? Fluctuate to market or fixed</x:v>
      </x:c>
      <x:c r="C451" s="31" t="str">
        <x:v>Accounting &amp; Financial Statements</x:v>
      </x:c>
      <x:c r="D451" s="69" t="n">
        <x:f>COUNTIF('All Questions'!$G$5:$G$1725,A451)</x:f>
        <x:v>1</x:v>
      </x:c>
      <x:c r="E451" s="31" t="str">
        <x:v>Bofa IBD</x:v>
      </x:c>
      <x:c r="F451" s="31" t="str">
        <x:v>IBD / GCM</x:v>
      </x:c>
      <x:c r="G451" s="31" t="str">
        <x:v>How is the electricity price like in China? Fluctuate to market or fixed?</x:v>
      </x:c>
    </x:row>
    <x:row r="452" ht="34" customHeight="1">
      <x:c r="A452" s="30" t="str">
        <x:v>CL0448</x:v>
      </x:c>
      <x:c r="B452" s="31" t="str">
        <x:v>How is the IRR for those funds</x:v>
      </x:c>
      <x:c r="C452" s="31" t="str">
        <x:v>Accounting &amp; Financial Statements</x:v>
      </x:c>
      <x:c r="D452" s="69" t="n">
        <x:f>COUNTIF('All Questions'!$G$5:$G$1725,A452)</x:f>
        <x:v>1</x:v>
      </x:c>
      <x:c r="E452" s="31" t="str">
        <x:v>Deutsche</x:v>
      </x:c>
      <x:c r="F452" s="31" t="str">
        <x:v>IBD / GCM</x:v>
      </x:c>
      <x:c r="G452" s="31" t="str">
        <x:v>How is the IRR for those funds</x:v>
      </x:c>
    </x:row>
    <x:row r="453" ht="34" customHeight="1">
      <x:c r="A453" s="30" t="str">
        <x:v>CL0449</x:v>
      </x:c>
      <x:c r="B453" s="31" t="str">
        <x:v>How is the market dynamic? (Entry barrier, technology etc)</x:v>
      </x:c>
      <x:c r="C453" s="31" t="str">
        <x:v>Accounting &amp; Financial Statements</x:v>
      </x:c>
      <x:c r="D453" s="69" t="n">
        <x:f>COUNTIF('All Questions'!$G$5:$G$1725,A453)</x:f>
        <x:v>1</x:v>
      </x:c>
      <x:c r="E453" s="31" t="str">
        <x:v>Barclays</x:v>
      </x:c>
      <x:c r="F453" s="31" t="str">
        <x:v>IBD / GCM</x:v>
      </x:c>
      <x:c r="G453" s="31" t="str">
        <x:v>How is the market dynamic? (Entry barrier, technology etc)</x:v>
      </x:c>
    </x:row>
    <x:row r="454" ht="34" customHeight="1">
      <x:c r="A454" s="30" t="str">
        <x:v>CL0450</x:v>
      </x:c>
      <x:c r="B454" s="31" t="str">
        <x:v>How is the orderbook being calculated? (Drilled for 2 times)</x:v>
      </x:c>
      <x:c r="C454" s="31" t="str">
        <x:v>Accounting &amp; Financial Statements</x:v>
      </x:c>
      <x:c r="D454" s="69" t="n">
        <x:f>COUNTIF('All Questions'!$G$5:$G$1725,A454)</x:f>
        <x:v>1</x:v>
      </x:c>
      <x:c r="E454" s="31" t="str">
        <x:v>Bofa IBD</x:v>
      </x:c>
      <x:c r="F454" s="31" t="str">
        <x:v>IBD / GCM</x:v>
      </x:c>
      <x:c r="G454" s="31" t="str">
        <x:v>How is the orderbook being calculated? (Drilled for 2 times)</x:v>
      </x:c>
    </x:row>
    <x:row r="455" ht="34" customHeight="1">
      <x:c r="A455" s="30" t="str">
        <x:v>CL0451</x:v>
      </x:c>
      <x:c r="B455" s="31" t="str">
        <x:v>How is your view on the EV/EBITDA</x:v>
      </x:c>
      <x:c r="C455" s="31" t="str">
        <x:v>Accounting &amp; Financial Statements</x:v>
      </x:c>
      <x:c r="D455" s="69" t="n">
        <x:f>COUNTIF('All Questions'!$G$5:$G$1725,A455)</x:f>
        <x:v>1</x:v>
      </x:c>
      <x:c r="E455" s="31" t="str">
        <x:v>Bofa IBD</x:v>
      </x:c>
      <x:c r="F455" s="31" t="str">
        <x:v>IBD / GCM</x:v>
      </x:c>
      <x:c r="G455" s="31" t="str">
        <x:v>How is your view on the EV/EBITDA</x:v>
      </x:c>
    </x:row>
    <x:row r="456" ht="34" customHeight="1">
      <x:c r="A456" s="30" t="str">
        <x:v>CL0452</x:v>
      </x:c>
      <x:c r="B456" s="31" t="str">
        <x:v>How long is your reading week</x:v>
      </x:c>
      <x:c r="C456" s="31" t="str">
        <x:v>Accounting &amp; Financial Statements</x:v>
      </x:c>
      <x:c r="D456" s="69" t="n">
        <x:f>COUNTIF('All Questions'!$G$5:$G$1725,A456)</x:f>
        <x:v>1</x:v>
      </x:c>
      <x:c r="E456" s="31" t="str">
        <x:v>Bofa IBD</x:v>
      </x:c>
      <x:c r="F456" s="31" t="str">
        <x:v>IBD / GCM</x:v>
      </x:c>
      <x:c r="G456" s="31" t="str">
        <x:v>How long is your reading week?</x:v>
      </x:c>
    </x:row>
    <x:row r="457" ht="34" customHeight="1">
      <x:c r="A457" s="30" t="str">
        <x:v>CL0453</x:v>
      </x:c>
      <x:c r="B457" s="31" t="str">
        <x:v>How many did u cold email and how many replied</x:v>
      </x:c>
      <x:c r="C457" s="31" t="str">
        <x:v>Other Question</x:v>
      </x:c>
      <x:c r="D457" s="69" t="n">
        <x:f>COUNTIF('All Questions'!$G$5:$G$1725,A457)</x:f>
        <x:v>1</x:v>
      </x:c>
      <x:c r="E457" s="31" t="str">
        <x:v>Nomura</x:v>
      </x:c>
      <x:c r="F457" s="31" t="str">
        <x:v>IBD / GCM</x:v>
      </x:c>
      <x:c r="G457" s="31" t="str">
        <x:v>how many did u cold email and how many replied</x:v>
      </x:c>
    </x:row>
    <x:row r="458" ht="34" customHeight="1">
      <x:c r="A458" s="30" t="str">
        <x:v>CL0454</x:v>
      </x:c>
      <x:c r="B458" s="31" t="str">
        <x:v>How many FED meeting are left in the year</x:v>
      </x:c>
      <x:c r="C458" s="31" t="str">
        <x:v>Markets &amp; Macro</x:v>
      </x:c>
      <x:c r="D458" s="69" t="n">
        <x:f>COUNTIF('All Questions'!$G$5:$G$1725,A458)</x:f>
        <x:v>1</x:v>
      </x:c>
      <x:c r="E458" s="31" t="str">
        <x:v>Barclays</x:v>
      </x:c>
      <x:c r="F458" s="31" t="str">
        <x:v>IBD / GCM</x:v>
      </x:c>
      <x:c r="G458" s="31" t="str">
        <x:v>How many FED meeting are left in the year</x:v>
      </x:c>
    </x:row>
    <x:row r="459" ht="34" customHeight="1">
      <x:c r="A459" s="30" t="str">
        <x:v>CL0455</x:v>
      </x:c>
      <x:c r="B459" s="31" t="str">
        <x:v>How many interns in BlackRock, how many teams, divide by asset classes</x:v>
      </x:c>
      <x:c r="C459" s="31" t="str">
        <x:v>Other Question</x:v>
      </x:c>
      <x:c r="D459" s="69" t="n">
        <x:f>COUNTIF('All Questions'!$G$5:$G$1725,A459)</x:f>
        <x:v>1</x:v>
      </x:c>
      <x:c r="E459" s="31" t="str">
        <x:v>Bofa IBD</x:v>
      </x:c>
      <x:c r="F459" s="31" t="str">
        <x:v>IBD / GCM</x:v>
      </x:c>
      <x:c r="G459" s="31" t="str">
        <x:v>How many interns in BlackRock, how many teams, divide by asset classes?</x:v>
      </x:c>
    </x:row>
    <x:row r="460" ht="34" customHeight="1">
      <x:c r="A460" s="30" t="str">
        <x:v>CL0456</x:v>
      </x:c>
      <x:c r="B460" s="31" t="str">
        <x:v>How many summer interns in BLK</x:v>
      </x:c>
      <x:c r="C460" s="31" t="str">
        <x:v>Other Question</x:v>
      </x:c>
      <x:c r="D460" s="69" t="n">
        <x:f>COUNTIF('All Questions'!$G$5:$G$1725,A460)</x:f>
        <x:v>1</x:v>
      </x:c>
      <x:c r="E460" s="31" t="str">
        <x:v>Deutsche</x:v>
      </x:c>
      <x:c r="F460" s="31" t="str">
        <x:v>IBD / GCM</x:v>
      </x:c>
      <x:c r="G460" s="31" t="str">
        <x:v>How many summer interns in BLK?</x:v>
      </x:c>
    </x:row>
    <x:row r="461" ht="34" customHeight="1">
      <x:c r="A461" s="30" t="str">
        <x:v>CL0457</x:v>
      </x:c>
      <x:c r="B461" s="31" t="str">
        <x:v>How many years did you project it</x:v>
      </x:c>
      <x:c r="C461" s="31" t="str">
        <x:v>Other Question</x:v>
      </x:c>
      <x:c r="D461" s="69" t="n">
        <x:f>COUNTIF('All Questions'!$G$5:$G$1725,A461)</x:f>
        <x:v>1</x:v>
      </x:c>
      <x:c r="E461" s="31" t="str">
        <x:v>UBS IBD</x:v>
      </x:c>
      <x:c r="F461" s="31" t="str">
        <x:v>IBD / GCM</x:v>
      </x:c>
      <x:c r="G461" s="31" t="str">
        <x:v>How many years did you project it</x:v>
      </x:c>
    </x:row>
    <x:row r="462" ht="34" customHeight="1">
      <x:c r="A462" s="30" t="str">
        <x:v>CL0458</x:v>
      </x:c>
      <x:c r="B462" s="31" t="str">
        <x:v>How much equity is sponsor paying</x:v>
      </x:c>
      <x:c r="C462" s="31" t="str">
        <x:v>Accounting &amp; Financial Statements</x:v>
      </x:c>
      <x:c r="D462" s="69" t="n">
        <x:f>COUNTIF('All Questions'!$G$5:$G$1725,A462)</x:f>
        <x:v>1</x:v>
      </x:c>
      <x:c r="E462" s="31" t="str">
        <x:v>Deutsche</x:v>
      </x:c>
      <x:c r="F462" s="31" t="str">
        <x:v>IBD / GCM</x:v>
      </x:c>
      <x:c r="G462" s="31" t="str">
        <x:v>How much equity is sponsor paying?</x:v>
      </x:c>
    </x:row>
    <x:row r="463" ht="34" customHeight="1">
      <x:c r="A463" s="30" t="str">
        <x:v>CL0459</x:v>
      </x:c>
      <x:c r="B463" s="31" t="str">
        <x:v>How much time did you spend on studying mining</x:v>
      </x:c>
      <x:c r="C463" s="31" t="str">
        <x:v>Other Question</x:v>
      </x:c>
      <x:c r="D463" s="69" t="n">
        <x:f>COUNTIF('All Questions'!$G$5:$G$1725,A463)</x:f>
        <x:v>1</x:v>
      </x:c>
      <x:c r="E463" s="31" t="str">
        <x:v>Grant Samuel</x:v>
      </x:c>
      <x:c r="F463" s="31" t="str">
        <x:v>IBD / GCM</x:v>
      </x:c>
      <x:c r="G463" s="31" t="str">
        <x:v>How much time did you spend on studying mining?</x:v>
      </x:c>
    </x:row>
    <x:row r="464" ht="34" customHeight="1">
      <x:c r="A464" s="30" t="str">
        <x:v>CL0460</x:v>
      </x:c>
      <x:c r="B464" s="31" t="str">
        <x:v>How to</x:v>
      </x:c>
      <x:c r="C464" s="31" t="str">
        <x:v>Other Question</x:v>
      </x:c>
      <x:c r="D464" s="69" t="n">
        <x:f>COUNTIF('All Questions'!$G$5:$G$1725,A464)</x:f>
        <x:v>1</x:v>
      </x:c>
      <x:c r="E464" s="31" t="str">
        <x:v>HSBC</x:v>
      </x:c>
      <x:c r="F464" s="31" t="str">
        <x:v>IBD / GCM</x:v>
      </x:c>
      <x:c r="G464" s="31" t="str">
        <x:v>how to?</x:v>
      </x:c>
    </x:row>
    <x:row r="465" ht="34" customHeight="1">
      <x:c r="A465" s="30" t="str">
        <x:v>CL0461</x:v>
      </x:c>
      <x:c r="B465" s="31" t="str">
        <x:v>How to arrive ufcf</x:v>
      </x:c>
      <x:c r="C465" s="31" t="str">
        <x:v>Valuation</x:v>
      </x:c>
      <x:c r="D465" s="69" t="n">
        <x:f>COUNTIF('All Questions'!$G$5:$G$1725,A465)</x:f>
        <x:v>1</x:v>
      </x:c>
      <x:c r="E465" s="31" t="str">
        <x:v>Barclays</x:v>
      </x:c>
      <x:c r="F465" s="31" t="str">
        <x:v>IBD / GCM</x:v>
      </x:c>
      <x:c r="G465" s="31" t="str">
        <x:v>how to arrive ufcf</x:v>
      </x:c>
    </x:row>
    <x:row r="466" ht="34" customHeight="1">
      <x:c r="A466" s="30" t="str">
        <x:v>CL0462</x:v>
      </x:c>
      <x:c r="B466" s="31" t="str">
        <x:v>How to calculate cost of equity</x:v>
      </x:c>
      <x:c r="C466" s="31" t="str">
        <x:v>Valuation</x:v>
      </x:c>
      <x:c r="D466" s="69" t="n">
        <x:f>COUNTIF('All Questions'!$G$5:$G$1725,A466)</x:f>
        <x:v>1</x:v>
      </x:c>
      <x:c r="E466" s="31" t="str">
        <x:v>Greenhill</x:v>
      </x:c>
      <x:c r="F466" s="31" t="str">
        <x:v>IBD / GCM</x:v>
      </x:c>
      <x:c r="G466" s="31" t="str">
        <x:v>How to calculate cost of equity</x:v>
      </x:c>
    </x:row>
    <x:row r="467" ht="34" customHeight="1">
      <x:c r="A467" s="30" t="str">
        <x:v>CL0463</x:v>
      </x:c>
      <x:c r="B467" s="31" t="str">
        <x:v>How to calculate EBITDA from top down</x:v>
      </x:c>
      <x:c r="C467" s="31" t="str">
        <x:v>Other Technical</x:v>
      </x:c>
      <x:c r="D467" s="69" t="n">
        <x:f>COUNTIF('All Questions'!$G$5:$G$1725,A467)</x:f>
        <x:v>1</x:v>
      </x:c>
      <x:c r="E467" s="31" t="str">
        <x:v>MSPEA</x:v>
      </x:c>
      <x:c r="F467" s="31" t="str">
        <x:v>PE / VC / Other</x:v>
      </x:c>
      <x:c r="G467" s="31" t="str">
        <x:v>How to calculate EBITDA from top down?</x:v>
      </x:c>
    </x:row>
    <x:row r="468" ht="34" customHeight="1">
      <x:c r="A468" s="30" t="str">
        <x:v>CL0464</x:v>
      </x:c>
      <x:c r="B468" s="31" t="str">
        <x:v>How to do credit analysis</x:v>
      </x:c>
      <x:c r="C468" s="31" t="str">
        <x:v>Other Question</x:v>
      </x:c>
      <x:c r="D468" s="69" t="n">
        <x:f>COUNTIF('All Questions'!$G$5:$G$1725,A468)</x:f>
        <x:v>1</x:v>
      </x:c>
      <x:c r="E468" s="31" t="str">
        <x:v>JPM</x:v>
      </x:c>
      <x:c r="F468" s="31" t="str">
        <x:v>IBD / GCM</x:v>
      </x:c>
      <x:c r="G468" s="31" t="str">
        <x:v>how to do credit analysis</x:v>
      </x:c>
    </x:row>
    <x:row r="469" ht="34" customHeight="1">
      <x:c r="A469" s="30" t="str">
        <x:v>CL0465</x:v>
      </x:c>
      <x:c r="B469" s="31" t="str">
        <x:v>How to do dcf from EBIT</x:v>
      </x:c>
      <x:c r="C469" s="31" t="str">
        <x:v>Valuation</x:v>
      </x:c>
      <x:c r="D469" s="69" t="n">
        <x:f>COUNTIF('All Questions'!$G$5:$G$1725,A469)</x:f>
        <x:v>1</x:v>
      </x:c>
      <x:c r="E469" s="31" t="str">
        <x:v>Deutsche</x:v>
      </x:c>
      <x:c r="F469" s="31" t="str">
        <x:v>IBD / GCM</x:v>
      </x:c>
      <x:c r="G469" s="31" t="str">
        <x:v>how to do dcf from EBIT</x:v>
      </x:c>
    </x:row>
    <x:row r="470" ht="34" customHeight="1">
      <x:c r="A470" s="30" t="str">
        <x:v>CL0466</x:v>
      </x:c>
      <x:c r="B470" s="31" t="str">
        <x:v>How to find beta for a private company</x:v>
      </x:c>
      <x:c r="C470" s="31" t="str">
        <x:v>Valuation</x:v>
      </x:c>
      <x:c r="D470" s="69" t="n">
        <x:f>COUNTIF('All Questions'!$G$5:$G$1725,A470)</x:f>
        <x:v>1</x:v>
      </x:c>
      <x:c r="E470" s="31" t="str">
        <x:v>Deutsche</x:v>
      </x:c>
      <x:c r="F470" s="31" t="str">
        <x:v>IBD / GCM</x:v>
      </x:c>
      <x:c r="G470" s="31" t="str">
        <x:v>how to find beta for a private company</x:v>
      </x:c>
    </x:row>
    <x:row r="471" ht="34" customHeight="1">
      <x:c r="A471" s="30" t="str">
        <x:v>CL0467</x:v>
      </x:c>
      <x:c r="B471" s="31" t="str">
        <x:v>How to find cost of debt</x:v>
      </x:c>
      <x:c r="C471" s="31" t="str">
        <x:v>Valuation</x:v>
      </x:c>
      <x:c r="D471" s="69" t="n">
        <x:f>COUNTIF('All Questions'!$G$5:$G$1725,A471)</x:f>
        <x:v>1</x:v>
      </x:c>
      <x:c r="E471" s="31" t="str">
        <x:v>Bofa IBD</x:v>
      </x:c>
      <x:c r="F471" s="31" t="str">
        <x:v>IBD / GCM</x:v>
      </x:c>
      <x:c r="G471" s="31" t="str">
        <x:v>How to find cost of debt</x:v>
      </x:c>
    </x:row>
    <x:row r="472" ht="34" customHeight="1">
      <x:c r="A472" s="30" t="str">
        <x:v>CL0468</x:v>
      </x:c>
      <x:c r="B472" s="31" t="str">
        <x:v>How to find cost of equity</x:v>
      </x:c>
      <x:c r="C472" s="31" t="str">
        <x:v>Valuation</x:v>
      </x:c>
      <x:c r="D472" s="69" t="n">
        <x:f>COUNTIF('All Questions'!$G$5:$G$1725,A472)</x:f>
        <x:v>1</x:v>
      </x:c>
      <x:c r="E472" s="31" t="str">
        <x:v>Lazard</x:v>
      </x:c>
      <x:c r="F472" s="31" t="str">
        <x:v>IBD / GCM</x:v>
      </x:c>
      <x:c r="G472" s="31" t="str">
        <x:v>How to find cost of equity</x:v>
      </x:c>
    </x:row>
    <x:row r="473" ht="34" customHeight="1">
      <x:c r="A473" s="30" t="str">
        <x:v>CL0469</x:v>
      </x:c>
      <x:c r="B473" s="31" t="str">
        <x:v>How to forecast the growth of the SEA logistic company, P&amp;L breakdown</x:v>
      </x:c>
      <x:c r="C473" s="31" t="str">
        <x:v>Company, Industry &amp; Deals</x:v>
      </x:c>
      <x:c r="D473" s="69" t="n">
        <x:f>COUNTIF('All Questions'!$G$5:$G$1725,A473)</x:f>
        <x:v>1</x:v>
      </x:c>
      <x:c r="E473" s="31" t="str">
        <x:v>Deutsche</x:v>
      </x:c>
      <x:c r="F473" s="31" t="str">
        <x:v>IBD / GCM</x:v>
      </x:c>
      <x:c r="G473" s="31" t="str">
        <x:v>How to forecast the growth of the SEA logistic company, P&amp;L breakdown</x:v>
      </x:c>
    </x:row>
    <x:row r="474" ht="34" customHeight="1">
      <x:c r="A474" s="30" t="str">
        <x:v>CL0470</x:v>
      </x:c>
      <x:c r="B474" s="31" t="str">
        <x:v>How to get beta</x:v>
      </x:c>
      <x:c r="C474" s="31" t="str">
        <x:v>Valuation</x:v>
      </x:c>
      <x:c r="D474" s="69" t="n">
        <x:f>COUNTIF('All Questions'!$G$5:$G$1725,A474)</x:f>
        <x:v>1</x:v>
      </x:c>
      <x:c r="E474" s="31" t="str">
        <x:v>Nomura</x:v>
      </x:c>
      <x:c r="F474" s="31" t="str">
        <x:v>IBD / GCM</x:v>
      </x:c>
      <x:c r="G474" s="31" t="str">
        <x:v>How to get beta</x:v>
      </x:c>
    </x:row>
    <x:row r="475" ht="34" customHeight="1">
      <x:c r="A475" s="30" t="str">
        <x:v>CL0471</x:v>
      </x:c>
      <x:c r="B475" s="31" t="str">
        <x:v>How to get capital structure of private company</x:v>
      </x:c>
      <x:c r="C475" s="31" t="str">
        <x:v>Company, Industry &amp; Deals</x:v>
      </x:c>
      <x:c r="D475" s="69" t="n">
        <x:f>COUNTIF('All Questions'!$G$5:$G$1725,A475)</x:f>
        <x:v>1</x:v>
      </x:c>
      <x:c r="E475" s="31" t="str">
        <x:v>Lazard</x:v>
      </x:c>
      <x:c r="F475" s="31" t="str">
        <x:v>IBD / GCM</x:v>
      </x:c>
      <x:c r="G475" s="31" t="str">
        <x:v>How to get capital structure of private company</x:v>
      </x:c>
    </x:row>
    <x:row r="476" ht="34" customHeight="1">
      <x:c r="A476" s="30" t="str">
        <x:v>CL0472</x:v>
      </x:c>
      <x:c r="B476" s="31" t="str">
        <x:v>How to get cost of equity</x:v>
      </x:c>
      <x:c r="C476" s="31" t="str">
        <x:v>Valuation</x:v>
      </x:c>
      <x:c r="D476" s="69" t="n">
        <x:f>COUNTIF('All Questions'!$G$5:$G$1725,A476)</x:f>
        <x:v>1</x:v>
      </x:c>
      <x:c r="E476" s="31" t="str">
        <x:v>Nomura</x:v>
      </x:c>
      <x:c r="F476" s="31" t="str">
        <x:v>IBD / GCM</x:v>
      </x:c>
      <x:c r="G476" s="31" t="str">
        <x:v>How to get cost of equity</x:v>
      </x:c>
    </x:row>
    <x:row r="477" ht="34" customHeight="1">
      <x:c r="A477" s="30" t="str">
        <x:v>CL0473</x:v>
      </x:c>
      <x:c r="B477" s="31" t="str">
        <x:v>How to get enterprise value and what does it mean</x:v>
      </x:c>
      <x:c r="C477" s="31" t="str">
        <x:v>Valuation</x:v>
      </x:c>
      <x:c r="D477" s="69" t="n">
        <x:f>COUNTIF('All Questions'!$G$5:$G$1725,A477)</x:f>
        <x:v>1</x:v>
      </x:c>
      <x:c r="E477" s="31" t="str">
        <x:v>Barclays</x:v>
      </x:c>
      <x:c r="F477" s="31" t="str">
        <x:v>IBD / GCM</x:v>
      </x:c>
      <x:c r="G477" s="31" t="str">
        <x:v>how to get enterprise value and what does it mean</x:v>
      </x:c>
    </x:row>
    <x:row r="478" ht="34" customHeight="1">
      <x:c r="A478" s="30" t="str">
        <x:v>CL0474</x:v>
      </x:c>
      <x:c r="B478" s="31" t="str">
        <x:v>How to get exit multiple and growth rate for terminal value</x:v>
      </x:c>
      <x:c r="C478" s="31" t="str">
        <x:v>Valuation</x:v>
      </x:c>
      <x:c r="D478" s="69" t="n">
        <x:f>COUNTIF('All Questions'!$G$5:$G$1725,A478)</x:f>
        <x:v>1</x:v>
      </x:c>
      <x:c r="E478" s="31" t="str">
        <x:v>Deutsche</x:v>
      </x:c>
      <x:c r="F478" s="31" t="str">
        <x:v>IBD / GCM</x:v>
      </x:c>
      <x:c r="G478" s="31" t="str">
        <x:v>how to get exit multiple and growth rate for terminal value</x:v>
      </x:c>
    </x:row>
    <x:row r="479" ht="34" customHeight="1">
      <x:c r="A479" s="30" t="str">
        <x:v>CL0475</x:v>
      </x:c>
      <x:c r="B479" s="31" t="str">
        <x:v>How to get FCF</x:v>
      </x:c>
      <x:c r="C479" s="31" t="str">
        <x:v>Other Question</x:v>
      </x:c>
      <x:c r="D479" s="69" t="n">
        <x:f>COUNTIF('All Questions'!$G$5:$G$1725,A479)</x:f>
        <x:v>1</x:v>
      </x:c>
      <x:c r="E479" s="31" t="str">
        <x:v>Nomura</x:v>
      </x:c>
      <x:c r="F479" s="31" t="str">
        <x:v>IBD / GCM</x:v>
      </x:c>
      <x:c r="G479" s="31" t="str">
        <x:v>how to get FCF</x:v>
      </x:c>
    </x:row>
    <x:row r="480" ht="34" customHeight="1">
      <x:c r="A480" s="30" t="str">
        <x:v>CL0476</x:v>
      </x:c>
      <x:c r="B480" s="31" t="str">
        <x:v>How to get fcf from revenue</x:v>
      </x:c>
      <x:c r="C480" s="31" t="str">
        <x:v>Company, Industry &amp; Deals</x:v>
      </x:c>
      <x:c r="D480" s="69" t="n">
        <x:f>COUNTIF('All Questions'!$G$5:$G$1725,A480)</x:f>
        <x:v>1</x:v>
      </x:c>
      <x:c r="E480" s="31" t="str">
        <x:v>JPM</x:v>
      </x:c>
      <x:c r="F480" s="31" t="str">
        <x:v>IBD / GCM</x:v>
      </x:c>
      <x:c r="G480" s="31" t="str">
        <x:v>how to get fcf from revenue</x:v>
      </x:c>
    </x:row>
    <x:row r="481" ht="34" customHeight="1">
      <x:c r="A481" s="30" t="str">
        <x:v>CL0477</x:v>
      </x:c>
      <x:c r="B481" s="31" t="str">
        <x:v>How to get market risk premium</x:v>
      </x:c>
      <x:c r="C481" s="31" t="str">
        <x:v>Valuation</x:v>
      </x:c>
      <x:c r="D481" s="69" t="n">
        <x:f>COUNTIF('All Questions'!$G$5:$G$1725,A481)</x:f>
        <x:v>1</x:v>
      </x:c>
      <x:c r="E481" s="31" t="str">
        <x:v>MS IBD</x:v>
      </x:c>
      <x:c r="F481" s="31" t="str">
        <x:v>IBD / GCM</x:v>
      </x:c>
      <x:c r="G481" s="31" t="str">
        <x:v>how to get market risk premium</x:v>
      </x:c>
    </x:row>
    <x:row r="482" ht="34" customHeight="1">
      <x:c r="A482" s="30" t="str">
        <x:v>CL0478</x:v>
      </x:c>
      <x:c r="B482" s="31" t="str">
        <x:v>How to get the perpetual growth rate in gordon growth method</x:v>
      </x:c>
      <x:c r="C482" s="31" t="str">
        <x:v>Valuation</x:v>
      </x:c>
      <x:c r="D482" s="69" t="n">
        <x:f>COUNTIF('All Questions'!$G$5:$G$1725,A482)</x:f>
        <x:v>1</x:v>
      </x:c>
      <x:c r="E482" s="31" t="str">
        <x:v>MS IBD</x:v>
      </x:c>
      <x:c r="F482" s="31" t="str">
        <x:v>IBD / GCM</x:v>
      </x:c>
      <x:c r="G482" s="31" t="str">
        <x:v>how to get the perpetual growth rate in gordon growth method</x:v>
      </x:c>
    </x:row>
    <x:row r="483" ht="34" customHeight="1">
      <x:c r="A483" s="30" t="str">
        <x:v>CL0479</x:v>
      </x:c>
      <x:c r="B483" s="31" t="str">
        <x:v>How to manage ddl conflict</x:v>
      </x:c>
      <x:c r="C483" s="31" t="str">
        <x:v>Behavioral &amp; Situational</x:v>
      </x:c>
      <x:c r="D483" s="69" t="n">
        <x:f>COUNTIF('All Questions'!$G$5:$G$1725,A483)</x:f>
        <x:v>1</x:v>
      </x:c>
      <x:c r="E483" s="31" t="str">
        <x:v>Deutsche</x:v>
      </x:c>
      <x:c r="F483" s="31" t="str">
        <x:v>IBD / GCM</x:v>
      </x:c>
      <x:c r="G483" s="31" t="str">
        <x:v>How to manage ddl conflict</x:v>
      </x:c>
    </x:row>
    <x:row r="484" ht="34" customHeight="1">
      <x:c r="A484" s="30" t="str">
        <x:v>CL0480</x:v>
      </x:c>
      <x:c r="B484" s="31" t="str">
        <x:v>How to project monthly revenue for a starbucks in hku</x:v>
      </x:c>
      <x:c r="C484" s="31" t="str">
        <x:v>Company, Industry &amp; Deals</x:v>
      </x:c>
      <x:c r="D484" s="69" t="n">
        <x:f>COUNTIF('All Questions'!$G$5:$G$1725,A484)</x:f>
        <x:v>1</x:v>
      </x:c>
      <x:c r="E484" s="31" t="str">
        <x:v>MS IBD</x:v>
      </x:c>
      <x:c r="F484" s="31" t="str">
        <x:v>IBD / GCM</x:v>
      </x:c>
      <x:c r="G484" s="31" t="str">
        <x:v>How to project monthly revenue for a starbucks in hku</x:v>
      </x:c>
    </x:row>
    <x:row r="485" ht="34" customHeight="1">
      <x:c r="A485" s="30" t="str">
        <x:v>CL0481</x:v>
      </x:c>
      <x:c r="B485" s="31" t="str">
        <x:v>How to pull EV/EBITDA from capiq</x:v>
      </x:c>
      <x:c r="C485" s="31" t="str">
        <x:v>Other Question</x:v>
      </x:c>
      <x:c r="D485" s="69" t="n">
        <x:f>COUNTIF('All Questions'!$G$5:$G$1725,A485)</x:f>
        <x:v>1</x:v>
      </x:c>
      <x:c r="E485" s="31" t="str">
        <x:v>MSPEA</x:v>
      </x:c>
      <x:c r="F485" s="31" t="str">
        <x:v>PE / VC / Other</x:v>
      </x:c>
      <x:c r="G485" s="31" t="str">
        <x:v>how to pull EV/EBITDA from capiq?</x:v>
      </x:c>
    </x:row>
    <x:row r="486" ht="34" customHeight="1">
      <x:c r="A486" s="30" t="str">
        <x:v>CL0482</x:v>
      </x:c>
      <x:c r="B486" s="31" t="str">
        <x:v>How to turn annualized risk into daily risk to measure pnl</x:v>
      </x:c>
      <x:c r="C486" s="31" t="str">
        <x:v>Other Question</x:v>
      </x:c>
      <x:c r="D486" s="69" t="n">
        <x:f>COUNTIF('All Questions'!$G$5:$G$1725,A486)</x:f>
        <x:v>1</x:v>
      </x:c>
      <x:c r="E486" s="31" t="str">
        <x:v>MS IED</x:v>
      </x:c>
      <x:c r="F486" s="31" t="str">
        <x:v>Sales &amp; Trading</x:v>
      </x:c>
      <x:c r="G486" s="31" t="str">
        <x:v>how to turn annualized risk into daily risk to measure pnl</x:v>
      </x:c>
    </x:row>
    <x:row r="487" ht="34" customHeight="1">
      <x:c r="A487" s="30" t="str">
        <x:v>CL0483</x:v>
      </x:c>
      <x:c r="B487" s="31" t="str">
        <x:v>How to use AI</x:v>
      </x:c>
      <x:c r="C487" s="31" t="str">
        <x:v>Other Question</x:v>
      </x:c>
      <x:c r="D487" s="69" t="n">
        <x:f>COUNTIF('All Questions'!$G$5:$G$1725,A487)</x:f>
        <x:v>1</x:v>
      </x:c>
      <x:c r="E487" s="31" t="str">
        <x:v>HSBC CMB</x:v>
      </x:c>
      <x:c r="F487" s="31" t="str">
        <x:v>PE / VC / Other</x:v>
      </x:c>
      <x:c r="G487" s="31" t="str">
        <x:v>How to use AI</x:v>
      </x:c>
    </x:row>
    <x:row r="488" ht="34" customHeight="1">
      <x:c r="A488" s="30" t="str">
        <x:v>CL0484</x:v>
      </x:c>
      <x:c r="B488" s="31" t="str">
        <x:v>How to value a firm with -ve CFs (also talked about replacement valuation)</x:v>
      </x:c>
      <x:c r="C488" s="31" t="str">
        <x:v>Valuation</x:v>
      </x:c>
      <x:c r="D488" s="69" t="n">
        <x:f>COUNTIF('All Questions'!$G$5:$G$1725,A488)</x:f>
        <x:v>1</x:v>
      </x:c>
      <x:c r="E488" s="31" t="str">
        <x:v>MS IBD</x:v>
      </x:c>
      <x:c r="F488" s="31" t="str">
        <x:v>IBD / GCM</x:v>
      </x:c>
      <x:c r="G488" s="31" t="str">
        <x:v>How to value a firm with -ve CFs (also talked about replacement valuation)</x:v>
      </x:c>
    </x:row>
    <x:row r="489" ht="34" customHeight="1">
      <x:c r="A489" s="30" t="str">
        <x:v>CL0485</x:v>
      </x:c>
      <x:c r="B489" s="31" t="str">
        <x:v>How US tariff would affect PE &amp; share a market event</x:v>
      </x:c>
      <x:c r="C489" s="31" t="str">
        <x:v>Markets &amp; Macro</x:v>
      </x:c>
      <x:c r="D489" s="69" t="n">
        <x:f>COUNTIF('All Questions'!$G$5:$G$1725,A489)</x:f>
        <x:v>1</x:v>
      </x:c>
      <x:c r="E489" s="31" t="str">
        <x:v>Neuberger Berman</x:v>
      </x:c>
      <x:c r="F489" s="31" t="str">
        <x:v>PWM / AM</x:v>
      </x:c>
      <x:c r="G489" s="31" t="str">
        <x:v>How US tariff would affect PE &amp; share a market event</x:v>
      </x:c>
    </x:row>
    <x:row r="490" ht="34" customHeight="1">
      <x:c r="A490" s="30" t="str">
        <x:v>CL0486</x:v>
      </x:c>
      <x:c r="B490" s="31" t="str">
        <x:v>How was your experience in UBS</x:v>
      </x:c>
      <x:c r="C490" s="31" t="str">
        <x:v>Resume &amp; Experience</x:v>
      </x:c>
      <x:c r="D490" s="69" t="n">
        <x:f>COUNTIF('All Questions'!$G$5:$G$1725,A490)</x:f>
        <x:v>1</x:v>
      </x:c>
      <x:c r="E490" s="31" t="str">
        <x:v>UBS AM</x:v>
      </x:c>
      <x:c r="F490" s="31" t="str">
        <x:v>PWM / AM</x:v>
      </x:c>
      <x:c r="G490" s="31" t="str">
        <x:v>How was your experience in UBS?</x:v>
      </x:c>
    </x:row>
    <x:row r="491" ht="52" customHeight="1">
      <x:c r="A491" s="30" t="str">
        <x:v>CL0487</x:v>
      </x:c>
      <x:c r="B491" s="31" t="str">
        <x:v>How was your first round interviews? Who interviewed you, what was your experience like, and what did you learn about DB</x:v>
      </x:c>
      <x:c r="C491" s="31" t="str">
        <x:v>Resume &amp; Experience</x:v>
      </x:c>
      <x:c r="D491" s="69" t="n">
        <x:f>COUNTIF('All Questions'!$G$5:$G$1725,A491)</x:f>
        <x:v>1</x:v>
      </x:c>
      <x:c r="E491" s="31" t="str">
        <x:v>Deutsche</x:v>
      </x:c>
      <x:c r="F491" s="31" t="str">
        <x:v>IBD / GCM</x:v>
      </x:c>
      <x:c r="G491" s="31" t="str">
        <x:v>How was your first round interviews? Who interviewed you, what was your experience like, and what did you learn about DB?</x:v>
      </x:c>
    </x:row>
    <x:row r="492" ht="34" customHeight="1">
      <x:c r="A492" s="30" t="str">
        <x:v>CL0488</x:v>
      </x:c>
      <x:c r="B492" s="31" t="str">
        <x:v>How well do you know about HKEX and this department</x:v>
      </x:c>
      <x:c r="C492" s="31" t="str">
        <x:v>Company, Industry &amp; Deals</x:v>
      </x:c>
      <x:c r="D492" s="69" t="n">
        <x:f>COUNTIF('All Questions'!$G$5:$G$1725,A492)</x:f>
        <x:v>1</x:v>
      </x:c>
      <x:c r="E492" s="31" t="str">
        <x:v>HKEX</x:v>
      </x:c>
      <x:c r="F492" s="31" t="str">
        <x:v>PE / VC / Other</x:v>
      </x:c>
      <x:c r="G492" s="31" t="str">
        <x:v>How well do you know about HKEX and this department?</x:v>
      </x:c>
    </x:row>
    <x:row r="493" ht="34" customHeight="1">
      <x:c r="A493" s="30" t="str">
        <x:v>CL0489</x:v>
      </x:c>
      <x:c r="B493" s="31" t="str">
        <x:v>How will a chinese company stand out compare to US companies</x:v>
      </x:c>
      <x:c r="C493" s="31" t="str">
        <x:v>Company, Industry &amp; Deals</x:v>
      </x:c>
      <x:c r="D493" s="69" t="n">
        <x:f>COUNTIF('All Questions'!$G$5:$G$1725,A493)</x:f>
        <x:v>1</x:v>
      </x:c>
      <x:c r="E493" s="31" t="str">
        <x:v>MS GCM</x:v>
      </x:c>
      <x:c r="F493" s="31" t="str">
        <x:v>IBD / GCM</x:v>
      </x:c>
      <x:c r="G493" s="31" t="str">
        <x:v>how will a chinese company stand out compare to US companies</x:v>
      </x:c>
    </x:row>
    <x:row r="494" ht="34" customHeight="1">
      <x:c r="A494" s="30" t="str">
        <x:v>CL0490</x:v>
      </x:c>
      <x:c r="B494" s="31" t="str">
        <x:v>How will this DCM internship fit in to your experience and your future plan</x:v>
      </x:c>
      <x:c r="C494" s="31" t="str">
        <x:v>Fit &amp; Motivation</x:v>
      </x:c>
      <x:c r="D494" s="69" t="n">
        <x:f>COUNTIF('All Questions'!$G$5:$G$1725,A494)</x:f>
        <x:v>1</x:v>
      </x:c>
      <x:c r="E494" s="31" t="str">
        <x:v>GS DCMECM</x:v>
      </x:c>
      <x:c r="F494" s="31" t="str">
        <x:v>IBD / GCM</x:v>
      </x:c>
      <x:c r="G494" s="31" t="str">
        <x:v>How will this DCM internship fit in to your experience and your future plan</x:v>
      </x:c>
    </x:row>
    <x:row r="495" ht="34" customHeight="1">
      <x:c r="A495" s="30" t="str">
        <x:v>CL0491</x:v>
      </x:c>
      <x:c r="B495" s="31" t="str">
        <x:v>How would i do differently now</x:v>
      </x:c>
      <x:c r="C495" s="31" t="str">
        <x:v>Other Question</x:v>
      </x:c>
      <x:c r="D495" s="69" t="n">
        <x:f>COUNTIF('All Questions'!$G$5:$G$1725,A495)</x:f>
        <x:v>1</x:v>
      </x:c>
      <x:c r="E495" s="31" t="str">
        <x:v>JPM</x:v>
      </x:c>
      <x:c r="F495" s="31" t="str">
        <x:v>IBD / GCM</x:v>
      </x:c>
      <x:c r="G495" s="31" t="str">
        <x:v>how would i do differently now</x:v>
      </x:c>
    </x:row>
    <x:row r="496" ht="34" customHeight="1">
      <x:c r="A496" s="30" t="str">
        <x:v>CL0492</x:v>
      </x:c>
      <x:c r="B496" s="31" t="str">
        <x:v>How would increase in interest rate affect LBO costs</x:v>
      </x:c>
      <x:c r="C496" s="31" t="str">
        <x:v>Markets &amp; Macro</x:v>
      </x:c>
      <x:c r="D496" s="69" t="n">
        <x:f>COUNTIF('All Questions'!$G$5:$G$1725,A496)</x:f>
        <x:v>1</x:v>
      </x:c>
      <x:c r="E496" s="31" t="str">
        <x:v>GS DCMECM</x:v>
      </x:c>
      <x:c r="F496" s="31" t="str">
        <x:v>IBD / GCM</x:v>
      </x:c>
      <x:c r="G496" s="31" t="str">
        <x:v>How would increase in interest rate affect LBO costs</x:v>
      </x:c>
    </x:row>
    <x:row r="497" ht="34" customHeight="1">
      <x:c r="A497" s="30" t="str">
        <x:v>CL0493</x:v>
      </x:c>
      <x:c r="B497" s="31" t="str">
        <x:v>How would u analyze a company if you are working for a PE firm</x:v>
      </x:c>
      <x:c r="C497" s="31" t="str">
        <x:v>Company, Industry &amp; Deals</x:v>
      </x:c>
      <x:c r="D497" s="69" t="n">
        <x:f>COUNTIF('All Questions'!$G$5:$G$1725,A497)</x:f>
        <x:v>1</x:v>
      </x:c>
      <x:c r="E497" s="31" t="str">
        <x:v>MS IBD</x:v>
      </x:c>
      <x:c r="F497" s="31" t="str">
        <x:v>IBD / GCM</x:v>
      </x:c>
      <x:c r="G497" s="31" t="str">
        <x:v>How would u analyze a company if you are working for a PE firm</x:v>
      </x:c>
    </x:row>
    <x:row r="498" ht="34" customHeight="1">
      <x:c r="A498" s="30" t="str">
        <x:v>CL0494</x:v>
      </x:c>
      <x:c r="B498" s="31" t="str">
        <x:v>How would you analyse new company/new investment opportunity</x:v>
      </x:c>
      <x:c r="C498" s="31" t="str">
        <x:v>Company, Industry &amp; Deals</x:v>
      </x:c>
      <x:c r="D498" s="69" t="n">
        <x:f>COUNTIF('All Questions'!$G$5:$G$1725,A498)</x:f>
        <x:v>1</x:v>
      </x:c>
      <x:c r="E498" s="31" t="str">
        <x:v>UBS AM</x:v>
      </x:c>
      <x:c r="F498" s="31" t="str">
        <x:v>PWM / AM</x:v>
      </x:c>
      <x:c r="G498" s="31" t="str">
        <x:v>How would you analyse new company/new investment opportunity?</x:v>
      </x:c>
    </x:row>
    <x:row r="499" ht="34" customHeight="1">
      <x:c r="A499" s="30" t="str">
        <x:v>CL0495</x:v>
      </x:c>
      <x:c r="B499" s="31" t="str">
        <x:v>How would you compare the outlook of starting your career in investment banking v.s. PE/VC</x:v>
      </x:c>
      <x:c r="C499" s="31" t="str">
        <x:v>Other Question</x:v>
      </x:c>
      <x:c r="D499" s="69" t="n">
        <x:f>COUNTIF('All Questions'!$G$5:$G$1725,A499)</x:f>
        <x:v>1</x:v>
      </x:c>
      <x:c r="E499" s="31" t="str">
        <x:v>UBS IBD</x:v>
      </x:c>
      <x:c r="F499" s="31" t="str">
        <x:v>IBD / GCM</x:v>
      </x:c>
      <x:c r="G499" s="31" t="str">
        <x:v>How would you compare the outlook of starting your career in investment banking v.s. PE/VC?</x:v>
      </x:c>
    </x:row>
    <x:row r="500" ht="34" customHeight="1">
      <x:c r="A500" s="30" t="str">
        <x:v>CL0496</x:v>
      </x:c>
      <x:c r="B500" s="31" t="str">
        <x:v>How would you compare the outlook of starting your career in investment banking vs. PE/VC companies</x:v>
      </x:c>
      <x:c r="C500" s="31" t="str">
        <x:v>Company, Industry &amp; Deals</x:v>
      </x:c>
      <x:c r="D500" s="69" t="n">
        <x:f>COUNTIF('All Questions'!$G$5:$G$1725,A500)</x:f>
        <x:v>1</x:v>
      </x:c>
      <x:c r="E500" s="31" t="str">
        <x:v>UBS IBD</x:v>
      </x:c>
      <x:c r="F500" s="31" t="str">
        <x:v>IBD / GCM</x:v>
      </x:c>
      <x:c r="G500" s="31" t="str">
        <x:v>how would you compare the outlook of starting your career in investment banking vs. PE/VC companies?</x:v>
      </x:c>
    </x:row>
    <x:row r="501" ht="34" customHeight="1">
      <x:c r="A501" s="30" t="str">
        <x:v>CL0497</x:v>
      </x:c>
      <x:c r="B501" s="31" t="str">
        <x:v>How would you do valuation for a instant noodle company</x:v>
      </x:c>
      <x:c r="C501" s="31" t="str">
        <x:v>Valuation</x:v>
      </x:c>
      <x:c r="D501" s="69" t="n">
        <x:f>COUNTIF('All Questions'!$G$5:$G$1725,A501)</x:f>
        <x:v>1</x:v>
      </x:c>
      <x:c r="E501" s="31" t="str">
        <x:v>JPM</x:v>
      </x:c>
      <x:c r="F501" s="31" t="str">
        <x:v>IBD / GCM</x:v>
      </x:c>
      <x:c r="G501" s="31" t="str">
        <x:v>how would you do valuation for a instant noodle company</x:v>
      </x:c>
    </x:row>
    <x:row r="502" ht="34" customHeight="1">
      <x:c r="A502" s="30" t="str">
        <x:v>CL0498</x:v>
      </x:c>
      <x:c r="B502" s="31" t="str">
        <x:v>How would you project NWC? (basically the accounts receivable turnover thing)</x:v>
      </x:c>
      <x:c r="C502" s="31" t="str">
        <x:v>Accounting &amp; Financial Statements</x:v>
      </x:c>
      <x:c r="D502" s="69" t="n">
        <x:f>COUNTIF('All Questions'!$G$5:$G$1725,A502)</x:f>
        <x:v>1</x:v>
      </x:c>
      <x:c r="E502" s="31" t="str">
        <x:v>MS IBD</x:v>
      </x:c>
      <x:c r="F502" s="31" t="str">
        <x:v>IBD / GCM</x:v>
      </x:c>
      <x:c r="G502" s="31" t="str">
        <x:v>How would you project NWC? (basically the accounts receivable turnover thing)</x:v>
      </x:c>
    </x:row>
    <x:row r="503" ht="34" customHeight="1">
      <x:c r="A503" s="30" t="str">
        <x:v>CL0499</x:v>
      </x:c>
      <x:c r="B503" s="31" t="str">
        <x:v>How would you value a piece of art</x:v>
      </x:c>
      <x:c r="C503" s="31" t="str">
        <x:v>Other Question</x:v>
      </x:c>
      <x:c r="D503" s="69" t="n">
        <x:f>COUNTIF('All Questions'!$G$5:$G$1725,A503)</x:f>
        <x:v>1</x:v>
      </x:c>
      <x:c r="E503" s="31" t="str">
        <x:v>Barclays</x:v>
      </x:c>
      <x:c r="F503" s="31" t="str">
        <x:v>IBD / GCM</x:v>
      </x:c>
      <x:c r="G503" s="31" t="str">
        <x:v>How would you value a piece of art?</x:v>
      </x:c>
    </x:row>
    <x:row r="504" ht="34" customHeight="1">
      <x:c r="A504" s="30" t="str">
        <x:v>CL0500</x:v>
      </x:c>
      <x:c r="B504" s="31" t="str">
        <x:v>How would you value the company</x:v>
      </x:c>
      <x:c r="C504" s="31" t="str">
        <x:v>Company, Industry &amp; Deals</x:v>
      </x:c>
      <x:c r="D504" s="69" t="n">
        <x:f>COUNTIF('All Questions'!$G$5:$G$1725,A504)</x:f>
        <x:v>1</x:v>
      </x:c>
      <x:c r="E504" s="31" t="str">
        <x:v>UBS IBD</x:v>
      </x:c>
      <x:c r="F504" s="31" t="str">
        <x:v>IBD / GCM</x:v>
      </x:c>
      <x:c r="G504" s="31" t="str">
        <x:v>How would you value the company</x:v>
      </x:c>
    </x:row>
    <x:row r="505" ht="34" customHeight="1">
      <x:c r="A505" s="30" t="str">
        <x:v>CL0501</x:v>
      </x:c>
      <x:c r="B505" s="31" t="str">
        <x:v>How would your colleague describe you and what are your areas of improvement</x:v>
      </x:c>
      <x:c r="C505" s="31" t="str">
        <x:v>Behavioral &amp; Situational</x:v>
      </x:c>
      <x:c r="D505" s="69" t="n">
        <x:f>COUNTIF('All Questions'!$G$5:$G$1725,A505)</x:f>
        <x:v>1</x:v>
      </x:c>
      <x:c r="E505" s="31" t="str">
        <x:v>Barclays</x:v>
      </x:c>
      <x:c r="F505" s="31" t="str">
        <x:v>IBD / GCM</x:v>
      </x:c>
      <x:c r="G505" s="31" t="str">
        <x:v>how would your colleague describe you and what are your areas of improvement</x:v>
      </x:c>
    </x:row>
    <x:row r="506" ht="34" customHeight="1">
      <x:c r="A506" s="30" t="str">
        <x:v>CL0502</x:v>
      </x:c>
      <x:c r="B506" s="31" t="str">
        <x:v>How you get the risk free rate</x:v>
      </x:c>
      <x:c r="C506" s="31" t="str">
        <x:v>Valuation</x:v>
      </x:c>
      <x:c r="D506" s="69" t="n">
        <x:f>COUNTIF('All Questions'!$G$5:$G$1725,A506)</x:f>
        <x:v>1</x:v>
      </x:c>
      <x:c r="E506" s="31" t="str">
        <x:v>MS IBD</x:v>
      </x:c>
      <x:c r="F506" s="31" t="str">
        <x:v>IBD / GCM</x:v>
      </x:c>
      <x:c r="G506" s="31" t="str">
        <x:v>how you get the risk free rate</x:v>
      </x:c>
    </x:row>
    <x:row r="507" ht="34" customHeight="1">
      <x:c r="A507" s="30" t="str">
        <x:v>CL0503</x:v>
      </x:c>
      <x:c r="B507" s="31" t="str">
        <x:v>How's your holiday</x:v>
      </x:c>
      <x:c r="C507" s="31" t="str">
        <x:v>Other Question</x:v>
      </x:c>
      <x:c r="D507" s="69" t="n">
        <x:f>COUNTIF('All Questions'!$G$5:$G$1725,A507)</x:f>
        <x:v>1</x:v>
      </x:c>
      <x:c r="E507" s="31" t="str">
        <x:v>UBS IBD</x:v>
      </x:c>
      <x:c r="F507" s="31" t="str">
        <x:v>IBD / GCM</x:v>
      </x:c>
      <x:c r="G507" s="31" t="str">
        <x:v>How's your holiday</x:v>
      </x:c>
    </x:row>
    <x:row r="508" ht="34" customHeight="1">
      <x:c r="A508" s="30" t="str">
        <x:v>CL0504</x:v>
      </x:c>
      <x:c r="B508" s="31" t="str">
        <x:v>I do Law as well</x:v>
      </x:c>
      <x:c r="C508" s="31" t="str">
        <x:v>Other Question</x:v>
      </x:c>
      <x:c r="D508" s="69" t="n">
        <x:f>COUNTIF('All Questions'!$G$5:$G$1725,A508)</x:f>
        <x:v>1</x:v>
      </x:c>
      <x:c r="E508" s="31" t="str">
        <x:v>GS DCMECM</x:v>
      </x:c>
      <x:c r="F508" s="31" t="str">
        <x:v>IBD / GCM</x:v>
      </x:c>
      <x:c r="G508" s="31" t="str">
        <x:v>I do Law as well?</x:v>
      </x:c>
    </x:row>
    <x:row r="509" ht="76" customHeight="1">
      <x:c r="A509" s="30" t="str">
        <x:v>CL0505</x:v>
      </x:c>
      <x:c r="B509" s="31" t="str">
        <x:v>I don't have the case with me as I did it in person but it was about xiabuxiabu (hotpot) being privatised by a PE firm and do basic valuation to see if the offer price was reasonable</x:v>
      </x:c>
      <x:c r="C509" s="31" t="str">
        <x:v>Valuation</x:v>
      </x:c>
      <x:c r="D509" s="69" t="n">
        <x:f>COUNTIF('All Questions'!$G$5:$G$1725,A509)</x:f>
        <x:v>1</x:v>
      </x:c>
      <x:c r="E509" s="31" t="str">
        <x:v>UBS IBD</x:v>
      </x:c>
      <x:c r="F509" s="31" t="str">
        <x:v>IBD / GCM</x:v>
      </x:c>
      <x:c r="G509" s="31" t="str">
        <x:v>I don't have the case with me as I did it in person but it was about xiabuxiabu (hotpot) being privatised by a PE firm and do basic valuation to see if the offer price was reasonable</x:v>
      </x:c>
    </x:row>
    <x:row r="510" ht="34" customHeight="1">
      <x:c r="A510" s="30" t="str">
        <x:v>CL0506</x:v>
      </x:c>
      <x:c r="B510" s="31" t="str">
        <x:v>I said mining EPC - Which mineral</x:v>
      </x:c>
      <x:c r="C510" s="31" t="str">
        <x:v>Other Question</x:v>
      </x:c>
      <x:c r="D510" s="69" t="n">
        <x:f>COUNTIF('All Questions'!$G$5:$G$1725,A510)</x:f>
        <x:v>1</x:v>
      </x:c>
      <x:c r="E510" s="31" t="str">
        <x:v>Deutsche</x:v>
      </x:c>
      <x:c r="F510" s="31" t="str">
        <x:v>IBD / GCM</x:v>
      </x:c>
      <x:c r="G510" s="31" t="str">
        <x:v>I said mining EPC - Which mineral?</x:v>
      </x:c>
    </x:row>
    <x:row r="511" ht="34" customHeight="1">
      <x:c r="A511" s="30" t="str">
        <x:v>CL0507</x:v>
      </x:c>
      <x:c r="B511" s="31" t="str">
        <x:v>I. What did you do</x:v>
      </x:c>
      <x:c r="C511" s="31" t="str">
        <x:v>Resume &amp; Experience</x:v>
      </x:c>
      <x:c r="D511" s="69" t="n">
        <x:f>COUNTIF('All Questions'!$G$5:$G$1725,A511)</x:f>
        <x:v>1</x:v>
      </x:c>
      <x:c r="E511" s="31" t="str">
        <x:v>Moelis</x:v>
      </x:c>
      <x:c r="F511" s="31" t="str">
        <x:v>IBD / GCM</x:v>
      </x:c>
      <x:c r="G511" s="31" t="str">
        <x:v>i. What did you do?</x:v>
      </x:c>
    </x:row>
    <x:row r="512" ht="34" customHeight="1">
      <x:c r="A512" s="30" t="str">
        <x:v>CL0508</x:v>
      </x:c>
      <x:c r="B512" s="31" t="str">
        <x:v>I. What did you do? Also walked through some industry trends</x:v>
      </x:c>
      <x:c r="C512" s="31" t="str">
        <x:v>Resume &amp; Experience</x:v>
      </x:c>
      <x:c r="D512" s="69" t="n">
        <x:f>COUNTIF('All Questions'!$G$5:$G$1725,A512)</x:f>
        <x:v>1</x:v>
      </x:c>
      <x:c r="E512" s="31" t="str">
        <x:v>Moelis</x:v>
      </x:c>
      <x:c r="F512" s="31" t="str">
        <x:v>IBD / GCM</x:v>
      </x:c>
      <x:c r="G512" s="31" t="str">
        <x:v>i. What did you do? Also walked through some industry trends</x:v>
      </x:c>
    </x:row>
    <x:row r="513" ht="34" customHeight="1">
      <x:c r="A513" s="30" t="str">
        <x:v>CL0509</x:v>
      </x:c>
      <x:c r="B513" s="31" t="str">
        <x:v>I. What do you think are the drivers</x:v>
      </x:c>
      <x:c r="C513" s="31" t="str">
        <x:v>Other Question</x:v>
      </x:c>
      <x:c r="D513" s="69" t="n">
        <x:f>COUNTIF('All Questions'!$G$5:$G$1725,A513)</x:f>
        <x:v>1</x:v>
      </x:c>
      <x:c r="E513" s="31" t="str">
        <x:v>Moelis</x:v>
      </x:c>
      <x:c r="F513" s="31" t="str">
        <x:v>IBD / GCM</x:v>
      </x:c>
      <x:c r="G513" s="31" t="str">
        <x:v>i. What do you think are the drivers?</x:v>
      </x:c>
    </x:row>
    <x:row r="514" ht="52" customHeight="1">
      <x:c r="A514" s="30" t="str">
        <x:v>CL0510</x:v>
      </x:c>
      <x:c r="B514" s="31" t="str">
        <x:v>I've seen lots of experiences within Chinese banks. What are the points that you like and dislike about them</x:v>
      </x:c>
      <x:c r="C514" s="31" t="str">
        <x:v>Resume &amp; Experience</x:v>
      </x:c>
      <x:c r="D514" s="69" t="n">
        <x:f>COUNTIF('All Questions'!$G$5:$G$1725,A514)</x:f>
        <x:v>1</x:v>
      </x:c>
      <x:c r="E514" s="31" t="str">
        <x:v>JPM AM</x:v>
      </x:c>
      <x:c r="F514" s="31" t="str">
        <x:v>PWM / AM</x:v>
      </x:c>
      <x:c r="G514" s="31" t="str">
        <x:v>I've seen lots of experiences within Chinese banks. What are the points that you like and dislike about them?</x:v>
      </x:c>
    </x:row>
    <x:row r="515" ht="34" customHeight="1">
      <x:c r="A515" s="30" t="str">
        <x:v>CL0511</x:v>
      </x:c>
      <x:c r="B515" s="31" t="str">
        <x:v>If a car company and a pe firm are buying a company that makes wheel, which one can pay higher</x:v>
      </x:c>
      <x:c r="C515" s="31" t="str">
        <x:v>Company, Industry &amp; Deals</x:v>
      </x:c>
      <x:c r="D515" s="69" t="n">
        <x:f>COUNTIF('All Questions'!$G$5:$G$1725,A515)</x:f>
        <x:v>1</x:v>
      </x:c>
      <x:c r="E515" s="31" t="str">
        <x:v>Barclays</x:v>
      </x:c>
      <x:c r="F515" s="31" t="str">
        <x:v>IBD / GCM</x:v>
      </x:c>
      <x:c r="G515" s="31" t="str">
        <x:v>if a car company and a pe firm are buying a company that makes wheel, which one can pay higher</x:v>
      </x:c>
    </x:row>
    <x:row r="516" ht="34" customHeight="1">
      <x:c r="A516" s="30" t="str">
        <x:v>CL0512</x:v>
      </x:c>
      <x:c r="B516" s="31" t="str">
        <x:v>If a company has negative and unstable cash flow, how will you value it</x:v>
      </x:c>
      <x:c r="C516" s="31" t="str">
        <x:v>Accounting &amp; Financial Statements</x:v>
      </x:c>
      <x:c r="D516" s="69" t="n">
        <x:f>COUNTIF('All Questions'!$G$5:$G$1725,A516)</x:f>
        <x:v>1</x:v>
      </x:c>
      <x:c r="E516" s="31" t="str">
        <x:v>MS IBD</x:v>
      </x:c>
      <x:c r="F516" s="31" t="str">
        <x:v>IBD / GCM</x:v>
      </x:c>
      <x:c r="G516" s="31" t="str">
        <x:v>If a company has negative and unstable cash flow, how will you value it</x:v>
      </x:c>
    </x:row>
    <x:row r="517" ht="34" customHeight="1">
      <x:c r="A517" s="30" t="str">
        <x:v>CL0513</x:v>
      </x:c>
      <x:c r="B517" s="31" t="str">
        <x:v>If depreciation is up by 10, how would it affect the 3 FS</x:v>
      </x:c>
      <x:c r="C517" s="31" t="str">
        <x:v>Accounting &amp; Financial Statements</x:v>
      </x:c>
      <x:c r="D517" s="69" t="n">
        <x:f>COUNTIF('All Questions'!$G$5:$G$1725,A517)</x:f>
        <x:v>1</x:v>
      </x:c>
      <x:c r="E517" s="31" t="str">
        <x:v>Jefferies</x:v>
      </x:c>
      <x:c r="F517" s="31" t="str">
        <x:v>IBD / GCM</x:v>
      </x:c>
      <x:c r="G517" s="31" t="str">
        <x:v>If depreciation is up by 10, how would it affect the 3 FS?</x:v>
      </x:c>
    </x:row>
    <x:row r="518" ht="34" customHeight="1">
      <x:c r="A518" s="30" t="str">
        <x:v>CL0514</x:v>
      </x:c>
      <x:c r="B518" s="31" t="str">
        <x:v>If I have a clothing manufacturer in Vietnam, how do I get the comparable companies</x:v>
      </x:c>
      <x:c r="C518" s="31" t="str">
        <x:v>Valuation</x:v>
      </x:c>
      <x:c r="D518" s="69" t="n">
        <x:f>COUNTIF('All Questions'!$G$5:$G$1725,A518)</x:f>
        <x:v>1</x:v>
      </x:c>
      <x:c r="E518" s="31" t="str">
        <x:v>Deutsche</x:v>
      </x:c>
      <x:c r="F518" s="31" t="str">
        <x:v>IBD / GCM</x:v>
      </x:c>
      <x:c r="G518" s="31" t="str">
        <x:v>If I have a clothing manufacturer in Vietnam, how do I get the comparable companies?</x:v>
      </x:c>
    </x:row>
    <x:row r="519" ht="76" customHeight="1">
      <x:c r="A519" s="30" t="str">
        <x:v>CL0515</x:v>
      </x:c>
      <x:c r="B519" s="31" t="str">
        <x:v>If I sent you a model done by others and there are a lot of errors, probably because of circular referencing, where would you start checking and how would you make amendments for it</x:v>
      </x:c>
      <x:c r="C519" s="31" t="str">
        <x:v>Other Technical</x:v>
      </x:c>
      <x:c r="D519" s="69" t="n">
        <x:f>COUNTIF('All Questions'!$G$5:$G$1725,A519)</x:f>
        <x:v>1</x:v>
      </x:c>
      <x:c r="E519" s="31" t="str">
        <x:v>Bofa IBD</x:v>
      </x:c>
      <x:c r="F519" s="31" t="str">
        <x:v>IBD / GCM</x:v>
      </x:c>
      <x:c r="G519" s="31" t="str">
        <x:v>If I sent you a model done by others and there are a lot of errors, probably because of circular referencing, where would you start checking and how would you make amendments for it?</x:v>
      </x:c>
    </x:row>
    <x:row r="520" ht="52" customHeight="1">
      <x:c r="A520" s="30" t="str">
        <x:v>CL0516</x:v>
      </x:c>
      <x:c r="B520" s="31" t="str">
        <x:v>If the company were to be acquired 100% by another company how much would it be (higher than ev bc control premium)</x:v>
      </x:c>
      <x:c r="C520" s="31" t="str">
        <x:v>M&amp;A</x:v>
      </x:c>
      <x:c r="D520" s="69" t="n">
        <x:f>COUNTIF('All Questions'!$G$5:$G$1725,A520)</x:f>
        <x:v>1</x:v>
      </x:c>
      <x:c r="E520" s="31" t="str">
        <x:v>Citi</x:v>
      </x:c>
      <x:c r="F520" s="31" t="str">
        <x:v>IBD / GCM</x:v>
      </x:c>
      <x:c r="G520" s="31" t="str">
        <x:v>if the company were to be acquired 100% by another company how much would it be (higher than ev bc control premium)</x:v>
      </x:c>
    </x:row>
    <x:row r="521" ht="34" customHeight="1">
      <x:c r="A521" s="30" t="str">
        <x:v>CL0517</x:v>
      </x:c>
      <x:c r="B521" s="31" t="str">
        <x:v>If the company's operations are in China, but listed in US, what Rf do you use</x:v>
      </x:c>
      <x:c r="C521" s="31" t="str">
        <x:v>Company, Industry &amp; Deals</x:v>
      </x:c>
      <x:c r="D521" s="69" t="n">
        <x:f>COUNTIF('All Questions'!$G$5:$G$1725,A521)</x:f>
        <x:v>1</x:v>
      </x:c>
      <x:c r="E521" s="31" t="str">
        <x:v>Moelis</x:v>
      </x:c>
      <x:c r="F521" s="31" t="str">
        <x:v>IBD / GCM</x:v>
      </x:c>
      <x:c r="G521" s="31" t="str">
        <x:v>If the company's operations are in China, but listed in US, what Rf do you use?</x:v>
      </x:c>
    </x:row>
    <x:row r="522" ht="34" customHeight="1">
      <x:c r="A522" s="30" t="str">
        <x:v>CL0518</x:v>
      </x:c>
      <x:c r="B522" s="31" t="str">
        <x:v>If the desk is managing a long short pair for client, what actions to take(TRS)</x:v>
      </x:c>
      <x:c r="C522" s="31" t="str">
        <x:v>Accounting &amp; Financial Statements</x:v>
      </x:c>
      <x:c r="D522" s="69" t="n">
        <x:f>COUNTIF('All Questions'!$G$5:$G$1725,A522)</x:f>
        <x:v>1</x:v>
      </x:c>
      <x:c r="E522" s="31" t="str">
        <x:v>UBS(GM Off cycle)</x:v>
      </x:c>
      <x:c r="F522" s="31" t="str">
        <x:v>Sales &amp; Trading</x:v>
      </x:c>
      <x:c r="G522" s="31" t="str">
        <x:v>If the desk is managing a long short pair for client, what actions to take(TRS)</x:v>
      </x:c>
    </x:row>
    <x:row r="523" ht="34" customHeight="1">
      <x:c r="A523" s="30" t="str">
        <x:v>CL0519</x:v>
      </x:c>
      <x:c r="B523" s="31" t="str">
        <x:v>If the IRR is 15%, the interest rate is 20%, should u borrow the debt</x:v>
      </x:c>
      <x:c r="C523" s="31" t="str">
        <x:v>Accounting &amp; Financial Statements</x:v>
      </x:c>
      <x:c r="D523" s="69" t="n">
        <x:f>COUNTIF('All Questions'!$G$5:$G$1725,A523)</x:f>
        <x:v>1</x:v>
      </x:c>
      <x:c r="E523" s="31" t="str">
        <x:v>Deutsche</x:v>
      </x:c>
      <x:c r="F523" s="31" t="str">
        <x:v>IBD / GCM</x:v>
      </x:c>
      <x:c r="G523" s="31" t="str">
        <x:v>if the IRR is 15%, the interest rate is 20%, should u borrow the debt</x:v>
      </x:c>
    </x:row>
    <x:row r="524" ht="34" customHeight="1">
      <x:c r="A524" s="30" t="str">
        <x:v>CL0520</x:v>
      </x:c>
      <x:c r="B524" s="31" t="str">
        <x:v>If the manager asked you to pitch a wrong idea to client, how would you do</x:v>
      </x:c>
      <x:c r="C524" s="31" t="str">
        <x:v>Other Question</x:v>
      </x:c>
      <x:c r="D524" s="69" t="n">
        <x:f>COUNTIF('All Questions'!$G$5:$G$1725,A524)</x:f>
        <x:v>1</x:v>
      </x:c>
      <x:c r="E524" s="31" t="str">
        <x:v>JPM AM</x:v>
      </x:c>
      <x:c r="F524" s="31" t="str">
        <x:v>PWM / AM</x:v>
      </x:c>
      <x:c r="G524" s="31" t="str">
        <x:v>If the manager asked you to pitch a wrong idea to client, how would you do?</x:v>
      </x:c>
    </x:row>
    <x:row r="525" ht="52" customHeight="1">
      <x:c r="A525" s="30" t="str">
        <x:v>CL0521</x:v>
      </x:c>
      <x:c r="B525" s="31" t="str">
        <x:v>If the market is going really bad, for example, a covid lockdown - what operational information would you look at to assess the company's risks</x:v>
      </x:c>
      <x:c r="C525" s="31" t="str">
        <x:v>Accounting &amp; Financial Statements</x:v>
      </x:c>
      <x:c r="D525" s="69" t="n">
        <x:f>COUNTIF('All Questions'!$G$5:$G$1725,A525)</x:f>
        <x:v>1</x:v>
      </x:c>
      <x:c r="E525" s="31" t="str">
        <x:v>GS DCMECM</x:v>
      </x:c>
      <x:c r="F525" s="31" t="str">
        <x:v>IBD / GCM</x:v>
      </x:c>
      <x:c r="G525" s="31" t="str">
        <x:v>If the market is going really bad, for example, a covid lockdown - what operational information would you look at to assess the company's risks</x:v>
      </x:c>
    </x:row>
    <x:row r="526" ht="34" customHeight="1">
      <x:c r="A526" s="30" t="str">
        <x:v>CL0522</x:v>
      </x:c>
      <x:c r="B526" s="31" t="str">
        <x:v>If the price fluctuation of callable bonds increase, how does it effect the YTM? (increase)</x:v>
      </x:c>
      <x:c r="C526" s="31" t="str">
        <x:v>Other Question</x:v>
      </x:c>
      <x:c r="D526" s="69" t="n">
        <x:f>COUNTIF('All Questions'!$G$5:$G$1725,A526)</x:f>
        <x:v>1</x:v>
      </x:c>
      <x:c r="E526" s="31" t="str">
        <x:v>Houlihan Lokey</x:v>
      </x:c>
      <x:c r="F526" s="31" t="str">
        <x:v>IBD / GCM</x:v>
      </x:c>
      <x:c r="G526" s="31" t="str">
        <x:v>If the price fluctuation of callable bonds increase, how does it effect the YTM? (increase)</x:v>
      </x:c>
    </x:row>
    <x:row r="527" ht="76" customHeight="1">
      <x:c r="A527" s="30" t="str">
        <x:v>CL0523</x:v>
      </x:c>
      <x:c r="B527" s="31" t="str">
        <x:v>If there’s an energy company and you’re working on a sell side model, you have the ASP, sales volume, utilization rates, PPA, what inputs will you put into the model? Would you be more aggressive or less aggressive</x:v>
      </x:c>
      <x:c r="C527" s="31" t="str">
        <x:v>M&amp;A</x:v>
      </x:c>
      <x:c r="D527" s="69" t="n">
        <x:f>COUNTIF('All Questions'!$G$5:$G$1725,A527)</x:f>
        <x:v>1</x:v>
      </x:c>
      <x:c r="E527" s="31" t="str">
        <x:v>Moelis</x:v>
      </x:c>
      <x:c r="F527" s="31" t="str">
        <x:v>IBD / GCM</x:v>
      </x:c>
      <x:c r="G527" s="31" t="str">
        <x:v>If there’s an energy company and you’re working on a sell side model, you have the ASP, sales volume, utilization rates, PPA, what inputs will you put into the model? Would you be more aggressive or less aggressive?</x:v>
      </x:c>
    </x:row>
    <x:row r="528" ht="34" customHeight="1">
      <x:c r="A528" s="30" t="str">
        <x:v>CL0524</x:v>
      </x:c>
      <x:c r="B528" s="31" t="str">
        <x:v>If we borrow money from a bank for 100, how will it affect Enterprise value</x:v>
      </x:c>
      <x:c r="C528" s="31" t="str">
        <x:v>Valuation</x:v>
      </x:c>
      <x:c r="D528" s="69" t="n">
        <x:f>COUNTIF('All Questions'!$G$5:$G$1725,A528)</x:f>
        <x:v>1</x:v>
      </x:c>
      <x:c r="E528" s="31" t="str">
        <x:v>Bofa IBD</x:v>
      </x:c>
      <x:c r="F528" s="31" t="str">
        <x:v>IBD / GCM</x:v>
      </x:c>
      <x:c r="G528" s="31" t="str">
        <x:v>If we borrow money from a bank for 100, how will it affect Enterprise value?</x:v>
      </x:c>
    </x:row>
    <x:row r="529" ht="34" customHeight="1">
      <x:c r="A529" s="30" t="str">
        <x:v>CL0525</x:v>
      </x:c>
      <x:c r="B529" s="31" t="str">
        <x:v>If you are a strategic buyer, what's the answer</x:v>
      </x:c>
      <x:c r="C529" s="31" t="str">
        <x:v>M&amp;A</x:v>
      </x:c>
      <x:c r="D529" s="69" t="n">
        <x:f>COUNTIF('All Questions'!$G$5:$G$1725,A529)</x:f>
        <x:v>1</x:v>
      </x:c>
      <x:c r="E529" s="31" t="str">
        <x:v>Deutsche</x:v>
      </x:c>
      <x:c r="F529" s="31" t="str">
        <x:v>IBD / GCM</x:v>
      </x:c>
      <x:c r="G529" s="31" t="str">
        <x:v>If you are a strategic buyer, what's the answer?</x:v>
      </x:c>
    </x:row>
    <x:row r="530" ht="52" customHeight="1">
      <x:c r="A530" s="30" t="str">
        <x:v>CL0526</x:v>
      </x:c>
      <x:c r="B530" s="31" t="str">
        <x:v>If you are given 1 million dollars, and you are not allowed to use it to invest or make it grow, what would you use it for</x:v>
      </x:c>
      <x:c r="C530" s="31" t="str">
        <x:v>Other Question</x:v>
      </x:c>
      <x:c r="D530" s="69" t="n">
        <x:f>COUNTIF('All Questions'!$G$5:$G$1725,A530)</x:f>
        <x:v>1</x:v>
      </x:c>
      <x:c r="E530" s="31" t="str">
        <x:v>Jefferies</x:v>
      </x:c>
      <x:c r="F530" s="31" t="str">
        <x:v>IBD / GCM</x:v>
      </x:c>
      <x:c r="G530" s="31" t="str">
        <x:v>If you are given 1 million dollars, and you are not allowed to use it to invest or make it grow, what would you use it for?</x:v>
      </x:c>
    </x:row>
    <x:row r="531" ht="52" customHeight="1">
      <x:c r="A531" s="30" t="str">
        <x:v>CL0527</x:v>
      </x:c>
      <x:c r="B531" s="31" t="str">
        <x:v>If you are reaching out to a sponsor, asking for specific data to analyse their debt servicing ability, what are the most important data you need to ask for</x:v>
      </x:c>
      <x:c r="C531" s="31" t="str">
        <x:v>Other Question</x:v>
      </x:c>
      <x:c r="D531" s="69" t="n">
        <x:f>COUNTIF('All Questions'!$G$5:$G$1725,A531)</x:f>
        <x:v>1</x:v>
      </x:c>
      <x:c r="E531" s="31" t="str">
        <x:v>GS DCMECM</x:v>
      </x:c>
      <x:c r="F531" s="31" t="str">
        <x:v>IBD / GCM</x:v>
      </x:c>
      <x:c r="G531" s="31" t="str">
        <x:v>If you are reaching out to a sponsor, asking for specific data to analyse their debt servicing ability, what are the most important data you need to ask for</x:v>
      </x:c>
    </x:row>
    <x:row r="532" ht="34" customHeight="1">
      <x:c r="A532" s="30" t="str">
        <x:v>CL0528</x:v>
      </x:c>
      <x:c r="B532" s="31" t="str">
        <x:v>If you are the investment bank, what factors would you look other than the above</x:v>
      </x:c>
      <x:c r="C532" s="31" t="str">
        <x:v>Other Question</x:v>
      </x:c>
      <x:c r="D532" s="69" t="n">
        <x:f>COUNTIF('All Questions'!$G$5:$G$1725,A532)</x:f>
        <x:v>1</x:v>
      </x:c>
      <x:c r="E532" s="31" t="str">
        <x:v>MS GCM</x:v>
      </x:c>
      <x:c r="F532" s="31" t="str">
        <x:v>IBD / GCM</x:v>
      </x:c>
      <x:c r="G532" s="31" t="str">
        <x:v>If you are the investment bank, what factors would you look other than the above</x:v>
      </x:c>
    </x:row>
    <x:row r="533" ht="34" customHeight="1">
      <x:c r="A533" s="30" t="str">
        <x:v>CL0529</x:v>
      </x:c>
      <x:c r="B533" s="31" t="str">
        <x:v>If you could change one aspect of the GS, what will you do</x:v>
      </x:c>
      <x:c r="C533" s="31" t="str">
        <x:v>Other Question</x:v>
      </x:c>
      <x:c r="D533" s="69" t="n">
        <x:f>COUNTIF('All Questions'!$G$5:$G$1725,A533)</x:f>
        <x:v>1</x:v>
      </x:c>
      <x:c r="E533" s="31" t="str">
        <x:v>GS PWM</x:v>
      </x:c>
      <x:c r="F533" s="31" t="str">
        <x:v>PWM / AM</x:v>
      </x:c>
      <x:c r="G533" s="31" t="str">
        <x:v>If you could change one aspect of the GS, what will you do?</x:v>
      </x:c>
    </x:row>
    <x:row r="534" ht="34" customHeight="1">
      <x:c r="A534" s="30" t="str">
        <x:v>CL0530</x:v>
      </x:c>
      <x:c r="B534" s="31" t="str">
        <x:v>If you don’t work in investment banking or finance in the long term, what would you work in</x:v>
      </x:c>
      <x:c r="C534" s="31" t="str">
        <x:v>Other Technical</x:v>
      </x:c>
      <x:c r="D534" s="69" t="n">
        <x:f>COUNTIF('All Questions'!$G$5:$G$1725,A534)</x:f>
        <x:v>1</x:v>
      </x:c>
      <x:c r="E534" s="31" t="str">
        <x:v>Barclays</x:v>
      </x:c>
      <x:c r="F534" s="31" t="str">
        <x:v>IBD / GCM</x:v>
      </x:c>
      <x:c r="G534" s="31" t="str">
        <x:v>If you don’t work in investment banking or finance in the long term, what would you work in?</x:v>
      </x:c>
    </x:row>
    <x:row r="535" ht="52" customHeight="1">
      <x:c r="A535" s="30" t="str">
        <x:v>CL0531</x:v>
      </x:c>
      <x:c r="B535" s="31" t="str">
        <x:v>If you get offer from MS GCM, and you call your grandma back to Yunnan, your grandma said congratulations but what if GCM? What will you explain to your grandma about your role</x:v>
      </x:c>
      <x:c r="C535" s="31" t="str">
        <x:v>Capital Markets &amp; Financing</x:v>
      </x:c>
      <x:c r="D535" s="69" t="n">
        <x:f>COUNTIF('All Questions'!$G$5:$G$1725,A535)</x:f>
        <x:v>1</x:v>
      </x:c>
      <x:c r="E535" s="31" t="str">
        <x:v>MS GCM</x:v>
      </x:c>
      <x:c r="F535" s="31" t="str">
        <x:v>IBD / GCM</x:v>
      </x:c>
      <x:c r="G535" s="31" t="str">
        <x:v>if you get offer from MS GCM, and you call your grandma back to Yunnan, your grandma said congratulations but what if GCM? What will you explain to your grandma about your role</x:v>
      </x:c>
    </x:row>
    <x:row r="536" ht="76" customHeight="1">
      <x:c r="A536" s="30" t="str">
        <x:v>CL0532</x:v>
      </x:c>
      <x:c r="B536" s="31" t="str">
        <x:v>If you're my intern and we want to decide whether we should lend money to KKR for LBO, what will you include in a 2-page memo for me to read suppose I don't know anything about the company</x:v>
      </x:c>
      <x:c r="C536" s="31" t="str">
        <x:v>Private Equity &amp; LBO</x:v>
      </x:c>
      <x:c r="D536" s="69" t="n">
        <x:f>COUNTIF('All Questions'!$G$5:$G$1725,A536)</x:f>
        <x:v>1</x:v>
      </x:c>
      <x:c r="E536" s="31" t="str">
        <x:v>BNP Paribas</x:v>
      </x:c>
      <x:c r="F536" s="31" t="str">
        <x:v>IBD / GCM</x:v>
      </x:c>
      <x:c r="G536" s="31" t="str">
        <x:v>If you're my intern and we want to decide whether we should lend money to KKR for LBO, what will you include in a 2-page memo for me to read suppose I don't know anything about the company</x:v>
      </x:c>
    </x:row>
    <x:row r="537" ht="52" customHeight="1">
      <x:c r="A537" s="30" t="str">
        <x:v>CL0533</x:v>
      </x:c>
      <x:c r="B537" s="31" t="str">
        <x:v>If you're walking into the meeting room for the clients but you suddenly realized a big mistake about the numbers, what will you do</x:v>
      </x:c>
      <x:c r="C537" s="31" t="str">
        <x:v>Behavioral &amp; Situational</x:v>
      </x:c>
      <x:c r="D537" s="69" t="n">
        <x:f>COUNTIF('All Questions'!$G$5:$G$1725,A537)</x:f>
        <x:v>1</x:v>
      </x:c>
      <x:c r="E537" s="31" t="str">
        <x:v>JPM AM</x:v>
      </x:c>
      <x:c r="F537" s="31" t="str">
        <x:v>PWM / AM</x:v>
      </x:c>
      <x:c r="G537" s="31" t="str">
        <x:v>If you're walking into the meeting room for the clients but you suddenly realized a big mistake about the numbers, what will you do?</x:v>
      </x:c>
    </x:row>
    <x:row r="538" ht="34" customHeight="1">
      <x:c r="A538" s="30" t="str">
        <x:v>CL0534</x:v>
      </x:c>
      <x:c r="B538" s="31" t="str">
        <x:v>If your are a financial sponsor, what's the answer</x:v>
      </x:c>
      <x:c r="C538" s="31" t="str">
        <x:v>Private Equity &amp; LBO</x:v>
      </x:c>
      <x:c r="D538" s="69" t="n">
        <x:f>COUNTIF('All Questions'!$G$5:$G$1725,A538)</x:f>
        <x:v>1</x:v>
      </x:c>
      <x:c r="E538" s="31" t="str">
        <x:v>Deutsche</x:v>
      </x:c>
      <x:c r="F538" s="31" t="str">
        <x:v>IBD / GCM</x:v>
      </x:c>
      <x:c r="G538" s="31" t="str">
        <x:v>If your are a financial sponsor, what's the answer?</x:v>
      </x:c>
    </x:row>
    <x:row r="539" ht="76" customHeight="1">
      <x:c r="A539" s="30" t="str">
        <x:v>CL0535</x:v>
      </x:c>
      <x:c r="B539"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C539" s="31" t="str">
        <x:v>Accounting &amp; Financial Statements</x:v>
      </x:c>
      <x:c r="D539" s="69" t="n">
        <x:f>COUNTIF('All Questions'!$G$5:$G$1725,A539)</x:f>
        <x:v>1</x:v>
      </x:c>
      <x:c r="E539" s="31" t="str">
        <x:v>Lazard</x:v>
      </x:c>
      <x:c r="F539" s="31" t="str">
        <x:v>IBD / GCM</x:v>
      </x:c>
      <x:c r="G539" s="31" t="str">
        <x:v>If your client is a PE 100% exit, and you get 3 bids, how would you decide who to sign the SPA with? Anything to look at besides price? (I asked for her suggested answer in the ask back, she mention Compliance - if the target is a US company, and the bidder is Chinese, may be ...</x:v>
      </x:c>
    </x:row>
    <x:row r="540" ht="34" customHeight="1">
      <x:c r="A540" s="30" t="str">
        <x:v>CL0536</x:v>
      </x:c>
      <x:c r="B540" s="31" t="str">
        <x:v>In an LBO model, what item comes below EBITDA lines, why</x:v>
      </x:c>
      <x:c r="C540" s="31" t="str">
        <x:v>Private Equity &amp; LBO</x:v>
      </x:c>
      <x:c r="D540" s="69" t="n">
        <x:f>COUNTIF('All Questions'!$G$5:$G$1725,A540)</x:f>
        <x:v>1</x:v>
      </x:c>
      <x:c r="E540" s="31" t="str">
        <x:v>Deutsche</x:v>
      </x:c>
      <x:c r="F540" s="31" t="str">
        <x:v>IBD / GCM</x:v>
      </x:c>
      <x:c r="G540" s="31" t="str">
        <x:v>In an LBO model, what item comes below EBITDA lines, why?</x:v>
      </x:c>
    </x:row>
    <x:row r="541" ht="76" customHeight="1">
      <x:c r="A541" s="30" t="str">
        <x:v>CL0537</x:v>
      </x:c>
      <x:c r="B541" s="31" t="str">
        <x:v>In anticipation of macro and geopolitical uncertainties such as outcome of US presidential election, what do you think is the key for investment banks to stay relevant and competitive</x:v>
      </x:c>
      <x:c r="C541" s="31" t="str">
        <x:v>Accounting &amp; Financial Statements</x:v>
      </x:c>
      <x:c r="D541" s="69" t="n">
        <x:f>COUNTIF('All Questions'!$G$5:$G$1725,A541)</x:f>
        <x:v>1</x:v>
      </x:c>
      <x:c r="E541" s="31" t="str">
        <x:v>UBS IBD</x:v>
      </x:c>
      <x:c r="F541" s="31" t="str">
        <x:v>IBD / GCM</x:v>
      </x:c>
      <x:c r="G541" s="31" t="str">
        <x:v>in anticipation of macro and geopolitical uncertainties such as outcome of US presidential election, what do you think is the key for investment banks to stay relevant and competitive?</x:v>
      </x:c>
    </x:row>
    <x:row r="542" ht="52" customHeight="1">
      <x:c r="A542" s="30" t="str">
        <x:v>CL0538</x:v>
      </x:c>
      <x:c r="B542" s="31" t="str">
        <x:v>In current market, what is current valuation level of different asset classes? Which one do you prefer to invest</x:v>
      </x:c>
      <x:c r="C542" s="31" t="str">
        <x:v>Accounting &amp; Financial Statements</x:v>
      </x:c>
      <x:c r="D542" s="69" t="n">
        <x:f>COUNTIF('All Questions'!$G$5:$G$1725,A542)</x:f>
        <x:v>1</x:v>
      </x:c>
      <x:c r="E542" s="31" t="str">
        <x:v>UBS IBD</x:v>
      </x:c>
      <x:c r="F542" s="31" t="str">
        <x:v>IBD / GCM</x:v>
      </x:c>
      <x:c r="G542" s="31" t="str">
        <x:v>In current market, what is current valuation level of different asset classes? Which one do you prefer to invest?</x:v>
      </x:c>
    </x:row>
    <x:row r="543" ht="52" customHeight="1">
      <x:c r="A543" s="30" t="str">
        <x:v>CL0539</x:v>
      </x:c>
      <x:c r="B543" s="31" t="str">
        <x:v>In light of decent deglobalisation trends, what is your view of the role of HK as a global financial hub going forward</x:v>
      </x:c>
      <x:c r="C543" s="31" t="str">
        <x:v>Accounting &amp; Financial Statements</x:v>
      </x:c>
      <x:c r="D543" s="69" t="n">
        <x:f>COUNTIF('All Questions'!$G$5:$G$1725,A543)</x:f>
        <x:v>1</x:v>
      </x:c>
      <x:c r="E543" s="31" t="str">
        <x:v>UBS IBD</x:v>
      </x:c>
      <x:c r="F543" s="31" t="str">
        <x:v>IBD / GCM</x:v>
      </x:c>
      <x:c r="G543" s="31" t="str">
        <x:v>In light of decent deglobalisation trends, what is your view of the role of HK as a global financial hub going forward</x:v>
      </x:c>
    </x:row>
    <x:row r="544" ht="52" customHeight="1">
      <x:c r="A544" s="30" t="str">
        <x:v>CL0540</x:v>
      </x:c>
      <x:c r="B544" s="31" t="str">
        <x:v>In most of the cases, involving debt financing, cash, e.g., acquisition involves all three, what are some of the impacts that have to encounter for the merger model</x:v>
      </x:c>
      <x:c r="C544" s="31" t="str">
        <x:v>M&amp;A</x:v>
      </x:c>
      <x:c r="D544" s="69" t="n">
        <x:f>COUNTIF('All Questions'!$G$5:$G$1725,A544)</x:f>
        <x:v>1</x:v>
      </x:c>
      <x:c r="E544" s="31" t="str">
        <x:v>Grant Samuel</x:v>
      </x:c>
      <x:c r="F544" s="31" t="str">
        <x:v>IBD / GCM</x:v>
      </x:c>
      <x:c r="G544" s="31" t="str">
        <x:v>In most of the cases, involving debt financing, cash, e.g., acquisition involves all three, what are some of the impacts that have to encounter for the merger model</x:v>
      </x:c>
    </x:row>
    <x:row r="545" ht="34" customHeight="1">
      <x:c r="A545" s="30" t="str">
        <x:v>CL0541</x:v>
      </x:c>
      <x:c r="B545" s="31" t="str">
        <x:v>Industry Group (2 interviewers, TMT and Energy)</x:v>
      </x:c>
      <x:c r="C545" s="31" t="str">
        <x:v>Company, Industry &amp; Deals</x:v>
      </x:c>
      <x:c r="D545" s="69" t="n">
        <x:f>COUNTIF('All Questions'!$G$5:$G$1725,A545)</x:f>
        <x:v>1</x:v>
      </x:c>
      <x:c r="E545" s="31" t="str">
        <x:v>BNP Paribas</x:v>
      </x:c>
      <x:c r="F545" s="31" t="str">
        <x:v>IBD / GCM</x:v>
      </x:c>
      <x:c r="G545" s="31" t="str">
        <x:v>Industry Group (2 interviewers, TMT and Energy)</x:v>
      </x:c>
    </x:row>
    <x:row r="546" ht="34" customHeight="1">
      <x:c r="A546" s="30" t="str">
        <x:v>CL0542</x:v>
      </x:c>
      <x:c r="B546" s="31" t="str">
        <x:v>Industry insights - healthcare verticals (basic)</x:v>
      </x:c>
      <x:c r="C546" s="31" t="str">
        <x:v>Company, Industry &amp; Deals</x:v>
      </x:c>
      <x:c r="D546" s="69" t="n">
        <x:f>COUNTIF('All Questions'!$G$5:$G$1725,A546)</x:f>
        <x:v>1</x:v>
      </x:c>
      <x:c r="E546" s="31" t="str">
        <x:v>BNP Paribas</x:v>
      </x:c>
      <x:c r="F546" s="31" t="str">
        <x:v>IBD / GCM</x:v>
      </x:c>
      <x:c r="G546" s="31" t="str">
        <x:v>Industry insights - healthcare verticals (basic)</x:v>
      </x:c>
    </x:row>
    <x:row r="547" ht="34" customHeight="1">
      <x:c r="A547" s="30" t="str">
        <x:v>CL0543</x:v>
      </x:c>
      <x:c r="B547" s="31" t="str">
        <x:v>Industry overview of energy storage (globally)</x:v>
      </x:c>
      <x:c r="C547" s="31" t="str">
        <x:v>Company, Industry &amp; Deals</x:v>
      </x:c>
      <x:c r="D547" s="69" t="n">
        <x:f>COUNTIF('All Questions'!$G$5:$G$1725,A547)</x:f>
        <x:v>1</x:v>
      </x:c>
      <x:c r="E547" s="31" t="str">
        <x:v>UBS IBD</x:v>
      </x:c>
      <x:c r="F547" s="31" t="str">
        <x:v>IBD / GCM</x:v>
      </x:c>
      <x:c r="G547" s="31" t="str">
        <x:v>Industry overview of energy storage (globally)</x:v>
      </x:c>
    </x:row>
    <x:row r="548" ht="34" customHeight="1">
      <x:c r="A548" s="30" t="str">
        <x:v>CL0544</x:v>
      </x:c>
      <x:c r="B548" s="31" t="str">
        <x:v>Industry you familiar with (I talked about EV, as they have worked on deals in EV)</x:v>
      </x:c>
      <x:c r="C548" s="31" t="str">
        <x:v>Company, Industry &amp; Deals</x:v>
      </x:c>
      <x:c r="D548" s="69" t="n">
        <x:f>COUNTIF('All Questions'!$G$5:$G$1725,A548)</x:f>
        <x:v>1</x:v>
      </x:c>
      <x:c r="E548" s="31" t="str">
        <x:v>BNP Paribas</x:v>
      </x:c>
      <x:c r="F548" s="31" t="str">
        <x:v>IBD / GCM</x:v>
      </x:c>
      <x:c r="G548" s="31" t="str">
        <x:v>Industry you familiar with (I talked about EV, as they have worked on deals in EV)</x:v>
      </x:c>
    </x:row>
    <x:row r="549" ht="52" customHeight="1">
      <x:c r="A549" s="30" t="str">
        <x:v>CL0545</x:v>
      </x:c>
      <x:c r="B549" s="31" t="str">
        <x:v>Industry: how is the growth rate being justified? What are the key growth drivers, what was the growth rate before COVID, grwoth rate for oil, what drives the demand for oil</x:v>
      </x:c>
      <x:c r="C549" s="31" t="str">
        <x:v>Accounting &amp; Financial Statements</x:v>
      </x:c>
      <x:c r="D549" s="69" t="n">
        <x:f>COUNTIF('All Questions'!$G$5:$G$1725,A549)</x:f>
        <x:v>1</x:v>
      </x:c>
      <x:c r="E549" s="31" t="str">
        <x:v>Fountainvest</x:v>
      </x:c>
      <x:c r="F549" s="31" t="str">
        <x:v>PE / VC / Other</x:v>
      </x:c>
      <x:c r="G549" s="31" t="str">
        <x:v>Industry: how is the growth rate being justified? What are the key growth drivers, what was the growth rate before COVID, grwoth rate for oil, what drives the demand for oil?</x:v>
      </x:c>
    </x:row>
    <x:row r="550" ht="52" customHeight="1">
      <x:c r="A550" s="30" t="str">
        <x:v>CL0546</x:v>
      </x:c>
      <x:c r="B550" s="31" t="str">
        <x:v>Initiation on the electroplating company, how do you do valuation, investment thesis, comparables and DCF</x:v>
      </x:c>
      <x:c r="C550" s="31" t="str">
        <x:v>Valuation</x:v>
      </x:c>
      <x:c r="D550" s="69" t="n">
        <x:f>COUNTIF('All Questions'!$G$5:$G$1725,A550)</x:f>
        <x:v>1</x:v>
      </x:c>
      <x:c r="E550" s="31" t="str">
        <x:v>Citi</x:v>
      </x:c>
      <x:c r="F550" s="31" t="str">
        <x:v>IBD / GCM</x:v>
      </x:c>
      <x:c r="G550" s="31" t="str">
        <x:v>Initiation on the electroplating company, how do you do valuation, investment thesis, comparables and DCF</x:v>
      </x:c>
    </x:row>
    <x:row r="551" ht="34" customHeight="1">
      <x:c r="A551" s="30" t="str">
        <x:v>CL0547</x:v>
      </x:c>
      <x:c r="B551" s="31" t="str">
        <x:v>Interest rate</x:v>
      </x:c>
      <x:c r="C551" s="31" t="str">
        <x:v>Markets &amp; Macro</x:v>
      </x:c>
      <x:c r="D551" s="69" t="n">
        <x:f>COUNTIF('All Questions'!$G$5:$G$1725,A551)</x:f>
        <x:v>1</x:v>
      </x:c>
      <x:c r="E551" s="31" t="str">
        <x:v>GS DCMECM</x:v>
      </x:c>
      <x:c r="F551" s="31" t="str">
        <x:v>IBD / GCM</x:v>
      </x:c>
      <x:c r="G551" s="31" t="str">
        <x:v>Interest rate</x:v>
      </x:c>
    </x:row>
    <x:row r="552" ht="52" customHeight="1">
      <x:c r="A552" s="30" t="str">
        <x:v>CL0548</x:v>
      </x:c>
      <x:c r="B552" s="31" t="str">
        <x:v>Internship at SFC - ad hoc research on China property market and HK tick size regime - what did you do</x:v>
      </x:c>
      <x:c r="C552" s="31" t="str">
        <x:v>Resume &amp; Experience</x:v>
      </x:c>
      <x:c r="D552" s="69" t="n">
        <x:f>COUNTIF('All Questions'!$G$5:$G$1725,A552)</x:f>
        <x:v>1</x:v>
      </x:c>
      <x:c r="E552" s="31" t="str">
        <x:v>Deutsche</x:v>
      </x:c>
      <x:c r="F552" s="31" t="str">
        <x:v>IBD / GCM</x:v>
      </x:c>
      <x:c r="G552" s="31" t="str">
        <x:v>Internship at SFC - ad hoc research on China property market and HK tick size regime - what did you do?</x:v>
      </x:c>
    </x:row>
    <x:row r="553" ht="52" customHeight="1">
      <x:c r="A553" s="30" t="str">
        <x:v>CL0549</x:v>
      </x:c>
      <x:c r="B553" s="31" t="str">
        <x:v>Interrupted again when I mentioned SOTP → asked why SOTP and how I mapped the 4 comp sets, how the business model matches</x:v>
      </x:c>
      <x:c r="C553" s="31" t="str">
        <x:v>Fit &amp; Motivation</x:v>
      </x:c>
      <x:c r="D553" s="69" t="n">
        <x:f>COUNTIF('All Questions'!$G$5:$G$1725,A553)</x:f>
        <x:v>1</x:v>
      </x:c>
      <x:c r="E553" s="31" t="str">
        <x:v>UBS IBD</x:v>
      </x:c>
      <x:c r="F553" s="31" t="str">
        <x:v>IBD / GCM</x:v>
      </x:c>
      <x:c r="G553" s="31" t="str">
        <x:v>Interrupted again when I mentioned SOTP → asked why SOTP and how I mapped the 4 comp sets, how the business model matches</x:v>
      </x:c>
    </x:row>
    <x:row r="554" ht="34" customHeight="1">
      <x:c r="A554" s="30" t="str">
        <x:v>CL0550</x:v>
      </x:c>
      <x:c r="B554" s="31" t="str">
        <x:v>Introduce one recent headline that you follow (in mandarin)</x:v>
      </x:c>
      <x:c r="C554" s="31" t="str">
        <x:v>Fit &amp; Motivation</x:v>
      </x:c>
      <x:c r="D554" s="69" t="n">
        <x:f>COUNTIF('All Questions'!$G$5:$G$1725,A554)</x:f>
        <x:v>1</x:v>
      </x:c>
      <x:c r="E554" s="31" t="str">
        <x:v>MS IED</x:v>
      </x:c>
      <x:c r="F554" s="31" t="str">
        <x:v>Sales &amp; Trading</x:v>
      </x:c>
      <x:c r="G554" s="31" t="str">
        <x:v>Introduce one recent headline that you follow (in mandarin)</x:v>
      </x:c>
    </x:row>
    <x:row r="555" ht="34" customHeight="1">
      <x:c r="A555" s="30" t="str">
        <x:v>CL0551</x:v>
      </x:c>
      <x:c r="B555" s="31" t="str">
        <x:v>Introduce the UBS deal and what you have done</x:v>
      </x:c>
      <x:c r="C555" s="31" t="str">
        <x:v>Company, Industry &amp; Deals</x:v>
      </x:c>
      <x:c r="D555" s="69" t="n">
        <x:f>COUNTIF('All Questions'!$G$5:$G$1725,A555)</x:f>
        <x:v>1</x:v>
      </x:c>
      <x:c r="E555" s="31" t="str">
        <x:v>CDH</x:v>
      </x:c>
      <x:c r="F555" s="31" t="str">
        <x:v>PE / VC / Other</x:v>
      </x:c>
      <x:c r="G555" s="31" t="str">
        <x:v>Introduce the UBS deal and what you have done?</x:v>
      </x:c>
    </x:row>
    <x:row r="556" ht="52" customHeight="1">
      <x:c r="A556" s="30" t="str">
        <x:v>CL0552</x:v>
      </x:c>
      <x:c r="B556" s="31" t="str">
        <x:v>Investment accounting (why did i not revise this): company A acquire 30% of a company B with 100 dollars, effect on 3 statement</x:v>
      </x:c>
      <x:c r="C556" s="31" t="str">
        <x:v>Fit &amp; Motivation</x:v>
      </x:c>
      <x:c r="D556" s="69" t="n">
        <x:f>COUNTIF('All Questions'!$G$5:$G$1725,A556)</x:f>
        <x:v>1</x:v>
      </x:c>
      <x:c r="E556" s="31" t="str">
        <x:v>Bofa IBD</x:v>
      </x:c>
      <x:c r="F556" s="31" t="str">
        <x:v>IBD / GCM</x:v>
      </x:c>
      <x:c r="G556" s="31" t="str">
        <x:v>Investment accounting (why did i not revise this): company A acquire 30% of a company B with 100 dollars, effect on 3 statement</x:v>
      </x:c>
    </x:row>
    <x:row r="557" ht="34" customHeight="1">
      <x:c r="A557" s="30" t="str">
        <x:v>CL0553</x:v>
      </x:c>
      <x:c r="B557" s="31" t="str">
        <x:v>Is AMPB a specialized program</x:v>
      </x:c>
      <x:c r="C557" s="31" t="str">
        <x:v>Accounting &amp; Financial Statements</x:v>
      </x:c>
      <x:c r="D557" s="69" t="n">
        <x:f>COUNTIF('All Questions'!$G$5:$G$1725,A557)</x:f>
        <x:v>1</x:v>
      </x:c>
      <x:c r="E557" s="31" t="str">
        <x:v>Moelis</x:v>
      </x:c>
      <x:c r="F557" s="31" t="str">
        <x:v>IBD / GCM</x:v>
      </x:c>
      <x:c r="G557" s="31" t="str">
        <x:v>Is AMPB a specialized program?</x:v>
      </x:c>
    </x:row>
    <x:row r="558" ht="34" customHeight="1">
      <x:c r="A558" s="30" t="str">
        <x:v>CL0554</x:v>
      </x:c>
      <x:c r="B558" s="31" t="str">
        <x:v>Is it common for people with your degree to pursue ibd</x:v>
      </x:c>
      <x:c r="C558" s="31" t="str">
        <x:v>Accounting &amp; Financial Statements</x:v>
      </x:c>
      <x:c r="D558" s="69" t="n">
        <x:f>COUNTIF('All Questions'!$G$5:$G$1725,A558)</x:f>
        <x:v>1</x:v>
      </x:c>
      <x:c r="E558" s="31" t="str">
        <x:v>Nomura</x:v>
      </x:c>
      <x:c r="F558" s="31" t="str">
        <x:v>IBD / GCM</x:v>
      </x:c>
      <x:c r="G558" s="31" t="str">
        <x:v>is it common for people with your degree to pursue ibd</x:v>
      </x:c>
    </x:row>
    <x:row r="559" ht="34" customHeight="1">
      <x:c r="A559" s="30" t="str">
        <x:v>CL0555</x:v>
      </x:c>
      <x:c r="B559" s="31" t="str">
        <x:v>Is lottery prize in FCFF and why</x:v>
      </x:c>
      <x:c r="C559" s="31" t="str">
        <x:v>Accounting &amp; Financial Statements</x:v>
      </x:c>
      <x:c r="D559" s="69" t="n">
        <x:f>COUNTIF('All Questions'!$G$5:$G$1725,A559)</x:f>
        <x:v>1</x:v>
      </x:c>
      <x:c r="E559" s="31" t="str">
        <x:v>Deutsche</x:v>
      </x:c>
      <x:c r="F559" s="31" t="str">
        <x:v>IBD / GCM</x:v>
      </x:c>
      <x:c r="G559" s="31" t="str">
        <x:v>Is lottery prize in FCFF and why?</x:v>
      </x:c>
    </x:row>
    <x:row r="560" ht="34" customHeight="1">
      <x:c r="A560" s="30" t="str">
        <x:v>CL0556</x:v>
      </x:c>
      <x:c r="B560" s="31" t="str">
        <x:v>Is Nomura a formal internship? (lmao)</x:v>
      </x:c>
      <x:c r="C560" s="31" t="str">
        <x:v>Resume &amp; Experience</x:v>
      </x:c>
      <x:c r="D560" s="69" t="n">
        <x:f>COUNTIF('All Questions'!$G$5:$G$1725,A560)</x:f>
        <x:v>1</x:v>
      </x:c>
      <x:c r="E560" s="31" t="str">
        <x:v>MS GCM</x:v>
      </x:c>
      <x:c r="F560" s="31" t="str">
        <x:v>IBD / GCM</x:v>
      </x:c>
      <x:c r="G560" s="31" t="str">
        <x:v>Is Nomura a formal internship? (lmao)</x:v>
      </x:c>
    </x:row>
    <x:row r="561" ht="52" customHeight="1">
      <x:c r="A561" s="30" t="str">
        <x:v>CL0557</x:v>
      </x:c>
      <x:c r="B561" s="31" t="str">
        <x:v>Is risk free rate truly risk free? For example US investor investing in China companies? (wtf use China yield - US yield? i dont get)</x:v>
      </x:c>
      <x:c r="C561" s="31" t="str">
        <x:v>Accounting &amp; Financial Statements</x:v>
      </x:c>
      <x:c r="D561" s="69" t="n">
        <x:f>COUNTIF('All Questions'!$G$5:$G$1725,A561)</x:f>
        <x:v>1</x:v>
      </x:c>
      <x:c r="E561" s="31" t="str">
        <x:v>Bofa IBD</x:v>
      </x:c>
      <x:c r="F561" s="31" t="str">
        <x:v>IBD / GCM</x:v>
      </x:c>
      <x:c r="G561" s="31" t="str">
        <x:v>Is risk free rate truly risk free? For example US investor investing in China companies? (wtf use China yield - US yield? i dont get)</x:v>
      </x:c>
    </x:row>
    <x:row r="562" ht="34" customHeight="1">
      <x:c r="A562" s="30" t="str">
        <x:v>CL0558</x:v>
      </x:c>
      <x:c r="B562" s="31" t="str">
        <x:v>Is terminal value discounted</x:v>
      </x:c>
      <x:c r="C562" s="31" t="str">
        <x:v>Accounting &amp; Financial Statements</x:v>
      </x:c>
      <x:c r="D562" s="69" t="n">
        <x:f>COUNTIF('All Questions'!$G$5:$G$1725,A562)</x:f>
        <x:v>1</x:v>
      </x:c>
      <x:c r="E562" s="31" t="str">
        <x:v>Deutsche</x:v>
      </x:c>
      <x:c r="F562" s="31" t="str">
        <x:v>IBD / GCM</x:v>
      </x:c>
      <x:c r="G562" s="31" t="str">
        <x:v>is terminal value discounted</x:v>
      </x:c>
    </x:row>
    <x:row r="563" ht="34" customHeight="1">
      <x:c r="A563" s="30" t="str">
        <x:v>CL0559</x:v>
      </x:c>
      <x:c r="B563" s="31" t="str">
        <x:v>Is the electricity connected to the grid</x:v>
      </x:c>
      <x:c r="C563" s="31" t="str">
        <x:v>Accounting &amp; Financial Statements</x:v>
      </x:c>
      <x:c r="D563" s="69" t="n">
        <x:f>COUNTIF('All Questions'!$G$5:$G$1725,A563)</x:f>
        <x:v>1</x:v>
      </x:c>
      <x:c r="E563" s="31" t="str">
        <x:v>Bofa IBD</x:v>
      </x:c>
      <x:c r="F563" s="31" t="str">
        <x:v>IBD / GCM</x:v>
      </x:c>
      <x:c r="G563" s="31" t="str">
        <x:v>Is the electricity connected to the grid?</x:v>
      </x:c>
    </x:row>
    <x:row r="564" ht="34" customHeight="1">
      <x:c r="A564" s="30" t="str">
        <x:v>CL0560</x:v>
      </x:c>
      <x:c r="B564" s="31" t="str">
        <x:v>Is there a time when your approach to a task was not ok, and what did you do</x:v>
      </x:c>
      <x:c r="C564" s="31" t="str">
        <x:v>Resume &amp; Experience</x:v>
      </x:c>
      <x:c r="D564" s="69" t="n">
        <x:f>COUNTIF('All Questions'!$G$5:$G$1725,A564)</x:f>
        <x:v>1</x:v>
      </x:c>
      <x:c r="E564" s="31" t="str">
        <x:v>BlackRock</x:v>
      </x:c>
      <x:c r="F564" s="31" t="str">
        <x:v>PWM / AM</x:v>
      </x:c>
      <x:c r="G564" s="31" t="str">
        <x:v>is there a time when your approach to a task was not ok, and what did you do</x:v>
      </x:c>
    </x:row>
    <x:row r="565" ht="52" customHeight="1">
      <x:c r="A565" s="30" t="str">
        <x:v>CL0561</x:v>
      </x:c>
      <x:c r="B565" s="31" t="str">
        <x:v>Is there any particularly project that you're doing and find interesting during the current internship</x:v>
      </x:c>
      <x:c r="C565" s="31" t="str">
        <x:v>Resume &amp; Experience</x:v>
      </x:c>
      <x:c r="D565" s="69" t="n">
        <x:f>COUNTIF('All Questions'!$G$5:$G$1725,A565)</x:f>
        <x:v>1</x:v>
      </x:c>
      <x:c r="E565" s="31" t="str">
        <x:v>BofA (GM)</x:v>
      </x:c>
      <x:c r="F565" s="31" t="str">
        <x:v>Sales &amp; Trading</x:v>
      </x:c>
      <x:c r="G565" s="31" t="str">
        <x:v>Is there any particularly project that you're doing and find interesting during the current internship?</x:v>
      </x:c>
    </x:row>
    <x:row r="566" ht="34" customHeight="1">
      <x:c r="A566" s="30" t="str">
        <x:v>CL0562</x:v>
      </x:c>
      <x:c r="B566" s="31" t="str">
        <x:v>Is there anything you think you have done well in UBS but not recognized</x:v>
      </x:c>
      <x:c r="C566" s="31" t="str">
        <x:v>Accounting &amp; Financial Statements</x:v>
      </x:c>
      <x:c r="D566" s="69" t="n">
        <x:f>COUNTIF('All Questions'!$G$5:$G$1725,A566)</x:f>
        <x:v>1</x:v>
      </x:c>
      <x:c r="E566" s="31" t="str">
        <x:v>Warburg Pincus</x:v>
      </x:c>
      <x:c r="F566" s="31" t="str">
        <x:v>PE / VC / Other</x:v>
      </x:c>
      <x:c r="G566" s="31" t="str">
        <x:v>Is there anything you think you have done well in UBS but not recognized?</x:v>
      </x:c>
    </x:row>
    <x:row r="567" ht="34" customHeight="1">
      <x:c r="A567" s="30" t="str">
        <x:v>CL0563</x:v>
      </x:c>
      <x:c r="B567" s="31" t="str">
        <x:v>Is this stock value stock or growth stock</x:v>
      </x:c>
      <x:c r="C567" s="31" t="str">
        <x:v>Accounting &amp; Financial Statements</x:v>
      </x:c>
      <x:c r="D567" s="69" t="n">
        <x:f>COUNTIF('All Questions'!$G$5:$G$1725,A567)</x:f>
        <x:v>1</x:v>
      </x:c>
      <x:c r="E567" s="31" t="str">
        <x:v>MS GCM</x:v>
      </x:c>
      <x:c r="F567" s="31" t="str">
        <x:v>IBD / GCM</x:v>
      </x:c>
      <x:c r="G567" s="31" t="str">
        <x:v>is this stock value stock or growth stock?</x:v>
      </x:c>
    </x:row>
    <x:row r="568" ht="34" customHeight="1">
      <x:c r="A568" s="30" t="str">
        <x:v>CL0564</x:v>
      </x:c>
      <x:c r="B568" s="31" t="str">
        <x:v>Is your name an English name</x:v>
      </x:c>
      <x:c r="C568" s="31" t="str">
        <x:v>Accounting &amp; Financial Statements</x:v>
      </x:c>
      <x:c r="D568" s="69" t="n">
        <x:f>COUNTIF('All Questions'!$G$5:$G$1725,A568)</x:f>
        <x:v>1</x:v>
      </x:c>
      <x:c r="E568" s="31" t="str">
        <x:v>HSBC</x:v>
      </x:c>
      <x:c r="F568" s="31" t="str">
        <x:v>IBD / GCM</x:v>
      </x:c>
      <x:c r="G568" s="31" t="str">
        <x:v>Is your name an English name</x:v>
      </x:c>
    </x:row>
    <x:row r="569" ht="52" customHeight="1">
      <x:c r="A569" s="30" t="str">
        <x:v>CL0565</x:v>
      </x:c>
      <x:c r="B569" s="31" t="str">
        <x:v>It's also recommended to prepare for PB client demand trends, situational questions, and some investment assessment technical knowledge</x:v>
      </x:c>
      <x:c r="C569" s="31" t="str">
        <x:v>Wealth &amp; Asset Management</x:v>
      </x:c>
      <x:c r="D569" s="69" t="n">
        <x:f>COUNTIF('All Questions'!$G$5:$G$1725,A569)</x:f>
        <x:v>1</x:v>
      </x:c>
      <x:c r="E569" s="31" t="str">
        <x:v>HSBC PB</x:v>
      </x:c>
      <x:c r="F569" s="31" t="str">
        <x:v>PWM / AM</x:v>
      </x:c>
      <x:c r="G569" s="31" t="str">
        <x:v>It's also recommended to prepare for PB client demand trends, situational questions, and some investment assessment technical knowledge.</x:v>
      </x:c>
    </x:row>
    <x:row r="570" ht="100" customHeight="1">
      <x:c r="A570" s="30" t="str">
        <x:v>CL0566</x:v>
      </x:c>
      <x:c r="B570"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C570" s="31" t="str">
        <x:v>Fit &amp; Motivation</x:v>
      </x:c>
      <x:c r="D570" s="69" t="n">
        <x:f>COUNTIF('All Questions'!$G$5:$G$1725,A570)</x:f>
        <x:v>1</x:v>
      </x:c>
      <x:c r="E570" s="31" t="str">
        <x:v>MS IBD</x:v>
      </x:c>
      <x:c r="F570" s="31" t="str">
        <x:v>IBD / GCM</x:v>
      </x:c>
      <x:c r="G570"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x:v>
      </x:c>
    </x:row>
    <x:row r="571" ht="34" customHeight="1">
      <x:c r="A571" s="30" t="str">
        <x:v>CL0567</x:v>
      </x:c>
      <x:c r="B571" s="31" t="str">
        <x:v>Key diff between cash balance and free cash flow</x:v>
      </x:c>
      <x:c r="C571" s="31" t="str">
        <x:v>Accounting &amp; Financial Statements</x:v>
      </x:c>
      <x:c r="D571" s="69" t="n">
        <x:f>COUNTIF('All Questions'!$G$5:$G$1725,A571)</x:f>
        <x:v>1</x:v>
      </x:c>
      <x:c r="E571" s="31" t="str">
        <x:v>Citi</x:v>
      </x:c>
      <x:c r="F571" s="31" t="str">
        <x:v>IBD / GCM</x:v>
      </x:c>
      <x:c r="G571" s="31" t="str">
        <x:v>Key diff between cash balance and free cash flow?</x:v>
      </x:c>
    </x:row>
    <x:row r="572" ht="34" customHeight="1">
      <x:c r="A572" s="30" t="str">
        <x:v>CL0568</x:v>
      </x:c>
      <x:c r="B572" s="31" t="str">
        <x:v>Key drivers in the DCF</x:v>
      </x:c>
      <x:c r="C572" s="31" t="str">
        <x:v>Valuation</x:v>
      </x:c>
      <x:c r="D572" s="69" t="n">
        <x:f>COUNTIF('All Questions'!$G$5:$G$1725,A572)</x:f>
        <x:v>1</x:v>
      </x:c>
      <x:c r="E572" s="31" t="str">
        <x:v>Barclays</x:v>
      </x:c>
      <x:c r="F572" s="31" t="str">
        <x:v>IBD / GCM</x:v>
      </x:c>
      <x:c r="G572" s="31" t="str">
        <x:v>Key drivers in the DCF</x:v>
      </x:c>
    </x:row>
    <x:row r="573" ht="34" customHeight="1">
      <x:c r="A573" s="30" t="str">
        <x:v>CL0569</x:v>
      </x:c>
      <x:c r="B573" s="31" t="str">
        <x:v>L (I said a pitch) What did you do (+ explanation)</x:v>
      </x:c>
      <x:c r="C573" s="31" t="str">
        <x:v>Resume &amp; Experience</x:v>
      </x:c>
      <x:c r="D573" s="69" t="n">
        <x:f>COUNTIF('All Questions'!$G$5:$G$1725,A573)</x:f>
        <x:v>1</x:v>
      </x:c>
      <x:c r="E573" s="31" t="str">
        <x:v>Jefferies</x:v>
      </x:c>
      <x:c r="F573" s="31" t="str">
        <x:v>IBD / GCM</x:v>
      </x:c>
      <x:c r="G573" s="31" t="str">
        <x:v>l (I said a pitch) What did you do (+ explanation)?</x:v>
      </x:c>
    </x:row>
    <x:row r="574" ht="34" customHeight="1">
      <x:c r="A574" s="30" t="str">
        <x:v>CL0570</x:v>
      </x:c>
      <x:c r="B574" s="31" t="str">
        <x:v>L Any deal experience</x:v>
      </x:c>
      <x:c r="C574" s="31" t="str">
        <x:v>Resume &amp; Experience</x:v>
      </x:c>
      <x:c r="D574" s="69" t="n">
        <x:f>COUNTIF('All Questions'!$G$5:$G$1725,A574)</x:f>
        <x:v>1</x:v>
      </x:c>
      <x:c r="E574" s="31" t="str">
        <x:v>Jefferies</x:v>
      </x:c>
      <x:c r="F574" s="31" t="str">
        <x:v>IBD / GCM</x:v>
      </x:c>
      <x:c r="G574" s="31" t="str">
        <x:v>l Any deal experience?</x:v>
      </x:c>
    </x:row>
    <x:row r="575" ht="34" customHeight="1">
      <x:c r="A575" s="30" t="str">
        <x:v>CL0571</x:v>
      </x:c>
      <x:c r="B575" s="31" t="str">
        <x:v>L DCF</x:v>
      </x:c>
      <x:c r="C575" s="31" t="str">
        <x:v>Valuation</x:v>
      </x:c>
      <x:c r="D575" s="69" t="n">
        <x:f>COUNTIF('All Questions'!$G$5:$G$1725,A575)</x:f>
        <x:v>1</x:v>
      </x:c>
      <x:c r="E575" s="31" t="str">
        <x:v>Moelis</x:v>
      </x:c>
      <x:c r="F575" s="31" t="str">
        <x:v>IBD / GCM</x:v>
      </x:c>
      <x:c r="G575" s="31" t="str">
        <x:v>l DCF</x:v>
      </x:c>
    </x:row>
    <x:row r="576" ht="34" customHeight="1">
      <x:c r="A576" s="30" t="str">
        <x:v>CL0572</x:v>
      </x:c>
      <x:c r="B576" s="31" t="str">
        <x:v>L Did you do any modelling</x:v>
      </x:c>
      <x:c r="C576" s="31" t="str">
        <x:v>Other Technical</x:v>
      </x:c>
      <x:c r="D576" s="69" t="n">
        <x:f>COUNTIF('All Questions'!$G$5:$G$1725,A576)</x:f>
        <x:v>1</x:v>
      </x:c>
      <x:c r="E576" s="31" t="str">
        <x:v>Jefferies</x:v>
      </x:c>
      <x:c r="F576" s="31" t="str">
        <x:v>IBD / GCM</x:v>
      </x:c>
      <x:c r="G576" s="31" t="str">
        <x:v>l Did you do any modelling?</x:v>
      </x:c>
    </x:row>
    <x:row r="577" ht="34" customHeight="1">
      <x:c r="A577" s="30" t="str">
        <x:v>CL0573</x:v>
      </x:c>
      <x:c r="B577" s="31" t="str">
        <x:v>L Did you go through SPA</x:v>
      </x:c>
      <x:c r="C577" s="31" t="str">
        <x:v>Other Question</x:v>
      </x:c>
      <x:c r="D577" s="69" t="n">
        <x:f>COUNTIF('All Questions'!$G$5:$G$1725,A577)</x:f>
        <x:v>1</x:v>
      </x:c>
      <x:c r="E577" s="31" t="str">
        <x:v>Moelis</x:v>
      </x:c>
      <x:c r="F577" s="31" t="str">
        <x:v>IBD / GCM</x:v>
      </x:c>
      <x:c r="G577" s="31" t="str">
        <x:v>l Did you go through SPA?</x:v>
      </x:c>
    </x:row>
    <x:row r="578" ht="34" customHeight="1">
      <x:c r="A578" s="30" t="str">
        <x:v>CL0574</x:v>
      </x:c>
      <x:c r="B578" s="31" t="str">
        <x:v>L EV pitch – what’s the value chain? How are the valuation multiples</x:v>
      </x:c>
      <x:c r="C578" s="31" t="str">
        <x:v>Valuation</x:v>
      </x:c>
      <x:c r="D578" s="69" t="n">
        <x:f>COUNTIF('All Questions'!$G$5:$G$1725,A578)</x:f>
        <x:v>1</x:v>
      </x:c>
      <x:c r="E578" s="31" t="str">
        <x:v>Jefferies</x:v>
      </x:c>
      <x:c r="F578" s="31" t="str">
        <x:v>IBD / GCM</x:v>
      </x:c>
      <x:c r="G578" s="31" t="str">
        <x:v>l EV pitch – what’s the value chain? How are the valuation multiples?</x:v>
      </x:c>
    </x:row>
    <x:row r="579" ht="52" customHeight="1">
      <x:c r="A579" s="30" t="str">
        <x:v>CL0575</x:v>
      </x:c>
      <x:c r="B579" s="31" t="str">
        <x:v>L For trading comps, did you do the adjustments? (She said probably Jefferies has different standards)</x:v>
      </x:c>
      <x:c r="C579" s="31" t="str">
        <x:v>Valuation</x:v>
      </x:c>
      <x:c r="D579" s="69" t="n">
        <x:f>COUNTIF('All Questions'!$G$5:$G$1725,A579)</x:f>
        <x:v>1</x:v>
      </x:c>
      <x:c r="E579" s="31" t="str">
        <x:v>Jefferies</x:v>
      </x:c>
      <x:c r="F579" s="31" t="str">
        <x:v>IBD / GCM</x:v>
      </x:c>
      <x:c r="G579" s="31" t="str">
        <x:v>l For trading comps, did you do the adjustments? (She said probably Jefferies has different standards)</x:v>
      </x:c>
    </x:row>
    <x:row r="580" ht="34" customHeight="1">
      <x:c r="A580" s="30" t="str">
        <x:v>CL0576</x:v>
      </x:c>
      <x:c r="B580" s="31" t="str">
        <x:v>L Given this situation, how would you negotiate in the SPA</x:v>
      </x:c>
      <x:c r="C580" s="31" t="str">
        <x:v>Other Question</x:v>
      </x:c>
      <x:c r="D580" s="69" t="n">
        <x:f>COUNTIF('All Questions'!$G$5:$G$1725,A580)</x:f>
        <x:v>1</x:v>
      </x:c>
      <x:c r="E580" s="31" t="str">
        <x:v>Moelis</x:v>
      </x:c>
      <x:c r="F580" s="31" t="str">
        <x:v>IBD / GCM</x:v>
      </x:c>
      <x:c r="G580" s="31" t="str">
        <x:v>l Given this situation, how would you negotiate in the SPA?</x:v>
      </x:c>
    </x:row>
    <x:row r="581" ht="34" customHeight="1">
      <x:c r="A581" s="30" t="str">
        <x:v>CL0577</x:v>
      </x:c>
      <x:c r="B581" s="31" t="str">
        <x:v>L He’s from TMT team so he’s interested in the OTA project as well</x:v>
      </x:c>
      <x:c r="C581" s="31" t="str">
        <x:v>Behavioral &amp; Situational</x:v>
      </x:c>
      <x:c r="D581" s="69" t="n">
        <x:f>COUNTIF('All Questions'!$G$5:$G$1725,A581)</x:f>
        <x:v>1</x:v>
      </x:c>
      <x:c r="E581" s="31" t="str">
        <x:v>Jefferies</x:v>
      </x:c>
      <x:c r="F581" s="31" t="str">
        <x:v>IBD / GCM</x:v>
      </x:c>
      <x:c r="G581" s="31" t="str">
        <x:v>l He’s from TMT team so he’s interested in the OTA project as well</x:v>
      </x:c>
    </x:row>
    <x:row r="582" ht="34" customHeight="1">
      <x:c r="A582" s="30" t="str">
        <x:v>CL0578</x:v>
      </x:c>
      <x:c r="B582" s="31" t="str">
        <x:v>L If you are given only two statements, which two will you choose</x:v>
      </x:c>
      <x:c r="C582" s="31" t="str">
        <x:v>Other Question</x:v>
      </x:c>
      <x:c r="D582" s="69" t="n">
        <x:f>COUNTIF('All Questions'!$G$5:$G$1725,A582)</x:f>
        <x:v>1</x:v>
      </x:c>
      <x:c r="E582" s="31" t="str">
        <x:v>Jefferies</x:v>
      </x:c>
      <x:c r="F582" s="31" t="str">
        <x:v>IBD / GCM</x:v>
      </x:c>
      <x:c r="G582" s="31" t="str">
        <x:v>l If you are given only two statements, which two will you choose?</x:v>
      </x:c>
    </x:row>
    <x:row r="583" ht="34" customHeight="1">
      <x:c r="A583" s="30" t="str">
        <x:v>CL0579</x:v>
      </x:c>
      <x:c r="B583" s="31" t="str">
        <x:v>L If you are only given one statement, which statement will you look at</x:v>
      </x:c>
      <x:c r="C583" s="31" t="str">
        <x:v>Other Question</x:v>
      </x:c>
      <x:c r="D583" s="69" t="n">
        <x:f>COUNTIF('All Questions'!$G$5:$G$1725,A583)</x:f>
        <x:v>1</x:v>
      </x:c>
      <x:c r="E583" s="31" t="str">
        <x:v>Jefferies</x:v>
      </x:c>
      <x:c r="F583" s="31" t="str">
        <x:v>IBD / GCM</x:v>
      </x:c>
      <x:c r="G583" s="31" t="str">
        <x:v>l If you are only given one statement, which statement will you look at?</x:v>
      </x:c>
    </x:row>
    <x:row r="584" ht="76" customHeight="1">
      <x:c r="A584" s="30" t="str">
        <x:v>CL0580</x:v>
      </x:c>
      <x:c r="B584"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C584" s="31" t="str">
        <x:v>Accounting &amp; Financial Statements</x:v>
      </x:c>
      <x:c r="D584" s="69" t="n">
        <x:f>COUNTIF('All Questions'!$G$5:$G$1725,A584)</x:f>
        <x:v>1</x:v>
      </x:c>
      <x:c r="E584" s="31" t="str">
        <x:v>Jefferies</x:v>
      </x:c>
      <x:c r="F584" s="31" t="str">
        <x:v>IBD / GCM</x:v>
      </x:c>
      <x:c r="G584"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x:v>
      </x:c>
    </x:row>
    <x:row r="585" ht="34" customHeight="1">
      <x:c r="A585" s="30" t="str">
        <x:v>CL0581</x:v>
      </x:c>
      <x:c r="B585" s="31" t="str">
        <x:v>L Progress with other banks? Is Jefferies your top preference</x:v>
      </x:c>
      <x:c r="C585" s="31" t="str">
        <x:v>Accounting &amp; Financial Statements</x:v>
      </x:c>
      <x:c r="D585" s="69" t="n">
        <x:f>COUNTIF('All Questions'!$G$5:$G$1725,A585)</x:f>
        <x:v>1</x:v>
      </x:c>
      <x:c r="E585" s="31" t="str">
        <x:v>Jefferies</x:v>
      </x:c>
      <x:c r="F585" s="31" t="str">
        <x:v>IBD / GCM</x:v>
      </x:c>
      <x:c r="G585" s="31" t="str">
        <x:v>l Progress with other banks? Is Jefferies your top preference?</x:v>
      </x:c>
    </x:row>
    <x:row r="586" ht="52" customHeight="1">
      <x:c r="A586" s="30" t="str">
        <x:v>CL0582</x:v>
      </x:c>
      <x:c r="B586" s="31" t="str">
        <x:v>L Shared a pitch on a Cambodia-based insurance company -&gt; was surprised that Cambodia has a huge potential in insurance market due to its under penetration rate</x:v>
      </x:c>
      <x:c r="C586" s="31" t="str">
        <x:v>Company, Industry &amp; Deals</x:v>
      </x:c>
      <x:c r="D586" s="69" t="n">
        <x:f>COUNTIF('All Questions'!$G$5:$G$1725,A586)</x:f>
        <x:v>1</x:v>
      </x:c>
      <x:c r="E586" s="31" t="str">
        <x:v>Moelis</x:v>
      </x:c>
      <x:c r="F586" s="31" t="str">
        <x:v>IBD / GCM</x:v>
      </x:c>
      <x:c r="G586" s="31" t="str">
        <x:v>l Shared a pitch on a Cambodia-based insurance company -&gt; was surprised that Cambodia has a huge potential in insurance market due to its under penetration rate</x:v>
      </x:c>
    </x:row>
    <x:row r="587" ht="34" customHeight="1">
      <x:c r="A587" s="30" t="str">
        <x:v>CL0583</x:v>
      </x:c>
      <x:c r="B587" s="31" t="str">
        <x:v>L The China’s economy was not going well, what are some reasons behind? Are there any mitigants</x:v>
      </x:c>
      <x:c r="C587" s="31" t="str">
        <x:v>Other Question</x:v>
      </x:c>
      <x:c r="D587" s="69" t="n">
        <x:f>COUNTIF('All Questions'!$G$5:$G$1725,A587)</x:f>
        <x:v>1</x:v>
      </x:c>
      <x:c r="E587" s="31" t="str">
        <x:v>Jefferies</x:v>
      </x:c>
      <x:c r="F587" s="31" t="str">
        <x:v>IBD / GCM</x:v>
      </x:c>
      <x:c r="G587" s="31" t="str">
        <x:v>l The China’s economy was not going well, what are some reasons behind? Are there any mitigants?</x:v>
      </x:c>
    </x:row>
    <x:row r="588" ht="34" customHeight="1">
      <x:c r="A588" s="30" t="str">
        <x:v>CL0584</x:v>
      </x:c>
      <x:c r="B588" s="31" t="str">
        <x:v>L What are the methodologies used in valuation</x:v>
      </x:c>
      <x:c r="C588" s="31" t="str">
        <x:v>Valuation</x:v>
      </x:c>
      <x:c r="D588" s="69" t="n">
        <x:f>COUNTIF('All Questions'!$G$5:$G$1725,A588)</x:f>
        <x:v>1</x:v>
      </x:c>
      <x:c r="E588" s="31" t="str">
        <x:v>Jefferies</x:v>
      </x:c>
      <x:c r="F588" s="31" t="str">
        <x:v>IBD / GCM</x:v>
      </x:c>
      <x:c r="G588" s="31" t="str">
        <x:v>l What are the methodologies used in valuation?</x:v>
      </x:c>
    </x:row>
    <x:row r="589" ht="34" customHeight="1">
      <x:c r="A589" s="30" t="str">
        <x:v>CL0585</x:v>
      </x:c>
      <x:c r="B589" s="31" t="str">
        <x:v>L What did you do in the deal</x:v>
      </x:c>
      <x:c r="C589" s="31" t="str">
        <x:v>Resume &amp; Experience</x:v>
      </x:c>
      <x:c r="D589" s="69" t="n">
        <x:f>COUNTIF('All Questions'!$G$5:$G$1725,A589)</x:f>
        <x:v>1</x:v>
      </x:c>
      <x:c r="E589" s="31" t="str">
        <x:v>Jefferies</x:v>
      </x:c>
      <x:c r="F589" s="31" t="str">
        <x:v>IBD / GCM</x:v>
      </x:c>
      <x:c r="G589" s="31" t="str">
        <x:v>l What did you do in the deal?</x:v>
      </x:c>
    </x:row>
    <x:row r="590" ht="34" customHeight="1">
      <x:c r="A590" s="30" t="str">
        <x:v>CL0586</x:v>
      </x:c>
      <x:c r="B590" s="31" t="str">
        <x:v>L Why do you subtract cash from EV calculation</x:v>
      </x:c>
      <x:c r="C590" s="31" t="str">
        <x:v>Fit &amp; Motivation</x:v>
      </x:c>
      <x:c r="D590" s="69" t="n">
        <x:f>COUNTIF('All Questions'!$G$5:$G$1725,A590)</x:f>
        <x:v>1</x:v>
      </x:c>
      <x:c r="E590" s="31" t="str">
        <x:v>Jefferies</x:v>
      </x:c>
      <x:c r="F590" s="31" t="str">
        <x:v>IBD / GCM</x:v>
      </x:c>
      <x:c r="G590" s="31" t="str">
        <x:v>l Why do you subtract cash from EV calculation?</x:v>
      </x:c>
    </x:row>
    <x:row r="591" ht="34" customHeight="1">
      <x:c r="A591" s="30" t="str">
        <x:v>CL0587</x:v>
      </x:c>
      <x:c r="B591" s="31" t="str">
        <x:v>L Why Jefferies? Vs BNP</x:v>
      </x:c>
      <x:c r="C591" s="31" t="str">
        <x:v>Fit &amp; Motivation</x:v>
      </x:c>
      <x:c r="D591" s="69" t="n">
        <x:f>COUNTIF('All Questions'!$G$5:$G$1725,A591)</x:f>
        <x:v>1</x:v>
      </x:c>
      <x:c r="E591" s="31" t="str">
        <x:v>Jefferies</x:v>
      </x:c>
      <x:c r="F591" s="31" t="str">
        <x:v>IBD / GCM</x:v>
      </x:c>
      <x:c r="G591" s="31" t="str">
        <x:v>l Why Jefferies? Vs BNP?</x:v>
      </x:c>
    </x:row>
    <x:row r="592" ht="34" customHeight="1">
      <x:c r="A592" s="30" t="str">
        <x:v>CL0588</x:v>
      </x:c>
      <x:c r="B592" s="31" t="str">
        <x:v>L You did an exchange in PKU</x:v>
      </x:c>
      <x:c r="C592" s="31" t="str">
        <x:v>Resume &amp; Experience</x:v>
      </x:c>
      <x:c r="D592" s="69" t="n">
        <x:f>COUNTIF('All Questions'!$G$5:$G$1725,A592)</x:f>
        <x:v>1</x:v>
      </x:c>
      <x:c r="E592" s="31" t="str">
        <x:v>Jefferies</x:v>
      </x:c>
      <x:c r="F592" s="31" t="str">
        <x:v>IBD / GCM</x:v>
      </x:c>
      <x:c r="G592" s="31" t="str">
        <x:v>l You did an exchange in PKU?</x:v>
      </x:c>
    </x:row>
    <x:row r="593" ht="52" customHeight="1">
      <x:c r="A593" s="30" t="str">
        <x:v>CL0589</x:v>
      </x:c>
      <x:c r="B593" s="31" t="str">
        <x:v>L You mentioned that you will be more aggressive, would you be more aggressive in the sales price projection or the volume projection</x:v>
      </x:c>
      <x:c r="C593" s="31" t="str">
        <x:v>Other Question</x:v>
      </x:c>
      <x:c r="D593" s="69" t="n">
        <x:f>COUNTIF('All Questions'!$G$5:$G$1725,A593)</x:f>
        <x:v>1</x:v>
      </x:c>
      <x:c r="E593" s="31" t="str">
        <x:v>Moelis</x:v>
      </x:c>
      <x:c r="F593" s="31" t="str">
        <x:v>IBD / GCM</x:v>
      </x:c>
      <x:c r="G593" s="31" t="str">
        <x:v>l You mentioned that you will be more aggressive, would you be more aggressive in the sales price projection or the volume projection?</x:v>
      </x:c>
    </x:row>
    <x:row r="594" ht="34" customHeight="1">
      <x:c r="A594" s="30" t="str">
        <x:v>CL0590</x:v>
      </x:c>
      <x:c r="B594" s="31" t="str">
        <x:v>Landscape of China express delivery market</x:v>
      </x:c>
      <x:c r="C594" s="31" t="str">
        <x:v>Other Question</x:v>
      </x:c>
      <x:c r="D594" s="69" t="n">
        <x:f>COUNTIF('All Questions'!$G$5:$G$1725,A594)</x:f>
        <x:v>1</x:v>
      </x:c>
      <x:c r="E594" s="31" t="str">
        <x:v>Bofa IBD</x:v>
      </x:c>
      <x:c r="F594" s="31" t="str">
        <x:v>IBD / GCM</x:v>
      </x:c>
      <x:c r="G594" s="31" t="str">
        <x:v>Landscape of China express delivery market?</x:v>
      </x:c>
    </x:row>
    <x:row r="595" ht="34" customHeight="1">
      <x:c r="A595" s="30" t="str">
        <x:v>CL0591</x:v>
      </x:c>
      <x:c r="B595" s="31" t="str">
        <x:v>Landscape of SEA logistic market</x:v>
      </x:c>
      <x:c r="C595" s="31" t="str">
        <x:v>Other Question</x:v>
      </x:c>
      <x:c r="D595" s="69" t="n">
        <x:f>COUNTIF('All Questions'!$G$5:$G$1725,A595)</x:f>
        <x:v>1</x:v>
      </x:c>
      <x:c r="E595" s="31" t="str">
        <x:v>Bofa IBD</x:v>
      </x:c>
      <x:c r="F595" s="31" t="str">
        <x:v>IBD / GCM</x:v>
      </x:c>
      <x:c r="G595" s="31" t="str">
        <x:v>Landscape of SEA logistic market?</x:v>
      </x:c>
    </x:row>
    <x:row r="596" ht="34" customHeight="1">
      <x:c r="A596" s="30" t="str">
        <x:v>CL0592</x:v>
      </x:c>
      <x:c r="B596" s="31" t="str">
        <x:v>Liquidity issue with USD 1B debt due in 8 months, but only 300m cash in hand</x:v>
      </x:c>
      <x:c r="C596" s="31" t="str">
        <x:v>Markets &amp; Macro</x:v>
      </x:c>
      <x:c r="D596" s="69" t="n">
        <x:f>COUNTIF('All Questions'!$G$5:$G$1725,A596)</x:f>
        <x:v>1</x:v>
      </x:c>
      <x:c r="E596" s="31" t="str">
        <x:v>JPM</x:v>
      </x:c>
      <x:c r="F596" s="31" t="str">
        <x:v>IBD / GCM</x:v>
      </x:c>
      <x:c r="G596" s="31" t="str">
        <x:v>liquidity issue with USD 1B debt due in 8 months, but only 300m cash in hand</x:v>
      </x:c>
    </x:row>
    <x:row r="597" ht="52" customHeight="1">
      <x:c r="A597" s="30" t="str">
        <x:v>CL0593</x:v>
      </x:c>
      <x:c r="B597" s="31" t="str">
        <x:v>Lots of CV-based questions but more on the project/leadership/voluntary related experiences but not internship ones</x:v>
      </x:c>
      <x:c r="C597" s="31" t="str">
        <x:v>Resume &amp; Experience</x:v>
      </x:c>
      <x:c r="D597" s="69" t="n">
        <x:f>COUNTIF('All Questions'!$G$5:$G$1725,A597)</x:f>
        <x:v>1</x:v>
      </x:c>
      <x:c r="E597" s="31" t="str">
        <x:v>JPM AM</x:v>
      </x:c>
      <x:c r="F597" s="31" t="str">
        <x:v>PWM / AM</x:v>
      </x:c>
      <x:c r="G597" s="31" t="str">
        <x:v>Lots of CV-based questions but more on the project/leadership/voluntary related experiences but not internship ones.</x:v>
      </x:c>
    </x:row>
    <x:row r="598" ht="34" customHeight="1">
      <x:c r="A598" s="30" t="str">
        <x:v>CL0594</x:v>
      </x:c>
      <x:c r="B598" s="31" t="str">
        <x:v>Lots of follow-ups cause she's working on a deal in the same sector</x:v>
      </x:c>
      <x:c r="C598" s="31" t="str">
        <x:v>Company, Industry &amp; Deals</x:v>
      </x:c>
      <x:c r="D598" s="69" t="n">
        <x:f>COUNTIF('All Questions'!$G$5:$G$1725,A598)</x:f>
        <x:v>1</x:v>
      </x:c>
      <x:c r="E598" s="31" t="str">
        <x:v>Nomura</x:v>
      </x:c>
      <x:c r="F598" s="31" t="str">
        <x:v>IBD / GCM</x:v>
      </x:c>
      <x:c r="G598" s="31" t="str">
        <x:v>Lots of follow-ups cause she's working on a deal in the same sector</x:v>
      </x:c>
    </x:row>
    <x:row r="599" ht="34" customHeight="1">
      <x:c r="A599" s="30" t="str">
        <x:v>CL0595</x:v>
      </x:c>
      <x:c r="B599" s="31" t="str">
        <x:v>M&amp;A deal involving an Indian pharma company acquiring a French counterpart</x:v>
      </x:c>
      <x:c r="C599" s="31" t="str">
        <x:v>Company, Industry &amp; Deals</x:v>
      </x:c>
      <x:c r="D599" s="69" t="n">
        <x:f>COUNTIF('All Questions'!$G$5:$G$1725,A599)</x:f>
        <x:v>1</x:v>
      </x:c>
      <x:c r="E599" s="31" t="str">
        <x:v>Jefferies</x:v>
      </x:c>
      <x:c r="F599" s="31" t="str">
        <x:v>IBD / GCM</x:v>
      </x:c>
      <x:c r="G599" s="31" t="str">
        <x:v>M&amp;A deal involving an Indian pharma company acquiring a French counterpart</x:v>
      </x:c>
    </x:row>
    <x:row r="600" ht="34" customHeight="1">
      <x:c r="A600" s="30" t="str">
        <x:v>CL0596</x:v>
      </x:c>
      <x:c r="B600" s="31" t="str">
        <x:v>M&amp;A deal walk through, how to do valuation, any insights, what comparables</x:v>
      </x:c>
      <x:c r="C600" s="31" t="str">
        <x:v>Valuation</x:v>
      </x:c>
      <x:c r="D600" s="69" t="n">
        <x:f>COUNTIF('All Questions'!$G$5:$G$1725,A600)</x:f>
        <x:v>1</x:v>
      </x:c>
      <x:c r="E600" s="31" t="str">
        <x:v>Nomura</x:v>
      </x:c>
      <x:c r="F600" s="31" t="str">
        <x:v>IBD / GCM</x:v>
      </x:c>
      <x:c r="G600" s="31" t="str">
        <x:v>M&amp;A deal walk through, how to do valuation, any insights, what comparables</x:v>
      </x:c>
    </x:row>
    <x:row r="601" ht="34" customHeight="1">
      <x:c r="A601" s="30" t="str">
        <x:v>CL0597</x:v>
      </x:c>
      <x:c r="B601" s="31" t="str">
        <x:v>Macro: how the current market would affect the company’s share price and why</x:v>
      </x:c>
      <x:c r="C601" s="31" t="str">
        <x:v>Markets &amp; Macro</x:v>
      </x:c>
      <x:c r="D601" s="69" t="n">
        <x:f>COUNTIF('All Questions'!$G$5:$G$1725,A601)</x:f>
        <x:v>1</x:v>
      </x:c>
      <x:c r="E601" s="31" t="str">
        <x:v>UBS IBD</x:v>
      </x:c>
      <x:c r="F601" s="31" t="str">
        <x:v>IBD / GCM</x:v>
      </x:c>
      <x:c r="G601" s="31" t="str">
        <x:v>Macro: how the current market would affect the company’s share price and why</x:v>
      </x:c>
    </x:row>
    <x:row r="602" ht="34" customHeight="1">
      <x:c r="A602" s="30" t="str">
        <x:v>CL0598</x:v>
      </x:c>
      <x:c r="B602" s="31" t="str">
        <x:v>Market Asset Allocation Q</x:v>
      </x:c>
      <x:c r="C602" s="31" t="str">
        <x:v>Fit &amp; Motivation</x:v>
      </x:c>
      <x:c r="D602" s="69" t="n">
        <x:f>COUNTIF('All Questions'!$G$5:$G$1725,A602)</x:f>
        <x:v>1</x:v>
      </x:c>
      <x:c r="E602" s="31" t="str">
        <x:v>GS PWM</x:v>
      </x:c>
      <x:c r="F602" s="31" t="str">
        <x:v>PWM / AM</x:v>
      </x:c>
      <x:c r="G602" s="31" t="str">
        <x:v>Market Asset Allocation Q</x:v>
      </x:c>
    </x:row>
    <x:row r="603" ht="34" customHeight="1">
      <x:c r="A603" s="30" t="str">
        <x:v>CL0599</x:v>
      </x:c>
      <x:c r="B603" s="31" t="str">
        <x:v>Market beta questions &amp; what happens if economy is sluggish</x:v>
      </x:c>
      <x:c r="C603" s="31" t="str">
        <x:v>Accounting &amp; Financial Statements</x:v>
      </x:c>
      <x:c r="D603" s="69" t="n">
        <x:f>COUNTIF('All Questions'!$G$5:$G$1725,A603)</x:f>
        <x:v>1</x:v>
      </x:c>
      <x:c r="E603" s="31" t="str">
        <x:v>MS IED</x:v>
      </x:c>
      <x:c r="F603" s="31" t="str">
        <x:v>Sales &amp; Trading</x:v>
      </x:c>
      <x:c r="G603" s="31" t="str">
        <x:v>market beta questions &amp; what happens if economy is sluggish</x:v>
      </x:c>
    </x:row>
    <x:row r="604" ht="34" customHeight="1">
      <x:c r="A604" s="30" t="str">
        <x:v>CL0600</x:v>
      </x:c>
      <x:c r="B604" s="31" t="str">
        <x:v>Market entry and market sizing case question of an OEM manufacturer</x:v>
      </x:c>
      <x:c r="C604" s="31" t="str">
        <x:v>Consulting &amp; Case</x:v>
      </x:c>
      <x:c r="D604" s="69" t="n">
        <x:f>COUNTIF('All Questions'!$G$5:$G$1725,A604)</x:f>
        <x:v>1</x:v>
      </x:c>
      <x:c r="E604" s="31" t="str">
        <x:v>BCG</x:v>
      </x:c>
      <x:c r="F604" s="31" t="str">
        <x:v>Consulting</x:v>
      </x:c>
      <x:c r="G604" s="31" t="str">
        <x:v>Market entry and market sizing case question of an OEM manufacturer</x:v>
      </x:c>
    </x:row>
    <x:row r="605" ht="34" customHeight="1">
      <x:c r="A605" s="30" t="str">
        <x:v>CL0601</x:v>
      </x:c>
      <x:c r="B605" s="31" t="str">
        <x:v>Market grill (forgot the question, prob about interest rate)</x:v>
      </x:c>
      <x:c r="C605" s="31" t="str">
        <x:v>Markets &amp; Macro</x:v>
      </x:c>
      <x:c r="D605" s="69" t="n">
        <x:f>COUNTIF('All Questions'!$G$5:$G$1725,A605)</x:f>
        <x:v>1</x:v>
      </x:c>
      <x:c r="E605" s="31" t="str">
        <x:v>MS GCM</x:v>
      </x:c>
      <x:c r="F605" s="31" t="str">
        <x:v>IBD / GCM</x:v>
      </x:c>
      <x:c r="G605" s="31" t="str">
        <x:v>market grill (forgot the question, prob about interest rate)</x:v>
      </x:c>
    </x:row>
    <x:row r="606" ht="34" customHeight="1">
      <x:c r="A606" s="30" t="str">
        <x:v>CL0602</x:v>
      </x:c>
      <x:c r="B606" s="31" t="str">
        <x:v>Market Q: How do you view the HK- China Memorendum</x:v>
      </x:c>
      <x:c r="C606" s="31" t="str">
        <x:v>Other Question</x:v>
      </x:c>
      <x:c r="D606" s="69" t="n">
        <x:f>COUNTIF('All Questions'!$G$5:$G$1725,A606)</x:f>
        <x:v>1</x:v>
      </x:c>
      <x:c r="E606" s="31" t="str">
        <x:v>GS PWM</x:v>
      </x:c>
      <x:c r="F606" s="31" t="str">
        <x:v>PWM / AM</x:v>
      </x:c>
      <x:c r="G606" s="31" t="str">
        <x:v>Market Q: How do you view the HK- China Memorendum</x:v>
      </x:c>
    </x:row>
    <x:row r="607" ht="34" customHeight="1">
      <x:c r="A607" s="30" t="str">
        <x:v>CL0603</x:v>
      </x:c>
      <x:c r="B607" s="31" t="str">
        <x:v>Market Sizing: Estimate the annual revenue of GS PWM in APAC</x:v>
      </x:c>
      <x:c r="C607" s="31" t="str">
        <x:v>Consulting &amp; Case</x:v>
      </x:c>
      <x:c r="D607" s="69" t="n">
        <x:f>COUNTIF('All Questions'!$G$5:$G$1725,A607)</x:f>
        <x:v>1</x:v>
      </x:c>
      <x:c r="E607" s="31" t="str">
        <x:v>GS PWM</x:v>
      </x:c>
      <x:c r="F607" s="31" t="str">
        <x:v>PWM / AM</x:v>
      </x:c>
      <x:c r="G607" s="31" t="str">
        <x:v>Market Sizing: Estimate the annual revenue of GS PWM in APAC</x:v>
      </x:c>
    </x:row>
    <x:row r="608" ht="34" customHeight="1">
      <x:c r="A608" s="30" t="str">
        <x:v>CL0604</x:v>
      </x:c>
      <x:c r="B608" s="31" t="str">
        <x:v>Markets outlook</x:v>
      </x:c>
      <x:c r="C608" s="31" t="str">
        <x:v>Other Question</x:v>
      </x:c>
      <x:c r="D608" s="69" t="n">
        <x:f>COUNTIF('All Questions'!$G$5:$G$1725,A608)</x:f>
        <x:v>1</x:v>
      </x:c>
      <x:c r="E608" s="31" t="str">
        <x:v>MS GCM</x:v>
      </x:c>
      <x:c r="F608" s="31" t="str">
        <x:v>IBD / GCM</x:v>
      </x:c>
      <x:c r="G608" s="31" t="str">
        <x:v>Markets outlook?</x:v>
      </x:c>
    </x:row>
    <x:row r="609" ht="52" customHeight="1">
      <x:c r="A609" s="30" t="str">
        <x:v>CL0605</x:v>
      </x:c>
      <x:c r="B609" s="31" t="str">
        <x:v>Math question: 类似If a frog jumps half the distance to a pond with each leap, how many jumps would it need to reach the water</x:v>
      </x:c>
      <x:c r="C609" s="31" t="str">
        <x:v>Other Technical</x:v>
      </x:c>
      <x:c r="D609" s="69" t="n">
        <x:f>COUNTIF('All Questions'!$G$5:$G$1725,A609)</x:f>
        <x:v>1</x:v>
      </x:c>
      <x:c r="E609" s="31" t="str">
        <x:v>JPM AM</x:v>
      </x:c>
      <x:c r="F609" s="31" t="str">
        <x:v>PWM / AM</x:v>
      </x:c>
      <x:c r="G609" s="31" t="str">
        <x:v>Math question: 类似If a frog jumps half the distance to a pond with each leap, how many jumps would it need to reach the water?</x:v>
      </x:c>
    </x:row>
    <x:row r="610" ht="34" customHeight="1">
      <x:c r="A610" s="30" t="str">
        <x:v>CL0606</x:v>
      </x:c>
      <x:c r="B610" s="31" t="str">
        <x:v>Mining valuation multiples</x:v>
      </x:c>
      <x:c r="C610" s="31" t="str">
        <x:v>Valuation</x:v>
      </x:c>
      <x:c r="D610" s="69" t="n">
        <x:f>COUNTIF('All Questions'!$G$5:$G$1725,A610)</x:f>
        <x:v>1</x:v>
      </x:c>
      <x:c r="E610" s="31" t="str">
        <x:v>Grant Samuel</x:v>
      </x:c>
      <x:c r="F610" s="31" t="str">
        <x:v>IBD / GCM</x:v>
      </x:c>
      <x:c r="G610" s="31" t="str">
        <x:v>Mining valuation multiples</x:v>
      </x:c>
    </x:row>
    <x:row r="611" ht="34" customHeight="1">
      <x:c r="A611" s="30" t="str">
        <x:v>CL0607</x:v>
      </x:c>
      <x:c r="B611" s="31" t="str">
        <x:v>Most memorable internship experience</x:v>
      </x:c>
      <x:c r="C611" s="31" t="str">
        <x:v>Resume &amp; Experience</x:v>
      </x:c>
      <x:c r="D611" s="69" t="n">
        <x:f>COUNTIF('All Questions'!$G$5:$G$1725,A611)</x:f>
        <x:v>1</x:v>
      </x:c>
      <x:c r="E611" s="31" t="str">
        <x:v>Deutsche</x:v>
      </x:c>
      <x:c r="F611" s="31" t="str">
        <x:v>IBD / GCM</x:v>
      </x:c>
      <x:c r="G611" s="31" t="str">
        <x:v>Most memorable internship experience?</x:v>
      </x:c>
    </x:row>
    <x:row r="612" ht="34" customHeight="1">
      <x:c r="A612" s="30" t="str">
        <x:v>CL0608</x:v>
      </x:c>
      <x:c r="B612" s="31" t="str">
        <x:v>Most memorable internship experience and why</x:v>
      </x:c>
      <x:c r="C612" s="31" t="str">
        <x:v>Resume &amp; Experience</x:v>
      </x:c>
      <x:c r="D612" s="69" t="n">
        <x:f>COUNTIF('All Questions'!$G$5:$G$1725,A612)</x:f>
        <x:v>1</x:v>
      </x:c>
      <x:c r="E612" s="31" t="str">
        <x:v>Deutsche</x:v>
      </x:c>
      <x:c r="F612" s="31" t="str">
        <x:v>IBD / GCM</x:v>
      </x:c>
      <x:c r="G612" s="31" t="str">
        <x:v>Most memorable internship experience and why?</x:v>
      </x:c>
    </x:row>
    <x:row r="613" ht="34" customHeight="1">
      <x:c r="A613" s="30" t="str">
        <x:v>CL0609</x:v>
      </x:c>
      <x:c r="B613" s="31" t="str">
        <x:v>Most of your experience is IPO-related — why M&amp;A</x:v>
      </x:c>
      <x:c r="C613" s="31" t="str">
        <x:v>Fit &amp; Motivation</x:v>
      </x:c>
      <x:c r="D613" s="69" t="n">
        <x:f>COUNTIF('All Questions'!$G$5:$G$1725,A613)</x:f>
        <x:v>1</x:v>
      </x:c>
      <x:c r="E613" s="31" t="str">
        <x:v>BNP Paribas</x:v>
      </x:c>
      <x:c r="F613" s="31" t="str">
        <x:v>IBD / GCM</x:v>
      </x:c>
      <x:c r="G613" s="31" t="str">
        <x:v>most of your experience is IPO-related — why M&amp;A?</x:v>
      </x:c>
    </x:row>
    <x:row r="614" ht="34" customHeight="1">
      <x:c r="A614" s="30" t="str">
        <x:v>CL0610</x:v>
      </x:c>
      <x:c r="B614" s="31" t="str">
        <x:v>Motivation Qs: why payment</x:v>
      </x:c>
      <x:c r="C614" s="31" t="str">
        <x:v>Fit &amp; Motivation</x:v>
      </x:c>
      <x:c r="D614" s="69" t="n">
        <x:f>COUNTIF('All Questions'!$G$5:$G$1725,A614)</x:f>
        <x:v>1</x:v>
      </x:c>
      <x:c r="E614" s="31" t="str">
        <x:v>JPM Payment</x:v>
      </x:c>
      <x:c r="F614" s="31" t="str">
        <x:v>PE / VC / Other</x:v>
      </x:c>
      <x:c r="G614" s="31" t="str">
        <x:v>Motivation Qs: why payment?</x:v>
      </x:c>
    </x:row>
    <x:row r="615" ht="34" customHeight="1">
      <x:c r="A615" s="30" t="str">
        <x:v>CL0611</x:v>
      </x:c>
      <x:c r="B615" s="31" t="str">
        <x:v>MS return, summer</x:v>
      </x:c>
      <x:c r="C615" s="31" t="str">
        <x:v>Consulting &amp; Case</x:v>
      </x:c>
      <x:c r="D615" s="69" t="n">
        <x:f>COUNTIF('All Questions'!$G$5:$G$1725,A615)</x:f>
        <x:v>1</x:v>
      </x:c>
      <x:c r="E615" s="31" t="str">
        <x:v>Mckinsey</x:v>
      </x:c>
      <x:c r="F615" s="31" t="str">
        <x:v>Consulting</x:v>
      </x:c>
      <x:c r="G615" s="31" t="str">
        <x:v>MS return, summer?</x:v>
      </x:c>
    </x:row>
    <x:row r="616" ht="34" customHeight="1">
      <x:c r="A616" s="30" t="str">
        <x:v>CL0612</x:v>
      </x:c>
      <x:c r="B616" s="31" t="str">
        <x:v>Multiples used in comps</x:v>
      </x:c>
      <x:c r="C616" s="31" t="str">
        <x:v>Valuation</x:v>
      </x:c>
      <x:c r="D616" s="69" t="n">
        <x:f>COUNTIF('All Questions'!$G$5:$G$1725,A616)</x:f>
        <x:v>1</x:v>
      </x:c>
      <x:c r="E616" s="31" t="str">
        <x:v>BNP Paribas</x:v>
      </x:c>
      <x:c r="F616" s="31" t="str">
        <x:v>IBD / GCM</x:v>
      </x:c>
      <x:c r="G616" s="31" t="str">
        <x:v>Multiples used in comps</x:v>
      </x:c>
    </x:row>
    <x:row r="617" ht="34" customHeight="1">
      <x:c r="A617" s="30" t="str">
        <x:v>CL0613</x:v>
      </x:c>
      <x:c r="B617" s="31" t="str">
        <x:v>N do you know the market cap of Jefferies</x:v>
      </x:c>
      <x:c r="C617" s="31" t="str">
        <x:v>Other Question</x:v>
      </x:c>
      <x:c r="D617" s="69" t="n">
        <x:f>COUNTIF('All Questions'!$G$5:$G$1725,A617)</x:f>
        <x:v>1</x:v>
      </x:c>
      <x:c r="E617" s="31" t="str">
        <x:v>Jefferies</x:v>
      </x:c>
      <x:c r="F617" s="31" t="str">
        <x:v>IBD / GCM</x:v>
      </x:c>
      <x:c r="G617" s="31" t="str">
        <x:v>n do you know the market cap of Jefferies?</x:v>
      </x:c>
    </x:row>
    <x:row r="618" ht="34" customHeight="1">
      <x:c r="A618" s="30" t="str">
        <x:v>CL0614</x:v>
      </x:c>
      <x:c r="B618" s="31" t="str">
        <x:v>N You contacted the MD, and he didn’t respond, what would you do</x:v>
      </x:c>
      <x:c r="C618" s="31" t="str">
        <x:v>Other Question</x:v>
      </x:c>
      <x:c r="D618" s="69" t="n">
        <x:f>COUNTIF('All Questions'!$G$5:$G$1725,A618)</x:f>
        <x:v>1</x:v>
      </x:c>
      <x:c r="E618" s="31" t="str">
        <x:v>Jefferies</x:v>
      </x:c>
      <x:c r="F618" s="31" t="str">
        <x:v>IBD / GCM</x:v>
      </x:c>
      <x:c r="G618" s="31" t="str">
        <x:v>n You contacted the MD, and he didn’t respond, what would you do?</x:v>
      </x:c>
    </x:row>
    <x:row r="619" ht="34" customHeight="1">
      <x:c r="A619" s="30" t="str">
        <x:v>CL0615</x:v>
      </x:c>
      <x:c r="B619" s="31" t="str">
        <x:v>Name 3 Chinese unicorns</x:v>
      </x:c>
      <x:c r="C619" s="31" t="str">
        <x:v>Company, Industry &amp; Deals</x:v>
      </x:c>
      <x:c r="D619" s="69" t="n">
        <x:f>COUNTIF('All Questions'!$G$5:$G$1725,A619)</x:f>
        <x:v>1</x:v>
      </x:c>
      <x:c r="E619" s="31" t="str">
        <x:v>MS GCM</x:v>
      </x:c>
      <x:c r="F619" s="31" t="str">
        <x:v>IBD / GCM</x:v>
      </x:c>
      <x:c r="G619" s="31" t="str">
        <x:v>name 3 Chinese unicorns</x:v>
      </x:c>
    </x:row>
    <x:row r="620" ht="34" customHeight="1">
      <x:c r="A620" s="30" t="str">
        <x:v>CL0616</x:v>
      </x:c>
      <x:c r="B620" s="31" t="str">
        <x:v>Name 5 listed Chinese TMT comps</x:v>
      </x:c>
      <x:c r="C620" s="31" t="str">
        <x:v>Valuation</x:v>
      </x:c>
      <x:c r="D620" s="69" t="n">
        <x:f>COUNTIF('All Questions'!$G$5:$G$1725,A620)</x:f>
        <x:v>1</x:v>
      </x:c>
      <x:c r="E620" s="31" t="str">
        <x:v>MS GCM</x:v>
      </x:c>
      <x:c r="F620" s="31" t="str">
        <x:v>IBD / GCM</x:v>
      </x:c>
      <x:c r="G620" s="31" t="str">
        <x:v>name 5 listed Chinese TMT comps;</x:v>
      </x:c>
    </x:row>
    <x:row r="621" ht="34" customHeight="1">
      <x:c r="A621" s="30" t="str">
        <x:v>CL0617</x:v>
      </x:c>
      <x:c r="B621" s="31" t="str">
        <x:v>NB internship detail, sector I'm working on and investment thesis</x:v>
      </x:c>
      <x:c r="C621" s="31" t="str">
        <x:v>Resume &amp; Experience</x:v>
      </x:c>
      <x:c r="D621" s="69" t="n">
        <x:f>COUNTIF('All Questions'!$G$5:$G$1725,A621)</x:f>
        <x:v>1</x:v>
      </x:c>
      <x:c r="E621" s="31" t="str">
        <x:v>Bofa GCM</x:v>
      </x:c>
      <x:c r="F621" s="31" t="str">
        <x:v>IBD / GCM</x:v>
      </x:c>
      <x:c r="G621" s="31" t="str">
        <x:v>NB internship detail, sector I'm working on and investment thesis</x:v>
      </x:c>
    </x:row>
    <x:row r="622" ht="34" customHeight="1">
      <x:c r="A622" s="30" t="str">
        <x:v>CL0618</x:v>
      </x:c>
      <x:c r="B622" s="31" t="str">
        <x:v>Need to do PPT on the company overview, stock price performance, key financials, SWOT analysis</x:v>
      </x:c>
      <x:c r="C622" s="31" t="str">
        <x:v>Company, Industry &amp; Deals</x:v>
      </x:c>
      <x:c r="D622" s="69" t="n">
        <x:f>COUNTIF('All Questions'!$G$5:$G$1725,A622)</x:f>
        <x:v>1</x:v>
      </x:c>
      <x:c r="E622" s="31" t="str">
        <x:v>BNP Paribas</x:v>
      </x:c>
      <x:c r="F622" s="31" t="str">
        <x:v>IBD / GCM</x:v>
      </x:c>
      <x:c r="G622" s="31" t="str">
        <x:v>Need to do PPT on the company overview, stock price performance, key financials, SWOT analysis</x:v>
      </x:c>
    </x:row>
    <x:row r="623" ht="34" customHeight="1">
      <x:c r="A623" s="30" t="str">
        <x:v>CL0619</x:v>
      </x:c>
      <x:c r="B623" s="31" t="str">
        <x:v>Need to sacrifice your private time doing ibd, are you ready for this</x:v>
      </x:c>
      <x:c r="C623" s="31" t="str">
        <x:v>Other Question</x:v>
      </x:c>
      <x:c r="D623" s="69" t="n">
        <x:f>COUNTIF('All Questions'!$G$5:$G$1725,A623)</x:f>
        <x:v>1</x:v>
      </x:c>
      <x:c r="E623" s="31" t="str">
        <x:v>Nomura</x:v>
      </x:c>
      <x:c r="F623" s="31" t="str">
        <x:v>IBD / GCM</x:v>
      </x:c>
      <x:c r="G623" s="31" t="str">
        <x:v>Need to sacrifice your private time doing ibd, are you ready for this?</x:v>
      </x:c>
    </x:row>
    <x:row r="624" ht="76" customHeight="1">
      <x:c r="A624" s="30" t="str">
        <x:v>CL0620</x:v>
      </x:c>
      <x:c r="B624" s="31" t="str">
        <x:v>Nike and Starbucks both just changed CEOs and their stock price rose, what do you think is the reason behind? (it's like their new CEOs are all F&amp;B veterans whereas their old ones came from consulting background and didn't understand the industry in real life)</x:v>
      </x:c>
      <x:c r="C624" s="31" t="str">
        <x:v>Resume &amp; Experience</x:v>
      </x:c>
      <x:c r="D624" s="69" t="n">
        <x:f>COUNTIF('All Questions'!$G$5:$G$1725,A624)</x:f>
        <x:v>1</x:v>
      </x:c>
      <x:c r="E624" s="31" t="str">
        <x:v>UBS IBD</x:v>
      </x:c>
      <x:c r="F624" s="31" t="str">
        <x:v>IBD / GCM</x:v>
      </x:c>
      <x:c r="G624" s="31" t="str">
        <x:v>Nike and Starbucks both just changed CEOs and their stock price rose, what do you think is the reason behind? (it's like their new CEOs are all F&amp;B veterans whereas their old ones came from consulting background and didn't understand the industry in real life)</x:v>
      </x:c>
    </x:row>
    <x:row r="625" ht="52" customHeight="1">
      <x:c r="A625" s="30" t="str">
        <x:v>CL0621</x:v>
      </x:c>
      <x:c r="B625" s="31" t="str">
        <x:v>Notes: HKEX’s website is very informative, look up as much information as you can before the interview, show your familiarity with the company to the interviewers</x:v>
      </x:c>
      <x:c r="C625" s="31" t="str">
        <x:v>Accounting &amp; Financial Statements</x:v>
      </x:c>
      <x:c r="D625" s="69" t="n">
        <x:f>COUNTIF('All Questions'!$G$5:$G$1725,A625)</x:f>
        <x:v>1</x:v>
      </x:c>
      <x:c r="E625" s="31" t="str">
        <x:v>HKEX</x:v>
      </x:c>
      <x:c r="F625" s="31" t="str">
        <x:v>PE / VC / Other</x:v>
      </x:c>
      <x:c r="G625" s="31" t="str">
        <x:v>Notes: HKEX’s website is very informative, look up as much information as you can before the interview, show your familiarity with the company to the interviewers</x:v>
      </x:c>
    </x:row>
    <x:row r="626" ht="52" customHeight="1">
      <x:c r="A626" s="30" t="str">
        <x:v>CL0622</x:v>
      </x:c>
      <x:c r="B626" s="31" t="str">
        <x:v>Now investors raise their pricing, but the issuers' expectations are still high, how would you convince the issuers</x:v>
      </x:c>
      <x:c r="C626" s="31" t="str">
        <x:v>Other Question</x:v>
      </x:c>
      <x:c r="D626" s="69" t="n">
        <x:f>COUNTIF('All Questions'!$G$5:$G$1725,A626)</x:f>
        <x:v>1</x:v>
      </x:c>
      <x:c r="E626" s="31" t="str">
        <x:v>MS GCM</x:v>
      </x:c>
      <x:c r="F626" s="31" t="str">
        <x:v>IBD / GCM</x:v>
      </x:c>
      <x:c r="G626" s="31" t="str">
        <x:v>Now investors raise their pricing, but the issuers' expectations are still high, how would you convince the issuers?</x:v>
      </x:c>
    </x:row>
    <x:row r="627" ht="34" customHeight="1">
      <x:c r="A627" s="30" t="str">
        <x:v>CL0623</x:v>
      </x:c>
      <x:c r="B627" s="31" t="str">
        <x:v>Odysseus projects - valuation work, multiples used</x:v>
      </x:c>
      <x:c r="C627" s="31" t="str">
        <x:v>Valuation</x:v>
      </x:c>
      <x:c r="D627" s="69" t="n">
        <x:f>COUNTIF('All Questions'!$G$5:$G$1725,A627)</x:f>
        <x:v>1</x:v>
      </x:c>
      <x:c r="E627" s="31" t="str">
        <x:v>Deutsche</x:v>
      </x:c>
      <x:c r="F627" s="31" t="str">
        <x:v>IBD / GCM</x:v>
      </x:c>
      <x:c r="G627" s="31" t="str">
        <x:v>Odysseus projects - valuation work, multiples used?</x:v>
      </x:c>
    </x:row>
    <x:row r="628" ht="34" customHeight="1">
      <x:c r="A628" s="30" t="str">
        <x:v>CL0624</x:v>
      </x:c>
      <x:c r="B628" s="31" t="str">
        <x:v>Of all the internships you've done, which one do you like best</x:v>
      </x:c>
      <x:c r="C628" s="31" t="str">
        <x:v>Resume &amp; Experience</x:v>
      </x:c>
      <x:c r="D628" s="69" t="n">
        <x:f>COUNTIF('All Questions'!$G$5:$G$1725,A628)</x:f>
        <x:v>1</x:v>
      </x:c>
      <x:c r="E628" s="31" t="str">
        <x:v>JPM PB</x:v>
      </x:c>
      <x:c r="F628" s="31" t="str">
        <x:v>PWM / AM</x:v>
      </x:c>
      <x:c r="G628" s="31" t="str">
        <x:v>Of all the internships you've done, which one do you like best?</x:v>
      </x:c>
    </x:row>
    <x:row r="629" ht="34" customHeight="1">
      <x:c r="A629" s="30" t="str">
        <x:v>CL0625</x:v>
      </x:c>
      <x:c r="B629" s="31" t="str">
        <x:v>One specific LBO question (calculate equity value)</x:v>
      </x:c>
      <x:c r="C629" s="31" t="str">
        <x:v>Valuation</x:v>
      </x:c>
      <x:c r="D629" s="69" t="n">
        <x:f>COUNTIF('All Questions'!$G$5:$G$1725,A629)</x:f>
        <x:v>1</x:v>
      </x:c>
      <x:c r="E629" s="31" t="str">
        <x:v>Deutsche</x:v>
      </x:c>
      <x:c r="F629" s="31" t="str">
        <x:v>IBD / GCM</x:v>
      </x:c>
      <x:c r="G629" s="31" t="str">
        <x:v>one specific LBO question (calculate equity value)</x:v>
      </x:c>
    </x:row>
    <x:row r="630" ht="34" customHeight="1">
      <x:c r="A630" s="30" t="str">
        <x:v>CL0626</x:v>
      </x:c>
      <x:c r="B630" s="31" t="str">
        <x:v>One very specific deal (investment thesis, valuation, comps)</x:v>
      </x:c>
      <x:c r="C630" s="31" t="str">
        <x:v>Valuation</x:v>
      </x:c>
      <x:c r="D630" s="69" t="n">
        <x:f>COUNTIF('All Questions'!$G$5:$G$1725,A630)</x:f>
        <x:v>1</x:v>
      </x:c>
      <x:c r="E630" s="31" t="str">
        <x:v>Deutsche</x:v>
      </x:c>
      <x:c r="F630" s="31" t="str">
        <x:v>IBD / GCM</x:v>
      </x:c>
      <x:c r="G630" s="31" t="str">
        <x:v>one very specific deal (investment thesis, valuation, comps)</x:v>
      </x:c>
    </x:row>
    <x:row r="631" ht="34" customHeight="1">
      <x:c r="A631" s="30" t="str">
        <x:v>CL0627</x:v>
      </x:c>
      <x:c r="B631" s="31" t="str">
        <x:v>Only asked about one internship experience but asked about all the bullet points</x:v>
      </x:c>
      <x:c r="C631" s="31" t="str">
        <x:v>Resume &amp; Experience</x:v>
      </x:c>
      <x:c r="D631" s="69" t="n">
        <x:f>COUNTIF('All Questions'!$G$5:$G$1725,A631)</x:f>
        <x:v>1</x:v>
      </x:c>
      <x:c r="E631" s="31" t="str">
        <x:v>UBS IBD</x:v>
      </x:c>
      <x:c r="F631" s="31" t="str">
        <x:v>IBD / GCM</x:v>
      </x:c>
      <x:c r="G631" s="31" t="str">
        <x:v>Only asked about one internship experience but asked about all the bullet points</x:v>
      </x:c>
    </x:row>
    <x:row r="632" ht="34" customHeight="1">
      <x:c r="A632" s="30" t="str">
        <x:v>CL0628</x:v>
      </x:c>
      <x:c r="B632" s="31" t="str">
        <x:v>Optimal wacc</x:v>
      </x:c>
      <x:c r="C632" s="31" t="str">
        <x:v>Valuation</x:v>
      </x:c>
      <x:c r="D632" s="69" t="n">
        <x:f>COUNTIF('All Questions'!$G$5:$G$1725,A632)</x:f>
        <x:v>1</x:v>
      </x:c>
      <x:c r="E632" s="31" t="str">
        <x:v>Deutsche</x:v>
      </x:c>
      <x:c r="F632" s="31" t="str">
        <x:v>IBD / GCM</x:v>
      </x:c>
      <x:c r="G632" s="31" t="str">
        <x:v>optimal wacc</x:v>
      </x:c>
    </x:row>
    <x:row r="633" ht="34" customHeight="1">
      <x:c r="A633" s="30" t="str">
        <x:v>CL0629</x:v>
      </x:c>
      <x:c r="B633" s="31" t="str">
        <x:v>Outlook for the company, investment thesis, company overview</x:v>
      </x:c>
      <x:c r="C633" s="31" t="str">
        <x:v>Investment Pitch</x:v>
      </x:c>
      <x:c r="D633" s="69" t="n">
        <x:f>COUNTIF('All Questions'!$G$5:$G$1725,A633)</x:f>
        <x:v>1</x:v>
      </x:c>
      <x:c r="E633" s="31" t="str">
        <x:v>Barclays</x:v>
      </x:c>
      <x:c r="F633" s="31" t="str">
        <x:v>IBD / GCM</x:v>
      </x:c>
      <x:c r="G633" s="31" t="str">
        <x:v>Outlook for the company, investment thesis, company overview</x:v>
      </x:c>
    </x:row>
    <x:row r="634" ht="34" customHeight="1">
      <x:c r="A634" s="30" t="str">
        <x:v>CL0630</x:v>
      </x:c>
      <x:c r="B634" s="31" t="str">
        <x:v>Over the 3 locations, which do you think performs the best and why</x:v>
      </x:c>
      <x:c r="C634" s="31" t="str">
        <x:v>Fit &amp; Motivation</x:v>
      </x:c>
      <x:c r="D634" s="69" t="n">
        <x:f>COUNTIF('All Questions'!$G$5:$G$1725,A634)</x:f>
        <x:v>1</x:v>
      </x:c>
      <x:c r="E634" s="31" t="str">
        <x:v>Mckinsey</x:v>
      </x:c>
      <x:c r="F634" s="31" t="str">
        <x:v>Consulting</x:v>
      </x:c>
      <x:c r="G634" s="31" t="str">
        <x:v>over the 3 locations, which do you think performs the best and why?</x:v>
      </x:c>
    </x:row>
    <x:row r="635" ht="34" customHeight="1">
      <x:c r="A635" s="30" t="str">
        <x:v>CL0631</x:v>
      </x:c>
      <x:c r="B635" s="31" t="str">
        <x:v>Own 51% of a healthcare listed company (went public 4yrs ago when healthcare was hot)</x:v>
      </x:c>
      <x:c r="C635" s="31" t="str">
        <x:v>Company, Industry &amp; Deals</x:v>
      </x:c>
      <x:c r="D635" s="69" t="n">
        <x:f>COUNTIF('All Questions'!$G$5:$G$1725,A635)</x:f>
        <x:v>1</x:v>
      </x:c>
      <x:c r="E635" s="31" t="str">
        <x:v>JPM</x:v>
      </x:c>
      <x:c r="F635" s="31" t="str">
        <x:v>IBD / GCM</x:v>
      </x:c>
      <x:c r="G635" s="31" t="str">
        <x:v>own 51% of a healthcare listed company (went public 4yrs ago when healthcare was hot)</x:v>
      </x:c>
    </x:row>
    <x:row r="636" ht="34" customHeight="1">
      <x:c r="A636" s="30" t="str">
        <x:v>CL0632</x:v>
      </x:c>
      <x:c r="B636" s="31" t="str">
        <x:v>Pitch a thematic in my previous internship (with follow-up questions)</x:v>
      </x:c>
      <x:c r="C636" s="31" t="str">
        <x:v>Resume &amp; Experience</x:v>
      </x:c>
      <x:c r="D636" s="69" t="n">
        <x:f>COUNTIF('All Questions'!$G$5:$G$1725,A636)</x:f>
        <x:v>1</x:v>
      </x:c>
      <x:c r="E636" s="31" t="str">
        <x:v>MS GCM</x:v>
      </x:c>
      <x:c r="F636" s="31" t="str">
        <x:v>IBD / GCM</x:v>
      </x:c>
      <x:c r="G636" s="31" t="str">
        <x:v>pitch a thematic in my previous internship (with follow-up questions)</x:v>
      </x:c>
    </x:row>
    <x:row r="637" ht="34" customHeight="1">
      <x:c r="A637" s="30" t="str">
        <x:v>CL0633</x:v>
      </x:c>
      <x:c r="B637" s="31" t="str">
        <x:v>Pitch me a company</x:v>
      </x:c>
      <x:c r="C637" s="31" t="str">
        <x:v>Investment Pitch</x:v>
      </x:c>
      <x:c r="D637" s="69" t="n">
        <x:f>COUNTIF('All Questions'!$G$5:$G$1725,A637)</x:f>
        <x:v>1</x:v>
      </x:c>
      <x:c r="E637" s="31" t="str">
        <x:v>Mindworks Capital</x:v>
      </x:c>
      <x:c r="F637" s="31" t="str">
        <x:v>PE / VC / Other</x:v>
      </x:c>
      <x:c r="G637" s="31" t="str">
        <x:v>Pitch me a company</x:v>
      </x:c>
    </x:row>
    <x:row r="638" ht="34" customHeight="1">
      <x:c r="A638" s="30" t="str">
        <x:v>CL0634</x:v>
      </x:c>
      <x:c r="B638" s="31" t="str">
        <x:v>Pitch me an industry</x:v>
      </x:c>
      <x:c r="C638" s="31" t="str">
        <x:v>Company, Industry &amp; Deals</x:v>
      </x:c>
      <x:c r="D638" s="69" t="n">
        <x:f>COUNTIF('All Questions'!$G$5:$G$1725,A638)</x:f>
        <x:v>1</x:v>
      </x:c>
      <x:c r="E638" s="31" t="str">
        <x:v>Citi</x:v>
      </x:c>
      <x:c r="F638" s="31" t="str">
        <x:v>IBD / GCM</x:v>
      </x:c>
      <x:c r="G638" s="31" t="str">
        <x:v>pitch me an industry</x:v>
      </x:c>
    </x:row>
    <x:row r="639" ht="34" customHeight="1">
      <x:c r="A639" s="30" t="str">
        <x:v>CL0635</x:v>
      </x:c>
      <x:c r="B639" s="31" t="str">
        <x:v>Pitch me an investment idea</x:v>
      </x:c>
      <x:c r="C639" s="31" t="str">
        <x:v>Investment Pitch</x:v>
      </x:c>
      <x:c r="D639" s="69" t="n">
        <x:f>COUNTIF('All Questions'!$G$5:$G$1725,A639)</x:f>
        <x:v>1</x:v>
      </x:c>
      <x:c r="E639" s="31" t="str">
        <x:v>UBS AM</x:v>
      </x:c>
      <x:c r="F639" s="31" t="str">
        <x:v>PWM / AM</x:v>
      </x:c>
      <x:c r="G639" s="31" t="str">
        <x:v>Pitch me an investment idea</x:v>
      </x:c>
    </x:row>
    <x:row r="640" ht="34" customHeight="1">
      <x:c r="A640" s="30" t="str">
        <x:v>CL0636</x:v>
      </x:c>
      <x:c r="B640" s="31" t="str">
        <x:v>Pitch me another stock</x:v>
      </x:c>
      <x:c r="C640" s="31" t="str">
        <x:v>Other Question</x:v>
      </x:c>
      <x:c r="D640" s="69" t="n">
        <x:f>COUNTIF('All Questions'!$G$5:$G$1725,A640)</x:f>
        <x:v>1</x:v>
      </x:c>
      <x:c r="E640" s="31" t="str">
        <x:v>BlackRock</x:v>
      </x:c>
      <x:c r="F640" s="31" t="str">
        <x:v>PWM / AM</x:v>
      </x:c>
      <x:c r="G640" s="31" t="str">
        <x:v>pitch me another stock</x:v>
      </x:c>
    </x:row>
    <x:row r="641" ht="52" customHeight="1">
      <x:c r="A641" s="30" t="str">
        <x:v>CL0637</x:v>
      </x:c>
      <x:c r="B641" s="31" t="str">
        <x:v>Pitch me one sector or asset class and what's your expectation for it in the future and 5 years horizon</x:v>
      </x:c>
      <x:c r="C641" s="31" t="str">
        <x:v>Company, Industry &amp; Deals</x:v>
      </x:c>
      <x:c r="D641" s="69" t="n">
        <x:f>COUNTIF('All Questions'!$G$5:$G$1725,A641)</x:f>
        <x:v>1</x:v>
      </x:c>
      <x:c r="E641" s="31" t="str">
        <x:v>JPM AM</x:v>
      </x:c>
      <x:c r="F641" s="31" t="str">
        <x:v>PWM / AM</x:v>
      </x:c>
      <x:c r="G641" s="31" t="str">
        <x:v>Pitch me one sector or asset class and what's your expectation for it in the future and 5 years horizon</x:v>
      </x:c>
    </x:row>
    <x:row r="642" ht="52" customHeight="1">
      <x:c r="A642" s="30" t="str">
        <x:v>CL0638</x:v>
      </x:c>
      <x:c r="B642" s="31" t="str">
        <x:v>Pitch me yourself, what is the advantage for someone with PE experience compared to someone with ib experience in doing IDB roles</x:v>
      </x:c>
      <x:c r="C642" s="31" t="str">
        <x:v>Resume &amp; Experience</x:v>
      </x:c>
      <x:c r="D642" s="69" t="n">
        <x:f>COUNTIF('All Questions'!$G$5:$G$1725,A642)</x:f>
        <x:v>1</x:v>
      </x:c>
      <x:c r="E642" s="31" t="str">
        <x:v>Deutsche</x:v>
      </x:c>
      <x:c r="F642" s="31" t="str">
        <x:v>IBD / GCM</x:v>
      </x:c>
      <x:c r="G642" s="31" t="str">
        <x:v>Pitch me yourself, what is the advantage for someone with PE experience compared to someone with ib experience in doing IDB roles?</x:v>
      </x:c>
    </x:row>
    <x:row r="643" ht="34" customHeight="1">
      <x:c r="A643" s="30" t="str">
        <x:v>CL0639</x:v>
      </x:c>
      <x:c r="B643" s="31" t="str">
        <x:v>Plan for studies</x:v>
      </x:c>
      <x:c r="C643" s="31" t="str">
        <x:v>Other Question</x:v>
      </x:c>
      <x:c r="D643" s="69" t="n">
        <x:f>COUNTIF('All Questions'!$G$5:$G$1725,A643)</x:f>
        <x:v>1</x:v>
      </x:c>
      <x:c r="E643" s="31" t="str">
        <x:v>JPM AM</x:v>
      </x:c>
      <x:c r="F643" s="31" t="str">
        <x:v>PWM / AM</x:v>
      </x:c>
      <x:c r="G643" s="31" t="str">
        <x:v>plan for studies?</x:v>
      </x:c>
    </x:row>
    <x:row r="644" ht="52" customHeight="1">
      <x:c r="A644" s="30" t="str">
        <x:v>CL0640</x:v>
      </x:c>
      <x:c r="B644" s="31" t="str">
        <x:v>Please complete a company analysis report for 乐歌股份 (300729). The analysis report should consist of industry analysis, business attractiveness, financials and valuation</x:v>
      </x:c>
      <x:c r="C644" s="31" t="str">
        <x:v>Valuation</x:v>
      </x:c>
      <x:c r="D644" s="69" t="n">
        <x:f>COUNTIF('All Questions'!$G$5:$G$1725,A644)</x:f>
        <x:v>1</x:v>
      </x:c>
      <x:c r="E644" s="31" t="str">
        <x:v>Fountainvest</x:v>
      </x:c>
      <x:c r="F644" s="31" t="str">
        <x:v>PE / VC / Other</x:v>
      </x:c>
      <x:c r="G644" s="31" t="str">
        <x:v>Please complete a company analysis report for 乐歌股份 (300729). The analysis report should consist of industry analysis, business attractiveness, financials and valuation.</x:v>
      </x:c>
    </x:row>
    <x:row r="645" ht="76" customHeight="1">
      <x:c r="A645" s="30" t="str">
        <x:v>CL0641</x:v>
      </x:c>
      <x:c r="B645" s="31" t="str">
        <x:v>Please discuss how the US' current account and fiscal deficits, coupled with its increasing national debt burden, will impact its role in the global economy and monetary system, in particular the role of USD as the world's reserve currency</x:v>
      </x:c>
      <x:c r="C645" s="31" t="str">
        <x:v>Markets &amp; Macro</x:v>
      </x:c>
      <x:c r="D645" s="69" t="n">
        <x:f>COUNTIF('All Questions'!$G$5:$G$1725,A645)</x:f>
        <x:v>1</x:v>
      </x:c>
      <x:c r="E645" s="31" t="str">
        <x:v>UBS IBD</x:v>
      </x:c>
      <x:c r="F645" s="31" t="str">
        <x:v>IBD / GCM</x:v>
      </x:c>
      <x:c r="G645" s="31" t="str">
        <x:v>please discuss how the US' current account and fiscal deficits, coupled with its increasing national debt burden, will impact its role in the global economy and monetary system, in particular the role of USD as the world's reserve currency?</x:v>
      </x:c>
    </x:row>
    <x:row r="646" ht="34" customHeight="1">
      <x:c r="A646" s="30" t="str">
        <x:v>CL0642</x:v>
      </x:c>
      <x:c r="B646" s="31" t="str">
        <x:v>Post-money valuation of the company</x:v>
      </x:c>
      <x:c r="C646" s="31" t="str">
        <x:v>Valuation</x:v>
      </x:c>
      <x:c r="D646" s="69" t="n">
        <x:f>COUNTIF('All Questions'!$G$5:$G$1725,A646)</x:f>
        <x:v>1</x:v>
      </x:c>
      <x:c r="E646" s="31" t="str">
        <x:v>Bofa IBD</x:v>
      </x:c>
      <x:c r="F646" s="31" t="str">
        <x:v>IBD / GCM</x:v>
      </x:c>
      <x:c r="G646" s="31" t="str">
        <x:v>Post-money valuation of the company</x:v>
      </x:c>
    </x:row>
    <x:row r="647" ht="34" customHeight="1">
      <x:c r="A647" s="30" t="str">
        <x:v>CL0643</x:v>
      </x:c>
      <x:c r="B647" s="31" t="str">
        <x:v>PP&amp;E increase by 10 thousand, 3 statement</x:v>
      </x:c>
      <x:c r="C647" s="31" t="str">
        <x:v>Accounting &amp; Financial Statements</x:v>
      </x:c>
      <x:c r="D647" s="69" t="n">
        <x:f>COUNTIF('All Questions'!$G$5:$G$1725,A647)</x:f>
        <x:v>1</x:v>
      </x:c>
      <x:c r="E647" s="31" t="str">
        <x:v>MS IBD</x:v>
      </x:c>
      <x:c r="F647" s="31" t="str">
        <x:v>IBD / GCM</x:v>
      </x:c>
      <x:c r="G647" s="31" t="str">
        <x:v>PP&amp;E increase by 10 thousand, 3 statement</x:v>
      </x:c>
    </x:row>
    <x:row r="648" ht="34" customHeight="1">
      <x:c r="A648" s="30" t="str">
        <x:v>CL0644</x:v>
      </x:c>
      <x:c r="B648" s="31" t="str">
        <x:v>PPT person or Excel person</x:v>
      </x:c>
      <x:c r="C648" s="31" t="str">
        <x:v>Other Technical</x:v>
      </x:c>
      <x:c r="D648" s="69" t="n">
        <x:f>COUNTIF('All Questions'!$G$5:$G$1725,A648)</x:f>
        <x:v>1</x:v>
      </x:c>
      <x:c r="E648" s="31" t="str">
        <x:v>Deutsche</x:v>
      </x:c>
      <x:c r="F648" s="31" t="str">
        <x:v>IBD / GCM</x:v>
      </x:c>
      <x:c r="G648" s="31" t="str">
        <x:v>PPT person or Excel person?</x:v>
      </x:c>
    </x:row>
    <x:row r="649" ht="34" customHeight="1">
      <x:c r="A649" s="30" t="str">
        <x:v>CL0645</x:v>
      </x:c>
      <x:c r="B649" s="31" t="str">
        <x:v>Pre money and post money valuation for cross border b2b platform</x:v>
      </x:c>
      <x:c r="C649" s="31" t="str">
        <x:v>Valuation</x:v>
      </x:c>
      <x:c r="D649" s="69" t="n">
        <x:f>COUNTIF('All Questions'!$G$5:$G$1725,A649)</x:f>
        <x:v>1</x:v>
      </x:c>
      <x:c r="E649" s="31" t="str">
        <x:v>MSPEA</x:v>
      </x:c>
      <x:c r="F649" s="31" t="str">
        <x:v>PE / VC / Other</x:v>
      </x:c>
      <x:c r="G649" s="31" t="str">
        <x:v>Pre money and post money valuation for cross border b2b platform?</x:v>
      </x:c>
    </x:row>
    <x:row r="650" ht="34" customHeight="1">
      <x:c r="A650" s="30" t="str">
        <x:v>CL0646</x:v>
      </x:c>
      <x:c r="B650" s="31" t="str">
        <x:v>Precedent transactions – what are the pros and cons</x:v>
      </x:c>
      <x:c r="C650" s="31" t="str">
        <x:v>Valuation</x:v>
      </x:c>
      <x:c r="D650" s="69" t="n">
        <x:f>COUNTIF('All Questions'!$G$5:$G$1725,A650)</x:f>
        <x:v>1</x:v>
      </x:c>
      <x:c r="E650" s="31" t="str">
        <x:v>Jefferies</x:v>
      </x:c>
      <x:c r="F650" s="31" t="str">
        <x:v>IBD / GCM</x:v>
      </x:c>
      <x:c r="G650" s="31" t="str">
        <x:v>Precedent transactions – what are the pros and cons?</x:v>
      </x:c>
    </x:row>
    <x:row r="651" ht="34" customHeight="1">
      <x:c r="A651" s="30" t="str">
        <x:v>CL0647</x:v>
      </x:c>
      <x:c r="B651" s="31" t="str">
        <x:v>Preference for team</x:v>
      </x:c>
      <x:c r="C651" s="31" t="str">
        <x:v>Other Question</x:v>
      </x:c>
      <x:c r="D651" s="69" t="n">
        <x:f>COUNTIF('All Questions'!$G$5:$G$1725,A651)</x:f>
        <x:v>1</x:v>
      </x:c>
      <x:c r="E651" s="31" t="str">
        <x:v>MS GCM</x:v>
      </x:c>
      <x:c r="F651" s="31" t="str">
        <x:v>IBD / GCM</x:v>
      </x:c>
      <x:c r="G651" s="31" t="str">
        <x:v>Preference for team?</x:v>
      </x:c>
    </x:row>
    <x:row r="652" ht="34" customHeight="1">
      <x:c r="A652" s="30" t="str">
        <x:v>CL0648</x:v>
      </x:c>
      <x:c r="B652" s="31" t="str">
        <x:v>Preference on capital market or coverage</x:v>
      </x:c>
      <x:c r="C652" s="31" t="str">
        <x:v>Capital Markets &amp; Financing</x:v>
      </x:c>
      <x:c r="D652" s="69" t="n">
        <x:f>COUNTIF('All Questions'!$G$5:$G$1725,A652)</x:f>
        <x:v>1</x:v>
      </x:c>
      <x:c r="E652" s="31" t="str">
        <x:v>Deutsche</x:v>
      </x:c>
      <x:c r="F652" s="31" t="str">
        <x:v>IBD / GCM</x:v>
      </x:c>
      <x:c r="G652" s="31" t="str">
        <x:v>preference on capital market or coverage?</x:v>
      </x:c>
    </x:row>
    <x:row r="653" ht="34" customHeight="1">
      <x:c r="A653" s="30" t="str">
        <x:v>CL0649</x:v>
      </x:c>
      <x:c r="B653" s="31" t="str">
        <x:v>Preference towards industry group</x:v>
      </x:c>
      <x:c r="C653" s="31" t="str">
        <x:v>Company, Industry &amp; Deals</x:v>
      </x:c>
      <x:c r="D653" s="69" t="n">
        <x:f>COUNTIF('All Questions'!$G$5:$G$1725,A653)</x:f>
        <x:v>1</x:v>
      </x:c>
      <x:c r="E653" s="31" t="str">
        <x:v>Bofa IBD</x:v>
      </x:c>
      <x:c r="F653" s="31" t="str">
        <x:v>IBD / GCM</x:v>
      </x:c>
      <x:c r="G653" s="31" t="str">
        <x:v>Preference towards industry group?</x:v>
      </x:c>
    </x:row>
    <x:row r="654" ht="34" customHeight="1">
      <x:c r="A654" s="30" t="str">
        <x:v>CL0650</x:v>
      </x:c>
      <x:c r="B654" s="31" t="str">
        <x:v>Pretend I am GS interviewer, why GS</x:v>
      </x:c>
      <x:c r="C654" s="31" t="str">
        <x:v>Fit &amp; Motivation</x:v>
      </x:c>
      <x:c r="D654" s="69" t="n">
        <x:f>COUNTIF('All Questions'!$G$5:$G$1725,A654)</x:f>
        <x:v>1</x:v>
      </x:c>
      <x:c r="E654" s="31" t="str">
        <x:v>MS GCM</x:v>
      </x:c>
      <x:c r="F654" s="31" t="str">
        <x:v>IBD / GCM</x:v>
      </x:c>
      <x:c r="G654" s="31" t="str">
        <x:v>Pretend I am GS interviewer, why GS</x:v>
      </x:c>
    </x:row>
    <x:row r="655" ht="34" customHeight="1">
      <x:c r="A655" s="30" t="str">
        <x:v>CL0651</x:v>
      </x:c>
      <x:c r="B655" s="31" t="str">
        <x:v>Previously you did lots of sales and research roles, any idea about trading roles</x:v>
      </x:c>
      <x:c r="C655" s="31" t="str">
        <x:v>Sales &amp; Trading</x:v>
      </x:c>
      <x:c r="D655" s="69" t="n">
        <x:f>COUNTIF('All Questions'!$G$5:$G$1725,A655)</x:f>
        <x:v>1</x:v>
      </x:c>
      <x:c r="E655" s="31" t="str">
        <x:v>Barclays GM</x:v>
      </x:c>
      <x:c r="F655" s="31" t="str">
        <x:v>Sales &amp; Trading</x:v>
      </x:c>
      <x:c r="G655" s="31" t="str">
        <x:v>Previously you did lots of sales and research roles, any idea about trading roles?</x:v>
      </x:c>
    </x:row>
    <x:row r="656" ht="34" customHeight="1">
      <x:c r="A656" s="30" t="str">
        <x:v>CL0652</x:v>
      </x:c>
      <x:c r="B656" s="31" t="str">
        <x:v>Pro-forma EV/EBITDA, PE change</x:v>
      </x:c>
      <x:c r="C656" s="31" t="str">
        <x:v>Other Question</x:v>
      </x:c>
      <x:c r="D656" s="69" t="n">
        <x:f>COUNTIF('All Questions'!$G$5:$G$1725,A656)</x:f>
        <x:v>1</x:v>
      </x:c>
      <x:c r="E656" s="31" t="str">
        <x:v>Deutsche</x:v>
      </x:c>
      <x:c r="F656" s="31" t="str">
        <x:v>IBD / GCM</x:v>
      </x:c>
      <x:c r="G656" s="31" t="str">
        <x:v>pro-forma EV/EBITDA, PE change</x:v>
      </x:c>
    </x:row>
    <x:row r="657" ht="34" customHeight="1">
      <x:c r="A657" s="30" t="str">
        <x:v>CL0653</x:v>
      </x:c>
      <x:c r="B657" s="31" t="str">
        <x:v>Process of M&amp;A</x:v>
      </x:c>
      <x:c r="C657" s="31" t="str">
        <x:v>Other Question</x:v>
      </x:c>
      <x:c r="D657" s="69" t="n">
        <x:f>COUNTIF('All Questions'!$G$5:$G$1725,A657)</x:f>
        <x:v>1</x:v>
      </x:c>
      <x:c r="E657" s="31" t="str">
        <x:v>Lazard</x:v>
      </x:c>
      <x:c r="F657" s="31" t="str">
        <x:v>IBD / GCM</x:v>
      </x:c>
      <x:c r="G657" s="31" t="str">
        <x:v>Process of M&amp;A?</x:v>
      </x:c>
    </x:row>
    <x:row r="658" ht="34" customHeight="1">
      <x:c r="A658" s="30" t="str">
        <x:v>CL0654</x:v>
      </x:c>
      <x:c r="B658" s="31" t="str">
        <x:v>Progress with other banks and offers? How would you choose and why</x:v>
      </x:c>
      <x:c r="C658" s="31" t="str">
        <x:v>Other Question</x:v>
      </x:c>
      <x:c r="D658" s="69" t="n">
        <x:f>COUNTIF('All Questions'!$G$5:$G$1725,A658)</x:f>
        <x:v>1</x:v>
      </x:c>
      <x:c r="E658" s="31" t="str">
        <x:v>Houlihan Lokey</x:v>
      </x:c>
      <x:c r="F658" s="31" t="str">
        <x:v>IBD / GCM</x:v>
      </x:c>
      <x:c r="G658" s="31" t="str">
        <x:v>Progress with other banks and offers? How would you choose and why</x:v>
      </x:c>
    </x:row>
    <x:row r="659" ht="34" customHeight="1">
      <x:c r="A659" s="30" t="str">
        <x:v>CL0655</x:v>
      </x:c>
      <x:c r="B659" s="31" t="str">
        <x:v>Pros and cons of dcf, trading comps, precedent transactions, when do u prefer which</x:v>
      </x:c>
      <x:c r="C659" s="31" t="str">
        <x:v>Valuation</x:v>
      </x:c>
      <x:c r="D659" s="69" t="n">
        <x:f>COUNTIF('All Questions'!$G$5:$G$1725,A659)</x:f>
        <x:v>1</x:v>
      </x:c>
      <x:c r="E659" s="31" t="str">
        <x:v>Citi</x:v>
      </x:c>
      <x:c r="F659" s="31" t="str">
        <x:v>IBD / GCM</x:v>
      </x:c>
      <x:c r="G659" s="31" t="str">
        <x:v>pros and cons of dcf, trading comps, precedent transactions, when do u prefer which</x:v>
      </x:c>
    </x:row>
    <x:row r="660" ht="34" customHeight="1">
      <x:c r="A660" s="30" t="str">
        <x:v>CL0656</x:v>
      </x:c>
      <x:c r="B660" s="31" t="str">
        <x:v>Q about intern: when can you start? How long can you work for</x:v>
      </x:c>
      <x:c r="C660" s="31" t="str">
        <x:v>Other Question</x:v>
      </x:c>
      <x:c r="D660" s="69" t="n">
        <x:f>COUNTIF('All Questions'!$G$5:$G$1725,A660)</x:f>
        <x:v>1</x:v>
      </x:c>
      <x:c r="E660" s="31" t="str">
        <x:v>Fountainvest</x:v>
      </x:c>
      <x:c r="F660" s="31" t="str">
        <x:v>PE / VC / Other</x:v>
      </x:c>
      <x:c r="G660" s="31" t="str">
        <x:v>Q about intern: when can you start? How long can you work for?</x:v>
      </x:c>
    </x:row>
    <x:row r="661" ht="34" customHeight="1">
      <x:c r="A661" s="30" t="str">
        <x:v>CL0657</x:v>
      </x:c>
      <x:c r="B661" s="31" t="str">
        <x:v>Q1 By how much the company need to expand the production, what factors to consider</x:v>
      </x:c>
      <x:c r="C661" s="31" t="str">
        <x:v>Consulting &amp; Case</x:v>
      </x:c>
      <x:c r="D661" s="69" t="n">
        <x:f>COUNTIF('All Questions'!$G$5:$G$1725,A661)</x:f>
        <x:v>1</x:v>
      </x:c>
      <x:c r="E661" s="31" t="str">
        <x:v>Mckinsey</x:v>
      </x:c>
      <x:c r="F661" s="31" t="str">
        <x:v>Consulting</x:v>
      </x:c>
      <x:c r="G661" s="31" t="str">
        <x:v>Q1 By how much the company need to expand the production, what factors to consider</x:v>
      </x:c>
    </x:row>
    <x:row r="662" ht="34" customHeight="1">
      <x:c r="A662" s="30" t="str">
        <x:v>CL0658</x:v>
      </x:c>
      <x:c r="B662" s="31" t="str">
        <x:v>Raise new debt in 2025, impacts on BS and IS this year and next year</x:v>
      </x:c>
      <x:c r="C662" s="31" t="str">
        <x:v>Accounting &amp; Financial Statements</x:v>
      </x:c>
      <x:c r="D662" s="69" t="n">
        <x:f>COUNTIF('All Questions'!$G$5:$G$1725,A662)</x:f>
        <x:v>1</x:v>
      </x:c>
      <x:c r="E662" s="31" t="str">
        <x:v>MS IBD</x:v>
      </x:c>
      <x:c r="F662" s="31" t="str">
        <x:v>IBD / GCM</x:v>
      </x:c>
      <x:c r="G662" s="31" t="str">
        <x:v>Raise new debt in 2025, impacts on BS and IS this year and next year</x:v>
      </x:c>
    </x:row>
    <x:row r="663" ht="34" customHeight="1">
      <x:c r="A663" s="30" t="str">
        <x:v>CL0659</x:v>
      </x:c>
      <x:c r="B663" s="31" t="str">
        <x:v>Recent LBO trend</x:v>
      </x:c>
      <x:c r="C663" s="31" t="str">
        <x:v>Private Equity &amp; LBO</x:v>
      </x:c>
      <x:c r="D663" s="69" t="n">
        <x:f>COUNTIF('All Questions'!$G$5:$G$1725,A663)</x:f>
        <x:v>1</x:v>
      </x:c>
      <x:c r="E663" s="31" t="str">
        <x:v>GS DCMECM</x:v>
      </x:c>
      <x:c r="F663" s="31" t="str">
        <x:v>IBD / GCM</x:v>
      </x:c>
      <x:c r="G663" s="31" t="str">
        <x:v>Recent LBO trend</x:v>
      </x:c>
    </x:row>
    <x:row r="664" ht="34" customHeight="1">
      <x:c r="A664" s="30" t="str">
        <x:v>CL0660</x:v>
      </x:c>
      <x:c r="B664" s="31" t="str">
        <x:v>Relationship between my internships (same company different offices)</x:v>
      </x:c>
      <x:c r="C664" s="31" t="str">
        <x:v>Resume &amp; Experience</x:v>
      </x:c>
      <x:c r="D664" s="69" t="n">
        <x:f>COUNTIF('All Questions'!$G$5:$G$1725,A664)</x:f>
        <x:v>1</x:v>
      </x:c>
      <x:c r="E664" s="31" t="str">
        <x:v>BNP Paribas</x:v>
      </x:c>
      <x:c r="F664" s="31" t="str">
        <x:v>IBD / GCM</x:v>
      </x:c>
      <x:c r="G664" s="31" t="str">
        <x:v>Relationship between my internships (same company different offices)</x:v>
      </x:c>
    </x:row>
    <x:row r="665" ht="34" customHeight="1">
      <x:c r="A665" s="30" t="str">
        <x:v>CL0661</x:v>
      </x:c>
      <x:c r="B665" s="31" t="str">
        <x:v>Return offer</x:v>
      </x:c>
      <x:c r="C665" s="31" t="str">
        <x:v>Fit &amp; Motivation</x:v>
      </x:c>
      <x:c r="D665" s="69" t="n">
        <x:f>COUNTIF('All Questions'!$G$5:$G$1725,A665)</x:f>
        <x:v>1</x:v>
      </x:c>
      <x:c r="E665" s="31" t="str">
        <x:v>Deutsche</x:v>
      </x:c>
      <x:c r="F665" s="31" t="str">
        <x:v>IBD / GCM</x:v>
      </x:c>
      <x:c r="G665" s="31" t="str">
        <x:v>Return offer?</x:v>
      </x:c>
    </x:row>
    <x:row r="666" ht="34" customHeight="1">
      <x:c r="A666" s="30" t="str">
        <x:v>CL0662</x:v>
      </x:c>
      <x:c r="B666" s="31" t="str">
        <x:v>Return offer? Why</x:v>
      </x:c>
      <x:c r="C666" s="31" t="str">
        <x:v>Fit &amp; Motivation</x:v>
      </x:c>
      <x:c r="D666" s="69" t="n">
        <x:f>COUNTIF('All Questions'!$G$5:$G$1725,A666)</x:f>
        <x:v>1</x:v>
      </x:c>
      <x:c r="E666" s="31" t="str">
        <x:v>Deutsche</x:v>
      </x:c>
      <x:c r="F666" s="31" t="str">
        <x:v>IBD / GCM</x:v>
      </x:c>
      <x:c r="G666" s="31" t="str">
        <x:v>Return offer? Why?</x:v>
      </x:c>
    </x:row>
    <x:row r="667" ht="34" customHeight="1">
      <x:c r="A667" s="30" t="str">
        <x:v>CL0663</x:v>
      </x:c>
      <x:c r="B667" s="31" t="str">
        <x:v>Revenue forecast of the company</x:v>
      </x:c>
      <x:c r="C667" s="31" t="str">
        <x:v>Company, Industry &amp; Deals</x:v>
      </x:c>
      <x:c r="D667" s="69" t="n">
        <x:f>COUNTIF('All Questions'!$G$5:$G$1725,A667)</x:f>
        <x:v>1</x:v>
      </x:c>
      <x:c r="E667" s="31" t="str">
        <x:v>Fountainvest</x:v>
      </x:c>
      <x:c r="F667" s="31" t="str">
        <x:v>PE / VC / Other</x:v>
      </x:c>
      <x:c r="G667" s="31" t="str">
        <x:v>Revenue forecast of the company?</x:v>
      </x:c>
    </x:row>
    <x:row r="668" ht="34" customHeight="1">
      <x:c r="A668" s="30" t="str">
        <x:v>CL0664</x:v>
      </x:c>
      <x:c r="B668" s="31" t="str">
        <x:v>Revenue to EBIT? WACC</x:v>
      </x:c>
      <x:c r="C668" s="31" t="str">
        <x:v>Valuation</x:v>
      </x:c>
      <x:c r="D668" s="69" t="n">
        <x:f>COUNTIF('All Questions'!$G$5:$G$1725,A668)</x:f>
        <x:v>1</x:v>
      </x:c>
      <x:c r="E668" s="31" t="str">
        <x:v>Lazard</x:v>
      </x:c>
      <x:c r="F668" s="31" t="str">
        <x:v>IBD / GCM</x:v>
      </x:c>
      <x:c r="G668" s="31" t="str">
        <x:v>Revenue to EBIT? WACC?</x:v>
      </x:c>
    </x:row>
    <x:row r="669" ht="34" customHeight="1">
      <x:c r="A669" s="30" t="str">
        <x:v>CL0665</x:v>
      </x:c>
      <x:c r="B669" s="31" t="str">
        <x:v>Rf for Chinese firm</x:v>
      </x:c>
      <x:c r="C669" s="31" t="str">
        <x:v>Other Question</x:v>
      </x:c>
      <x:c r="D669" s="69" t="n">
        <x:f>COUNTIF('All Questions'!$G$5:$G$1725,A669)</x:f>
        <x:v>1</x:v>
      </x:c>
      <x:c r="E669" s="31" t="str">
        <x:v>Nomura</x:v>
      </x:c>
      <x:c r="F669" s="31" t="str">
        <x:v>IBD / GCM</x:v>
      </x:c>
      <x:c r="G669" s="31" t="str">
        <x:v>Rf for Chinese firm?</x:v>
      </x:c>
    </x:row>
    <x:row r="670" ht="52" customHeight="1">
      <x:c r="A670" s="30" t="str">
        <x:v>CL0666</x:v>
      </x:c>
      <x:c r="B670" s="31" t="str">
        <x:v>Same revenue to profit for a coffee shop question again (coz they all just flip through the same question bank lol) except this time the coffee shop is in MS</x:v>
      </x:c>
      <x:c r="C670" s="31" t="str">
        <x:v>Fit &amp; Motivation</x:v>
      </x:c>
      <x:c r="D670" s="69" t="n">
        <x:f>COUNTIF('All Questions'!$G$5:$G$1725,A670)</x:f>
        <x:v>1</x:v>
      </x:c>
      <x:c r="E670" s="31" t="str">
        <x:v>MS IBD</x:v>
      </x:c>
      <x:c r="F670" s="31" t="str">
        <x:v>IBD / GCM</x:v>
      </x:c>
      <x:c r="G670" s="31" t="str">
        <x:v>Same revenue to profit for a coffee shop question again (coz they all just flip through the same question bank lol) except this time the coffee shop is in MS</x:v>
      </x:c>
    </x:row>
    <x:row r="671" ht="52" customHeight="1">
      <x:c r="A671" s="30" t="str">
        <x:v>CL0667</x:v>
      </x:c>
      <x:c r="B671" s="31" t="str">
        <x:v>Same situation, and company has 100 dollars profit, how is it reflected on company A 3 statement? (damn so the 30 NI is profit after tax no need tax damn)</x:v>
      </x:c>
      <x:c r="C671" s="31" t="str">
        <x:v>Fit &amp; Motivation</x:v>
      </x:c>
      <x:c r="D671" s="69" t="n">
        <x:f>COUNTIF('All Questions'!$G$5:$G$1725,A671)</x:f>
        <x:v>1</x:v>
      </x:c>
      <x:c r="E671" s="31" t="str">
        <x:v>Bofa IBD</x:v>
      </x:c>
      <x:c r="F671" s="31" t="str">
        <x:v>IBD / GCM</x:v>
      </x:c>
      <x:c r="G671" s="31" t="str">
        <x:v>Same situation, and company has 100 dollars profit, how is it reflected on company A 3 statement? (damn so the 30 NI is profit after tax no need tax damn)</x:v>
      </x:c>
    </x:row>
    <x:row r="672" ht="34" customHeight="1">
      <x:c r="A672" s="30" t="str">
        <x:v>CL0668</x:v>
      </x:c>
      <x:c r="B672" s="31" t="str">
        <x:v>Scenarios with higher ev/ebitda, e.g. 900x</x:v>
      </x:c>
      <x:c r="C672" s="31" t="str">
        <x:v>Other Question</x:v>
      </x:c>
      <x:c r="D672" s="69" t="n">
        <x:f>COUNTIF('All Questions'!$G$5:$G$1725,A672)</x:f>
        <x:v>1</x:v>
      </x:c>
      <x:c r="E672" s="31" t="str">
        <x:v>Grant Samuel</x:v>
      </x:c>
      <x:c r="F672" s="31" t="str">
        <x:v>IBD / GCM</x:v>
      </x:c>
      <x:c r="G672" s="31" t="str">
        <x:v>Scenarios with higher ev/ebitda, e.g. 900x?</x:v>
      </x:c>
    </x:row>
    <x:row r="673" ht="52" customHeight="1">
      <x:c r="A673" s="30" t="str">
        <x:v>CL0669</x:v>
      </x:c>
      <x:c r="B673" s="31" t="str">
        <x:v>Screensharing Excel, a few questions on FCF, NPV, multiples, and follow-up, Year 1: 50, Year 4: 175, Find the CAGR</x:v>
      </x:c>
      <x:c r="C673" s="31" t="str">
        <x:v>Valuation</x:v>
      </x:c>
      <x:c r="D673" s="69" t="n">
        <x:f>COUNTIF('All Questions'!$G$5:$G$1725,A673)</x:f>
        <x:v>1</x:v>
      </x:c>
      <x:c r="E673" s="31" t="str">
        <x:v>Moelis</x:v>
      </x:c>
      <x:c r="F673" s="31" t="str">
        <x:v>IBD / GCM</x:v>
      </x:c>
      <x:c r="G673" s="31" t="str">
        <x:v>Screensharing Excel, a few questions on FCF, NPV, multiples, and follow-up, Year 1: 50, Year 4: 175, Find the CAGR</x:v>
      </x:c>
    </x:row>
    <x:row r="674" ht="34" customHeight="1">
      <x:c r="A674" s="30" t="str">
        <x:v>CL0670</x:v>
      </x:c>
      <x:c r="B674" s="31" t="str">
        <x:v>SEA logistic company, how did you do the dcf? How do you get the assumption of growth rate</x:v>
      </x:c>
      <x:c r="C674" s="31" t="str">
        <x:v>Valuation</x:v>
      </x:c>
      <x:c r="D674" s="69" t="n">
        <x:f>COUNTIF('All Questions'!$G$5:$G$1725,A674)</x:f>
        <x:v>1</x:v>
      </x:c>
      <x:c r="E674" s="31" t="str">
        <x:v>Deutsche</x:v>
      </x:c>
      <x:c r="F674" s="31" t="str">
        <x:v>IBD / GCM</x:v>
      </x:c>
      <x:c r="G674" s="31" t="str">
        <x:v>SEA logistic company, how did you do the dcf? How do you get the assumption of growth rate?</x:v>
      </x:c>
    </x:row>
    <x:row r="675" ht="34" customHeight="1">
      <x:c r="A675" s="30" t="str">
        <x:v>CL0671</x:v>
      </x:c>
      <x:c r="B675" s="31" t="str">
        <x:v>Seems like you are more keen on the sales side. Why</x:v>
      </x:c>
      <x:c r="C675" s="31" t="str">
        <x:v>Other Question</x:v>
      </x:c>
      <x:c r="D675" s="69" t="n">
        <x:f>COUNTIF('All Questions'!$G$5:$G$1725,A675)</x:f>
        <x:v>1</x:v>
      </x:c>
      <x:c r="E675" s="31" t="str">
        <x:v>BofA (GM)</x:v>
      </x:c>
      <x:c r="F675" s="31" t="str">
        <x:v>Sales &amp; Trading</x:v>
      </x:c>
      <x:c r="G675" s="31" t="str">
        <x:v>Seems like you are more keen on the sales side. Why?</x:v>
      </x:c>
    </x:row>
    <x:row r="676" ht="52" customHeight="1">
      <x:c r="A676" s="30" t="str">
        <x:v>CL0672</x:v>
      </x:c>
      <x:c r="B676" s="31" t="str">
        <x:v>Senario assumptions: do the right thing (stick to your self) or so things rightly (follow what your supervisor asked to do)</x:v>
      </x:c>
      <x:c r="C676" s="31" t="str">
        <x:v>Other Question</x:v>
      </x:c>
      <x:c r="D676" s="69" t="n">
        <x:f>COUNTIF('All Questions'!$G$5:$G$1725,A676)</x:f>
        <x:v>1</x:v>
      </x:c>
      <x:c r="E676" s="31" t="str">
        <x:v>JPM PB</x:v>
      </x:c>
      <x:c r="F676" s="31" t="str">
        <x:v>PWM / AM</x:v>
      </x:c>
      <x:c r="G676" s="31" t="str">
        <x:v>Senario assumptions: do the right thing (stick to your self) or so things rightly (follow what your supervisor asked to do)?</x:v>
      </x:c>
    </x:row>
    <x:row r="677" ht="34" customHeight="1">
      <x:c r="A677" s="30" t="str">
        <x:v>CL0673</x:v>
      </x:c>
      <x:c r="B677" s="31" t="str">
        <x:v>Share a little bit more about the JPM AWMC you've done. How did you become the captain</x:v>
      </x:c>
      <x:c r="C677" s="31" t="str">
        <x:v>Other Question</x:v>
      </x:c>
      <x:c r="D677" s="69" t="n">
        <x:f>COUNTIF('All Questions'!$G$5:$G$1725,A677)</x:f>
        <x:v>1</x:v>
      </x:c>
      <x:c r="E677" s="31" t="str">
        <x:v>JPM AM</x:v>
      </x:c>
      <x:c r="F677" s="31" t="str">
        <x:v>PWM / AM</x:v>
      </x:c>
      <x:c r="G677" s="31" t="str">
        <x:v>Share a little bit more about the JPM AWMC you've done. How did you become the captain?</x:v>
      </x:c>
    </x:row>
    <x:row r="678" ht="34" customHeight="1">
      <x:c r="A678" s="30" t="str">
        <x:v>CL0674</x:v>
      </x:c>
      <x:c r="B678" s="31" t="str">
        <x:v>Share a piece of feedback that you've received before</x:v>
      </x:c>
      <x:c r="C678" s="31" t="str">
        <x:v>Behavioral &amp; Situational</x:v>
      </x:c>
      <x:c r="D678" s="69" t="n">
        <x:f>COUNTIF('All Questions'!$G$5:$G$1725,A678)</x:f>
        <x:v>1</x:v>
      </x:c>
      <x:c r="E678" s="31" t="str">
        <x:v>JPM AM</x:v>
      </x:c>
      <x:c r="F678" s="31" t="str">
        <x:v>PWM / AM</x:v>
      </x:c>
      <x:c r="G678" s="31" t="str">
        <x:v>Share a piece of feedback that you've received before.</x:v>
      </x:c>
    </x:row>
    <x:row r="679" ht="34" customHeight="1">
      <x:c r="A679" s="30" t="str">
        <x:v>CL0675</x:v>
      </x:c>
      <x:c r="B679" s="31" t="str">
        <x:v>She asked which segment I would spin off and why. Why not just do shares buy back</x:v>
      </x:c>
      <x:c r="C679" s="31" t="str">
        <x:v>Fit &amp; Motivation</x:v>
      </x:c>
      <x:c r="D679" s="69" t="n">
        <x:f>COUNTIF('All Questions'!$G$5:$G$1725,A679)</x:f>
        <x:v>1</x:v>
      </x:c>
      <x:c r="E679" s="31" t="str">
        <x:v>UBS IBD</x:v>
      </x:c>
      <x:c r="F679" s="31" t="str">
        <x:v>IBD / GCM</x:v>
      </x:c>
      <x:c r="G679" s="31" t="str">
        <x:v>She asked which segment I would spin off and why. Why not just do shares buy back?</x:v>
      </x:c>
    </x:row>
    <x:row r="680" ht="52" customHeight="1">
      <x:c r="A680" s="30" t="str">
        <x:v>CL0676</x:v>
      </x:c>
      <x:c r="B680" s="31" t="str">
        <x:v>She suddenly asked some behavioural questions like if you experience too much workload from seniors how do you manage</x:v>
      </x:c>
      <x:c r="C680" s="31" t="str">
        <x:v>Resume &amp; Experience</x:v>
      </x:c>
      <x:c r="D680" s="69" t="n">
        <x:f>COUNTIF('All Questions'!$G$5:$G$1725,A680)</x:f>
        <x:v>1</x:v>
      </x:c>
      <x:c r="E680" s="31" t="str">
        <x:v>UBS IBD</x:v>
      </x:c>
      <x:c r="F680" s="31" t="str">
        <x:v>IBD / GCM</x:v>
      </x:c>
      <x:c r="G680" s="31" t="str">
        <x:v>She suddenly asked some behavioural questions like if you experience too much workload from seniors how do you manage</x:v>
      </x:c>
    </x:row>
    <x:row r="681" ht="34" customHeight="1">
      <x:c r="A681" s="30" t="str">
        <x:v>CL0677</x:v>
      </x:c>
      <x:c r="B681" s="31" t="str">
        <x:v>Shouldn't you use interest expense / debt</x:v>
      </x:c>
      <x:c r="C681" s="31" t="str">
        <x:v>Other Question</x:v>
      </x:c>
      <x:c r="D681" s="69" t="n">
        <x:f>COUNTIF('All Questions'!$G$5:$G$1725,A681)</x:f>
        <x:v>1</x:v>
      </x:c>
      <x:c r="E681" s="31" t="str">
        <x:v>UBS IBD</x:v>
      </x:c>
      <x:c r="F681" s="31" t="str">
        <x:v>IBD / GCM</x:v>
      </x:c>
      <x:c r="G681" s="31" t="str">
        <x:v>Shouldn't you use interest expense / debt?</x:v>
      </x:c>
    </x:row>
    <x:row r="682" ht="52" customHeight="1">
      <x:c r="A682" s="30" t="str">
        <x:v>CL0678</x:v>
      </x:c>
      <x:c r="B682" s="31" t="str">
        <x:v>Since BofA is really a global bank with businesses across the world, what do you see in your future careers? Focus in HK or probably move to US/EU</x:v>
      </x:c>
      <x:c r="C682" s="31" t="str">
        <x:v>Accounting &amp; Financial Statements</x:v>
      </x:c>
      <x:c r="D682" s="69" t="n">
        <x:f>COUNTIF('All Questions'!$G$5:$G$1725,A682)</x:f>
        <x:v>1</x:v>
      </x:c>
      <x:c r="E682" s="31" t="str">
        <x:v>BofA (GM)</x:v>
      </x:c>
      <x:c r="F682" s="31" t="str">
        <x:v>Sales &amp; Trading</x:v>
      </x:c>
      <x:c r="G682" s="31" t="str">
        <x:v>Since BofA is really a global bank with businesses across the world, what do you see in your future careers? Focus in HK or probably move to US/EU?</x:v>
      </x:c>
    </x:row>
    <x:row r="683" ht="34" customHeight="1">
      <x:c r="A683" s="30" t="str">
        <x:v>CL0679</x:v>
      </x:c>
      <x:c r="B683" s="31" t="str">
        <x:v>Since it is in a developing country, do you think WACC 11% is too low? Why</x:v>
      </x:c>
      <x:c r="C683" s="31" t="str">
        <x:v>Accounting &amp; Financial Statements</x:v>
      </x:c>
      <x:c r="D683" s="69" t="n">
        <x:f>COUNTIF('All Questions'!$G$5:$G$1725,A683)</x:f>
        <x:v>1</x:v>
      </x:c>
      <x:c r="E683" s="31" t="str">
        <x:v>Bofa IBD</x:v>
      </x:c>
      <x:c r="F683" s="31" t="str">
        <x:v>IBD / GCM</x:v>
      </x:c>
      <x:c r="G683" s="31" t="str">
        <x:v>Since it is in a developing country, do you think WACC 11% is too low? Why?</x:v>
      </x:c>
    </x:row>
    <x:row r="684" ht="76" customHeight="1">
      <x:c r="A684" s="30" t="str">
        <x:v>CL0680</x:v>
      </x:c>
      <x:c r="B684" s="31" t="str">
        <x:v>Since you mentioned about getting some public info about the deal through reading news, suppose in the news they said the company acquired 70% stake, how would you find the enterprise value</x:v>
      </x:c>
      <x:c r="C684" s="31" t="str">
        <x:v>Valuation</x:v>
      </x:c>
      <x:c r="D684" s="69" t="n">
        <x:f>COUNTIF('All Questions'!$G$5:$G$1725,A684)</x:f>
        <x:v>1</x:v>
      </x:c>
      <x:c r="E684" s="31" t="str">
        <x:v>BNP Paribas</x:v>
      </x:c>
      <x:c r="F684" s="31" t="str">
        <x:v>IBD / GCM</x:v>
      </x:c>
      <x:c r="G684" s="31" t="str">
        <x:v>since you mentioned about getting some public info about the deal through reading news, suppose in the news they said the company acquired 70% stake, how would you find the enterprise value</x:v>
      </x:c>
    </x:row>
    <x:row r="685" ht="34" customHeight="1">
      <x:c r="A685" s="30" t="str">
        <x:v>CL0681</x:v>
      </x:c>
      <x:c r="B685" s="31" t="str">
        <x:v>Situational Q: asked about financing solution for a company that I followed during my ER intern</x:v>
      </x:c>
      <x:c r="C685" s="31" t="str">
        <x:v>Capital Markets &amp; Financing</x:v>
      </x:c>
      <x:c r="D685" s="69" t="n">
        <x:f>COUNTIF('All Questions'!$G$5:$G$1725,A685)</x:f>
        <x:v>1</x:v>
      </x:c>
      <x:c r="E685" s="31" t="str">
        <x:v>MS GCM</x:v>
      </x:c>
      <x:c r="F685" s="31" t="str">
        <x:v>IBD / GCM</x:v>
      </x:c>
      <x:c r="G685" s="31" t="str">
        <x:v>Situational Q: asked about financing solution for a company that I followed during my ER intern</x:v>
      </x:c>
    </x:row>
    <x:row r="686" ht="76" customHeight="1">
      <x:c r="A686" s="30" t="str">
        <x:v>CL0682</x:v>
      </x:c>
      <x:c r="B686" s="31" t="str">
        <x:v>Situational Q: if you expect a 20% in gold price rally in the future, what investment target will you choose: Gold; gold-mining companies - leading and big market player or small and just break-even one</x:v>
      </x:c>
      <x:c r="C686" s="31" t="str">
        <x:v>Markets &amp; Macro</x:v>
      </x:c>
      <x:c r="D686" s="69" t="n">
        <x:f>COUNTIF('All Questions'!$G$5:$G$1725,A686)</x:f>
        <x:v>1</x:v>
      </x:c>
      <x:c r="E686" s="31" t="str">
        <x:v>BofA (GM)</x:v>
      </x:c>
      <x:c r="F686" s="31" t="str">
        <x:v>Sales &amp; Trading</x:v>
      </x:c>
      <x:c r="G686" s="31" t="str">
        <x:v>Situational Q: if you expect a 20% in gold price rally in the future, what investment target will you choose: Gold; gold-mining companies - leading and big market player or small and just break-even one.</x:v>
      </x:c>
    </x:row>
    <x:row r="687" ht="34" customHeight="1">
      <x:c r="A687" s="30" t="str">
        <x:v>CL0683</x:v>
      </x:c>
      <x:c r="B687" s="31" t="str">
        <x:v>Slghtly asked on my M&amp;A Case com experience -am i still following SenseTime (said no)</x:v>
      </x:c>
      <x:c r="C687" s="31" t="str">
        <x:v>Resume &amp; Experience</x:v>
      </x:c>
      <x:c r="D687" s="69" t="n">
        <x:f>COUNTIF('All Questions'!$G$5:$G$1725,A687)</x:f>
        <x:v>1</x:v>
      </x:c>
      <x:c r="E687" s="31" t="str">
        <x:v>Deutsche</x:v>
      </x:c>
      <x:c r="F687" s="31" t="str">
        <x:v>IBD / GCM</x:v>
      </x:c>
      <x:c r="G687" s="31" t="str">
        <x:v>Slghtly asked on my M&amp;A Case com experience -am i still following SenseTime (said no)</x:v>
      </x:c>
    </x:row>
    <x:row r="688" ht="34" customHeight="1">
      <x:c r="A688" s="30" t="str">
        <x:v>CL0684</x:v>
      </x:c>
      <x:c r="B688" s="31" t="str">
        <x:v>So based on the criteria you just mentioned, which one is the most important</x:v>
      </x:c>
      <x:c r="C688" s="31" t="str">
        <x:v>Accounting &amp; Financial Statements</x:v>
      </x:c>
      <x:c r="D688" s="69" t="n">
        <x:f>COUNTIF('All Questions'!$G$5:$G$1725,A688)</x:f>
        <x:v>1</x:v>
      </x:c>
      <x:c r="E688" s="31" t="str">
        <x:v>Deutsche</x:v>
      </x:c>
      <x:c r="F688" s="31" t="str">
        <x:v>IBD / GCM</x:v>
      </x:c>
      <x:c r="G688" s="31" t="str">
        <x:v>So based on the criteria you just mentioned, which one is the most important?</x:v>
      </x:c>
    </x:row>
    <x:row r="689" ht="76" customHeight="1">
      <x:c r="A689" s="30" t="str">
        <x:v>CL0685</x:v>
      </x:c>
      <x:c r="B689" s="31" t="str">
        <x:v>So please take the time to recall the numerical details of the valuation model, as well as the detailed data of the company's business. For example, how many monkeys does a CRO company reproduce in a year, and what is the price of a monkey</x:v>
      </x:c>
      <x:c r="C689" s="31" t="str">
        <x:v>Accounting &amp; Financial Statements</x:v>
      </x:c>
      <x:c r="D689" s="69" t="n">
        <x:f>COUNTIF('All Questions'!$G$5:$G$1725,A689)</x:f>
        <x:v>1</x:v>
      </x:c>
      <x:c r="E689" s="31" t="str">
        <x:v>BNP Paribas</x:v>
      </x:c>
      <x:c r="F689" s="31" t="str">
        <x:v>IBD / GCM</x:v>
      </x:c>
      <x:c r="G689" s="31" t="str">
        <x:v>So please take the time to recall the numerical details of the valuation model, as well as the detailed data of the company's business. For example, how many monkeys does a CRO company reproduce in a year, and what is the price of a monkey?</x:v>
      </x:c>
    </x:row>
    <x:row r="690" ht="34" customHeight="1">
      <x:c r="A690" s="30" t="str">
        <x:v>CL0686</x:v>
      </x:c>
      <x:c r="B690" s="31" t="str">
        <x:v>⁠⁠so whats the US treasury yield now</x:v>
      </x:c>
      <x:c r="C690" s="31" t="str">
        <x:v>Capital Markets &amp; Financing</x:v>
      </x:c>
      <x:c r="D690" s="69" t="n">
        <x:f>COUNTIF('All Questions'!$G$5:$G$1725,A690)</x:f>
        <x:v>1</x:v>
      </x:c>
      <x:c r="E690" s="31" t="str">
        <x:v>MS IBD</x:v>
      </x:c>
      <x:c r="F690" s="31" t="str">
        <x:v>IBD / GCM</x:v>
      </x:c>
      <x:c r="G690" s="31" t="str">
        <x:v>⁠⁠so whats the US treasury yield now?</x:v>
      </x:c>
    </x:row>
    <x:row r="691" ht="34" customHeight="1">
      <x:c r="A691" s="30" t="str">
        <x:v>CL0687</x:v>
      </x:c>
      <x:c r="B691" s="31" t="str">
        <x:v>Soft quality like team work is prefered, rather than some hard skills</x:v>
      </x:c>
      <x:c r="C691" s="31" t="str">
        <x:v>Fit &amp; Motivation</x:v>
      </x:c>
      <x:c r="D691" s="69" t="n">
        <x:f>COUNTIF('All Questions'!$G$5:$G$1725,A691)</x:f>
        <x:v>1</x:v>
      </x:c>
      <x:c r="E691" s="31" t="str">
        <x:v>HSBC CMB</x:v>
      </x:c>
      <x:c r="F691" s="31" t="str">
        <x:v>PE / VC / Other</x:v>
      </x:c>
      <x:c r="G691" s="31" t="str">
        <x:v>Soft quality like team work is prefered, rather than some hard skills</x:v>
      </x:c>
    </x:row>
    <x:row r="692" ht="34" customHeight="1">
      <x:c r="A692" s="30" t="str">
        <x:v>CL0688</x:v>
      </x:c>
      <x:c r="B692" s="31" t="str">
        <x:v>Some basic market sizing questions</x:v>
      </x:c>
      <x:c r="C692" s="31" t="str">
        <x:v>Consulting &amp; Case</x:v>
      </x:c>
      <x:c r="D692" s="69" t="n">
        <x:f>COUNTIF('All Questions'!$G$5:$G$1725,A692)</x:f>
        <x:v>1</x:v>
      </x:c>
      <x:c r="E692" s="31" t="str">
        <x:v>Mindworks Capital</x:v>
      </x:c>
      <x:c r="F692" s="31" t="str">
        <x:v>PE / VC / Other</x:v>
      </x:c>
      <x:c r="G692" s="31" t="str">
        <x:v>some basic market sizing questions</x:v>
      </x:c>
    </x:row>
    <x:row r="693" ht="52" customHeight="1">
      <x:c r="A693" s="30" t="str">
        <x:v>CL0689</x:v>
      </x:c>
      <x:c r="B693" s="31" t="str">
        <x:v>Sometimes PB interviews seem simple, but you need to incorporate client-facing experience into your answers to make them more relevant</x:v>
      </x:c>
      <x:c r="C693" s="31" t="str">
        <x:v>Resume &amp; Experience</x:v>
      </x:c>
      <x:c r="D693" s="69" t="n">
        <x:f>COUNTIF('All Questions'!$G$5:$G$1725,A693)</x:f>
        <x:v>1</x:v>
      </x:c>
      <x:c r="E693" s="31" t="str">
        <x:v>HSBC PB</x:v>
      </x:c>
      <x:c r="F693" s="31" t="str">
        <x:v>PWM / AM</x:v>
      </x:c>
      <x:c r="G693" s="31" t="str">
        <x:v>Sometimes PB interviews seem simple, but you need to incorporate client-facing experience into your answers to make them more relevant.</x:v>
      </x:c>
    </x:row>
    <x:row r="694" ht="34" customHeight="1">
      <x:c r="A694" s="30" t="str">
        <x:v>CL0690</x:v>
      </x:c>
      <x:c r="B694" s="31" t="str">
        <x:v>Source and use table for LBO and M&amp;A</x:v>
      </x:c>
      <x:c r="C694" s="31" t="str">
        <x:v>Private Equity &amp; LBO</x:v>
      </x:c>
      <x:c r="D694" s="69" t="n">
        <x:f>COUNTIF('All Questions'!$G$5:$G$1725,A694)</x:f>
        <x:v>1</x:v>
      </x:c>
      <x:c r="E694" s="31" t="str">
        <x:v>IDG Capital</x:v>
      </x:c>
      <x:c r="F694" s="31" t="str">
        <x:v>PE / VC / Other</x:v>
      </x:c>
      <x:c r="G694" s="31" t="str">
        <x:v>Source and use table for LBO and M&amp;A</x:v>
      </x:c>
    </x:row>
    <x:row r="695" ht="34" customHeight="1">
      <x:c r="A695" s="30" t="str">
        <x:v>CL0691</x:v>
      </x:c>
      <x:c r="B695" s="31" t="str">
        <x:v>Stock your team covered with the highest market cap ( and i pitched a stock)</x:v>
      </x:c>
      <x:c r="C695" s="31" t="str">
        <x:v>Behavioral &amp; Situational</x:v>
      </x:c>
      <x:c r="D695" s="69" t="n">
        <x:f>COUNTIF('All Questions'!$G$5:$G$1725,A695)</x:f>
        <x:v>1</x:v>
      </x:c>
      <x:c r="E695" s="31" t="str">
        <x:v>MS GCM</x:v>
      </x:c>
      <x:c r="F695" s="31" t="str">
        <x:v>IBD / GCM</x:v>
      </x:c>
      <x:c r="G695" s="31" t="str">
        <x:v>stock your team covered with the highest market cap ( and i pitched a stock)</x:v>
      </x:c>
    </x:row>
    <x:row r="696" ht="34" customHeight="1">
      <x:c r="A696" s="30" t="str">
        <x:v>CL0692</x:v>
      </x:c>
      <x:c r="B696" s="31" t="str">
        <x:v>Subscription model for 1 year, $100m, 3 statement</x:v>
      </x:c>
      <x:c r="C696" s="31" t="str">
        <x:v>Accounting &amp; Financial Statements</x:v>
      </x:c>
      <x:c r="D696" s="69" t="n">
        <x:f>COUNTIF('All Questions'!$G$5:$G$1725,A696)</x:f>
        <x:v>1</x:v>
      </x:c>
      <x:c r="E696" s="31" t="str">
        <x:v>Bofa IBD</x:v>
      </x:c>
      <x:c r="F696" s="31" t="str">
        <x:v>IBD / GCM</x:v>
      </x:c>
      <x:c r="G696" s="31" t="str">
        <x:v>Subscription model for 1 year, $100m, 3 statement</x:v>
      </x:c>
    </x:row>
    <x:row r="697" ht="52" customHeight="1">
      <x:c r="A697" s="30" t="str">
        <x:v>CL0693</x:v>
      </x:c>
      <x:c r="B697" s="31" t="str">
        <x:v>Suppose the target company (that KKR wants to invest in) has 100 cashflow per year, how much can we lend to KKR for LBO</x:v>
      </x:c>
      <x:c r="C697" s="31" t="str">
        <x:v>Private Equity &amp; LBO</x:v>
      </x:c>
      <x:c r="D697" s="69" t="n">
        <x:f>COUNTIF('All Questions'!$G$5:$G$1725,A697)</x:f>
        <x:v>1</x:v>
      </x:c>
      <x:c r="E697" s="31" t="str">
        <x:v>BNP Paribas</x:v>
      </x:c>
      <x:c r="F697" s="31" t="str">
        <x:v>IBD / GCM</x:v>
      </x:c>
      <x:c r="G697" s="31" t="str">
        <x:v>Suppose the target company (that KKR wants to invest in) has 100 cashflow per year, how much can we lend to KKR for LBO</x:v>
      </x:c>
    </x:row>
    <x:row r="698" ht="76" customHeight="1">
      <x:c r="A698" s="30" t="str">
        <x:v>CL0694</x:v>
      </x:c>
      <x:c r="B698" s="31" t="str">
        <x:v>Suppose there's a client with his asset allcation 60% equities and 40% fixed income, now under the environment of bad economy and the trends of ai and stuff (dont remember lol), he lost a lot of money, what would you suggest him to do now</x:v>
      </x:c>
      <x:c r="C698" s="31" t="str">
        <x:v>Other Question</x:v>
      </x:c>
      <x:c r="D698" s="69" t="n">
        <x:f>COUNTIF('All Questions'!$G$5:$G$1725,A698)</x:f>
        <x:v>1</x:v>
      </x:c>
      <x:c r="E698" s="31" t="str">
        <x:v>BlackRock</x:v>
      </x:c>
      <x:c r="F698" s="31" t="str">
        <x:v>PWM / AM</x:v>
      </x:c>
      <x:c r="G698" s="31" t="str">
        <x:v>suppose there's a client with his asset allcation 60% equities and 40% fixed income, now under the environment of bad economy and the trends of ai and stuff (dont remember lol), he lost a lot of money, what would you suggest him to do now</x:v>
      </x:c>
    </x:row>
    <x:row r="699" ht="34" customHeight="1">
      <x:c r="A699" s="30" t="str">
        <x:v>CL0695</x:v>
      </x:c>
      <x:c r="B699" s="31" t="str">
        <x:v>Talk about a blackrock product</x:v>
      </x:c>
      <x:c r="C699" s="31" t="str">
        <x:v>Other Question</x:v>
      </x:c>
      <x:c r="D699" s="69" t="n">
        <x:f>COUNTIF('All Questions'!$G$5:$G$1725,A699)</x:f>
        <x:v>1</x:v>
      </x:c>
      <x:c r="E699" s="31" t="str">
        <x:v>BlackRock</x:v>
      </x:c>
      <x:c r="F699" s="31" t="str">
        <x:v>PWM / AM</x:v>
      </x:c>
      <x:c r="G699" s="31" t="str">
        <x:v>talk about a blackrock product</x:v>
      </x:c>
    </x:row>
    <x:row r="700" ht="34" customHeight="1">
      <x:c r="A700" s="30" t="str">
        <x:v>CL0696</x:v>
      </x:c>
      <x:c r="B700" s="31" t="str">
        <x:v>Talk about previous internships, what have you learnt</x:v>
      </x:c>
      <x:c r="C700" s="31" t="str">
        <x:v>Resume &amp; Experience</x:v>
      </x:c>
      <x:c r="D700" s="69" t="n">
        <x:f>COUNTIF('All Questions'!$G$5:$G$1725,A700)</x:f>
        <x:v>1</x:v>
      </x:c>
      <x:c r="E700" s="31" t="str">
        <x:v>BNP Paribas</x:v>
      </x:c>
      <x:c r="F700" s="31" t="str">
        <x:v>IBD / GCM</x:v>
      </x:c>
      <x:c r="G700" s="31" t="str">
        <x:v>Talk about previous internships, what have you learnt</x:v>
      </x:c>
    </x:row>
    <x:row r="701" ht="34" customHeight="1">
      <x:c r="A701" s="30" t="str">
        <x:v>CL0697</x:v>
      </x:c>
      <x:c r="B701" s="31" t="str">
        <x:v>Talk about the healthcare deal mentioned</x:v>
      </x:c>
      <x:c r="C701" s="31" t="str">
        <x:v>Company, Industry &amp; Deals</x:v>
      </x:c>
      <x:c r="D701" s="69" t="n">
        <x:f>COUNTIF('All Questions'!$G$5:$G$1725,A701)</x:f>
        <x:v>1</x:v>
      </x:c>
      <x:c r="E701" s="31" t="str">
        <x:v>BNP Paribas</x:v>
      </x:c>
      <x:c r="F701" s="31" t="str">
        <x:v>IBD / GCM</x:v>
      </x:c>
      <x:c r="G701" s="31" t="str">
        <x:v>Talk about the healthcare deal mentioned</x:v>
      </x:c>
    </x:row>
    <x:row r="702" ht="34" customHeight="1">
      <x:c r="A702" s="30" t="str">
        <x:v>CL0698</x:v>
      </x:c>
      <x:c r="B702" s="31" t="str">
        <x:v>Talk more about internships, projects you worked on in the last internship</x:v>
      </x:c>
      <x:c r="C702" s="31" t="str">
        <x:v>Resume &amp; Experience</x:v>
      </x:c>
      <x:c r="D702" s="69" t="n">
        <x:f>COUNTIF('All Questions'!$G$5:$G$1725,A702)</x:f>
        <x:v>1</x:v>
      </x:c>
      <x:c r="E702" s="31" t="str">
        <x:v>Nomura</x:v>
      </x:c>
      <x:c r="F702" s="31" t="str">
        <x:v>IBD / GCM</x:v>
      </x:c>
      <x:c r="G702" s="31" t="str">
        <x:v>Talk more about internships, projects you worked on in the last internship</x:v>
      </x:c>
    </x:row>
    <x:row r="703" ht="34" customHeight="1">
      <x:c r="A703" s="30" t="str">
        <x:v>CL0699</x:v>
      </x:c>
      <x:c r="B703" s="31" t="str">
        <x:v>Technical (bond coupon and interest rate related)</x:v>
      </x:c>
      <x:c r="C703" s="31" t="str">
        <x:v>Capital Markets &amp; Financing</x:v>
      </x:c>
      <x:c r="D703" s="69" t="n">
        <x:f>COUNTIF('All Questions'!$G$5:$G$1725,A703)</x:f>
        <x:v>1</x:v>
      </x:c>
      <x:c r="E703" s="31" t="str">
        <x:v>MS IED</x:v>
      </x:c>
      <x:c r="F703" s="31" t="str">
        <x:v>Sales &amp; Trading</x:v>
      </x:c>
      <x:c r="G703" s="31" t="str">
        <x:v>Technical (bond coupon and interest rate related)</x:v>
      </x:c>
    </x:row>
    <x:row r="704" ht="34" customHeight="1">
      <x:c r="A704" s="30" t="str">
        <x:v>CL0700</x:v>
      </x:c>
      <x:c r="B704" s="31" t="str">
        <x:v>Technical: Growth Perpetuity method, if 0 growth rate, 10% WACC, 100CF, what is terminal value</x:v>
      </x:c>
      <x:c r="C704" s="31" t="str">
        <x:v>Accounting &amp; Financial Statements</x:v>
      </x:c>
      <x:c r="D704" s="69" t="n">
        <x:f>COUNTIF('All Questions'!$G$5:$G$1725,A704)</x:f>
        <x:v>1</x:v>
      </x:c>
      <x:c r="E704" s="31" t="str">
        <x:v>Barclays</x:v>
      </x:c>
      <x:c r="F704" s="31" t="str">
        <x:v>IBD / GCM</x:v>
      </x:c>
      <x:c r="G704" s="31" t="str">
        <x:v>Technical: Growth Perpetuity method, if 0 growth rate, 10% WACC, 100CF, what is terminal value?</x:v>
      </x:c>
    </x:row>
    <x:row r="705" ht="34" customHeight="1">
      <x:c r="A705" s="30" t="str">
        <x:v>CL0701</x:v>
      </x:c>
      <x:c r="B705" s="31" t="str">
        <x:v>Technical: 什么样的产品是带有杠杆的</x:v>
      </x:c>
      <x:c r="C705" s="31" t="str">
        <x:v>Other Technical</x:v>
      </x:c>
      <x:c r="D705" s="69" t="n">
        <x:f>COUNTIF('All Questions'!$G$5:$G$1725,A705)</x:f>
        <x:v>1</x:v>
      </x:c>
      <x:c r="E705" s="31" t="str">
        <x:v>GS PWM</x:v>
      </x:c>
      <x:c r="F705" s="31" t="str">
        <x:v>PWM / AM</x:v>
      </x:c>
      <x:c r="G705" s="31" t="str">
        <x:v>Technical: 什么样的产品是带有杠杆的？</x:v>
      </x:c>
    </x:row>
    <x:row r="706" ht="34" customHeight="1">
      <x:c r="A706" s="30" t="str">
        <x:v>CL0702</x:v>
      </x:c>
      <x:c r="B706" s="31" t="str">
        <x:v>Tell me 2 macro news</x:v>
      </x:c>
      <x:c r="C706" s="31" t="str">
        <x:v>Markets &amp; Macro</x:v>
      </x:c>
      <x:c r="D706" s="69" t="n">
        <x:f>COUNTIF('All Questions'!$G$5:$G$1725,A706)</x:f>
        <x:v>1</x:v>
      </x:c>
      <x:c r="E706" s="31" t="str">
        <x:v>Bofa GCM</x:v>
      </x:c>
      <x:c r="F706" s="31" t="str">
        <x:v>IBD / GCM</x:v>
      </x:c>
      <x:c r="G706" s="31" t="str">
        <x:v>tell me 2 macro news</x:v>
      </x:c>
    </x:row>
    <x:row r="707" ht="34" customHeight="1">
      <x:c r="A707" s="30" t="str">
        <x:v>CL0703</x:v>
      </x:c>
      <x:c r="B707" s="31" t="str">
        <x:v>Tell me a company on your resume, and how do you evaluate the company</x:v>
      </x:c>
      <x:c r="C707" s="31" t="str">
        <x:v>Resume &amp; Experience</x:v>
      </x:c>
      <x:c r="D707" s="69" t="n">
        <x:f>COUNTIF('All Questions'!$G$5:$G$1725,A707)</x:f>
        <x:v>1</x:v>
      </x:c>
      <x:c r="E707" s="31" t="str">
        <x:v>Houlihan Lokey</x:v>
      </x:c>
      <x:c r="F707" s="31" t="str">
        <x:v>IBD / GCM</x:v>
      </x:c>
      <x:c r="G707" s="31" t="str">
        <x:v>Tell me a company on your resume, and how do you evaluate the company</x:v>
      </x:c>
    </x:row>
    <x:row r="708" ht="34" customHeight="1">
      <x:c r="A708" s="30" t="str">
        <x:v>CL0704</x:v>
      </x:c>
      <x:c r="B708" s="31" t="str">
        <x:v>Tell me a investment highlight in CIM</x:v>
      </x:c>
      <x:c r="C708" s="31" t="str">
        <x:v>Other Question</x:v>
      </x:c>
      <x:c r="D708" s="69" t="n">
        <x:f>COUNTIF('All Questions'!$G$5:$G$1725,A708)</x:f>
        <x:v>1</x:v>
      </x:c>
      <x:c r="E708" s="31" t="str">
        <x:v>Deutsche</x:v>
      </x:c>
      <x:c r="F708" s="31" t="str">
        <x:v>IBD / GCM</x:v>
      </x:c>
      <x:c r="G708" s="31" t="str">
        <x:v>Tell me a investment highlight in CIM</x:v>
      </x:c>
    </x:row>
    <x:row r="709" ht="34" customHeight="1">
      <x:c r="A709" s="30" t="str">
        <x:v>CL0705</x:v>
      </x:c>
      <x:c r="B709" s="31" t="str">
        <x:v>Tell me a piece of article you read about JPM</x:v>
      </x:c>
      <x:c r="C709" s="31" t="str">
        <x:v>Other Question</x:v>
      </x:c>
      <x:c r="D709" s="69" t="n">
        <x:f>COUNTIF('All Questions'!$G$5:$G$1725,A709)</x:f>
        <x:v>1</x:v>
      </x:c>
      <x:c r="E709" s="31" t="str">
        <x:v>JPM PB</x:v>
      </x:c>
      <x:c r="F709" s="31" t="str">
        <x:v>PWM / AM</x:v>
      </x:c>
      <x:c r="G709" s="31" t="str">
        <x:v>Tell me a piece of article you read about JPM?</x:v>
      </x:c>
    </x:row>
    <x:row r="710" ht="34" customHeight="1">
      <x:c r="A710" s="30" t="str">
        <x:v>CL0706</x:v>
      </x:c>
      <x:c r="B710" s="31" t="str">
        <x:v>Tell me a project thats more complicated, not just making slides (bruh......)</x:v>
      </x:c>
      <x:c r="C710" s="31" t="str">
        <x:v>Resume &amp; Experience</x:v>
      </x:c>
      <x:c r="D710" s="69" t="n">
        <x:f>COUNTIF('All Questions'!$G$5:$G$1725,A710)</x:f>
        <x:v>1</x:v>
      </x:c>
      <x:c r="E710" s="31" t="str">
        <x:v>Deutsche</x:v>
      </x:c>
      <x:c r="F710" s="31" t="str">
        <x:v>IBD / GCM</x:v>
      </x:c>
      <x:c r="G710" s="31" t="str">
        <x:v>Tell me a project thats more complicated, not just making slides (bruh......)</x:v>
      </x:c>
    </x:row>
    <x:row r="711" ht="34" customHeight="1">
      <x:c r="A711" s="30" t="str">
        <x:v>CL0707</x:v>
      </x:c>
      <x:c r="B711" s="31" t="str">
        <x:v>Tell me a story in your fencing experience</x:v>
      </x:c>
      <x:c r="C711" s="31" t="str">
        <x:v>Resume &amp; Experience</x:v>
      </x:c>
      <x:c r="D711" s="69" t="n">
        <x:f>COUNTIF('All Questions'!$G$5:$G$1725,A711)</x:f>
        <x:v>1</x:v>
      </x:c>
      <x:c r="E711" s="31" t="str">
        <x:v>MS GCM</x:v>
      </x:c>
      <x:c r="F711" s="31" t="str">
        <x:v>IBD / GCM</x:v>
      </x:c>
      <x:c r="G711" s="31" t="str">
        <x:v>Tell me a story in your fencing experience</x:v>
      </x:c>
    </x:row>
    <x:row r="712" ht="34" customHeight="1">
      <x:c r="A712" s="30" t="str">
        <x:v>CL0708</x:v>
      </x:c>
      <x:c r="B712" s="31" t="str">
        <x:v>Tell me a time about when u took a risk without knowing the outcome</x:v>
      </x:c>
      <x:c r="C712" s="31" t="str">
        <x:v>Other Question</x:v>
      </x:c>
      <x:c r="D712" s="69" t="n">
        <x:f>COUNTIF('All Questions'!$G$5:$G$1725,A712)</x:f>
        <x:v>1</x:v>
      </x:c>
      <x:c r="E712" s="31" t="str">
        <x:v>BlackRock</x:v>
      </x:c>
      <x:c r="F712" s="31" t="str">
        <x:v>PWM / AM</x:v>
      </x:c>
      <x:c r="G712" s="31" t="str">
        <x:v>tell me a time about when u took a risk without knowing the outcome</x:v>
      </x:c>
    </x:row>
    <x:row r="713" ht="34" customHeight="1">
      <x:c r="A713" s="30" t="str">
        <x:v>CL0709</x:v>
      </x:c>
      <x:c r="B713" s="31" t="str">
        <x:v>Tell me a time when you XXX</x:v>
      </x:c>
      <x:c r="C713" s="31" t="str">
        <x:v>Other Question</x:v>
      </x:c>
      <x:c r="D713" s="69" t="n">
        <x:f>COUNTIF('All Questions'!$G$5:$G$1725,A713)</x:f>
        <x:v>1</x:v>
      </x:c>
      <x:c r="E713" s="31" t="str">
        <x:v>HSBC</x:v>
      </x:c>
      <x:c r="F713" s="31" t="str">
        <x:v>IBD / GCM</x:v>
      </x:c>
      <x:c r="G713" s="31" t="str">
        <x:v>Tell me a time when you XXX</x:v>
      </x:c>
    </x:row>
    <x:row r="714" ht="34" customHeight="1">
      <x:c r="A714" s="30" t="str">
        <x:v>CL0710</x:v>
      </x:c>
      <x:c r="B714" s="31" t="str">
        <x:v>Tell me a time where you added added the most value/learnt the most? 2-3 takeaways/add value points</x:v>
      </x:c>
      <x:c r="C714" s="31" t="str">
        <x:v>Behavioral &amp; Situational</x:v>
      </x:c>
      <x:c r="D714" s="69" t="n">
        <x:f>COUNTIF('All Questions'!$G$5:$G$1725,A714)</x:f>
        <x:v>1</x:v>
      </x:c>
      <x:c r="E714" s="31" t="str">
        <x:v>BCG</x:v>
      </x:c>
      <x:c r="F714" s="31" t="str">
        <x:v>Consulting</x:v>
      </x:c>
      <x:c r="G714" s="31" t="str">
        <x:v>Tell me a time where you added added the most value/learnt the most? 2-3 takeaways/add value points</x:v>
      </x:c>
    </x:row>
    <x:row r="715" ht="34" customHeight="1">
      <x:c r="A715" s="30" t="str">
        <x:v>CL0711</x:v>
      </x:c>
      <x:c r="B715" s="31" t="str">
        <x:v>Tell me a time you created an innovative approach to solve a problem</x:v>
      </x:c>
      <x:c r="C715" s="31" t="str">
        <x:v>Behavioral &amp; Situational</x:v>
      </x:c>
      <x:c r="D715" s="69" t="n">
        <x:f>COUNTIF('All Questions'!$G$5:$G$1725,A715)</x:f>
        <x:v>1</x:v>
      </x:c>
      <x:c r="E715" s="31" t="str">
        <x:v>UBS IBD</x:v>
      </x:c>
      <x:c r="F715" s="31" t="str">
        <x:v>IBD / GCM</x:v>
      </x:c>
      <x:c r="G715" s="31" t="str">
        <x:v>Tell me a time you created an innovative approach to solve a problem</x:v>
      </x:c>
    </x:row>
    <x:row r="716" ht="34" customHeight="1">
      <x:c r="A716" s="30" t="str">
        <x:v>CL0712</x:v>
      </x:c>
      <x:c r="B716" s="31" t="str">
        <x:v>Tell me a time you faced an issue at work and how you solved it</x:v>
      </x:c>
      <x:c r="C716" s="31" t="str">
        <x:v>Other Question</x:v>
      </x:c>
      <x:c r="D716" s="69" t="n">
        <x:f>COUNTIF('All Questions'!$G$5:$G$1725,A716)</x:f>
        <x:v>1</x:v>
      </x:c>
      <x:c r="E716" s="31" t="str">
        <x:v>UBS AM</x:v>
      </x:c>
      <x:c r="F716" s="31" t="str">
        <x:v>PWM / AM</x:v>
      </x:c>
      <x:c r="G716" s="31" t="str">
        <x:v>Tell me a time you faced an issue at work and how you solved it?</x:v>
      </x:c>
    </x:row>
    <x:row r="717" ht="34" customHeight="1">
      <x:c r="A717" s="30" t="str">
        <x:v>CL0713</x:v>
      </x:c>
      <x:c r="B717" s="31" t="str">
        <x:v>Tell me a time you had to make a decision with risks</x:v>
      </x:c>
      <x:c r="C717" s="31" t="str">
        <x:v>Behavioral &amp; Situational</x:v>
      </x:c>
      <x:c r="D717" s="69" t="n">
        <x:f>COUNTIF('All Questions'!$G$5:$G$1725,A717)</x:f>
        <x:v>1</x:v>
      </x:c>
      <x:c r="E717" s="31" t="str">
        <x:v>UBS IBD</x:v>
      </x:c>
      <x:c r="F717" s="31" t="str">
        <x:v>IBD / GCM</x:v>
      </x:c>
      <x:c r="G717" s="31" t="str">
        <x:v>Tell me a time you had to make a decision with risks</x:v>
      </x:c>
    </x:row>
    <x:row r="718" ht="34" customHeight="1">
      <x:c r="A718" s="30" t="str">
        <x:v>CL0714</x:v>
      </x:c>
      <x:c r="B718" s="31" t="str">
        <x:v>Tell me a time you had to to face conflciting and high pressure deadline? How do you deal with it</x:v>
      </x:c>
      <x:c r="C718" s="31" t="str">
        <x:v>Company, Industry &amp; Deals</x:v>
      </x:c>
      <x:c r="D718" s="69" t="n">
        <x:f>COUNTIF('All Questions'!$G$5:$G$1725,A718)</x:f>
        <x:v>1</x:v>
      </x:c>
      <x:c r="E718" s="31" t="str">
        <x:v>UBS IBD</x:v>
      </x:c>
      <x:c r="F718" s="31" t="str">
        <x:v>IBD / GCM</x:v>
      </x:c>
      <x:c r="G718" s="31" t="str">
        <x:v>Tell me a time you had to to face conflciting and high pressure deadline? How do you deal with it?</x:v>
      </x:c>
    </x:row>
    <x:row r="719" ht="34" customHeight="1">
      <x:c r="A719" s="30" t="str">
        <x:v>CL0715</x:v>
      </x:c>
      <x:c r="B719" s="31" t="str">
        <x:v>Tell me a time you have worked with different teams</x:v>
      </x:c>
      <x:c r="C719" s="31" t="str">
        <x:v>Other Question</x:v>
      </x:c>
      <x:c r="D719" s="69" t="n">
        <x:f>COUNTIF('All Questions'!$G$5:$G$1725,A719)</x:f>
        <x:v>1</x:v>
      </x:c>
      <x:c r="E719" s="31" t="str">
        <x:v>UBS AM</x:v>
      </x:c>
      <x:c r="F719" s="31" t="str">
        <x:v>PWM / AM</x:v>
      </x:c>
      <x:c r="G719" s="31" t="str">
        <x:v>Tell me a time you have worked with different teams?</x:v>
      </x:c>
    </x:row>
    <x:row r="720" ht="34" customHeight="1">
      <x:c r="A720" s="30" t="str">
        <x:v>CL0716</x:v>
      </x:c>
      <x:c r="B720" s="31" t="str">
        <x:v>Tell me a time you have worked with difficult people</x:v>
      </x:c>
      <x:c r="C720" s="31" t="str">
        <x:v>Behavioral &amp; Situational</x:v>
      </x:c>
      <x:c r="D720" s="69" t="n">
        <x:f>COUNTIF('All Questions'!$G$5:$G$1725,A720)</x:f>
        <x:v>1</x:v>
      </x:c>
      <x:c r="E720" s="31" t="str">
        <x:v>UBS AM</x:v>
      </x:c>
      <x:c r="F720" s="31" t="str">
        <x:v>PWM / AM</x:v>
      </x:c>
      <x:c r="G720" s="31" t="str">
        <x:v>Tell me a time you have worked with difficult people?</x:v>
      </x:c>
    </x:row>
    <x:row r="721" ht="34" customHeight="1">
      <x:c r="A721" s="30" t="str">
        <x:v>CL0717</x:v>
      </x:c>
      <x:c r="B721" s="31" t="str">
        <x:v>Tell me a time you made a sustainable decision</x:v>
      </x:c>
      <x:c r="C721" s="31" t="str">
        <x:v>Other Question</x:v>
      </x:c>
      <x:c r="D721" s="69" t="n">
        <x:f>COUNTIF('All Questions'!$G$5:$G$1725,A721)</x:f>
        <x:v>1</x:v>
      </x:c>
      <x:c r="E721" s="31" t="str">
        <x:v>UBS IBD</x:v>
      </x:c>
      <x:c r="F721" s="31" t="str">
        <x:v>IBD / GCM</x:v>
      </x:c>
      <x:c r="G721" s="31" t="str">
        <x:v>Tell me a time you made a sustainable decision?</x:v>
      </x:c>
    </x:row>
    <x:row r="722" ht="34" customHeight="1">
      <x:c r="A722" s="30" t="str">
        <x:v>CL0718</x:v>
      </x:c>
      <x:c r="B722" s="31" t="str">
        <x:v>Tell me a time you noticed a mistake and what did you do</x:v>
      </x:c>
      <x:c r="C722" s="31" t="str">
        <x:v>Resume &amp; Experience</x:v>
      </x:c>
      <x:c r="D722" s="69" t="n">
        <x:f>COUNTIF('All Questions'!$G$5:$G$1725,A722)</x:f>
        <x:v>1</x:v>
      </x:c>
      <x:c r="E722" s="31" t="str">
        <x:v>Deutsche</x:v>
      </x:c>
      <x:c r="F722" s="31" t="str">
        <x:v>IBD / GCM</x:v>
      </x:c>
      <x:c r="G722" s="31" t="str">
        <x:v>Tell me a time you noticed a mistake and what did you do</x:v>
      </x:c>
    </x:row>
    <x:row r="723" ht="34" customHeight="1">
      <x:c r="A723" s="30" t="str">
        <x:v>CL0719</x:v>
      </x:c>
      <x:c r="B723" s="31" t="str">
        <x:v>Tell me a time you worked with a team</x:v>
      </x:c>
      <x:c r="C723" s="31" t="str">
        <x:v>Other Question</x:v>
      </x:c>
      <x:c r="D723" s="69" t="n">
        <x:f>COUNTIF('All Questions'!$G$5:$G$1725,A723)</x:f>
        <x:v>1</x:v>
      </x:c>
      <x:c r="E723" s="31" t="str">
        <x:v>UBS IBD</x:v>
      </x:c>
      <x:c r="F723" s="31" t="str">
        <x:v>IBD / GCM</x:v>
      </x:c>
      <x:c r="G723" s="31" t="str">
        <x:v>Tell me a time you worked with a team</x:v>
      </x:c>
    </x:row>
    <x:row r="724" ht="34" customHeight="1">
      <x:c r="A724" s="30" t="str">
        <x:v>CL0720</x:v>
      </x:c>
      <x:c r="B724" s="31" t="str">
        <x:v>Tell me a transaction that you were deeply involved</x:v>
      </x:c>
      <x:c r="C724" s="31" t="str">
        <x:v>Other Question</x:v>
      </x:c>
      <x:c r="D724" s="69" t="n">
        <x:f>COUNTIF('All Questions'!$G$5:$G$1725,A724)</x:f>
        <x:v>1</x:v>
      </x:c>
      <x:c r="E724" s="31" t="str">
        <x:v>Jefferies</x:v>
      </x:c>
      <x:c r="F724" s="31" t="str">
        <x:v>IBD / GCM</x:v>
      </x:c>
      <x:c r="G724" s="31" t="str">
        <x:v>Tell me a transaction that you were deeply involved</x:v>
      </x:c>
    </x:row>
    <x:row r="725" ht="34" customHeight="1">
      <x:c r="A725" s="30" t="str">
        <x:v>CL0721</x:v>
      </x:c>
      <x:c r="B725" s="31" t="str">
        <x:v>Tell me about a company you researched on for 3 mins</x:v>
      </x:c>
      <x:c r="C725" s="31" t="str">
        <x:v>Company, Industry &amp; Deals</x:v>
      </x:c>
      <x:c r="D725" s="69" t="n">
        <x:f>COUNTIF('All Questions'!$G$5:$G$1725,A725)</x:f>
        <x:v>1</x:v>
      </x:c>
      <x:c r="E725" s="31" t="str">
        <x:v>MS IBD</x:v>
      </x:c>
      <x:c r="F725" s="31" t="str">
        <x:v>IBD / GCM</x:v>
      </x:c>
      <x:c r="G725" s="31" t="str">
        <x:v>Tell me about a company you researched on for 3 mins</x:v>
      </x:c>
    </x:row>
    <x:row r="726" ht="34" customHeight="1">
      <x:c r="A726" s="30" t="str">
        <x:v>CL0722</x:v>
      </x:c>
      <x:c r="B726" s="31" t="str">
        <x:v>Tell me about a deal you've down at BlackRock</x:v>
      </x:c>
      <x:c r="C726" s="31" t="str">
        <x:v>Company, Industry &amp; Deals</x:v>
      </x:c>
      <x:c r="D726" s="69" t="n">
        <x:f>COUNTIF('All Questions'!$G$5:$G$1725,A726)</x:f>
        <x:v>1</x:v>
      </x:c>
      <x:c r="E726" s="31" t="str">
        <x:v>Bofa IBD</x:v>
      </x:c>
      <x:c r="F726" s="31" t="str">
        <x:v>IBD / GCM</x:v>
      </x:c>
      <x:c r="G726" s="31" t="str">
        <x:v>Tell me about a deal you've down at BlackRock</x:v>
      </x:c>
    </x:row>
    <x:row r="727" ht="34" customHeight="1">
      <x:c r="A727" s="30" t="str">
        <x:v>CL0723</x:v>
      </x:c>
      <x:c r="B727" s="31" t="str">
        <x:v>Tell me about a leadership experiences in your societies</x:v>
      </x:c>
      <x:c r="C727" s="31" t="str">
        <x:v>Resume &amp; Experience</x:v>
      </x:c>
      <x:c r="D727" s="69" t="n">
        <x:f>COUNTIF('All Questions'!$G$5:$G$1725,A727)</x:f>
        <x:v>1</x:v>
      </x:c>
      <x:c r="E727" s="31" t="str">
        <x:v>UBS IBD</x:v>
      </x:c>
      <x:c r="F727" s="31" t="str">
        <x:v>IBD / GCM</x:v>
      </x:c>
      <x:c r="G727" s="31" t="str">
        <x:v>Tell me about a leadership experiences in your societies</x:v>
      </x:c>
    </x:row>
    <x:row r="728" ht="34" customHeight="1">
      <x:c r="A728" s="30" t="str">
        <x:v>CL0724</x:v>
      </x:c>
      <x:c r="B728" s="31" t="str">
        <x:v>Tell me about a project which involves valuation</x:v>
      </x:c>
      <x:c r="C728" s="31" t="str">
        <x:v>Valuation</x:v>
      </x:c>
      <x:c r="D728" s="69" t="n">
        <x:f>COUNTIF('All Questions'!$G$5:$G$1725,A728)</x:f>
        <x:v>1</x:v>
      </x:c>
      <x:c r="E728" s="31" t="str">
        <x:v>MS IBD</x:v>
      </x:c>
      <x:c r="F728" s="31" t="str">
        <x:v>IBD / GCM</x:v>
      </x:c>
      <x:c r="G728" s="31" t="str">
        <x:v>Tell me about a project which involves valuation</x:v>
      </x:c>
    </x:row>
    <x:row r="729" ht="52" customHeight="1">
      <x:c r="A729" s="30" t="str">
        <x:v>CL0725</x:v>
      </x:c>
      <x:c r="B729" s="31" t="str">
        <x:v>Tell me about a recent investment you made that you think is very attractive? Tell me about the industry and highlights</x:v>
      </x:c>
      <x:c r="C729" s="31" t="str">
        <x:v>Accounting &amp; Financial Statements</x:v>
      </x:c>
      <x:c r="D729" s="69" t="n">
        <x:f>COUNTIF('All Questions'!$G$5:$G$1725,A729)</x:f>
        <x:v>1</x:v>
      </x:c>
      <x:c r="E729" s="31" t="str">
        <x:v>MSPEA</x:v>
      </x:c>
      <x:c r="F729" s="31" t="str">
        <x:v>PE / VC / Other</x:v>
      </x:c>
      <x:c r="G729" s="31" t="str">
        <x:v>Tell me about a recent investment you made that you think is very attractive? Tell me about the industry and highlights</x:v>
      </x:c>
    </x:row>
    <x:row r="730" ht="34" customHeight="1">
      <x:c r="A730" s="30" t="str">
        <x:v>CL0726</x:v>
      </x:c>
      <x:c r="B730" s="31" t="str">
        <x:v>Tell me about a recent news event and your understanding of its impact on HKEX</x:v>
      </x:c>
      <x:c r="C730" s="31" t="str">
        <x:v>Company, Industry &amp; Deals</x:v>
      </x:c>
      <x:c r="D730" s="69" t="n">
        <x:f>COUNTIF('All Questions'!$G$5:$G$1725,A730)</x:f>
        <x:v>1</x:v>
      </x:c>
      <x:c r="E730" s="31" t="str">
        <x:v>HKEX</x:v>
      </x:c>
      <x:c r="F730" s="31" t="str">
        <x:v>PE / VC / Other</x:v>
      </x:c>
      <x:c r="G730" s="31" t="str">
        <x:v>Tell me about a recent news event and your understanding of its impact on HKEX.</x:v>
      </x:c>
    </x:row>
    <x:row r="731" ht="34" customHeight="1">
      <x:c r="A731" s="30" t="str">
        <x:v>CL0727</x:v>
      </x:c>
      <x:c r="B731" s="31" t="str">
        <x:v>Tell me about a recent piece of news in Chinese</x:v>
      </x:c>
      <x:c r="C731" s="31" t="str">
        <x:v>Other Question</x:v>
      </x:c>
      <x:c r="D731" s="69" t="n">
        <x:f>COUNTIF('All Questions'!$G$5:$G$1725,A731)</x:f>
        <x:v>1</x:v>
      </x:c>
      <x:c r="E731" s="31" t="str">
        <x:v>UBS IBD</x:v>
      </x:c>
      <x:c r="F731" s="31" t="str">
        <x:v>IBD / GCM</x:v>
      </x:c>
      <x:c r="G731" s="31" t="str">
        <x:v>Tell me about a recent piece of news in Chinese</x:v>
      </x:c>
    </x:row>
    <x:row r="732" ht="34" customHeight="1">
      <x:c r="A732" s="30" t="str">
        <x:v>CL0728</x:v>
      </x:c>
      <x:c r="B732" s="31" t="str">
        <x:v>Tell me about a story when you OT, can you accept long hours</x:v>
      </x:c>
      <x:c r="C732" s="31" t="str">
        <x:v>Fit &amp; Motivation</x:v>
      </x:c>
      <x:c r="D732" s="69" t="n">
        <x:f>COUNTIF('All Questions'!$G$5:$G$1725,A732)</x:f>
        <x:v>1</x:v>
      </x:c>
      <x:c r="E732" s="31" t="str">
        <x:v>Citi</x:v>
      </x:c>
      <x:c r="F732" s="31" t="str">
        <x:v>IBD / GCM</x:v>
      </x:c>
      <x:c r="G732" s="31" t="str">
        <x:v>Tell me about a story when you OT, can you accept long hours</x:v>
      </x:c>
    </x:row>
    <x:row r="733" ht="52" customHeight="1">
      <x:c r="A733" s="30" t="str">
        <x:v>CL0729</x:v>
      </x:c>
      <x:c r="B733" s="31" t="str">
        <x:v>Tell me about a time of teamwork (I said JPM's AWM case and i said we used data to construct the entire portfolio)</x:v>
      </x:c>
      <x:c r="C733" s="31" t="str">
        <x:v>Behavioral &amp; Situational</x:v>
      </x:c>
      <x:c r="D733" s="69" t="n">
        <x:f>COUNTIF('All Questions'!$G$5:$G$1725,A733)</x:f>
        <x:v>1</x:v>
      </x:c>
      <x:c r="E733" s="31" t="str">
        <x:v>JPM PB</x:v>
      </x:c>
      <x:c r="F733" s="31" t="str">
        <x:v>PWM / AM</x:v>
      </x:c>
      <x:c r="G733" s="31" t="str">
        <x:v>Tell me about a time of teamwork (I said JPM's AWM case and i said we used data to construct the entire portfolio)</x:v>
      </x:c>
    </x:row>
    <x:row r="734" ht="34" customHeight="1">
      <x:c r="A734" s="30" t="str">
        <x:v>CL0730</x:v>
      </x:c>
      <x:c r="B734" s="31" t="str">
        <x:v>Tell me about a time u explain a complex stuff to others</x:v>
      </x:c>
      <x:c r="C734" s="31" t="str">
        <x:v>Other Question</x:v>
      </x:c>
      <x:c r="D734" s="69" t="n">
        <x:f>COUNTIF('All Questions'!$G$5:$G$1725,A734)</x:f>
        <x:v>1</x:v>
      </x:c>
      <x:c r="E734" s="31" t="str">
        <x:v>MS IBD</x:v>
      </x:c>
      <x:c r="F734" s="31" t="str">
        <x:v>IBD / GCM</x:v>
      </x:c>
      <x:c r="G734" s="31" t="str">
        <x:v>Tell me about a time u explain a complex stuff to others</x:v>
      </x:c>
    </x:row>
    <x:row r="735" ht="52" customHeight="1">
      <x:c r="A735" s="30" t="str">
        <x:v>CL0731</x:v>
      </x:c>
      <x:c r="B735" s="31" t="str">
        <x:v>Tell me about a time when your teammates did not contribute/cooperate a lot, how did you handle that</x:v>
      </x:c>
      <x:c r="C735" s="31" t="str">
        <x:v>Other Question</x:v>
      </x:c>
      <x:c r="D735" s="69" t="n">
        <x:f>COUNTIF('All Questions'!$G$5:$G$1725,A735)</x:f>
        <x:v>1</x:v>
      </x:c>
      <x:c r="E735" s="31" t="str">
        <x:v>JPM AM</x:v>
      </x:c>
      <x:c r="F735" s="31" t="str">
        <x:v>PWM / AM</x:v>
      </x:c>
      <x:c r="G735" s="31" t="str">
        <x:v>Tell me about a time when your teammates did not contribute/cooperate a lot, how did you handle that?</x:v>
      </x:c>
    </x:row>
    <x:row r="736" ht="34" customHeight="1">
      <x:c r="A736" s="30" t="str">
        <x:v>CL0732</x:v>
      </x:c>
      <x:c r="B736" s="31" t="str">
        <x:v>Tell me about a time where you are in a group setting, and acted as a significant role</x:v>
      </x:c>
      <x:c r="C736" s="31" t="str">
        <x:v>Other Question</x:v>
      </x:c>
      <x:c r="D736" s="69" t="n">
        <x:f>COUNTIF('All Questions'!$G$5:$G$1725,A736)</x:f>
        <x:v>1</x:v>
      </x:c>
      <x:c r="E736" s="31" t="str">
        <x:v>JPM</x:v>
      </x:c>
      <x:c r="F736" s="31" t="str">
        <x:v>IBD / GCM</x:v>
      </x:c>
      <x:c r="G736" s="31" t="str">
        <x:v>tell me about a time where you are in a group setting, and acted as a significant role</x:v>
      </x:c>
    </x:row>
    <x:row r="737" ht="34" customHeight="1">
      <x:c r="A737" s="30" t="str">
        <x:v>CL0733</x:v>
      </x:c>
      <x:c r="B737" s="31" t="str">
        <x:v>Tell me about a time you encounter difficulty</x:v>
      </x:c>
      <x:c r="C737" s="31" t="str">
        <x:v>Behavioral &amp; Situational</x:v>
      </x:c>
      <x:c r="D737" s="69" t="n">
        <x:f>COUNTIF('All Questions'!$G$5:$G$1725,A737)</x:f>
        <x:v>1</x:v>
      </x:c>
      <x:c r="E737" s="31" t="str">
        <x:v>Barclays</x:v>
      </x:c>
      <x:c r="F737" s="31" t="str">
        <x:v>IBD / GCM</x:v>
      </x:c>
      <x:c r="G737" s="31" t="str">
        <x:v>Tell me about a time you encounter difficulty?</x:v>
      </x:c>
    </x:row>
    <x:row r="738" ht="52" customHeight="1">
      <x:c r="A738" s="30" t="str">
        <x:v>CL0734</x:v>
      </x:c>
      <x:c r="B738" s="31" t="str">
        <x:v>Tell me about an industry that you would like to pitch to an investor to invest in? What are some risks also</x:v>
      </x:c>
      <x:c r="C738" s="31" t="str">
        <x:v>Company, Industry &amp; Deals</x:v>
      </x:c>
      <x:c r="D738" s="69" t="n">
        <x:f>COUNTIF('All Questions'!$G$5:$G$1725,A738)</x:f>
        <x:v>1</x:v>
      </x:c>
      <x:c r="E738" s="31" t="str">
        <x:v>Bofa IBD</x:v>
      </x:c>
      <x:c r="F738" s="31" t="str">
        <x:v>IBD / GCM</x:v>
      </x:c>
      <x:c r="G738" s="31" t="str">
        <x:v>Tell me about an industry that you would like to pitch to an investor to invest in? What are some risks also?</x:v>
      </x:c>
    </x:row>
    <x:row r="739" ht="34" customHeight="1">
      <x:c r="A739" s="30" t="str">
        <x:v>CL0735</x:v>
      </x:c>
      <x:c r="B739" s="31" t="str">
        <x:v>Tell me about an industry, industry trends, key deals in the industry and trends in dealmaking</x:v>
      </x:c>
      <x:c r="C739" s="31" t="str">
        <x:v>Company, Industry &amp; Deals</x:v>
      </x:c>
      <x:c r="D739" s="69" t="n">
        <x:f>COUNTIF('All Questions'!$G$5:$G$1725,A739)</x:f>
        <x:v>1</x:v>
      </x:c>
      <x:c r="E739" s="31" t="str">
        <x:v>Bofa IBD</x:v>
      </x:c>
      <x:c r="F739" s="31" t="str">
        <x:v>IBD / GCM</x:v>
      </x:c>
      <x:c r="G739" s="31" t="str">
        <x:v>Tell me about an industry, industry trends, key deals in the industry and trends in dealmaking</x:v>
      </x:c>
    </x:row>
    <x:row r="740" ht="34" customHeight="1">
      <x:c r="A740" s="30" t="str">
        <x:v>CL0736</x:v>
      </x:c>
      <x:c r="B740" s="31" t="str">
        <x:v>Tell me about how you value the company (DCF, PE)</x:v>
      </x:c>
      <x:c r="C740" s="31" t="str">
        <x:v>Valuation</x:v>
      </x:c>
      <x:c r="D740" s="69" t="n">
        <x:f>COUNTIF('All Questions'!$G$5:$G$1725,A740)</x:f>
        <x:v>1</x:v>
      </x:c>
      <x:c r="E740" s="31" t="str">
        <x:v>Others (eg. PE, CB...)</x:v>
      </x:c>
      <x:c r="F740" s="31" t="str">
        <x:v>PE / VC / Other</x:v>
      </x:c>
      <x:c r="G740" s="31" t="str">
        <x:v>Tell me about how you value the company (DCF, PE)</x:v>
      </x:c>
    </x:row>
    <x:row r="741" ht="34" customHeight="1">
      <x:c r="A741" s="30" t="str">
        <x:v>CL0737</x:v>
      </x:c>
      <x:c r="B741" s="31" t="str">
        <x:v>Tell me about one project you worked on in Nomura</x:v>
      </x:c>
      <x:c r="C741" s="31" t="str">
        <x:v>Resume &amp; Experience</x:v>
      </x:c>
      <x:c r="D741" s="69" t="n">
        <x:f>COUNTIF('All Questions'!$G$5:$G$1725,A741)</x:f>
        <x:v>1</x:v>
      </x:c>
      <x:c r="E741" s="31" t="str">
        <x:v>MS IBD</x:v>
      </x:c>
      <x:c r="F741" s="31" t="str">
        <x:v>IBD / GCM</x:v>
      </x:c>
      <x:c r="G741" s="31" t="str">
        <x:v>Tell me about one project you worked on in Nomura</x:v>
      </x:c>
    </x:row>
    <x:row r="742" ht="34" customHeight="1">
      <x:c r="A742" s="30" t="str">
        <x:v>CL0738</x:v>
      </x:c>
      <x:c r="B742" s="31" t="str">
        <x:v>Tell me about one project you worked on in UBS, your responsibilities and its valuation</x:v>
      </x:c>
      <x:c r="C742" s="31" t="str">
        <x:v>Resume &amp; Experience</x:v>
      </x:c>
      <x:c r="D742" s="69" t="n">
        <x:f>COUNTIF('All Questions'!$G$5:$G$1725,A742)</x:f>
        <x:v>1</x:v>
      </x:c>
      <x:c r="E742" s="31" t="str">
        <x:v>MS IBD</x:v>
      </x:c>
      <x:c r="F742" s="31" t="str">
        <x:v>IBD / GCM</x:v>
      </x:c>
      <x:c r="G742" s="31" t="str">
        <x:v>Tell me about one project you worked on in UBS, your responsibilities and its valuation</x:v>
      </x:c>
    </x:row>
    <x:row r="743" ht="34" customHeight="1">
      <x:c r="A743" s="30" t="str">
        <x:v>CL0739</x:v>
      </x:c>
      <x:c r="B743" s="31" t="str">
        <x:v>Tell me about the dcf you did for the esport company</x:v>
      </x:c>
      <x:c r="C743" s="31" t="str">
        <x:v>Valuation</x:v>
      </x:c>
      <x:c r="D743" s="69" t="n">
        <x:f>COUNTIF('All Questions'!$G$5:$G$1725,A743)</x:f>
        <x:v>1</x:v>
      </x:c>
      <x:c r="E743" s="31" t="str">
        <x:v>Barclays</x:v>
      </x:c>
      <x:c r="F743" s="31" t="str">
        <x:v>IBD / GCM</x:v>
      </x:c>
      <x:c r="G743" s="31" t="str">
        <x:v>tell me about the dcf you did for the esport company</x:v>
      </x:c>
    </x:row>
    <x:row r="744" ht="34" customHeight="1">
      <x:c r="A744" s="30" t="str">
        <x:v>CL0740</x:v>
      </x:c>
      <x:c r="B744" s="31" t="str">
        <x:v>Tell me about the different methods china companies can IPO in HK (H shares, Red chip, P share)</x:v>
      </x:c>
      <x:c r="C744" s="31" t="str">
        <x:v>Capital Markets &amp; Financing</x:v>
      </x:c>
      <x:c r="D744" s="69" t="n">
        <x:f>COUNTIF('All Questions'!$G$5:$G$1725,A744)</x:f>
        <x:v>1</x:v>
      </x:c>
      <x:c r="E744" s="31" t="str">
        <x:v>Bofa IBD</x:v>
      </x:c>
      <x:c r="F744" s="31" t="str">
        <x:v>IBD / GCM</x:v>
      </x:c>
      <x:c r="G744" s="31" t="str">
        <x:v>Tell me about the different methods china companies can IPO in HK (H shares, Red chip, P share)</x:v>
      </x:c>
    </x:row>
    <x:row r="745" ht="34" customHeight="1">
      <x:c r="A745" s="30" t="str">
        <x:v>CL0741</x:v>
      </x:c>
      <x:c r="B745" s="31" t="str">
        <x:v>Tell me about the energy storage company and industry dynamic</x:v>
      </x:c>
      <x:c r="C745" s="31" t="str">
        <x:v>Company, Industry &amp; Deals</x:v>
      </x:c>
      <x:c r="D745" s="69" t="n">
        <x:f>COUNTIF('All Questions'!$G$5:$G$1725,A745)</x:f>
        <x:v>1</x:v>
      </x:c>
      <x:c r="E745" s="31" t="str">
        <x:v>MSPEA</x:v>
      </x:c>
      <x:c r="F745" s="31" t="str">
        <x:v>PE / VC / Other</x:v>
      </x:c>
      <x:c r="G745" s="31" t="str">
        <x:v>Tell me about the energy storage company and industry dynamic.</x:v>
      </x:c>
    </x:row>
    <x:row r="746" ht="34" customHeight="1">
      <x:c r="A746" s="30" t="str">
        <x:v>CL0742</x:v>
      </x:c>
      <x:c r="B746" s="31" t="str">
        <x:v>Tell me about the industry</x:v>
      </x:c>
      <x:c r="C746" s="31" t="str">
        <x:v>Company, Industry &amp; Deals</x:v>
      </x:c>
      <x:c r="D746" s="69" t="n">
        <x:f>COUNTIF('All Questions'!$G$5:$G$1725,A746)</x:f>
        <x:v>1</x:v>
      </x:c>
      <x:c r="E746" s="31" t="str">
        <x:v>CDH</x:v>
      </x:c>
      <x:c r="F746" s="31" t="str">
        <x:v>PE / VC / Other</x:v>
      </x:c>
      <x:c r="G746" s="31" t="str">
        <x:v>Tell me about the industry</x:v>
      </x:c>
    </x:row>
    <x:row r="747" ht="34" customHeight="1">
      <x:c r="A747" s="30" t="str">
        <x:v>CL0743</x:v>
      </x:c>
      <x:c r="B747" s="31" t="str">
        <x:v>Tell me about the IT service company you did in BLK, what kind of IT service does it provide</x:v>
      </x:c>
      <x:c r="C747" s="31" t="str">
        <x:v>Company, Industry &amp; Deals</x:v>
      </x:c>
      <x:c r="D747" s="69" t="n">
        <x:f>COUNTIF('All Questions'!$G$5:$G$1725,A747)</x:f>
        <x:v>1</x:v>
      </x:c>
      <x:c r="E747" s="31" t="str">
        <x:v>Bofa IBD</x:v>
      </x:c>
      <x:c r="F747" s="31" t="str">
        <x:v>IBD / GCM</x:v>
      </x:c>
      <x:c r="G747" s="31" t="str">
        <x:v>Tell me about the IT service company you did in BLK, what kind of IT service does it provide?</x:v>
      </x:c>
    </x:row>
    <x:row r="748" ht="34" customHeight="1">
      <x:c r="A748" s="30" t="str">
        <x:v>CL0744</x:v>
      </x:c>
      <x:c r="B748" s="31" t="str">
        <x:v>Tell me about the product teams under GCM. Their functions</x:v>
      </x:c>
      <x:c r="C748" s="31" t="str">
        <x:v>Capital Markets &amp; Financing</x:v>
      </x:c>
      <x:c r="D748" s="69" t="n">
        <x:f>COUNTIF('All Questions'!$G$5:$G$1725,A748)</x:f>
        <x:v>1</x:v>
      </x:c>
      <x:c r="E748" s="31" t="str">
        <x:v>MS GCM</x:v>
      </x:c>
      <x:c r="F748" s="31" t="str">
        <x:v>IBD / GCM</x:v>
      </x:c>
      <x:c r="G748" s="31" t="str">
        <x:v>Tell me about the product teams under GCM. Their functions?</x:v>
      </x:c>
    </x:row>
    <x:row r="749" ht="34" customHeight="1">
      <x:c r="A749" s="30" t="str">
        <x:v>CL0745</x:v>
      </x:c>
      <x:c r="B749" s="31" t="str">
        <x:v>Tell me about the robotics team ( I kinda emphasize that when answering the first question...)</x:v>
      </x:c>
      <x:c r="C749" s="31" t="str">
        <x:v>Behavioral &amp; Situational</x:v>
      </x:c>
      <x:c r="D749" s="69" t="n">
        <x:f>COUNTIF('All Questions'!$G$5:$G$1725,A749)</x:f>
        <x:v>1</x:v>
      </x:c>
      <x:c r="E749" s="31" t="str">
        <x:v>Deutsche</x:v>
      </x:c>
      <x:c r="F749" s="31" t="str">
        <x:v>IBD / GCM</x:v>
      </x:c>
      <x:c r="G749" s="31" t="str">
        <x:v>Tell me about the robotics team ( I kinda emphasize that when answering the first question...)</x:v>
      </x:c>
    </x:row>
    <x:row r="750" ht="34" customHeight="1">
      <x:c r="A750" s="30" t="str">
        <x:v>CL0746</x:v>
      </x:c>
      <x:c r="B750" s="31" t="str">
        <x:v>Tell me about the SEA hospital platform, is it RSD</x:v>
      </x:c>
      <x:c r="C750" s="31" t="str">
        <x:v>Accounting &amp; Financial Statements</x:v>
      </x:c>
      <x:c r="D750" s="69" t="n">
        <x:f>COUNTIF('All Questions'!$G$5:$G$1725,A750)</x:f>
        <x:v>1</x:v>
      </x:c>
      <x:c r="E750" s="31" t="str">
        <x:v>Bofa IBD</x:v>
      </x:c>
      <x:c r="F750" s="31" t="str">
        <x:v>IBD / GCM</x:v>
      </x:c>
      <x:c r="G750" s="31" t="str">
        <x:v>Tell me about the SEA hospital platform, is it RSD?</x:v>
      </x:c>
    </x:row>
    <x:row r="751" ht="34" customHeight="1">
      <x:c r="A751" s="30" t="str">
        <x:v>CL0747</x:v>
      </x:c>
      <x:c r="B751" s="31" t="str">
        <x:v>Tell me about the tech startup you worked in</x:v>
      </x:c>
      <x:c r="C751" s="31" t="str">
        <x:v>Other Question</x:v>
      </x:c>
      <x:c r="D751" s="69" t="n">
        <x:f>COUNTIF('All Questions'!$G$5:$G$1725,A751)</x:f>
        <x:v>1</x:v>
      </x:c>
      <x:c r="E751" s="31" t="str">
        <x:v>JPM</x:v>
      </x:c>
      <x:c r="F751" s="31" t="str">
        <x:v>IBD / GCM</x:v>
      </x:c>
      <x:c r="G751" s="31" t="str">
        <x:v>tell me about the tech startup you worked in</x:v>
      </x:c>
    </x:row>
    <x:row r="752" ht="34" customHeight="1">
      <x:c r="A752" s="30" t="str">
        <x:v>CL0748</x:v>
      </x:c>
      <x:c r="B752" s="31" t="str">
        <x:v>Tell me about this deal</x:v>
      </x:c>
      <x:c r="C752" s="31" t="str">
        <x:v>Company, Industry &amp; Deals</x:v>
      </x:c>
      <x:c r="D752" s="69" t="n">
        <x:f>COUNTIF('All Questions'!$G$5:$G$1725,A752)</x:f>
        <x:v>1</x:v>
      </x:c>
      <x:c r="E752" s="31" t="str">
        <x:v>Deutsche</x:v>
      </x:c>
      <x:c r="F752" s="31" t="str">
        <x:v>IBD / GCM</x:v>
      </x:c>
      <x:c r="G752" s="31" t="str">
        <x:v>Tell me about this deal</x:v>
      </x:c>
    </x:row>
    <x:row r="753" ht="34" customHeight="1">
      <x:c r="A753" s="30" t="str">
        <x:v>CL0749</x:v>
      </x:c>
      <x:c r="B753" s="31" t="str">
        <x:v>Tell me about whats happening in the capital market this year</x:v>
      </x:c>
      <x:c r="C753" s="31" t="str">
        <x:v>Capital Markets &amp; Financing</x:v>
      </x:c>
      <x:c r="D753" s="69" t="n">
        <x:f>COUNTIF('All Questions'!$G$5:$G$1725,A753)</x:f>
        <x:v>1</x:v>
      </x:c>
      <x:c r="E753" s="31" t="str">
        <x:v>MS GCM</x:v>
      </x:c>
      <x:c r="F753" s="31" t="str">
        <x:v>IBD / GCM</x:v>
      </x:c>
      <x:c r="G753" s="31" t="str">
        <x:v>Tell me about whats happening in the capital market this year</x:v>
      </x:c>
    </x:row>
    <x:row r="754" ht="34" customHeight="1">
      <x:c r="A754" s="30" t="str">
        <x:v>CL0750</x:v>
      </x:c>
      <x:c r="B754" s="31" t="str">
        <x:v>Tell me about your aibc experience, is it an ongoing conference</x:v>
      </x:c>
      <x:c r="C754" s="31" t="str">
        <x:v>Resume &amp; Experience</x:v>
      </x:c>
      <x:c r="D754" s="69" t="n">
        <x:f>COUNTIF('All Questions'!$G$5:$G$1725,A754)</x:f>
        <x:v>1</x:v>
      </x:c>
      <x:c r="E754" s="31" t="str">
        <x:v>Nomura</x:v>
      </x:c>
      <x:c r="F754" s="31" t="str">
        <x:v>IBD / GCM</x:v>
      </x:c>
      <x:c r="G754" s="31" t="str">
        <x:v>tell me about your aibc experience, is it an ongoing conference</x:v>
      </x:c>
    </x:row>
    <x:row r="755" ht="34" customHeight="1">
      <x:c r="A755" s="30" t="str">
        <x:v>CL0751</x:v>
      </x:c>
      <x:c r="B755" s="31" t="str">
        <x:v>Tell me about your deal exp</x:v>
      </x:c>
      <x:c r="C755" s="31" t="str">
        <x:v>Company, Industry &amp; Deals</x:v>
      </x:c>
      <x:c r="D755" s="69" t="n">
        <x:f>COUNTIF('All Questions'!$G$5:$G$1725,A755)</x:f>
        <x:v>1</x:v>
      </x:c>
      <x:c r="E755" s="31" t="str">
        <x:v>Barclays</x:v>
      </x:c>
      <x:c r="F755" s="31" t="str">
        <x:v>IBD / GCM</x:v>
      </x:c>
      <x:c r="G755" s="31" t="str">
        <x:v>tell me about your deal exp</x:v>
      </x:c>
    </x:row>
    <x:row r="756" ht="34" customHeight="1">
      <x:c r="A756" s="30" t="str">
        <x:v>CL0752</x:v>
      </x:c>
      <x:c r="B756" s="31" t="str">
        <x:v>Tell me about your experience in the US</x:v>
      </x:c>
      <x:c r="C756" s="31" t="str">
        <x:v>Resume &amp; Experience</x:v>
      </x:c>
      <x:c r="D756" s="69" t="n">
        <x:f>COUNTIF('All Questions'!$G$5:$G$1725,A756)</x:f>
        <x:v>1</x:v>
      </x:c>
      <x:c r="E756" s="31" t="str">
        <x:v>Nomura</x:v>
      </x:c>
      <x:c r="F756" s="31" t="str">
        <x:v>IBD / GCM</x:v>
      </x:c>
      <x:c r="G756" s="31" t="str">
        <x:v>tell me about your experience in the US</x:v>
      </x:c>
    </x:row>
    <x:row r="757" ht="34" customHeight="1">
      <x:c r="A757" s="30" t="str">
        <x:v>CL0753</x:v>
      </x:c>
      <x:c r="B757" s="31" t="str">
        <x:v>Tell me about your first job - tech startup</x:v>
      </x:c>
      <x:c r="C757" s="31" t="str">
        <x:v>Other Question</x:v>
      </x:c>
      <x:c r="D757" s="69" t="n">
        <x:f>COUNTIF('All Questions'!$G$5:$G$1725,A757)</x:f>
        <x:v>1</x:v>
      </x:c>
      <x:c r="E757" s="31" t="str">
        <x:v>Nomura</x:v>
      </x:c>
      <x:c r="F757" s="31" t="str">
        <x:v>IBD / GCM</x:v>
      </x:c>
      <x:c r="G757" s="31" t="str">
        <x:v>tell me about your first job - tech startup</x:v>
      </x:c>
    </x:row>
    <x:row r="758" ht="34" customHeight="1">
      <x:c r="A758" s="30" t="str">
        <x:v>CL0754</x:v>
      </x:c>
      <x:c r="B758" s="31" t="str">
        <x:v>Tell me about your leadership or teamwork in a case competition experience</x:v>
      </x:c>
      <x:c r="C758" s="31" t="str">
        <x:v>Resume &amp; Experience</x:v>
      </x:c>
      <x:c r="D758" s="69" t="n">
        <x:f>COUNTIF('All Questions'!$G$5:$G$1725,A758)</x:f>
        <x:v>1</x:v>
      </x:c>
      <x:c r="E758" s="31" t="str">
        <x:v>Barclays</x:v>
      </x:c>
      <x:c r="F758" s="31" t="str">
        <x:v>IBD / GCM</x:v>
      </x:c>
      <x:c r="G758" s="31" t="str">
        <x:v>Tell me about your leadership or teamwork in a case competition experience</x:v>
      </x:c>
    </x:row>
    <x:row r="759" ht="34" customHeight="1">
      <x:c r="A759" s="30" t="str">
        <x:v>CL0755</x:v>
      </x:c>
      <x:c r="B759" s="31" t="str">
        <x:v>Tell me about your self</x:v>
      </x:c>
      <x:c r="C759" s="31" t="str">
        <x:v>Other Question</x:v>
      </x:c>
      <x:c r="D759" s="69" t="n">
        <x:f>COUNTIF('All Questions'!$G$5:$G$1725,A759)</x:f>
        <x:v>1</x:v>
      </x:c>
      <x:c r="E759" s="31" t="str">
        <x:v>Barclays</x:v>
      </x:c>
      <x:c r="F759" s="31" t="str">
        <x:v>IBD / GCM</x:v>
      </x:c>
      <x:c r="G759" s="31" t="str">
        <x:v>Tell me about your self</x:v>
      </x:c>
    </x:row>
    <x:row r="760" ht="34" customHeight="1">
      <x:c r="A760" s="30" t="str">
        <x:v>CL0756</x:v>
      </x:c>
      <x:c r="B760" s="31" t="str">
        <x:v>Tell me about your sports jouney/ or any difficulty you’ve encountered</x:v>
      </x:c>
      <x:c r="C760" s="31" t="str">
        <x:v>Behavioral &amp; Situational</x:v>
      </x:c>
      <x:c r="D760" s="69" t="n">
        <x:f>COUNTIF('All Questions'!$G$5:$G$1725,A760)</x:f>
        <x:v>1</x:v>
      </x:c>
      <x:c r="E760" s="31" t="str">
        <x:v>Barclays</x:v>
      </x:c>
      <x:c r="F760" s="31" t="str">
        <x:v>IBD / GCM</x:v>
      </x:c>
      <x:c r="G760" s="31" t="str">
        <x:v>tell me about your sports jouney/ or any difficulty you’ve encountered</x:v>
      </x:c>
    </x:row>
    <x:row r="761" ht="34" customHeight="1">
      <x:c r="A761" s="30" t="str">
        <x:v>CL0757</x:v>
      </x:c>
      <x:c r="B761" s="31" t="str">
        <x:v>Tell me about your weakness</x:v>
      </x:c>
      <x:c r="C761" s="31" t="str">
        <x:v>Behavioral &amp; Situational</x:v>
      </x:c>
      <x:c r="D761" s="69" t="n">
        <x:f>COUNTIF('All Questions'!$G$5:$G$1725,A761)</x:f>
        <x:v>1</x:v>
      </x:c>
      <x:c r="E761" s="31" t="str">
        <x:v>BlackRock</x:v>
      </x:c>
      <x:c r="F761" s="31" t="str">
        <x:v>PWM / AM</x:v>
      </x:c>
      <x:c r="G761" s="31" t="str">
        <x:v>tell me about your weakness</x:v>
      </x:c>
    </x:row>
    <x:row r="762" ht="34" customHeight="1">
      <x:c r="A762" s="30" t="str">
        <x:v>CL0758</x:v>
      </x:c>
      <x:c r="B762" s="31" t="str">
        <x:v>Tell me about your work in odysseus</x:v>
      </x:c>
      <x:c r="C762" s="31" t="str">
        <x:v>Other Question</x:v>
      </x:c>
      <x:c r="D762" s="69" t="n">
        <x:f>COUNTIF('All Questions'!$G$5:$G$1725,A762)</x:f>
        <x:v>1</x:v>
      </x:c>
      <x:c r="E762" s="31" t="str">
        <x:v>JPM</x:v>
      </x:c>
      <x:c r="F762" s="31" t="str">
        <x:v>IBD / GCM</x:v>
      </x:c>
      <x:c r="G762" s="31" t="str">
        <x:v>tell me about your work in odysseus</x:v>
      </x:c>
    </x:row>
    <x:row r="763" ht="34" customHeight="1">
      <x:c r="A763" s="30" t="str">
        <x:v>CL0759</x:v>
      </x:c>
      <x:c r="B763" s="31" t="str">
        <x:v>Tell me another industry that you worked on before that you find attractive</x:v>
      </x:c>
      <x:c r="C763" s="31" t="str">
        <x:v>Company, Industry &amp; Deals</x:v>
      </x:c>
      <x:c r="D763" s="69" t="n">
        <x:f>COUNTIF('All Questions'!$G$5:$G$1725,A763)</x:f>
        <x:v>1</x:v>
      </x:c>
      <x:c r="E763" s="31" t="str">
        <x:v>MSPEA</x:v>
      </x:c>
      <x:c r="F763" s="31" t="str">
        <x:v>PE / VC / Other</x:v>
      </x:c>
      <x:c r="G763" s="31" t="str">
        <x:v>Tell me another industry that you worked on before that you find attractive?</x:v>
      </x:c>
    </x:row>
    <x:row r="764" ht="34" customHeight="1">
      <x:c r="A764" s="30" t="str">
        <x:v>CL0760</x:v>
      </x:c>
      <x:c r="B764" s="31" t="str">
        <x:v>Tell me concisely what’s the transaction background and structure</x:v>
      </x:c>
      <x:c r="C764" s="31" t="str">
        <x:v>Resume &amp; Experience</x:v>
      </x:c>
      <x:c r="D764" s="69" t="n">
        <x:f>COUNTIF('All Questions'!$G$5:$G$1725,A764)</x:f>
        <x:v>1</x:v>
      </x:c>
      <x:c r="E764" s="31" t="str">
        <x:v>Deutsche</x:v>
      </x:c>
      <x:c r="F764" s="31" t="str">
        <x:v>IBD / GCM</x:v>
      </x:c>
      <x:c r="G764" s="31" t="str">
        <x:v>Tell me concisely what’s the transaction background and structure</x:v>
      </x:c>
    </x:row>
    <x:row r="765" ht="34" customHeight="1">
      <x:c r="A765" s="30" t="str">
        <x:v>CL0761</x:v>
      </x:c>
      <x:c r="B765" s="31" t="str">
        <x:v>Tell me ESG in the investing perspective</x:v>
      </x:c>
      <x:c r="C765" s="31" t="str">
        <x:v>Other Question</x:v>
      </x:c>
      <x:c r="D765" s="69" t="n">
        <x:f>COUNTIF('All Questions'!$G$5:$G$1725,A765)</x:f>
        <x:v>1</x:v>
      </x:c>
      <x:c r="E765" s="31" t="str">
        <x:v>Barclays</x:v>
      </x:c>
      <x:c r="F765" s="31" t="str">
        <x:v>IBD / GCM</x:v>
      </x:c>
      <x:c r="G765" s="31" t="str">
        <x:v>Tell me ESG in the investing perspective</x:v>
      </x:c>
    </x:row>
    <x:row r="766" ht="34" customHeight="1">
      <x:c r="A766" s="30" t="str">
        <x:v>CL0762</x:v>
      </x:c>
      <x:c r="B766" s="31" t="str">
        <x:v>Tell me how you do due dilligence in one of your deals</x:v>
      </x:c>
      <x:c r="C766" s="31" t="str">
        <x:v>Company, Industry &amp; Deals</x:v>
      </x:c>
      <x:c r="D766" s="69" t="n">
        <x:f>COUNTIF('All Questions'!$G$5:$G$1725,A766)</x:f>
        <x:v>1</x:v>
      </x:c>
      <x:c r="E766" s="31" t="str">
        <x:v>Houlihan Lokey</x:v>
      </x:c>
      <x:c r="F766" s="31" t="str">
        <x:v>IBD / GCM</x:v>
      </x:c>
      <x:c r="G766" s="31" t="str">
        <x:v>Tell me how you do due dilligence in one of your deals</x:v>
      </x:c>
    </x:row>
    <x:row r="767" ht="34" customHeight="1">
      <x:c r="A767" s="30" t="str">
        <x:v>CL0763</x:v>
      </x:c>
      <x:c r="B767" s="31" t="str">
        <x:v>Tell me more about china esport industry</x:v>
      </x:c>
      <x:c r="C767" s="31" t="str">
        <x:v>Company, Industry &amp; Deals</x:v>
      </x:c>
      <x:c r="D767" s="69" t="n">
        <x:f>COUNTIF('All Questions'!$G$5:$G$1725,A767)</x:f>
        <x:v>1</x:v>
      </x:c>
      <x:c r="E767" s="31" t="str">
        <x:v>Barclays</x:v>
      </x:c>
      <x:c r="F767" s="31" t="str">
        <x:v>IBD / GCM</x:v>
      </x:c>
      <x:c r="G767" s="31" t="str">
        <x:v>tell me more about china esport industry</x:v>
      </x:c>
    </x:row>
    <x:row r="768" ht="34" customHeight="1">
      <x:c r="A768" s="30" t="str">
        <x:v>CL0764</x:v>
      </x:c>
      <x:c r="B768" s="31" t="str">
        <x:v>Tell me more about ESG and what’s your view on it</x:v>
      </x:c>
      <x:c r="C768" s="31" t="str">
        <x:v>Other Question</x:v>
      </x:c>
      <x:c r="D768" s="69" t="n">
        <x:f>COUNTIF('All Questions'!$G$5:$G$1725,A768)</x:f>
        <x:v>1</x:v>
      </x:c>
      <x:c r="E768" s="31" t="str">
        <x:v>Barclays</x:v>
      </x:c>
      <x:c r="F768" s="31" t="str">
        <x:v>IBD / GCM</x:v>
      </x:c>
      <x:c r="G768" s="31" t="str">
        <x:v>Tell me more about ESG and what’s your view on it?</x:v>
      </x:c>
    </x:row>
    <x:row r="769" ht="34" customHeight="1">
      <x:c r="A769" s="30" t="str">
        <x:v>CL0765</x:v>
      </x:c>
      <x:c r="B769" s="31" t="str">
        <x:v>Tell me more about S and G since it is not really viewed upon a lot by others</x:v>
      </x:c>
      <x:c r="C769" s="31" t="str">
        <x:v>Accounting &amp; Financial Statements</x:v>
      </x:c>
      <x:c r="D769" s="69" t="n">
        <x:f>COUNTIF('All Questions'!$G$5:$G$1725,A769)</x:f>
        <x:v>1</x:v>
      </x:c>
      <x:c r="E769" s="31" t="str">
        <x:v>Barclays</x:v>
      </x:c>
      <x:c r="F769" s="31" t="str">
        <x:v>IBD / GCM</x:v>
      </x:c>
      <x:c r="G769" s="31" t="str">
        <x:v>Tell me more about S and G since it is not really viewed upon a lot by others</x:v>
      </x:c>
    </x:row>
    <x:row r="770" ht="34" customHeight="1">
      <x:c r="A770" s="30" t="str">
        <x:v>CL0766</x:v>
      </x:c>
      <x:c r="B770" s="31" t="str">
        <x:v>Tell me more about the healthcare industry</x:v>
      </x:c>
      <x:c r="C770" s="31" t="str">
        <x:v>Company, Industry &amp; Deals</x:v>
      </x:c>
      <x:c r="D770" s="69" t="n">
        <x:f>COUNTIF('All Questions'!$G$5:$G$1725,A770)</x:f>
        <x:v>1</x:v>
      </x:c>
      <x:c r="E770" s="31" t="str">
        <x:v>Barclays</x:v>
      </x:c>
      <x:c r="F770" s="31" t="str">
        <x:v>IBD / GCM</x:v>
      </x:c>
      <x:c r="G770" s="31" t="str">
        <x:v>Tell me more about the healthcare industry.</x:v>
      </x:c>
    </x:row>
    <x:row r="771" ht="34" customHeight="1">
      <x:c r="A771" s="30" t="str">
        <x:v>CL0767</x:v>
      </x:c>
      <x:c r="B771" s="31" t="str">
        <x:v>Tell me more about wacc, how did you calculate it in the project</x:v>
      </x:c>
      <x:c r="C771" s="31" t="str">
        <x:v>Valuation</x:v>
      </x:c>
      <x:c r="D771" s="69" t="n">
        <x:f>COUNTIF('All Questions'!$G$5:$G$1725,A771)</x:f>
        <x:v>1</x:v>
      </x:c>
      <x:c r="E771" s="31" t="str">
        <x:v>Barclays</x:v>
      </x:c>
      <x:c r="F771" s="31" t="str">
        <x:v>IBD / GCM</x:v>
      </x:c>
      <x:c r="G771" s="31" t="str">
        <x:v>Tell me more about wacc, how did you calculate it in the project?</x:v>
      </x:c>
    </x:row>
    <x:row r="772" ht="34" customHeight="1">
      <x:c r="A772" s="30" t="str">
        <x:v>CL0768</x:v>
      </x:c>
      <x:c r="B772" s="31" t="str">
        <x:v>Tell me more about you, why up to this role (5 min)</x:v>
      </x:c>
      <x:c r="C772" s="31" t="str">
        <x:v>Fit &amp; Motivation</x:v>
      </x:c>
      <x:c r="D772" s="69" t="n">
        <x:f>COUNTIF('All Questions'!$G$5:$G$1725,A772)</x:f>
        <x:v>1</x:v>
      </x:c>
      <x:c r="E772" s="31" t="str">
        <x:v>Nomura</x:v>
      </x:c>
      <x:c r="F772" s="31" t="str">
        <x:v>IBD / GCM</x:v>
      </x:c>
      <x:c r="G772" s="31" t="str">
        <x:v>Tell me more about you, why up to this role (5 min)</x:v>
      </x:c>
    </x:row>
    <x:row r="773" ht="52" customHeight="1">
      <x:c r="A773" s="30" t="str">
        <x:v>CL0769</x:v>
      </x:c>
      <x:c r="B773" s="31" t="str">
        <x:v>Tell me more about your case competition experience, what is your role in that case competition and in a team setting</x:v>
      </x:c>
      <x:c r="C773" s="31" t="str">
        <x:v>Resume &amp; Experience</x:v>
      </x:c>
      <x:c r="D773" s="69" t="n">
        <x:f>COUNTIF('All Questions'!$G$5:$G$1725,A773)</x:f>
        <x:v>1</x:v>
      </x:c>
      <x:c r="E773" s="31" t="str">
        <x:v>Barclays</x:v>
      </x:c>
      <x:c r="F773" s="31" t="str">
        <x:v>IBD / GCM</x:v>
      </x:c>
      <x:c r="G773" s="31" t="str">
        <x:v>Tell me more about your case competition experience, what is your role in that case competition and in a team setting?</x:v>
      </x:c>
    </x:row>
    <x:row r="774" ht="34" customHeight="1">
      <x:c r="A774" s="30" t="str">
        <x:v>CL0770</x:v>
      </x:c>
      <x:c r="B774" s="31" t="str">
        <x:v>Tell me more about your research task on the healthcare supplement industry</x:v>
      </x:c>
      <x:c r="C774" s="31" t="str">
        <x:v>Company, Industry &amp; Deals</x:v>
      </x:c>
      <x:c r="D774" s="69" t="n">
        <x:f>COUNTIF('All Questions'!$G$5:$G$1725,A774)</x:f>
        <x:v>1</x:v>
      </x:c>
      <x:c r="E774" s="31" t="str">
        <x:v>BNP Paribas</x:v>
      </x:c>
      <x:c r="F774" s="31" t="str">
        <x:v>IBD / GCM</x:v>
      </x:c>
      <x:c r="G774" s="31" t="str">
        <x:v>Tell me more about your research task on the healthcare supplement industry</x:v>
      </x:c>
    </x:row>
    <x:row r="775" ht="34" customHeight="1">
      <x:c r="A775" s="30" t="str">
        <x:v>CL0771</x:v>
      </x:c>
      <x:c r="B775" s="31" t="str">
        <x:v>Tell me move about the logistic market, did you identify any trends or market dynamics</x:v>
      </x:c>
      <x:c r="C775" s="31" t="str">
        <x:v>Other Question</x:v>
      </x:c>
      <x:c r="D775" s="69" t="n">
        <x:f>COUNTIF('All Questions'!$G$5:$G$1725,A775)</x:f>
        <x:v>1</x:v>
      </x:c>
      <x:c r="E775" s="31" t="str">
        <x:v>Deutsche</x:v>
      </x:c>
      <x:c r="F775" s="31" t="str">
        <x:v>IBD / GCM</x:v>
      </x:c>
      <x:c r="G775" s="31" t="str">
        <x:v>Tell me move about the logistic market, did you identify any trends or market dynamics?</x:v>
      </x:c>
    </x:row>
    <x:row r="776" ht="34" customHeight="1">
      <x:c r="A776" s="30" t="str">
        <x:v>CL0772</x:v>
      </x:c>
      <x:c r="B776" s="31" t="str">
        <x:v>Tell me one project you did at Nomura, your role and why you picked it</x:v>
      </x:c>
      <x:c r="C776" s="31" t="str">
        <x:v>Fit &amp; Motivation</x:v>
      </x:c>
      <x:c r="D776" s="69" t="n">
        <x:f>COUNTIF('All Questions'!$G$5:$G$1725,A776)</x:f>
        <x:v>1</x:v>
      </x:c>
      <x:c r="E776" s="31" t="str">
        <x:v>Deutsche</x:v>
      </x:c>
      <x:c r="F776" s="31" t="str">
        <x:v>IBD / GCM</x:v>
      </x:c>
      <x:c r="G776" s="31" t="str">
        <x:v>Tell me one project you did at Nomura, your role and why you picked it</x:v>
      </x:c>
    </x:row>
    <x:row r="777" ht="34" customHeight="1">
      <x:c r="A777" s="30" t="str">
        <x:v>CL0773</x:v>
      </x:c>
      <x:c r="B777" s="31" t="str">
        <x:v>Tell me something not on your cv</x:v>
      </x:c>
      <x:c r="C777" s="31" t="str">
        <x:v>Resume &amp; Experience</x:v>
      </x:c>
      <x:c r="D777" s="69" t="n">
        <x:f>COUNTIF('All Questions'!$G$5:$G$1725,A777)</x:f>
        <x:v>1</x:v>
      </x:c>
      <x:c r="E777" s="31" t="str">
        <x:v>Barclays</x:v>
      </x:c>
      <x:c r="F777" s="31" t="str">
        <x:v>IBD / GCM</x:v>
      </x:c>
      <x:c r="G777" s="31" t="str">
        <x:v>tell me something not on your cv</x:v>
      </x:c>
    </x:row>
    <x:row r="778" ht="34" customHeight="1">
      <x:c r="A778" s="30" t="str">
        <x:v>CL0774</x:v>
      </x:c>
      <x:c r="B778" s="31" t="str">
        <x:v>Tell me something not on your resume, what do you do in your free time</x:v>
      </x:c>
      <x:c r="C778" s="31" t="str">
        <x:v>Resume &amp; Experience</x:v>
      </x:c>
      <x:c r="D778" s="69" t="n">
        <x:f>COUNTIF('All Questions'!$G$5:$G$1725,A778)</x:f>
        <x:v>1</x:v>
      </x:c>
      <x:c r="E778" s="31" t="str">
        <x:v>Houlihan Lokey</x:v>
      </x:c>
      <x:c r="F778" s="31" t="str">
        <x:v>IBD / GCM</x:v>
      </x:c>
      <x:c r="G778" s="31" t="str">
        <x:v>Tell me something not on your resume, what do you do in your free time</x:v>
      </x:c>
    </x:row>
    <x:row r="779" ht="34" customHeight="1">
      <x:c r="A779" s="30" t="str">
        <x:v>CL0775</x:v>
      </x:c>
      <x:c r="B779" s="31" t="str">
        <x:v>Tell me the current state of the world</x:v>
      </x:c>
      <x:c r="C779" s="31" t="str">
        <x:v>Markets &amp; Macro</x:v>
      </x:c>
      <x:c r="D779" s="69" t="n">
        <x:f>COUNTIF('All Questions'!$G$5:$G$1725,A779)</x:f>
        <x:v>1</x:v>
      </x:c>
      <x:c r="E779" s="31" t="str">
        <x:v>UBS IBD</x:v>
      </x:c>
      <x:c r="F779" s="31" t="str">
        <x:v>IBD / GCM</x:v>
      </x:c>
      <x:c r="G779" s="31" t="str">
        <x:v>Tell me the current state of the world</x:v>
      </x:c>
    </x:row>
    <x:row r="780" ht="34" customHeight="1">
      <x:c r="A780" s="30" t="str">
        <x:v>CL0776</x:v>
      </x:c>
      <x:c r="B780" s="31" t="str">
        <x:v>Tell me what you know about the China policy pivot (detail such as size of the swap facility)</x:v>
      </x:c>
      <x:c r="C780" s="31" t="str">
        <x:v>Markets &amp; Macro</x:v>
      </x:c>
      <x:c r="D780" s="69" t="n">
        <x:f>COUNTIF('All Questions'!$G$5:$G$1725,A780)</x:f>
        <x:v>1</x:v>
      </x:c>
      <x:c r="E780" s="31" t="str">
        <x:v>MS IED</x:v>
      </x:c>
      <x:c r="F780" s="31" t="str">
        <x:v>Sales &amp; Trading</x:v>
      </x:c>
      <x:c r="G780" s="31" t="str">
        <x:v>tell me what you know about the China policy pivot (detail such as size of the swap facility)</x:v>
      </x:c>
    </x:row>
    <x:row r="781" ht="34" customHeight="1">
      <x:c r="A781" s="30" t="str">
        <x:v>CL0777</x:v>
      </x:c>
      <x:c r="B781" s="31" t="str">
        <x:v>Tell me your understanding of our department, what does group strategy do</x:v>
      </x:c>
      <x:c r="C781" s="31" t="str">
        <x:v>Other Question</x:v>
      </x:c>
      <x:c r="D781" s="69" t="n">
        <x:f>COUNTIF('All Questions'!$G$5:$G$1725,A781)</x:f>
        <x:v>1</x:v>
      </x:c>
      <x:c r="E781" s="31" t="str">
        <x:v>HKEX</x:v>
      </x:c>
      <x:c r="F781" s="31" t="str">
        <x:v>PE / VC / Other</x:v>
      </x:c>
      <x:c r="G781" s="31" t="str">
        <x:v>Tell me your understanding of our department, what does group strategy do?</x:v>
      </x:c>
    </x:row>
    <x:row r="782" ht="34" customHeight="1">
      <x:c r="A782" s="30" t="str">
        <x:v>CL0778</x:v>
      </x:c>
      <x:c r="B782" s="31" t="str">
        <x:v>Tell more about PCB industry outlook and observation</x:v>
      </x:c>
      <x:c r="C782" s="31" t="str">
        <x:v>Company, Industry &amp; Deals</x:v>
      </x:c>
      <x:c r="D782" s="69" t="n">
        <x:f>COUNTIF('All Questions'!$G$5:$G$1725,A782)</x:f>
        <x:v>1</x:v>
      </x:c>
      <x:c r="E782" s="31" t="str">
        <x:v>Barclays</x:v>
      </x:c>
      <x:c r="F782" s="31" t="str">
        <x:v>IBD / GCM</x:v>
      </x:c>
      <x:c r="G782" s="31" t="str">
        <x:v>Tell more about PCB industry outlook and observation</x:v>
      </x:c>
    </x:row>
    <x:row r="783" ht="52" customHeight="1">
      <x:c r="A783" s="30" t="str">
        <x:v>CL0779</x:v>
      </x:c>
      <x:c r="B783" s="31" t="str">
        <x:v>Terminal growth value use what number for a Chinese company? (I said GDP, he said it's too high), and asked what is terminal value and what's the purpose of it</x:v>
      </x:c>
      <x:c r="C783" s="31" t="str">
        <x:v>Accounting &amp; Financial Statements</x:v>
      </x:c>
      <x:c r="D783" s="69" t="n">
        <x:f>COUNTIF('All Questions'!$G$5:$G$1725,A783)</x:f>
        <x:v>1</x:v>
      </x:c>
      <x:c r="E783" s="31" t="str">
        <x:v>Bofa IBD</x:v>
      </x:c>
      <x:c r="F783" s="31" t="str">
        <x:v>IBD / GCM</x:v>
      </x:c>
      <x:c r="G783" s="31" t="str">
        <x:v>Terminal growth value use what number for a Chinese company? (I said GDP, he said it's too high), and asked what is terminal value and what's the purpose of it?</x:v>
      </x:c>
    </x:row>
    <x:row r="784" ht="34" customHeight="1">
      <x:c r="A784" s="30" t="str">
        <x:v>CL0780</x:v>
      </x:c>
      <x:c r="B784" s="31" t="str">
        <x:v>The conversion between EV, equity value, and company market capitalization</x:v>
      </x:c>
      <x:c r="C784" s="31" t="str">
        <x:v>Valuation</x:v>
      </x:c>
      <x:c r="D784" s="69" t="n">
        <x:f>COUNTIF('All Questions'!$G$5:$G$1725,A784)</x:f>
        <x:v>1</x:v>
      </x:c>
      <x:c r="E784" s="31" t="str">
        <x:v>BNP Paribas</x:v>
      </x:c>
      <x:c r="F784" s="31" t="str">
        <x:v>IBD / GCM</x:v>
      </x:c>
      <x:c r="G784" s="31" t="str">
        <x:v>The conversion between EV, equity value, and company market capitalization</x:v>
      </x:c>
    </x:row>
    <x:row r="785" ht="34" customHeight="1">
      <x:c r="A785" s="30" t="str">
        <x:v>CL0781</x:v>
      </x:c>
      <x:c r="B785" s="31" t="str">
        <x:v>The result of the dcf and comp</x:v>
      </x:c>
      <x:c r="C785" s="31" t="str">
        <x:v>Valuation</x:v>
      </x:c>
      <x:c r="D785" s="69" t="n">
        <x:f>COUNTIF('All Questions'!$G$5:$G$1725,A785)</x:f>
        <x:v>1</x:v>
      </x:c>
      <x:c r="E785" s="31" t="str">
        <x:v>Deutsche</x:v>
      </x:c>
      <x:c r="F785" s="31" t="str">
        <x:v>IBD / GCM</x:v>
      </x:c>
      <x:c r="G785" s="31" t="str">
        <x:v>The result of the dcf and comp?</x:v>
      </x:c>
    </x:row>
    <x:row r="786" ht="52" customHeight="1">
      <x:c r="A786" s="30" t="str">
        <x:v>CL0782</x:v>
      </x:c>
      <x:c r="B786" s="31" t="str">
        <x:v>The stock I pitched wants to do an IPO. However, investors are only willing to pay a price much lower than what the issuer expects. How would you convince the investors</x:v>
      </x:c>
      <x:c r="C786" s="31" t="str">
        <x:v>Capital Markets &amp; Financing</x:v>
      </x:c>
      <x:c r="D786" s="69" t="n">
        <x:f>COUNTIF('All Questions'!$G$5:$G$1725,A786)</x:f>
        <x:v>1</x:v>
      </x:c>
      <x:c r="E786" s="31" t="str">
        <x:v>MS GCM</x:v>
      </x:c>
      <x:c r="F786" s="31" t="str">
        <x:v>IBD / GCM</x:v>
      </x:c>
      <x:c r="G786" s="31" t="str">
        <x:v>The stock I pitched wants to do an IPO. However, investors are only willing to pay a price much lower than what the issuer expects. How would you convince the investors?</x:v>
      </x:c>
    </x:row>
    <x:row r="787" ht="34" customHeight="1">
      <x:c r="A787" s="30" t="str">
        <x:v>CL0783</x:v>
      </x:c>
      <x:c r="B787" s="31" t="str">
        <x:v>The stock you pitched just suffered a 5% price slump this morning. Any ideas on what's going on</x:v>
      </x:c>
      <x:c r="C787" s="31" t="str">
        <x:v>Investment Pitch</x:v>
      </x:c>
      <x:c r="D787" s="69" t="n">
        <x:f>COUNTIF('All Questions'!$G$5:$G$1725,A787)</x:f>
        <x:v>1</x:v>
      </x:c>
      <x:c r="E787" s="31" t="str">
        <x:v>MS IED</x:v>
      </x:c>
      <x:c r="F787" s="31" t="str">
        <x:v>Sales &amp; Trading</x:v>
      </x:c>
      <x:c r="G787" s="31" t="str">
        <x:v>The stock you pitched just suffered a 5% price slump this morning. Any ideas on what's going on?</x:v>
      </x:c>
    </x:row>
    <x:row r="788" ht="52" customHeight="1">
      <x:c r="A788" s="30" t="str">
        <x:v>CL0784</x:v>
      </x:c>
      <x:c r="B788" s="31" t="str">
        <x:v>The work in investment bank is very stressful and demanding, with concurrent demands from supervisors, how do you deal with that</x:v>
      </x:c>
      <x:c r="C788" s="31" t="str">
        <x:v>Behavioral &amp; Situational</x:v>
      </x:c>
      <x:c r="D788" s="69" t="n">
        <x:f>COUNTIF('All Questions'!$G$5:$G$1725,A788)</x:f>
        <x:v>1</x:v>
      </x:c>
      <x:c r="E788" s="31" t="str">
        <x:v>Citi</x:v>
      </x:c>
      <x:c r="F788" s="31" t="str">
        <x:v>IBD / GCM</x:v>
      </x:c>
      <x:c r="G788" s="31" t="str">
        <x:v>The work in investment bank is very stressful and demanding, with concurrent demands from supervisors, how do you deal with that?</x:v>
      </x:c>
    </x:row>
    <x:row r="789" ht="34" customHeight="1">
      <x:c r="A789" s="30" t="str">
        <x:v>CL0785</x:v>
      </x:c>
      <x:c r="B789" s="31" t="str">
        <x:v>The world is inflationary or deflationary right now</x:v>
      </x:c>
      <x:c r="C789" s="31" t="str">
        <x:v>Accounting &amp; Financial Statements</x:v>
      </x:c>
      <x:c r="D789" s="69" t="n">
        <x:f>COUNTIF('All Questions'!$G$5:$G$1725,A789)</x:f>
        <x:v>1</x:v>
      </x:c>
      <x:c r="E789" s="31" t="str">
        <x:v>MS GCM</x:v>
      </x:c>
      <x:c r="F789" s="31" t="str">
        <x:v>IBD / GCM</x:v>
      </x:c>
      <x:c r="G789" s="31" t="str">
        <x:v>the world is inflationary or deflationary right now?</x:v>
      </x:c>
    </x:row>
    <x:row r="790" ht="52" customHeight="1">
      <x:c r="A790" s="30" t="str">
        <x:v>CL0786</x:v>
      </x:c>
      <x:c r="B790" s="31" t="str">
        <x:v>Then if I let you choose the three rotational desk, what would you choose? Why? (I said mostly sales-related)</x:v>
      </x:c>
      <x:c r="C790" s="31" t="str">
        <x:v>Fit &amp; Motivation</x:v>
      </x:c>
      <x:c r="D790" s="69" t="n">
        <x:f>COUNTIF('All Questions'!$G$5:$G$1725,A790)</x:f>
        <x:v>1</x:v>
      </x:c>
      <x:c r="E790" s="31" t="str">
        <x:v>BofA (GM)</x:v>
      </x:c>
      <x:c r="F790" s="31" t="str">
        <x:v>Sales &amp; Trading</x:v>
      </x:c>
      <x:c r="G790" s="31" t="str">
        <x:v>Then if I let you choose the three rotational desk, what would you choose? Why? (I said mostly sales-related)</x:v>
      </x:c>
    </x:row>
    <x:row r="791" ht="52" customHeight="1">
      <x:c r="A791" s="30" t="str">
        <x:v>CL0787</x:v>
      </x:c>
      <x:c r="B791" s="31" t="str">
        <x:v>Then spent about half an hour asking questions about a project. It required going from the company's logic to how the specific valuation model's figures were derived</x:v>
      </x:c>
      <x:c r="C791" s="31" t="str">
        <x:v>Valuation</x:v>
      </x:c>
      <x:c r="D791" s="69" t="n">
        <x:f>COUNTIF('All Questions'!$G$5:$G$1725,A791)</x:f>
        <x:v>1</x:v>
      </x:c>
      <x:c r="E791" s="31" t="str">
        <x:v>BNP Paribas</x:v>
      </x:c>
      <x:c r="F791" s="31" t="str">
        <x:v>IBD / GCM</x:v>
      </x:c>
      <x:c r="G791" s="31" t="str">
        <x:v>Then spent about half an hour asking questions about a project. It required going from the company's logic to how the specific valuation model's figures were derived.</x:v>
      </x:c>
    </x:row>
    <x:row r="792" ht="34" customHeight="1">
      <x:c r="A792" s="30" t="str">
        <x:v>CL0788</x:v>
      </x:c>
      <x:c r="B792" s="31" t="str">
        <x:v>Then why do you believe you can become a successful sales in BofA</x:v>
      </x:c>
      <x:c r="C792" s="31" t="str">
        <x:v>Fit &amp; Motivation</x:v>
      </x:c>
      <x:c r="D792" s="69" t="n">
        <x:f>COUNTIF('All Questions'!$G$5:$G$1725,A792)</x:f>
        <x:v>1</x:v>
      </x:c>
      <x:c r="E792" s="31" t="str">
        <x:v>BofA (GM)</x:v>
      </x:c>
      <x:c r="F792" s="31" t="str">
        <x:v>Sales &amp; Trading</x:v>
      </x:c>
      <x:c r="G792" s="31" t="str">
        <x:v>Then why do you believe you can become a successful sales in BofA?</x:v>
      </x:c>
    </x:row>
    <x:row r="793" ht="52" customHeight="1">
      <x:c r="A793" s="30" t="str">
        <x:v>CL0789</x:v>
      </x:c>
      <x:c r="B793" s="31" t="str">
        <x:v>There's a steep learning curve in investment bank (need to learn about an industry really quickly and also company), what's your methodology in doing that</x:v>
      </x:c>
      <x:c r="C793" s="31" t="str">
        <x:v>Company, Industry &amp; Deals</x:v>
      </x:c>
      <x:c r="D793" s="69" t="n">
        <x:f>COUNTIF('All Questions'!$G$5:$G$1725,A793)</x:f>
        <x:v>1</x:v>
      </x:c>
      <x:c r="E793" s="31" t="str">
        <x:v>Citi</x:v>
      </x:c>
      <x:c r="F793" s="31" t="str">
        <x:v>IBD / GCM</x:v>
      </x:c>
      <x:c r="G793" s="31" t="str">
        <x:v>There's a steep learning curve in investment bank (need to learn about an industry really quickly and also company), what's your methodology in doing that?</x:v>
      </x:c>
    </x:row>
    <x:row r="794" ht="52" customHeight="1">
      <x:c r="A794" s="30" t="str">
        <x:v>CL0790</x:v>
      </x:c>
      <x:c r="B794" s="31" t="str">
        <x:v>They are interested in my experience in the pharmaceutical industry, curious about my methodologies, and importantly, the logic must be sound</x:v>
      </x:c>
      <x:c r="C794" s="31" t="str">
        <x:v>Resume &amp; Experience</x:v>
      </x:c>
      <x:c r="D794" s="69" t="n">
        <x:f>COUNTIF('All Questions'!$G$5:$G$1725,A794)</x:f>
        <x:v>1</x:v>
      </x:c>
      <x:c r="E794" s="31" t="str">
        <x:v>BNP Paribas</x:v>
      </x:c>
      <x:c r="F794" s="31" t="str">
        <x:v>IBD / GCM</x:v>
      </x:c>
      <x:c r="G794" s="31" t="str">
        <x:v>They are interested in my experience in the pharmaceutical industry, curious about my methodologies, and importantly, the logic must be sound.</x:v>
      </x:c>
    </x:row>
    <x:row r="795" ht="52" customHeight="1">
      <x:c r="A795" s="30" t="str">
        <x:v>CL0791</x:v>
      </x:c>
      <x:c r="B795" s="31" t="str">
        <x:v>They'll ask some questions about industries I've worked in before; mine was the stablecoin industry, but not in great depth</x:v>
      </x:c>
      <x:c r="C795" s="31" t="str">
        <x:v>Company, Industry &amp; Deals</x:v>
      </x:c>
      <x:c r="D795" s="69" t="n">
        <x:f>COUNTIF('All Questions'!$G$5:$G$1725,A795)</x:f>
        <x:v>1</x:v>
      </x:c>
      <x:c r="E795" s="31" t="str">
        <x:v>BNP Paribas</x:v>
      </x:c>
      <x:c r="F795" s="31" t="str">
        <x:v>IBD / GCM</x:v>
      </x:c>
      <x:c r="G795" s="31" t="str">
        <x:v>They'll ask some questions about industries I've worked in before; mine was the stablecoin industry, but not in great depth.</x:v>
      </x:c>
    </x:row>
    <x:row r="796" ht="34" customHeight="1">
      <x:c r="A796" s="30" t="str">
        <x:v>CL0792</x:v>
      </x:c>
      <x:c r="B796" s="31" t="str">
        <x:v>This “Photovatics” means solar right? (I use this word in my CV)</x:v>
      </x:c>
      <x:c r="C796" s="31" t="str">
        <x:v>Resume &amp; Experience</x:v>
      </x:c>
      <x:c r="D796" s="69" t="n">
        <x:f>COUNTIF('All Questions'!$G$5:$G$1725,A796)</x:f>
        <x:v>1</x:v>
      </x:c>
      <x:c r="E796" s="31" t="str">
        <x:v>Deutsche</x:v>
      </x:c>
      <x:c r="F796" s="31" t="str">
        <x:v>IBD / GCM</x:v>
      </x:c>
      <x:c r="G796" s="31" t="str">
        <x:v>This “Photovatics” means solar right? (I use this word in my CV)</x:v>
      </x:c>
    </x:row>
    <x:row r="797" ht="34" customHeight="1">
      <x:c r="A797" s="30" t="str">
        <x:v>CL0793</x:v>
      </x:c>
      <x:c r="B797" s="31" t="str">
        <x:v>This company is private, there's no EBITDA? where can you find this number</x:v>
      </x:c>
      <x:c r="C797" s="31" t="str">
        <x:v>Accounting &amp; Financial Statements</x:v>
      </x:c>
      <x:c r="D797" s="69" t="n">
        <x:f>COUNTIF('All Questions'!$G$5:$G$1725,A797)</x:f>
        <x:v>1</x:v>
      </x:c>
      <x:c r="E797" s="31" t="str">
        <x:v>Bofa IBD</x:v>
      </x:c>
      <x:c r="F797" s="31" t="str">
        <x:v>IBD / GCM</x:v>
      </x:c>
      <x:c r="G797" s="31" t="str">
        <x:v>This company is private, there's no EBITDA? where can you find this number?</x:v>
      </x:c>
    </x:row>
    <x:row r="798" ht="76" customHeight="1">
      <x:c r="A798" s="30" t="str">
        <x:v>CL0794</x:v>
      </x:c>
      <x:c r="B798" s="31" t="str">
        <x:v>This year we saw a substantial surge in USD/JPY, until an abrupt correction in July. What do you think is the cause and how do you see this impacting businesses in Japan and financial markets around the world</x:v>
      </x:c>
      <x:c r="C798" s="31" t="str">
        <x:v>Accounting &amp; Financial Statements</x:v>
      </x:c>
      <x:c r="D798" s="69" t="n">
        <x:f>COUNTIF('All Questions'!$G$5:$G$1725,A798)</x:f>
        <x:v>1</x:v>
      </x:c>
      <x:c r="E798" s="31" t="str">
        <x:v>UBS IBD</x:v>
      </x:c>
      <x:c r="F798" s="31" t="str">
        <x:v>IBD / GCM</x:v>
      </x:c>
      <x:c r="G798" s="31" t="str">
        <x:v>this year we saw a substantial surge in USD/JPY, until an abrupt correction in July. What do you think is the cause and how do you see this impacting businesses in Japan and financial markets around the world?</x:v>
      </x:c>
    </x:row>
    <x:row r="799" ht="34" customHeight="1">
      <x:c r="A799" s="30" t="str">
        <x:v>CL0795</x:v>
      </x:c>
      <x:c r="B799" s="31" t="str">
        <x:v>Timeline and planning</x:v>
      </x:c>
      <x:c r="C799" s="31" t="str">
        <x:v>Other Question</x:v>
      </x:c>
      <x:c r="D799" s="69" t="n">
        <x:f>COUNTIF('All Questions'!$G$5:$G$1725,A799)</x:f>
        <x:v>1</x:v>
      </x:c>
      <x:c r="E799" s="31" t="str">
        <x:v>CDH</x:v>
      </x:c>
      <x:c r="F799" s="31" t="str">
        <x:v>PE / VC / Other</x:v>
      </x:c>
      <x:c r="G799" s="31" t="str">
        <x:v>Timeline and planning?</x:v>
      </x:c>
    </x:row>
    <x:row r="800" ht="34" customHeight="1">
      <x:c r="A800" s="30" t="str">
        <x:v>CL0796</x:v>
      </x:c>
      <x:c r="B800" s="31" t="str">
        <x:v>Tony - MD from Investment Team; ? - Snr Mgmt Role; ? - Operation Role</x:v>
      </x:c>
      <x:c r="C800" s="31" t="str">
        <x:v>Behavioral &amp; Situational</x:v>
      </x:c>
      <x:c r="D800" s="69" t="n">
        <x:f>COUNTIF('All Questions'!$G$5:$G$1725,A800)</x:f>
        <x:v>1</x:v>
      </x:c>
      <x:c r="E800" s="31" t="str">
        <x:v>GS PWM</x:v>
      </x:c>
      <x:c r="F800" s="31" t="str">
        <x:v>PWM / AM</x:v>
      </x:c>
      <x:c r="G800" s="31" t="str">
        <x:v>Tony - MD from Investment Team; ? - Snr Mgmt Role; ? - Operation Role</x:v>
      </x:c>
    </x:row>
    <x:row r="801" ht="34" customHeight="1">
      <x:c r="A801" s="30" t="str">
        <x:v>CL0797</x:v>
      </x:c>
      <x:c r="B801" s="31" t="str">
        <x:v>Trading comps - 汽車零部件公司 怎麼做怎麼著peers 什麼multiples</x:v>
      </x:c>
      <x:c r="C801" s="31" t="str">
        <x:v>Valuation</x:v>
      </x:c>
      <x:c r="D801" s="69" t="n">
        <x:f>COUNTIF('All Questions'!$G$5:$G$1725,A801)</x:f>
        <x:v>1</x:v>
      </x:c>
      <x:c r="E801" s="31" t="str">
        <x:v>Lazard</x:v>
      </x:c>
      <x:c r="F801" s="31" t="str">
        <x:v>IBD / GCM</x:v>
      </x:c>
      <x:c r="G801" s="31" t="str">
        <x:v>trading comps - 汽車零部件公司 怎麼做怎麼著peers 什麼multiples</x:v>
      </x:c>
    </x:row>
    <x:row r="802" ht="52" customHeight="1">
      <x:c r="A802" s="30" t="str">
        <x:v>CL0798</x:v>
      </x:c>
      <x:c r="B802" s="31" t="str">
        <x:v>Trading comps – what are some common multiples used? Why would two companies with same growth profile have different multiples</x:v>
      </x:c>
      <x:c r="C802" s="31" t="str">
        <x:v>Fit &amp; Motivation</x:v>
      </x:c>
      <x:c r="D802" s="69" t="n">
        <x:f>COUNTIF('All Questions'!$G$5:$G$1725,A802)</x:f>
        <x:v>1</x:v>
      </x:c>
      <x:c r="E802" s="31" t="str">
        <x:v>Jefferies</x:v>
      </x:c>
      <x:c r="F802" s="31" t="str">
        <x:v>IBD / GCM</x:v>
      </x:c>
      <x:c r="G802" s="31" t="str">
        <x:v>Trading comps – what are some common multiples used? Why would two companies with same growth profile have different multiples?</x:v>
      </x:c>
    </x:row>
    <x:row r="803" ht="34" customHeight="1">
      <x:c r="A803" s="30" t="str">
        <x:v>CL0799</x:v>
      </x:c>
      <x:c r="B803" s="31" t="str">
        <x:v>Trading comps valuation walk through</x:v>
      </x:c>
      <x:c r="C803" s="31" t="str">
        <x:v>Valuation</x:v>
      </x:c>
      <x:c r="D803" s="69" t="n">
        <x:f>COUNTIF('All Questions'!$G$5:$G$1725,A803)</x:f>
        <x:v>1</x:v>
      </x:c>
      <x:c r="E803" s="31" t="str">
        <x:v>GS DCMECM</x:v>
      </x:c>
      <x:c r="F803" s="31" t="str">
        <x:v>IBD / GCM</x:v>
      </x:c>
      <x:c r="G803" s="31" t="str">
        <x:v>Trading comps valuation walk through</x:v>
      </x:c>
    </x:row>
    <x:row r="804" ht="34" customHeight="1">
      <x:c r="A804" s="30" t="str">
        <x:v>CL0800</x:v>
      </x:c>
      <x:c r="B804" s="31" t="str">
        <x:v>Trading cops - manufacturing company, find peers, what data source to find p/s</x:v>
      </x:c>
      <x:c r="C804" s="31" t="str">
        <x:v>Sales &amp; Trading</x:v>
      </x:c>
      <x:c r="D804" s="69" t="n">
        <x:f>COUNTIF('All Questions'!$G$5:$G$1725,A804)</x:f>
        <x:v>1</x:v>
      </x:c>
      <x:c r="E804" s="31" t="str">
        <x:v>Lazard</x:v>
      </x:c>
      <x:c r="F804" s="31" t="str">
        <x:v>IBD / GCM</x:v>
      </x:c>
      <x:c r="G804" s="31" t="str">
        <x:v>trading cops - manufacturing company, find peers, what data source to find p/s</x:v>
      </x:c>
    </x:row>
    <x:row r="805" ht="34" customHeight="1">
      <x:c r="A805" s="30" t="str">
        <x:v>CL0801</x:v>
      </x:c>
      <x:c r="B805" s="31" t="str">
        <x:v>Trailing or forward</x:v>
      </x:c>
      <x:c r="C805" s="31" t="str">
        <x:v>Other Question</x:v>
      </x:c>
      <x:c r="D805" s="69" t="n">
        <x:f>COUNTIF('All Questions'!$G$5:$G$1725,A805)</x:f>
        <x:v>1</x:v>
      </x:c>
      <x:c r="E805" s="31" t="str">
        <x:v>BNP Paribas</x:v>
      </x:c>
      <x:c r="F805" s="31" t="str">
        <x:v>IBD / GCM</x:v>
      </x:c>
      <x:c r="G805" s="31" t="str">
        <x:v>Trailing or forward?</x:v>
      </x:c>
    </x:row>
    <x:row r="806" ht="34" customHeight="1">
      <x:c r="A806" s="30" t="str">
        <x:v>CL0802</x:v>
      </x:c>
      <x:c r="B806" s="31" t="str">
        <x:v>Transaction comps - key priorities</x:v>
      </x:c>
      <x:c r="C806" s="31" t="str">
        <x:v>Behavioral &amp; Situational</x:v>
      </x:c>
      <x:c r="D806" s="69" t="n">
        <x:f>COUNTIF('All Questions'!$G$5:$G$1725,A806)</x:f>
        <x:v>1</x:v>
      </x:c>
      <x:c r="E806" s="31" t="str">
        <x:v>Lazard</x:v>
      </x:c>
      <x:c r="F806" s="31" t="str">
        <x:v>IBD / GCM</x:v>
      </x:c>
      <x:c r="G806" s="31" t="str">
        <x:v>Transaction comps - key priorities?</x:v>
      </x:c>
    </x:row>
    <x:row r="807" ht="34" customHeight="1">
      <x:c r="A807" s="30" t="str">
        <x:v>CL0803</x:v>
      </x:c>
      <x:c r="B807" s="31" t="str">
        <x:v>Transaction comps - 按照A股的披露標準，什麼valuation multiples比較難拿到</x:v>
      </x:c>
      <x:c r="C807" s="31" t="str">
        <x:v>Valuation</x:v>
      </x:c>
      <x:c r="D807" s="69" t="n">
        <x:f>COUNTIF('All Questions'!$G$5:$G$1725,A807)</x:f>
        <x:v>1</x:v>
      </x:c>
      <x:c r="E807" s="31" t="str">
        <x:v>Lazard</x:v>
      </x:c>
      <x:c r="F807" s="31" t="str">
        <x:v>IBD / GCM</x:v>
      </x:c>
      <x:c r="G807" s="31" t="str">
        <x:v>Transaction comps - 按照A股的披露標準，什麼valuation multiples比較難拿到</x:v>
      </x:c>
    </x:row>
    <x:row r="808" ht="34" customHeight="1">
      <x:c r="A808" s="30" t="str">
        <x:v>CL0804</x:v>
      </x:c>
      <x:c r="B808" s="31" t="str">
        <x:v>TV in mining DCF</x:v>
      </x:c>
      <x:c r="C808" s="31" t="str">
        <x:v>Valuation</x:v>
      </x:c>
      <x:c r="D808" s="69" t="n">
        <x:f>COUNTIF('All Questions'!$G$5:$G$1725,A808)</x:f>
        <x:v>1</x:v>
      </x:c>
      <x:c r="E808" s="31" t="str">
        <x:v>Grant Samuel</x:v>
      </x:c>
      <x:c r="F808" s="31" t="str">
        <x:v>IBD / GCM</x:v>
      </x:c>
      <x:c r="G808" s="31" t="str">
        <x:v>TV in mining DCF</x:v>
      </x:c>
    </x:row>
    <x:row r="809" ht="76" customHeight="1">
      <x:c r="A809" s="30" t="str">
        <x:v>CL0805</x:v>
      </x:c>
      <x:c r="B809" s="31" t="str">
        <x:v>Two companies A has $100 Asset, $60 Liability, $40 Equity, B has $60 Asset, $40 Liability, $20 Equity, A acquires 50% equity in B for $30 and gains control, what is the change in balance sheet</x:v>
      </x:c>
      <x:c r="C809" s="31" t="str">
        <x:v>Accounting &amp; Financial Statements</x:v>
      </x:c>
      <x:c r="D809" s="69" t="n">
        <x:f>COUNTIF('All Questions'!$G$5:$G$1725,A809)</x:f>
        <x:v>1</x:v>
      </x:c>
      <x:c r="E809" s="31" t="str">
        <x:v>Bofa IBD</x:v>
      </x:c>
      <x:c r="F809" s="31" t="str">
        <x:v>IBD / GCM</x:v>
      </x:c>
      <x:c r="G809" s="31" t="str">
        <x:v>Two companies A has $100 Asset, $60 Liability, $40 Equity, B has $60 Asset, $40 Liability, $20 Equity, A acquires 50% equity in B for $30 and gains control, what is the change in balance sheet?</x:v>
      </x:c>
    </x:row>
    <x:row r="810" ht="34" customHeight="1">
      <x:c r="A810" s="30" t="str">
        <x:v>CL0806</x:v>
      </x:c>
      <x:c r="B810" s="31" t="str">
        <x:v>Two super long market sizing questions, 5 minutes for thinking and calculation and then present it</x:v>
      </x:c>
      <x:c r="C810" s="31" t="str">
        <x:v>Consulting &amp; Case</x:v>
      </x:c>
      <x:c r="D810" s="69" t="n">
        <x:f>COUNTIF('All Questions'!$G$5:$G$1725,A810)</x:f>
        <x:v>1</x:v>
      </x:c>
      <x:c r="E810" s="31" t="str">
        <x:v>Mindworks Capital</x:v>
      </x:c>
      <x:c r="F810" s="31" t="str">
        <x:v>PE / VC / Other</x:v>
      </x:c>
      <x:c r="G810" s="31" t="str">
        <x:v>Two super long market sizing questions, 5 minutes for thinking and calculation and then present it</x:v>
      </x:c>
    </x:row>
    <x:row r="811" ht="34" customHeight="1">
      <x:c r="A811" s="30" t="str">
        <x:v>CL0807</x:v>
      </x:c>
      <x:c r="B811" s="31" t="str">
        <x:v>Typical Asset Allocation Question: construct a 100 million investment portfolio for a client</x:v>
      </x:c>
      <x:c r="C811" s="31" t="str">
        <x:v>Fit &amp; Motivation</x:v>
      </x:c>
      <x:c r="D811" s="69" t="n">
        <x:f>COUNTIF('All Questions'!$G$5:$G$1725,A811)</x:f>
        <x:v>1</x:v>
      </x:c>
      <x:c r="E811" s="31" t="str">
        <x:v>GS PWM</x:v>
      </x:c>
      <x:c r="F811" s="31" t="str">
        <x:v>PWM / AM</x:v>
      </x:c>
      <x:c r="G811" s="31" t="str">
        <x:v>Typical Asset Allocation Question: construct a 100 million investment portfolio for a client</x:v>
      </x:c>
    </x:row>
    <x:row r="812" ht="34" customHeight="1">
      <x:c r="A812" s="30" t="str">
        <x:v>CL0808</x:v>
      </x:c>
      <x:c r="B812" s="31" t="str">
        <x:v>Under what circumstances use EV/EBITDA instead of PE</x:v>
      </x:c>
      <x:c r="C812" s="31" t="str">
        <x:v>Other Question</x:v>
      </x:c>
      <x:c r="D812" s="69" t="n">
        <x:f>COUNTIF('All Questions'!$G$5:$G$1725,A812)</x:f>
        <x:v>1</x:v>
      </x:c>
      <x:c r="E812" s="31" t="str">
        <x:v>MS IBD</x:v>
      </x:c>
      <x:c r="F812" s="31" t="str">
        <x:v>IBD / GCM</x:v>
      </x:c>
      <x:c r="G812" s="31" t="str">
        <x:v>Under what circumstances use EV/EBITDA instead of PE</x:v>
      </x:c>
    </x:row>
    <x:row r="813" ht="52" customHeight="1">
      <x:c r="A813" s="30" t="str">
        <x:v>CL0809</x:v>
      </x:c>
      <x:c r="B813" s="31" t="str">
        <x:v>Use 2 minutes to quickly comment on the current market movements and what are you investment recommendations</x:v>
      </x:c>
      <x:c r="C813" s="31" t="str">
        <x:v>Other Question</x:v>
      </x:c>
      <x:c r="D813" s="69" t="n">
        <x:f>COUNTIF('All Questions'!$G$5:$G$1725,A813)</x:f>
        <x:v>1</x:v>
      </x:c>
      <x:c r="E813" s="31" t="str">
        <x:v>JPM AM</x:v>
      </x:c>
      <x:c r="F813" s="31" t="str">
        <x:v>PWM / AM</x:v>
      </x:c>
      <x:c r="G813" s="31" t="str">
        <x:v>Use 2 minutes to quickly comment on the current market movements and what are you investment recommendations?</x:v>
      </x:c>
    </x:row>
    <x:row r="814" ht="34" customHeight="1">
      <x:c r="A814" s="30" t="str">
        <x:v>CL0810</x:v>
      </x:c>
      <x:c r="B814" s="31" t="str">
        <x:v>Use Mandarin to talk about the market for 2 minutes</x:v>
      </x:c>
      <x:c r="C814" s="31" t="str">
        <x:v>Fit &amp; Motivation</x:v>
      </x:c>
      <x:c r="D814" s="69" t="n">
        <x:f>COUNTIF('All Questions'!$G$5:$G$1725,A814)</x:f>
        <x:v>1</x:v>
      </x:c>
      <x:c r="E814" s="31" t="str">
        <x:v>BNP Paribas</x:v>
      </x:c>
      <x:c r="F814" s="31" t="str">
        <x:v>IBD / GCM</x:v>
      </x:c>
      <x:c r="G814" s="31" t="str">
        <x:v>Use Mandarin to talk about the market for 2 minutes</x:v>
      </x:c>
    </x:row>
    <x:row r="815" ht="34" customHeight="1">
      <x:c r="A815" s="30" t="str">
        <x:v>CL0811</x:v>
      </x:c>
      <x:c r="B815" s="31" t="str">
        <x:v>Use which year multiple for exit multiple</x:v>
      </x:c>
      <x:c r="C815" s="31" t="str">
        <x:v>Valuation</x:v>
      </x:c>
      <x:c r="D815" s="69" t="n">
        <x:f>COUNTIF('All Questions'!$G$5:$G$1725,A815)</x:f>
        <x:v>1</x:v>
      </x:c>
      <x:c r="E815" s="31" t="str">
        <x:v>IDG Capital</x:v>
      </x:c>
      <x:c r="F815" s="31" t="str">
        <x:v>PE / VC / Other</x:v>
      </x:c>
      <x:c r="G815" s="31" t="str">
        <x:v>Use which year multiple for exit multiple</x:v>
      </x:c>
    </x:row>
    <x:row r="816" ht="52" customHeight="1">
      <x:c r="A816" s="30" t="str">
        <x:v>CL0812</x:v>
      </x:c>
      <x:c r="B816" s="31" t="str">
        <x:v>Valuation multiples - how did you get your comparable companies and what is your client's competitive edge</x:v>
      </x:c>
      <x:c r="C816" s="31" t="str">
        <x:v>Accounting &amp; Financial Statements</x:v>
      </x:c>
      <x:c r="D816" s="69" t="n">
        <x:f>COUNTIF('All Questions'!$G$5:$G$1725,A816)</x:f>
        <x:v>1</x:v>
      </x:c>
      <x:c r="E816" s="31" t="str">
        <x:v>Deutsche</x:v>
      </x:c>
      <x:c r="F816" s="31" t="str">
        <x:v>IBD / GCM</x:v>
      </x:c>
      <x:c r="G816" s="31" t="str">
        <x:v>Valuation multiples - how did you get your comparable companies and what is your client's competitive edge?</x:v>
      </x:c>
    </x:row>
    <x:row r="817" ht="34" customHeight="1">
      <x:c r="A817" s="30" t="str">
        <x:v>CL0813</x:v>
      </x:c>
      <x:c r="B817" s="31" t="str">
        <x:v>Valuation Multiples of the Deal and how to get</x:v>
      </x:c>
      <x:c r="C817" s="31" t="str">
        <x:v>Valuation</x:v>
      </x:c>
      <x:c r="D817" s="69" t="n">
        <x:f>COUNTIF('All Questions'!$G$5:$G$1725,A817)</x:f>
        <x:v>1</x:v>
      </x:c>
      <x:c r="E817" s="31" t="str">
        <x:v>Deutsche</x:v>
      </x:c>
      <x:c r="F817" s="31" t="str">
        <x:v>IBD / GCM</x:v>
      </x:c>
      <x:c r="G817" s="31" t="str">
        <x:v>Valuation Multiples of the Deal and how to get</x:v>
      </x:c>
    </x:row>
    <x:row r="818" ht="34" customHeight="1">
      <x:c r="A818" s="30" t="str">
        <x:v>CL0814</x:v>
      </x:c>
      <x:c r="B818" s="31" t="str">
        <x:v>Valuation now: EV / FY+1 EBITDA, for 2030 exit multiple, which year’s EV should you use</x:v>
      </x:c>
      <x:c r="C818" s="31" t="str">
        <x:v>Valuation</x:v>
      </x:c>
      <x:c r="D818" s="69" t="n">
        <x:f>COUNTIF('All Questions'!$G$5:$G$1725,A818)</x:f>
        <x:v>1</x:v>
      </x:c>
      <x:c r="E818" s="31" t="str">
        <x:v>Deutsche</x:v>
      </x:c>
      <x:c r="F818" s="31" t="str">
        <x:v>IBD / GCM</x:v>
      </x:c>
      <x:c r="G818" s="31" t="str">
        <x:v>valuation now: EV / FY+1 EBITDA, for 2030 exit multiple, which year’s EV should you use</x:v>
      </x:c>
    </x:row>
    <x:row r="819" ht="34" customHeight="1">
      <x:c r="A819" s="30" t="str">
        <x:v>CL0815</x:v>
      </x:c>
      <x:c r="B819" s="31" t="str">
        <x:v>Views are conflicting for the effect on ESG investing, what are your views</x:v>
      </x:c>
      <x:c r="C819" s="31" t="str">
        <x:v>Behavioral &amp; Situational</x:v>
      </x:c>
      <x:c r="D819" s="69" t="n">
        <x:f>COUNTIF('All Questions'!$G$5:$G$1725,A819)</x:f>
        <x:v>1</x:v>
      </x:c>
      <x:c r="E819" s="31" t="str">
        <x:v>Barclays</x:v>
      </x:c>
      <x:c r="F819" s="31" t="str">
        <x:v>IBD / GCM</x:v>
      </x:c>
      <x:c r="G819" s="31" t="str">
        <x:v>Views are conflicting for the effect on ESG investing, what are your views?</x:v>
      </x:c>
    </x:row>
    <x:row r="820" ht="34" customHeight="1">
      <x:c r="A820" s="30" t="str">
        <x:v>CL0816</x:v>
      </x:c>
      <x:c r="B820" s="31" t="str">
        <x:v>W/ a British White Guy from the Tele Implementation</x:v>
      </x:c>
      <x:c r="C820" s="31" t="str">
        <x:v>Other Question</x:v>
      </x:c>
      <x:c r="D820" s="69" t="n">
        <x:f>COUNTIF('All Questions'!$G$5:$G$1725,A820)</x:f>
        <x:v>1</x:v>
      </x:c>
      <x:c r="E820" s="31" t="str">
        <x:v>JPM AM</x:v>
      </x:c>
      <x:c r="F820" s="31" t="str">
        <x:v>PWM / AM</x:v>
      </x:c>
      <x:c r="G820" s="31" t="str">
        <x:v>w/ a British White Guy from the Tele Implementation?</x:v>
      </x:c>
    </x:row>
    <x:row r="821" ht="34" customHeight="1">
      <x:c r="A821" s="30" t="str">
        <x:v>CL0817</x:v>
      </x:c>
      <x:c r="B821" s="31" t="str">
        <x:v>W/ Clara Tan, Client Advisor in Global Strategic Clients Team</x:v>
      </x:c>
      <x:c r="C821" s="31" t="str">
        <x:v>Other Question</x:v>
      </x:c>
      <x:c r="D821" s="69" t="n">
        <x:f>COUNTIF('All Questions'!$G$5:$G$1725,A821)</x:f>
        <x:v>1</x:v>
      </x:c>
      <x:c r="E821" s="31" t="str">
        <x:v>JPM AM</x:v>
      </x:c>
      <x:c r="F821" s="31" t="str">
        <x:v>PWM / AM</x:v>
      </x:c>
      <x:c r="G821" s="31" t="str">
        <x:v>w/ Clara Tan, Client Advisor in Global Strategic Clients Team</x:v>
      </x:c>
    </x:row>
    <x:row r="822" ht="34" customHeight="1">
      <x:c r="A822" s="30" t="str">
        <x:v>CL0818</x:v>
      </x:c>
      <x:c r="B822" s="31" t="str">
        <x:v>W/ Natalie, from Product Strategy</x:v>
      </x:c>
      <x:c r="C822" s="31" t="str">
        <x:v>Other Question</x:v>
      </x:c>
      <x:c r="D822" s="69" t="n">
        <x:f>COUNTIF('All Questions'!$G$5:$G$1725,A822)</x:f>
        <x:v>1</x:v>
      </x:c>
      <x:c r="E822" s="31" t="str">
        <x:v>JPM AM</x:v>
      </x:c>
      <x:c r="F822" s="31" t="str">
        <x:v>PWM / AM</x:v>
      </x:c>
      <x:c r="G822" s="31" t="str">
        <x:v>w/ Natalie, from Product Strategy?</x:v>
      </x:c>
    </x:row>
    <x:row r="823" ht="34" customHeight="1">
      <x:c r="A823" s="30" t="str">
        <x:v>CL0819</x:v>
      </x:c>
      <x:c r="B823" s="31" t="str">
        <x:v>WACC</x:v>
      </x:c>
      <x:c r="C823" s="31" t="str">
        <x:v>Valuation</x:v>
      </x:c>
      <x:c r="D823" s="69" t="n">
        <x:f>COUNTIF('All Questions'!$G$5:$G$1725,A823)</x:f>
        <x:v>1</x:v>
      </x:c>
      <x:c r="E823" s="31" t="str">
        <x:v>MS IBD</x:v>
      </x:c>
      <x:c r="F823" s="31" t="str">
        <x:v>IBD / GCM</x:v>
      </x:c>
      <x:c r="G823" s="31" t="str">
        <x:v>WACC</x:v>
      </x:c>
    </x:row>
    <x:row r="824" ht="34" customHeight="1">
      <x:c r="A824" s="30" t="str">
        <x:v>CL0820</x:v>
      </x:c>
      <x:c r="B824" s="31" t="str">
        <x:v>WACC formula</x:v>
      </x:c>
      <x:c r="C824" s="31" t="str">
        <x:v>Valuation</x:v>
      </x:c>
      <x:c r="D824" s="69" t="n">
        <x:f>COUNTIF('All Questions'!$G$5:$G$1725,A824)</x:f>
        <x:v>1</x:v>
      </x:c>
      <x:c r="E824" s="31" t="str">
        <x:v>MS IBD</x:v>
      </x:c>
      <x:c r="F824" s="31" t="str">
        <x:v>IBD / GCM</x:v>
      </x:c>
      <x:c r="G824" s="31" t="str">
        <x:v>WACC formula</x:v>
      </x:c>
    </x:row>
    <x:row r="825" ht="34" customHeight="1">
      <x:c r="A825" s="30" t="str">
        <x:v>CL0821</x:v>
      </x:c>
      <x:c r="B825" s="31" t="str">
        <x:v>WACC? (actual number + how to get the number)</x:v>
      </x:c>
      <x:c r="C825" s="31" t="str">
        <x:v>Valuation</x:v>
      </x:c>
      <x:c r="D825" s="69" t="n">
        <x:f>COUNTIF('All Questions'!$G$5:$G$1725,A825)</x:f>
        <x:v>1</x:v>
      </x:c>
      <x:c r="E825" s="31" t="str">
        <x:v>Bofa IBD</x:v>
      </x:c>
      <x:c r="F825" s="31" t="str">
        <x:v>IBD / GCM</x:v>
      </x:c>
      <x:c r="G825" s="31" t="str">
        <x:v>WACC? (actual number + how to get the number)</x:v>
      </x:c>
    </x:row>
    <x:row r="826" ht="34" customHeight="1">
      <x:c r="A826" s="30" t="str">
        <x:v>CL0822</x:v>
      </x:c>
      <x:c r="B826" s="31" t="str">
        <x:v>WACC公式，Rd公式，Rf用的是什么，CF用的是哪个如何蓉revenue开始求，β是什么；</x:v>
      </x:c>
      <x:c r="C826" s="31" t="str">
        <x:v>Valuation</x:v>
      </x:c>
      <x:c r="D826" s="69" t="n">
        <x:f>COUNTIF('All Questions'!$G$5:$G$1725,A826)</x:f>
        <x:v>1</x:v>
      </x:c>
      <x:c r="E826" s="31" t="str">
        <x:v>Barclays</x:v>
      </x:c>
      <x:c r="F826" s="31" t="str">
        <x:v>IBD / GCM</x:v>
      </x:c>
      <x:c r="G826" s="31" t="str">
        <x:v>WACC公式，Rd公式，Rf用的是什么，CF用的是哪个如何蓉revenue开始求，β是什么；</x:v>
      </x:c>
    </x:row>
    <x:row r="827" ht="34" customHeight="1">
      <x:c r="A827" s="30" t="str">
        <x:v>CL0823</x:v>
      </x:c>
      <x:c r="B827" s="31" t="str">
        <x:v>Walk me though valuation in Mandarin</x:v>
      </x:c>
      <x:c r="C827" s="31" t="str">
        <x:v>Fit &amp; Motivation</x:v>
      </x:c>
      <x:c r="D827" s="69" t="n">
        <x:f>COUNTIF('All Questions'!$G$5:$G$1725,A827)</x:f>
        <x:v>1</x:v>
      </x:c>
      <x:c r="E827" s="31" t="str">
        <x:v>Barclays</x:v>
      </x:c>
      <x:c r="F827" s="31" t="str">
        <x:v>IBD / GCM</x:v>
      </x:c>
      <x:c r="G827" s="31" t="str">
        <x:v>Walk me though valuation in Mandarin</x:v>
      </x:c>
    </x:row>
    <x:row r="828" ht="34" customHeight="1">
      <x:c r="A828" s="30" t="str">
        <x:v>CL0824</x:v>
      </x:c>
      <x:c r="B828" s="31" t="str">
        <x:v>Walk me through a DCF model</x:v>
      </x:c>
      <x:c r="C828" s="31" t="str">
        <x:v>Valuation</x:v>
      </x:c>
      <x:c r="D828" s="69" t="n">
        <x:f>COUNTIF('All Questions'!$G$5:$G$1725,A828)</x:f>
        <x:v>1</x:v>
      </x:c>
      <x:c r="E828" s="31" t="str">
        <x:v>Nomura</x:v>
      </x:c>
      <x:c r="F828" s="31" t="str">
        <x:v>IBD / GCM</x:v>
      </x:c>
      <x:c r="G828" s="31" t="str">
        <x:v>Walk me through a DCF model</x:v>
      </x:c>
    </x:row>
    <x:row r="829" ht="34" customHeight="1">
      <x:c r="A829" s="30" t="str">
        <x:v>CL0825</x:v>
      </x:c>
      <x:c r="B829" s="31" t="str">
        <x:v>Walk me through a DCF, and how to get the FCF and everything</x:v>
      </x:c>
      <x:c r="C829" s="31" t="str">
        <x:v>Valuation</x:v>
      </x:c>
      <x:c r="D829" s="69" t="n">
        <x:f>COUNTIF('All Questions'!$G$5:$G$1725,A829)</x:f>
        <x:v>1</x:v>
      </x:c>
      <x:c r="E829" s="31" t="str">
        <x:v>MS IBD</x:v>
      </x:c>
      <x:c r="F829" s="31" t="str">
        <x:v>IBD / GCM</x:v>
      </x:c>
      <x:c r="G829" s="31" t="str">
        <x:v>Walk me through a DCF, and how to get the FCF and everything</x:v>
      </x:c>
    </x:row>
    <x:row r="830" ht="34" customHeight="1">
      <x:c r="A830" s="30" t="str">
        <x:v>CL0826</x:v>
      </x:c>
      <x:c r="B830" s="31" t="str">
        <x:v>Walk me through a DCF, purpose, what is WACC, what is beta, assumptions</x:v>
      </x:c>
      <x:c r="C830" s="31" t="str">
        <x:v>Accounting &amp; Financial Statements</x:v>
      </x:c>
      <x:c r="D830" s="69" t="n">
        <x:f>COUNTIF('All Questions'!$G$5:$G$1725,A830)</x:f>
        <x:v>1</x:v>
      </x:c>
      <x:c r="E830" s="31" t="str">
        <x:v>Houlihan Lokey</x:v>
      </x:c>
      <x:c r="F830" s="31" t="str">
        <x:v>IBD / GCM</x:v>
      </x:c>
      <x:c r="G830" s="31" t="str">
        <x:v>Walk me through a DCF, purpose, what is WACC, what is beta, assumptions</x:v>
      </x:c>
    </x:row>
    <x:row r="831" ht="34" customHeight="1">
      <x:c r="A831" s="30" t="str">
        <x:v>CL0827</x:v>
      </x:c>
      <x:c r="B831" s="31" t="str">
        <x:v>Walk me through a DCF, suppose you’re doing for a Chinese EV manufacturer, what would you look at</x:v>
      </x:c>
      <x:c r="C831" s="31" t="str">
        <x:v>Valuation</x:v>
      </x:c>
      <x:c r="D831" s="69" t="n">
        <x:f>COUNTIF('All Questions'!$G$5:$G$1725,A831)</x:f>
        <x:v>1</x:v>
      </x:c>
      <x:c r="E831" s="31" t="str">
        <x:v>MS IBD</x:v>
      </x:c>
      <x:c r="F831" s="31" t="str">
        <x:v>IBD / GCM</x:v>
      </x:c>
      <x:c r="G831" s="31" t="str">
        <x:v>Walk me through a DCF, suppose you’re doing for a Chinese EV manufacturer, what would you look at?</x:v>
      </x:c>
    </x:row>
    <x:row r="832" ht="34" customHeight="1">
      <x:c r="A832" s="30" t="str">
        <x:v>CL0828</x:v>
      </x:c>
      <x:c r="B832" s="31" t="str">
        <x:v>Walk me through a project</x:v>
      </x:c>
      <x:c r="C832" s="31" t="str">
        <x:v>Other Question</x:v>
      </x:c>
      <x:c r="D832" s="69" t="n">
        <x:f>COUNTIF('All Questions'!$G$5:$G$1725,A832)</x:f>
        <x:v>1</x:v>
      </x:c>
      <x:c r="E832" s="31" t="str">
        <x:v>Nomura</x:v>
      </x:c>
      <x:c r="F832" s="31" t="str">
        <x:v>IBD / GCM</x:v>
      </x:c>
      <x:c r="G832" s="31" t="str">
        <x:v>walk me through a project</x:v>
      </x:c>
    </x:row>
    <x:row r="833" ht="34" customHeight="1">
      <x:c r="A833" s="30" t="str">
        <x:v>CL0829</x:v>
      </x:c>
      <x:c r="B833" s="31" t="str">
        <x:v>Walk me through a typical process of a HK IPO</x:v>
      </x:c>
      <x:c r="C833" s="31" t="str">
        <x:v>Capital Markets &amp; Financing</x:v>
      </x:c>
      <x:c r="D833" s="69" t="n">
        <x:f>COUNTIF('All Questions'!$G$5:$G$1725,A833)</x:f>
        <x:v>1</x:v>
      </x:c>
      <x:c r="E833" s="31" t="str">
        <x:v>MS GCM</x:v>
      </x:c>
      <x:c r="F833" s="31" t="str">
        <x:v>IBD / GCM</x:v>
      </x:c>
      <x:c r="G833" s="31" t="str">
        <x:v>Walk me through a typical process of a HK IPO</x:v>
      </x:c>
    </x:row>
    <x:row r="834" ht="34" customHeight="1">
      <x:c r="A834" s="30" t="str">
        <x:v>CL0830</x:v>
      </x:c>
      <x:c r="B834" s="31" t="str">
        <x:v>Walk me through a valuation project you had</x:v>
      </x:c>
      <x:c r="C834" s="31" t="str">
        <x:v>Resume &amp; Experience</x:v>
      </x:c>
      <x:c r="D834" s="69" t="n">
        <x:f>COUNTIF('All Questions'!$G$5:$G$1725,A834)</x:f>
        <x:v>1</x:v>
      </x:c>
      <x:c r="E834" s="31" t="str">
        <x:v>Bofa IBD</x:v>
      </x:c>
      <x:c r="F834" s="31" t="str">
        <x:v>IBD / GCM</x:v>
      </x:c>
      <x:c r="G834" s="31" t="str">
        <x:v>Walk me through a valuation project you had</x:v>
      </x:c>
    </x:row>
    <x:row r="835" ht="34" customHeight="1">
      <x:c r="A835" s="30" t="str">
        <x:v>CL0831</x:v>
      </x:c>
      <x:c r="B835" s="31" t="str">
        <x:v>Walk me through DCF and WACC for formula</x:v>
      </x:c>
      <x:c r="C835" s="31" t="str">
        <x:v>Valuation</x:v>
      </x:c>
      <x:c r="D835" s="69" t="n">
        <x:f>COUNTIF('All Questions'!$G$5:$G$1725,A835)</x:f>
        <x:v>1</x:v>
      </x:c>
      <x:c r="E835" s="31" t="str">
        <x:v>Lazard</x:v>
      </x:c>
      <x:c r="F835" s="31" t="str">
        <x:v>IBD / GCM</x:v>
      </x:c>
      <x:c r="G835" s="31" t="str">
        <x:v>Walk me through DCF and WACC for formula</x:v>
      </x:c>
    </x:row>
    <x:row r="836" ht="52" customHeight="1">
      <x:c r="A836" s="30" t="str">
        <x:v>CL0832</x:v>
      </x:c>
      <x:c r="B836" s="31" t="str">
        <x:v>Walk me through impact of dividend and NI of A if A holds 30% of B. How about if A holds 80% of B? (Only qualitative walk through)</x:v>
      </x:c>
      <x:c r="C836" s="31" t="str">
        <x:v>Other Question</x:v>
      </x:c>
      <x:c r="D836" s="69" t="n">
        <x:f>COUNTIF('All Questions'!$G$5:$G$1725,A836)</x:f>
        <x:v>1</x:v>
      </x:c>
      <x:c r="E836" s="31" t="str">
        <x:v>Bofa IBD</x:v>
      </x:c>
      <x:c r="F836" s="31" t="str">
        <x:v>IBD / GCM</x:v>
      </x:c>
      <x:c r="G836" s="31" t="str">
        <x:v>Walk me through impact of dividend and NI of A if A holds 30% of B. How about if A holds 80% of B? (Only qualitative walk through)</x:v>
      </x:c>
    </x:row>
    <x:row r="837" ht="34" customHeight="1">
      <x:c r="A837" s="30" t="str">
        <x:v>CL0833</x:v>
      </x:c>
      <x:c r="B837" s="31" t="str">
        <x:v>Walk me through its IS</x:v>
      </x:c>
      <x:c r="C837" s="31" t="str">
        <x:v>Accounting &amp; Financial Statements</x:v>
      </x:c>
      <x:c r="D837" s="69" t="n">
        <x:f>COUNTIF('All Questions'!$G$5:$G$1725,A837)</x:f>
        <x:v>1</x:v>
      </x:c>
      <x:c r="E837" s="31" t="str">
        <x:v>MS IBD</x:v>
      </x:c>
      <x:c r="F837" s="31" t="str">
        <x:v>IBD / GCM</x:v>
      </x:c>
      <x:c r="G837" s="31" t="str">
        <x:v>Walk me through its IS</x:v>
      </x:c>
    </x:row>
    <x:row r="838" ht="34" customHeight="1">
      <x:c r="A838" s="30" t="str">
        <x:v>CL0834</x:v>
      </x:c>
      <x:c r="B838" s="31" t="str">
        <x:v>Walk me through one of your internship experiences</x:v>
      </x:c>
      <x:c r="C838" s="31" t="str">
        <x:v>Resume &amp; Experience</x:v>
      </x:c>
      <x:c r="D838" s="69" t="n">
        <x:f>COUNTIF('All Questions'!$G$5:$G$1725,A838)</x:f>
        <x:v>1</x:v>
      </x:c>
      <x:c r="E838" s="31" t="str">
        <x:v>Deutsche</x:v>
      </x:c>
      <x:c r="F838" s="31" t="str">
        <x:v>IBD / GCM</x:v>
      </x:c>
      <x:c r="G838" s="31" t="str">
        <x:v>Walk me through one of your internship experiences</x:v>
      </x:c>
    </x:row>
    <x:row r="839" ht="34" customHeight="1">
      <x:c r="A839" s="30" t="str">
        <x:v>CL0835</x:v>
      </x:c>
      <x:c r="B839" s="31" t="str">
        <x:v>Walk me through one project you did that involved valuation</x:v>
      </x:c>
      <x:c r="C839" s="31" t="str">
        <x:v>Resume &amp; Experience</x:v>
      </x:c>
      <x:c r="D839" s="69" t="n">
        <x:f>COUNTIF('All Questions'!$G$5:$G$1725,A839)</x:f>
        <x:v>1</x:v>
      </x:c>
      <x:c r="E839" s="31" t="str">
        <x:v>Deutsche</x:v>
      </x:c>
      <x:c r="F839" s="31" t="str">
        <x:v>IBD / GCM</x:v>
      </x:c>
      <x:c r="G839" s="31" t="str">
        <x:v>Walk me through one project you did that involved valuation</x:v>
      </x:c>
    </x:row>
    <x:row r="840" ht="34" customHeight="1">
      <x:c r="A840" s="30" t="str">
        <x:v>CL0836</x:v>
      </x:c>
      <x:c r="B840" s="31" t="str">
        <x:v>Walk me through the DCF and key assumptions</x:v>
      </x:c>
      <x:c r="C840" s="31" t="str">
        <x:v>Valuation</x:v>
      </x:c>
      <x:c r="D840" s="69" t="n">
        <x:f>COUNTIF('All Questions'!$G$5:$G$1725,A840)</x:f>
        <x:v>1</x:v>
      </x:c>
      <x:c r="E840" s="31" t="str">
        <x:v>MS IBD</x:v>
      </x:c>
      <x:c r="F840" s="31" t="str">
        <x:v>IBD / GCM</x:v>
      </x:c>
      <x:c r="G840" s="31" t="str">
        <x:v>Walk me through the DCF and key assumptions</x:v>
      </x:c>
    </x:row>
    <x:row r="841" ht="34" customHeight="1">
      <x:c r="A841" s="30" t="str">
        <x:v>CL0837</x:v>
      </x:c>
      <x:c r="B841" s="31" t="str">
        <x:v>Walk me through the DCF for the biotech company u looked at</x:v>
      </x:c>
      <x:c r="C841" s="31" t="str">
        <x:v>Valuation</x:v>
      </x:c>
      <x:c r="D841" s="69" t="n">
        <x:f>COUNTIF('All Questions'!$G$5:$G$1725,A841)</x:f>
        <x:v>1</x:v>
      </x:c>
      <x:c r="E841" s="31" t="str">
        <x:v>UBS IBD</x:v>
      </x:c>
      <x:c r="F841" s="31" t="str">
        <x:v>IBD / GCM</x:v>
      </x:c>
      <x:c r="G841" s="31" t="str">
        <x:v>Walk me through the DCF for the biotech company u looked at</x:v>
      </x:c>
    </x:row>
    <x:row r="842" ht="52" customHeight="1">
      <x:c r="A842" s="30" t="str">
        <x:v>CL0838</x:v>
      </x:c>
      <x:c r="B842" s="31" t="str">
        <x:v>Walk me through the rights issue and your main considerations (e.g. dilution effect, subscription price considerations, timeline)</x:v>
      </x:c>
      <x:c r="C842" s="31" t="str">
        <x:v>Capital Markets &amp; Financing</x:v>
      </x:c>
      <x:c r="D842" s="69" t="n">
        <x:f>COUNTIF('All Questions'!$G$5:$G$1725,A842)</x:f>
        <x:v>1</x:v>
      </x:c>
      <x:c r="E842" s="31" t="str">
        <x:v>Bofa IBD</x:v>
      </x:c>
      <x:c r="F842" s="31" t="str">
        <x:v>IBD / GCM</x:v>
      </x:c>
      <x:c r="G842" s="31" t="str">
        <x:v>Walk me through the rights issue and your main considerations (e.g. dilution effect, subscription price considerations, timeline)</x:v>
      </x:c>
    </x:row>
    <x:row r="843" ht="34" customHeight="1">
      <x:c r="A843" s="30" t="str">
        <x:v>CL0839</x:v>
      </x:c>
      <x:c r="B843" s="31" t="str">
        <x:v>Walk me through the sell side M&amp;A that you did during your previous internship</x:v>
      </x:c>
      <x:c r="C843" s="31" t="str">
        <x:v>Resume &amp; Experience</x:v>
      </x:c>
      <x:c r="D843" s="69" t="n">
        <x:f>COUNTIF('All Questions'!$G$5:$G$1725,A843)</x:f>
        <x:v>1</x:v>
      </x:c>
      <x:c r="E843" s="31" t="str">
        <x:v>MS IBD</x:v>
      </x:c>
      <x:c r="F843" s="31" t="str">
        <x:v>IBD / GCM</x:v>
      </x:c>
      <x:c r="G843" s="31" t="str">
        <x:v>Walk me through the sell side M&amp;A that you did during your previous internship</x:v>
      </x:c>
    </x:row>
    <x:row r="844" ht="34" customHeight="1">
      <x:c r="A844" s="30" t="str">
        <x:v>CL0840</x:v>
      </x:c>
      <x:c r="B844" s="31" t="str">
        <x:v>Walk me through you CV</x:v>
      </x:c>
      <x:c r="C844" s="31" t="str">
        <x:v>Resume &amp; Experience</x:v>
      </x:c>
      <x:c r="D844" s="69" t="n">
        <x:f>COUNTIF('All Questions'!$G$5:$G$1725,A844)</x:f>
        <x:v>1</x:v>
      </x:c>
      <x:c r="E844" s="31" t="str">
        <x:v>MS IED</x:v>
      </x:c>
      <x:c r="F844" s="31" t="str">
        <x:v>Sales &amp; Trading</x:v>
      </x:c>
      <x:c r="G844" s="31" t="str">
        <x:v>Walk me through you CV</x:v>
      </x:c>
    </x:row>
    <x:row r="845" ht="34" customHeight="1">
      <x:c r="A845" s="30" t="str">
        <x:v>CL0841</x:v>
      </x:c>
      <x:c r="B845" s="31" t="str">
        <x:v>Walk me through your internships (in chinese)</x:v>
      </x:c>
      <x:c r="C845" s="31" t="str">
        <x:v>Resume &amp; Experience</x:v>
      </x:c>
      <x:c r="D845" s="69" t="n">
        <x:f>COUNTIF('All Questions'!$G$5:$G$1725,A845)</x:f>
        <x:v>1</x:v>
      </x:c>
      <x:c r="E845" s="31" t="str">
        <x:v>Barclays</x:v>
      </x:c>
      <x:c r="F845" s="31" t="str">
        <x:v>IBD / GCM</x:v>
      </x:c>
      <x:c r="G845" s="31" t="str">
        <x:v>walk me through your internships (in chinese)</x:v>
      </x:c>
    </x:row>
    <x:row r="846" ht="34" customHeight="1">
      <x:c r="A846" s="30" t="str">
        <x:v>CL0842</x:v>
      </x:c>
      <x:c r="B846" s="31" t="str">
        <x:v>Walk me through your most recent case comp. Team dynamic? Role? Valuation? - deep dive</x:v>
      </x:c>
      <x:c r="C846" s="31" t="str">
        <x:v>Behavioral &amp; Situational</x:v>
      </x:c>
      <x:c r="D846" s="69" t="n">
        <x:f>COUNTIF('All Questions'!$G$5:$G$1725,A846)</x:f>
        <x:v>1</x:v>
      </x:c>
      <x:c r="E846" s="31" t="str">
        <x:v>Barclays</x:v>
      </x:c>
      <x:c r="F846" s="31" t="str">
        <x:v>IBD / GCM</x:v>
      </x:c>
      <x:c r="G846" s="31" t="str">
        <x:v>Walk me through your most recent case comp. Team dynamic? Role? Valuation? - deep dive</x:v>
      </x:c>
    </x:row>
    <x:row r="847" ht="52" customHeight="1">
      <x:c r="A847" s="30" t="str">
        <x:v>CL0843</x:v>
      </x:c>
      <x:c r="B847" s="31" t="str">
        <x:v>Walk me through your projects at Odysseus Capital Asia - brief me the pre-IPO roadshow as well as sell-side M&amp;A transaction</x:v>
      </x:c>
      <x:c r="C847" s="31" t="str">
        <x:v>M&amp;A</x:v>
      </x:c>
      <x:c r="D847" s="69" t="n">
        <x:f>COUNTIF('All Questions'!$G$5:$G$1725,A847)</x:f>
        <x:v>1</x:v>
      </x:c>
      <x:c r="E847" s="31" t="str">
        <x:v>Deutsche</x:v>
      </x:c>
      <x:c r="F847" s="31" t="str">
        <x:v>IBD / GCM</x:v>
      </x:c>
      <x:c r="G847" s="31" t="str">
        <x:v>Walk me through your projects at Odysseus Capital Asia - brief me the pre-IPO roadshow as well as sell-side M&amp;A transaction?</x:v>
      </x:c>
    </x:row>
    <x:row r="848" ht="52" customHeight="1">
      <x:c r="A848" s="30" t="str">
        <x:v>CL0844</x:v>
      </x:c>
      <x:c r="B848" s="31" t="str">
        <x:v>Walk me thru impact on 3 FS, acquiring pp&amp;e at the start of the year, you can make your own assumptions</x:v>
      </x:c>
      <x:c r="C848" s="31" t="str">
        <x:v>Other Question</x:v>
      </x:c>
      <x:c r="D848" s="69" t="n">
        <x:f>COUNTIF('All Questions'!$G$5:$G$1725,A848)</x:f>
        <x:v>1</x:v>
      </x:c>
      <x:c r="E848" s="31" t="str">
        <x:v>Grant Samuel</x:v>
      </x:c>
      <x:c r="F848" s="31" t="str">
        <x:v>IBD / GCM</x:v>
      </x:c>
      <x:c r="G848" s="31" t="str">
        <x:v>Walk me thru impact on 3 FS, acquiring pp&amp;e at the start of the year, you can make your own assumptions</x:v>
      </x:c>
    </x:row>
    <x:row r="849" ht="34" customHeight="1">
      <x:c r="A849" s="30" t="str">
        <x:v>CL0845</x:v>
      </x:c>
      <x:c r="B849" s="31" t="str">
        <x:v>Walk though current internships</x:v>
      </x:c>
      <x:c r="C849" s="31" t="str">
        <x:v>Resume &amp; Experience</x:v>
      </x:c>
      <x:c r="D849" s="69" t="n">
        <x:f>COUNTIF('All Questions'!$G$5:$G$1725,A849)</x:f>
        <x:v>1</x:v>
      </x:c>
      <x:c r="E849" s="31" t="str">
        <x:v>Neuberger Berman</x:v>
      </x:c>
      <x:c r="F849" s="31" t="str">
        <x:v>PWM / AM</x:v>
      </x:c>
      <x:c r="G849" s="31" t="str">
        <x:v>Walk though current internships</x:v>
      </x:c>
    </x:row>
    <x:row r="850" ht="34" customHeight="1">
      <x:c r="A850" s="30" t="str">
        <x:v>CL0846</x:v>
      </x:c>
      <x:c r="B850" s="31" t="str">
        <x:v>Walk through a project at Nomura</x:v>
      </x:c>
      <x:c r="C850" s="31" t="str">
        <x:v>Other Question</x:v>
      </x:c>
      <x:c r="D850" s="69" t="n">
        <x:f>COUNTIF('All Questions'!$G$5:$G$1725,A850)</x:f>
        <x:v>1</x:v>
      </x:c>
      <x:c r="E850" s="31" t="str">
        <x:v>GS DCMECM</x:v>
      </x:c>
      <x:c r="F850" s="31" t="str">
        <x:v>IBD / GCM</x:v>
      </x:c>
      <x:c r="G850" s="31" t="str">
        <x:v>Walk through a project at Nomura</x:v>
      </x:c>
    </x:row>
    <x:row r="851" ht="34" customHeight="1">
      <x:c r="A851" s="30" t="str">
        <x:v>CL0847</x:v>
      </x:c>
      <x:c r="B851" s="31" t="str">
        <x:v>Walk through experiences, show understanding of M&amp;A</x:v>
      </x:c>
      <x:c r="C851" s="31" t="str">
        <x:v>Resume &amp; Experience</x:v>
      </x:c>
      <x:c r="D851" s="69" t="n">
        <x:f>COUNTIF('All Questions'!$G$5:$G$1725,A851)</x:f>
        <x:v>1</x:v>
      </x:c>
      <x:c r="E851" s="31" t="str">
        <x:v>BNP Paribas</x:v>
      </x:c>
      <x:c r="F851" s="31" t="str">
        <x:v>IBD / GCM</x:v>
      </x:c>
      <x:c r="G851" s="31" t="str">
        <x:v>Walk through experiences, show understanding of M&amp;A</x:v>
      </x:c>
    </x:row>
    <x:row r="852" ht="34" customHeight="1">
      <x:c r="A852" s="30" t="str">
        <x:v>CL0848</x:v>
      </x:c>
      <x:c r="B852" s="31" t="str">
        <x:v>Walk through Market (with Elliotte - 20mins on this)</x:v>
      </x:c>
      <x:c r="C852" s="31" t="str">
        <x:v>Other Question</x:v>
      </x:c>
      <x:c r="D852" s="69" t="n">
        <x:f>COUNTIF('All Questions'!$G$5:$G$1725,A852)</x:f>
        <x:v>1</x:v>
      </x:c>
      <x:c r="E852" s="31" t="str">
        <x:v>JPM (GM)</x:v>
      </x:c>
      <x:c r="F852" s="31" t="str">
        <x:v>Sales &amp; Trading</x:v>
      </x:c>
      <x:c r="G852" s="31" t="str">
        <x:v>Walk through Market (with Elliotte - 20mins on this)</x:v>
      </x:c>
    </x:row>
    <x:row r="853" ht="34" customHeight="1">
      <x:c r="A853" s="30" t="str">
        <x:v>CL0849</x:v>
      </x:c>
      <x:c r="B853" s="31" t="str">
        <x:v>Walk through of CV</x:v>
      </x:c>
      <x:c r="C853" s="31" t="str">
        <x:v>Resume &amp; Experience</x:v>
      </x:c>
      <x:c r="D853" s="69" t="n">
        <x:f>COUNTIF('All Questions'!$G$5:$G$1725,A853)</x:f>
        <x:v>1</x:v>
      </x:c>
      <x:c r="E853" s="31" t="str">
        <x:v>BNP Paribas</x:v>
      </x:c>
      <x:c r="F853" s="31" t="str">
        <x:v>IBD / GCM</x:v>
      </x:c>
      <x:c r="G853" s="31" t="str">
        <x:v>Walk through of CV</x:v>
      </x:c>
    </x:row>
    <x:row r="854" ht="34" customHeight="1">
      <x:c r="A854" s="30" t="str">
        <x:v>CL0850</x:v>
      </x:c>
      <x:c r="B854" s="31" t="str">
        <x:v>Walk through one of the projects you have engaged in</x:v>
      </x:c>
      <x:c r="C854" s="31" t="str">
        <x:v>Other Question</x:v>
      </x:c>
      <x:c r="D854" s="69" t="n">
        <x:f>COUNTIF('All Questions'!$G$5:$G$1725,A854)</x:f>
        <x:v>1</x:v>
      </x:c>
      <x:c r="E854" s="31" t="str">
        <x:v>Lazard</x:v>
      </x:c>
      <x:c r="F854" s="31" t="str">
        <x:v>IBD / GCM</x:v>
      </x:c>
      <x:c r="G854" s="31" t="str">
        <x:v>Walk through one of the projects you have engaged in</x:v>
      </x:c>
    </x:row>
    <x:row r="855" ht="34" customHeight="1">
      <x:c r="A855" s="30" t="str">
        <x:v>CL0851</x:v>
      </x:c>
      <x:c r="B855" s="31" t="str">
        <x:v>Walk through the 3 financial statements</x:v>
      </x:c>
      <x:c r="C855" s="31" t="str">
        <x:v>Accounting &amp; Financial Statements</x:v>
      </x:c>
      <x:c r="D855" s="69" t="n">
        <x:f>COUNTIF('All Questions'!$G$5:$G$1725,A855)</x:f>
        <x:v>1</x:v>
      </x:c>
      <x:c r="E855" s="31" t="str">
        <x:v>MS IBD</x:v>
      </x:c>
      <x:c r="F855" s="31" t="str">
        <x:v>IBD / GCM</x:v>
      </x:c>
      <x:c r="G855" s="31" t="str">
        <x:v>Walk through the 3 financial statements</x:v>
      </x:c>
    </x:row>
    <x:row r="856" ht="34" customHeight="1">
      <x:c r="A856" s="30" t="str">
        <x:v>CL0852</x:v>
      </x:c>
      <x:c r="B856" s="31" t="str">
        <x:v>Walk through the case com</x:v>
      </x:c>
      <x:c r="C856" s="31" t="str">
        <x:v>Other Question</x:v>
      </x:c>
      <x:c r="D856" s="69" t="n">
        <x:f>COUNTIF('All Questions'!$G$5:$G$1725,A856)</x:f>
        <x:v>1</x:v>
      </x:c>
      <x:c r="E856" s="31" t="str">
        <x:v>GS DCMECM</x:v>
      </x:c>
      <x:c r="F856" s="31" t="str">
        <x:v>IBD / GCM</x:v>
      </x:c>
      <x:c r="G856" s="31" t="str">
        <x:v>Walk through the case com</x:v>
      </x:c>
    </x:row>
    <x:row r="857" ht="34" customHeight="1">
      <x:c r="A857" s="30" t="str">
        <x:v>CL0853</x:v>
      </x:c>
      <x:c r="B857" s="31" t="str">
        <x:v>Walk through the company’s P&amp;L structure</x:v>
      </x:c>
      <x:c r="C857" s="31" t="str">
        <x:v>Company, Industry &amp; Deals</x:v>
      </x:c>
      <x:c r="D857" s="69" t="n">
        <x:f>COUNTIF('All Questions'!$G$5:$G$1725,A857)</x:f>
        <x:v>1</x:v>
      </x:c>
      <x:c r="E857" s="31" t="str">
        <x:v>BNP Paribas</x:v>
      </x:c>
      <x:c r="F857" s="31" t="str">
        <x:v>IBD / GCM</x:v>
      </x:c>
      <x:c r="G857" s="31" t="str">
        <x:v>Walk through the company’s P&amp;L structure</x:v>
      </x:c>
    </x:row>
    <x:row r="858" ht="34" customHeight="1">
      <x:c r="A858" s="30" t="str">
        <x:v>CL0854</x:v>
      </x:c>
      <x:c r="B858" s="31" t="str">
        <x:v>Was I allocated or I chose Capital Market at Nomura</x:v>
      </x:c>
      <x:c r="C858" s="31" t="str">
        <x:v>Capital Markets &amp; Financing</x:v>
      </x:c>
      <x:c r="D858" s="69" t="n">
        <x:f>COUNTIF('All Questions'!$G$5:$G$1725,A858)</x:f>
        <x:v>1</x:v>
      </x:c>
      <x:c r="E858" s="31" t="str">
        <x:v>MS IBD</x:v>
      </x:c>
      <x:c r="F858" s="31" t="str">
        <x:v>IBD / GCM</x:v>
      </x:c>
      <x:c r="G858" s="31" t="str">
        <x:v>Was I allocated or I chose Capital Market at Nomura</x:v>
      </x:c>
    </x:row>
    <x:row r="859" ht="34" customHeight="1">
      <x:c r="A859" s="30" t="str">
        <x:v>CL0855</x:v>
      </x:c>
      <x:c r="B859" s="31" t="str">
        <x:v>Was it a strategic or financial buyer that you were looking for</x:v>
      </x:c>
      <x:c r="C859" s="31" t="str">
        <x:v>M&amp;A</x:v>
      </x:c>
      <x:c r="D859" s="69" t="n">
        <x:f>COUNTIF('All Questions'!$G$5:$G$1725,A859)</x:f>
        <x:v>1</x:v>
      </x:c>
      <x:c r="E859" s="31" t="str">
        <x:v>MS IBD</x:v>
      </x:c>
      <x:c r="F859" s="31" t="str">
        <x:v>IBD / GCM</x:v>
      </x:c>
      <x:c r="G859" s="31" t="str">
        <x:v>Was it a strategic or financial buyer that you were looking for?</x:v>
      </x:c>
    </x:row>
    <x:row r="860" ht="34" customHeight="1">
      <x:c r="A860" s="30" t="str">
        <x:v>CL0856</x:v>
      </x:c>
      <x:c r="B860" s="31" t="str">
        <x:v>Ways to boost the return of LBO investment</x:v>
      </x:c>
      <x:c r="C860" s="31" t="str">
        <x:v>Private Equity &amp; LBO</x:v>
      </x:c>
      <x:c r="D860" s="69" t="n">
        <x:f>COUNTIF('All Questions'!$G$5:$G$1725,A860)</x:f>
        <x:v>1</x:v>
      </x:c>
      <x:c r="E860" s="31" t="str">
        <x:v>MS IBD</x:v>
      </x:c>
      <x:c r="F860" s="31" t="str">
        <x:v>IBD / GCM</x:v>
      </x:c>
      <x:c r="G860" s="31" t="str">
        <x:v>Ways to boost the return of LBO investment</x:v>
      </x:c>
    </x:row>
    <x:row r="861" ht="76" customHeight="1">
      <x:c r="A861" s="30" t="str">
        <x:v>CL0857</x:v>
      </x:c>
      <x:c r="B861" s="31" t="str">
        <x:v>We have a company with 50% boring and stable business, lower margin, another 50% faster growing consultancy based higher margin business, which business unit will you value with higher value</x:v>
      </x:c>
      <x:c r="C861" s="31" t="str">
        <x:v>Company, Industry &amp; Deals</x:v>
      </x:c>
      <x:c r="D861" s="69" t="n">
        <x:f>COUNTIF('All Questions'!$G$5:$G$1725,A861)</x:f>
        <x:v>1</x:v>
      </x:c>
      <x:c r="E861" s="31" t="str">
        <x:v>Deutsche</x:v>
      </x:c>
      <x:c r="F861" s="31" t="str">
        <x:v>IBD / GCM</x:v>
      </x:c>
      <x:c r="G861" s="31" t="str">
        <x:v>We have a company with 50% boring and stable business, lower margin, another 50% faster growing consultancy based higher margin business, which business unit will you value with higher value?</x:v>
      </x:c>
    </x:row>
    <x:row r="862" ht="34" customHeight="1">
      <x:c r="A862" s="30" t="str">
        <x:v>CL0858</x:v>
      </x:c>
      <x:c r="B862" s="31" t="str">
        <x:v>What advantage could you bring to our team</x:v>
      </x:c>
      <x:c r="C862" s="31" t="str">
        <x:v>Other Question</x:v>
      </x:c>
      <x:c r="D862" s="69" t="n">
        <x:f>COUNTIF('All Questions'!$G$5:$G$1725,A862)</x:f>
        <x:v>1</x:v>
      </x:c>
      <x:c r="E862" s="31" t="str">
        <x:v>HSBC CMB</x:v>
      </x:c>
      <x:c r="F862" s="31" t="str">
        <x:v>PE / VC / Other</x:v>
      </x:c>
      <x:c r="G862" s="31" t="str">
        <x:v>What advantage could you bring to our team</x:v>
      </x:c>
    </x:row>
    <x:row r="863" ht="76" customHeight="1">
      <x:c r="A863" s="30" t="str">
        <x:v>CL0859</x:v>
      </x:c>
      <x:c r="B863" s="31" t="str">
        <x:v>What affects gross profit margin? (I said, price, cost, volume). She said the utilisation rate of the machines will also affect the volume. More volume means fixed cost can be spread over more items due to economies of scale</x:v>
      </x:c>
      <x:c r="C863" s="31" t="str">
        <x:v>Fit &amp; Motivation</x:v>
      </x:c>
      <x:c r="D863" s="69" t="n">
        <x:f>COUNTIF('All Questions'!$G$5:$G$1725,A863)</x:f>
        <x:v>1</x:v>
      </x:c>
      <x:c r="E863" s="31" t="str">
        <x:v>MSPEA</x:v>
      </x:c>
      <x:c r="F863" s="31" t="str">
        <x:v>PE / VC / Other</x:v>
      </x:c>
      <x:c r="G863" s="31" t="str">
        <x:v>What affects gross profit margin? (I said, price, cost, volume). She said the utilisation rate of the machines will also affect the volume. More volume means fixed cost can be spread over more items due to economies of scale</x:v>
      </x:c>
    </x:row>
    <x:row r="864" ht="52" customHeight="1">
      <x:c r="A864" s="30" t="str">
        <x:v>CL0860</x:v>
      </x:c>
      <x:c r="B864" s="31" t="str">
        <x:v>What and why CPS? What are some terms in there? Type of debt (mezzanine) What are the current debt it holds, and is CPS on/senior/junior to it</x:v>
      </x:c>
      <x:c r="C864" s="31" t="str">
        <x:v>Fit &amp; Motivation</x:v>
      </x:c>
      <x:c r="D864" s="69" t="n">
        <x:f>COUNTIF('All Questions'!$G$5:$G$1725,A864)</x:f>
        <x:v>1</x:v>
      </x:c>
      <x:c r="E864" s="31" t="str">
        <x:v>Houlihan Lokey</x:v>
      </x:c>
      <x:c r="F864" s="31" t="str">
        <x:v>IBD / GCM</x:v>
      </x:c>
      <x:c r="G864" s="31" t="str">
        <x:v>What and why CPS? What are some terms in there? Type of debt (mezzanine) What are the current debt it holds, and is CPS on/senior/junior to it?</x:v>
      </x:c>
    </x:row>
    <x:row r="865" ht="52" customHeight="1">
      <x:c r="A865" s="30" t="str">
        <x:v>CL0861</x:v>
      </x:c>
      <x:c r="B865" s="31" t="str">
        <x:v>What approach should you take if you want the client to fund in more money into the account? (particularly if the performance of the portfolio is not good)</x:v>
      </x:c>
      <x:c r="C865" s="31" t="str">
        <x:v>Accounting &amp; Financial Statements</x:v>
      </x:c>
      <x:c r="D865" s="69" t="n">
        <x:f>COUNTIF('All Questions'!$G$5:$G$1725,A865)</x:f>
        <x:v>1</x:v>
      </x:c>
      <x:c r="E865" s="31" t="str">
        <x:v>JPM PB</x:v>
      </x:c>
      <x:c r="F865" s="31" t="str">
        <x:v>PWM / AM</x:v>
      </x:c>
      <x:c r="G865" s="31" t="str">
        <x:v>What approach should you take if you want the client to fund in more money into the account? (particularly if the performance of the portfolio is not good)</x:v>
      </x:c>
    </x:row>
    <x:row r="866" ht="34" customHeight="1">
      <x:c r="A866" s="30" t="str">
        <x:v>CL0862</x:v>
      </x:c>
      <x:c r="B866" s="31" t="str">
        <x:v>What are commonly used comps</x:v>
      </x:c>
      <x:c r="C866" s="31" t="str">
        <x:v>Valuation</x:v>
      </x:c>
      <x:c r="D866" s="69" t="n">
        <x:f>COUNTIF('All Questions'!$G$5:$G$1725,A866)</x:f>
        <x:v>1</x:v>
      </x:c>
      <x:c r="E866" s="31" t="str">
        <x:v>Nomura</x:v>
      </x:c>
      <x:c r="F866" s="31" t="str">
        <x:v>IBD / GCM</x:v>
      </x:c>
      <x:c r="G866" s="31" t="str">
        <x:v>What are commonly used comps?</x:v>
      </x:c>
    </x:row>
    <x:row r="867" ht="34" customHeight="1">
      <x:c r="A867" s="30" t="str">
        <x:v>CL0863</x:v>
      </x:c>
      <x:c r="B867" s="31" t="str">
        <x:v>What are differences between different exit methods (IPO, strategic purchase...)</x:v>
      </x:c>
      <x:c r="C867" s="31" t="str">
        <x:v>Capital Markets &amp; Financing</x:v>
      </x:c>
      <x:c r="D867" s="69" t="n">
        <x:f>COUNTIF('All Questions'!$G$5:$G$1725,A867)</x:f>
        <x:v>1</x:v>
      </x:c>
      <x:c r="E867" s="31" t="str">
        <x:v>MS IBD</x:v>
      </x:c>
      <x:c r="F867" s="31" t="str">
        <x:v>IBD / GCM</x:v>
      </x:c>
      <x:c r="G867" s="31" t="str">
        <x:v>What are differences between different exit methods (IPO, strategic purchase...)</x:v>
      </x:c>
    </x:row>
    <x:row r="868" ht="34" customHeight="1">
      <x:c r="A868" s="30" t="str">
        <x:v>CL0864</x:v>
      </x:c>
      <x:c r="B868" s="31" t="str">
        <x:v>What are other investment opportunities you are paying attention in the market</x:v>
      </x:c>
      <x:c r="C868" s="31" t="str">
        <x:v>Other Question</x:v>
      </x:c>
      <x:c r="D868" s="69" t="n">
        <x:f>COUNTIF('All Questions'!$G$5:$G$1725,A868)</x:f>
        <x:v>1</x:v>
      </x:c>
      <x:c r="E868" s="31" t="str">
        <x:v>UBS AM</x:v>
      </x:c>
      <x:c r="F868" s="31" t="str">
        <x:v>PWM / AM</x:v>
      </x:c>
      <x:c r="G868" s="31" t="str">
        <x:v>What are other investment opportunities you are paying attention in the market?</x:v>
      </x:c>
    </x:row>
    <x:row r="869" ht="34" customHeight="1">
      <x:c r="A869" s="30" t="str">
        <x:v>CL0865</x:v>
      </x:c>
      <x:c r="B869" s="31" t="str">
        <x:v>What are other stocks in that value chain? pitch one (with follow-up questions)</x:v>
      </x:c>
      <x:c r="C869" s="31" t="str">
        <x:v>Other Question</x:v>
      </x:c>
      <x:c r="D869" s="69" t="n">
        <x:f>COUNTIF('All Questions'!$G$5:$G$1725,A869)</x:f>
        <x:v>1</x:v>
      </x:c>
      <x:c r="E869" s="31" t="str">
        <x:v>MS GCM</x:v>
      </x:c>
      <x:c r="F869" s="31" t="str">
        <x:v>IBD / GCM</x:v>
      </x:c>
      <x:c r="G869" s="31" t="str">
        <x:v>what are other stocks in that value chain? pitch one (with follow-up questions)</x:v>
      </x:c>
    </x:row>
    <x:row r="870" ht="34" customHeight="1">
      <x:c r="A870" s="30" t="str">
        <x:v>CL0866</x:v>
      </x:c>
      <x:c r="B870" s="31" t="str">
        <x:v>What are some common credit ratios</x:v>
      </x:c>
      <x:c r="C870" s="31" t="str">
        <x:v>Company, Industry &amp; Deals</x:v>
      </x:c>
      <x:c r="D870" s="69" t="n">
        <x:f>COUNTIF('All Questions'!$G$5:$G$1725,A870)</x:f>
        <x:v>1</x:v>
      </x:c>
      <x:c r="E870" s="31" t="str">
        <x:v>MS IBD</x:v>
      </x:c>
      <x:c r="F870" s="31" t="str">
        <x:v>IBD / GCM</x:v>
      </x:c>
      <x:c r="G870" s="31" t="str">
        <x:v>What are some common credit ratios?</x:v>
      </x:c>
    </x:row>
    <x:row r="871" ht="34" customHeight="1">
      <x:c r="A871" s="30" t="str">
        <x:v>CL0867</x:v>
      </x:c>
      <x:c r="B871" s="31" t="str">
        <x:v>What are some cultures u know of outside of malaysia and hong kong (anything to share?)</x:v>
      </x:c>
      <x:c r="C871" s="31" t="str">
        <x:v>Fit &amp; Motivation</x:v>
      </x:c>
      <x:c r="D871" s="69" t="n">
        <x:f>COUNTIF('All Questions'!$G$5:$G$1725,A871)</x:f>
        <x:v>1</x:v>
      </x:c>
      <x:c r="E871" s="31" t="str">
        <x:v>BlackRock</x:v>
      </x:c>
      <x:c r="F871" s="31" t="str">
        <x:v>PWM / AM</x:v>
      </x:c>
      <x:c r="G871" s="31" t="str">
        <x:v>what are some cultures u know of outside of malaysia and hong kong (anything to share?)</x:v>
      </x:c>
    </x:row>
    <x:row r="872" ht="34" customHeight="1">
      <x:c r="A872" s="30" t="str">
        <x:v>CL0868</x:v>
      </x:c>
      <x:c r="B872" s="31" t="str">
        <x:v>What are some factors that will affect oil price</x:v>
      </x:c>
      <x:c r="C872" s="31" t="str">
        <x:v>Other Question</x:v>
      </x:c>
      <x:c r="D872" s="69" t="n">
        <x:f>COUNTIF('All Questions'!$G$5:$G$1725,A872)</x:f>
        <x:v>1</x:v>
      </x:c>
      <x:c r="E872" s="31" t="str">
        <x:v>MSPEA</x:v>
      </x:c>
      <x:c r="F872" s="31" t="str">
        <x:v>PE / VC / Other</x:v>
      </x:c>
      <x:c r="G872" s="31" t="str">
        <x:v>What are some factors that will affect oil price?</x:v>
      </x:c>
    </x:row>
    <x:row r="873" ht="34" customHeight="1">
      <x:c r="A873" s="30" t="str">
        <x:v>CL0869</x:v>
      </x:c>
      <x:c r="B873" s="31" t="str">
        <x:v>What are some financial services deutsche can provide to SenseTime? how about for Nomura</x:v>
      </x:c>
      <x:c r="C873" s="31" t="str">
        <x:v>Company, Industry &amp; Deals</x:v>
      </x:c>
      <x:c r="D873" s="69" t="n">
        <x:f>COUNTIF('All Questions'!$G$5:$G$1725,A873)</x:f>
        <x:v>1</x:v>
      </x:c>
      <x:c r="E873" s="31" t="str">
        <x:v>Deutsche</x:v>
      </x:c>
      <x:c r="F873" s="31" t="str">
        <x:v>IBD / GCM</x:v>
      </x:c>
      <x:c r="G873" s="31" t="str">
        <x:v>what are some financial services deutsche can provide to SenseTime? how about for Nomura?</x:v>
      </x:c>
    </x:row>
    <x:row r="874" ht="34" customHeight="1">
      <x:c r="A874" s="30" t="str">
        <x:v>CL0870</x:v>
      </x:c>
      <x:c r="B874" s="31" t="str">
        <x:v>What are some impacts or catalysts for the store</x:v>
      </x:c>
      <x:c r="C874" s="31" t="str">
        <x:v>Company, Industry &amp; Deals</x:v>
      </x:c>
      <x:c r="D874" s="69" t="n">
        <x:f>COUNTIF('All Questions'!$G$5:$G$1725,A874)</x:f>
        <x:v>1</x:v>
      </x:c>
      <x:c r="E874" s="31" t="str">
        <x:v>MS IBD</x:v>
      </x:c>
      <x:c r="F874" s="31" t="str">
        <x:v>IBD / GCM</x:v>
      </x:c>
      <x:c r="G874" s="31" t="str">
        <x:v>What are some impacts or catalysts for the store</x:v>
      </x:c>
    </x:row>
    <x:row r="875" ht="52" customHeight="1">
      <x:c r="A875" s="30" t="str">
        <x:v>CL0871</x:v>
      </x:c>
      <x:c r="B875" s="31" t="str">
        <x:v>What are some metrics you would look at to evaluate a debt ratio? Apart from these ratio, any qualitative measures</x:v>
      </x:c>
      <x:c r="C875" s="31" t="str">
        <x:v>Company, Industry &amp; Deals</x:v>
      </x:c>
      <x:c r="D875" s="69" t="n">
        <x:f>COUNTIF('All Questions'!$G$5:$G$1725,A875)</x:f>
        <x:v>1</x:v>
      </x:c>
      <x:c r="E875" s="31" t="str">
        <x:v>MSPEA</x:v>
      </x:c>
      <x:c r="F875" s="31" t="str">
        <x:v>PE / VC / Other</x:v>
      </x:c>
      <x:c r="G875" s="31" t="str">
        <x:v>What are some metrics you would look at to evaluate a debt ratio? Apart from these ratio, any qualitative measures?</x:v>
      </x:c>
    </x:row>
    <x:row r="876" ht="34" customHeight="1">
      <x:c r="A876" s="30" t="str">
        <x:v>CL0872</x:v>
      </x:c>
      <x:c r="B876" s="31" t="str">
        <x:v>What are some points that investors will look into when investing in companies in this industry</x:v>
      </x:c>
      <x:c r="C876" s="31" t="str">
        <x:v>Company, Industry &amp; Deals</x:v>
      </x:c>
      <x:c r="D876" s="69" t="n">
        <x:f>COUNTIF('All Questions'!$G$5:$G$1725,A876)</x:f>
        <x:v>1</x:v>
      </x:c>
      <x:c r="E876" s="31" t="str">
        <x:v>Barclays</x:v>
      </x:c>
      <x:c r="F876" s="31" t="str">
        <x:v>IBD / GCM</x:v>
      </x:c>
      <x:c r="G876" s="31" t="str">
        <x:v>What are some points that investors will look into when investing in companies in this industry</x:v>
      </x:c>
    </x:row>
    <x:row r="877" ht="34" customHeight="1">
      <x:c r="A877" s="30" t="str">
        <x:v>CL0873</x:v>
      </x:c>
      <x:c r="B877" s="31" t="str">
        <x:v>What are some signs of company going through distress</x:v>
      </x:c>
      <x:c r="C877" s="31" t="str">
        <x:v>Company, Industry &amp; Deals</x:v>
      </x:c>
      <x:c r="D877" s="69" t="n">
        <x:f>COUNTIF('All Questions'!$G$5:$G$1725,A877)</x:f>
        <x:v>1</x:v>
      </x:c>
      <x:c r="E877" s="31" t="str">
        <x:v>Houlihan Lokey</x:v>
      </x:c>
      <x:c r="F877" s="31" t="str">
        <x:v>IBD / GCM</x:v>
      </x:c>
      <x:c r="G877" s="31" t="str">
        <x:v>What are some signs of company going through distress</x:v>
      </x:c>
    </x:row>
    <x:row r="878" ht="34" customHeight="1">
      <x:c r="A878" s="30" t="str">
        <x:v>CL0874</x:v>
      </x:c>
      <x:c r="B878" s="31" t="str">
        <x:v>What are some ways to raise funds</x:v>
      </x:c>
      <x:c r="C878" s="31" t="str">
        <x:v>Capital Markets &amp; Financing</x:v>
      </x:c>
      <x:c r="D878" s="69" t="n">
        <x:f>COUNTIF('All Questions'!$G$5:$G$1725,A878)</x:f>
        <x:v>1</x:v>
      </x:c>
      <x:c r="E878" s="31" t="str">
        <x:v>MS GCM</x:v>
      </x:c>
      <x:c r="F878" s="31" t="str">
        <x:v>IBD / GCM</x:v>
      </x:c>
      <x:c r="G878" s="31" t="str">
        <x:v>What are some ways to raise funds</x:v>
      </x:c>
    </x:row>
    <x:row r="879" ht="34" customHeight="1">
      <x:c r="A879" s="30" t="str">
        <x:v>CL0875</x:v>
      </x:c>
      <x:c r="B879" s="31" t="str">
        <x:v>What are the achievements that u've made</x:v>
      </x:c>
      <x:c r="C879" s="31" t="str">
        <x:v>Other Question</x:v>
      </x:c>
      <x:c r="D879" s="69" t="n">
        <x:f>COUNTIF('All Questions'!$G$5:$G$1725,A879)</x:f>
        <x:v>1</x:v>
      </x:c>
      <x:c r="E879" s="31" t="str">
        <x:v>Barclays GM</x:v>
      </x:c>
      <x:c r="F879" s="31" t="str">
        <x:v>Sales &amp; Trading</x:v>
      </x:c>
      <x:c r="G879" s="31" t="str">
        <x:v>What are the achievements that u've made</x:v>
      </x:c>
    </x:row>
    <x:row r="880" ht="34" customHeight="1">
      <x:c r="A880" s="30" t="str">
        <x:v>CL0876</x:v>
      </x:c>
      <x:c r="B880" s="31" t="str">
        <x:v>What are the comps used (name some)</x:v>
      </x:c>
      <x:c r="C880" s="31" t="str">
        <x:v>Valuation</x:v>
      </x:c>
      <x:c r="D880" s="69" t="n">
        <x:f>COUNTIF('All Questions'!$G$5:$G$1725,A880)</x:f>
        <x:v>1</x:v>
      </x:c>
      <x:c r="E880" s="31" t="str">
        <x:v>Deutsche</x:v>
      </x:c>
      <x:c r="F880" s="31" t="str">
        <x:v>IBD / GCM</x:v>
      </x:c>
      <x:c r="G880" s="31" t="str">
        <x:v>What are the comps used (name some)</x:v>
      </x:c>
    </x:row>
    <x:row r="881" ht="34" customHeight="1">
      <x:c r="A881" s="30" t="str">
        <x:v>CL0877</x:v>
      </x:c>
      <x:c r="B881" s="31" t="str">
        <x:v>What are the credit analysis metrics</x:v>
      </x:c>
      <x:c r="C881" s="31" t="str">
        <x:v>Other Question</x:v>
      </x:c>
      <x:c r="D881" s="69" t="n">
        <x:f>COUNTIF('All Questions'!$G$5:$G$1725,A881)</x:f>
        <x:v>1</x:v>
      </x:c>
      <x:c r="E881" s="31" t="str">
        <x:v>Houlihan Lokey</x:v>
      </x:c>
      <x:c r="F881" s="31" t="str">
        <x:v>IBD / GCM</x:v>
      </x:c>
      <x:c r="G881" s="31" t="str">
        <x:v>What are the credit analysis metrics</x:v>
      </x:c>
    </x:row>
    <x:row r="882" ht="76" customHeight="1">
      <x:c r="A882" s="30" t="str">
        <x:v>CL0878</x:v>
      </x:c>
      <x:c r="B882" s="31" t="str">
        <x:v>What are the differences between HKEX, SSE, SZSE, NASDAQ, NYSE in terms of their scope of business, pros and cons. Why would a company choose HKEX? (consider not only listing, but also the derivative market, preferences of different industries)</x:v>
      </x:c>
      <x:c r="C882" s="31" t="str">
        <x:v>Fit &amp; Motivation</x:v>
      </x:c>
      <x:c r="D882" s="69" t="n">
        <x:f>COUNTIF('All Questions'!$G$5:$G$1725,A882)</x:f>
        <x:v>1</x:v>
      </x:c>
      <x:c r="E882" s="31" t="str">
        <x:v>HKEX</x:v>
      </x:c>
      <x:c r="F882" s="31" t="str">
        <x:v>PE / VC / Other</x:v>
      </x:c>
      <x:c r="G882" s="31" t="str">
        <x:v>What are the differences between HKEX, SSE, SZSE, NASDAQ, NYSE in terms of their scope of business, pros and cons. Why would a company choose HKEX? (consider not only listing, but also the derivative market, preferences of different industries)</x:v>
      </x:c>
    </x:row>
    <x:row r="883" ht="34" customHeight="1">
      <x:c r="A883" s="30" t="str">
        <x:v>CL0879</x:v>
      </x:c>
      <x:c r="B883" s="31" t="str">
        <x:v>What are the differences in primary markets investment compared to secondary markets</x:v>
      </x:c>
      <x:c r="C883" s="31" t="str">
        <x:v>Private Equity &amp; LBO</x:v>
      </x:c>
      <x:c r="D883" s="69" t="n">
        <x:f>COUNTIF('All Questions'!$G$5:$G$1725,A883)</x:f>
        <x:v>1</x:v>
      </x:c>
      <x:c r="E883" s="31" t="str">
        <x:v>MSPEA</x:v>
      </x:c>
      <x:c r="F883" s="31" t="str">
        <x:v>PE / VC / Other</x:v>
      </x:c>
      <x:c r="G883" s="31" t="str">
        <x:v>What are the differences in primary markets investment compared to secondary markets?</x:v>
      </x:c>
    </x:row>
    <x:row r="884" ht="34" customHeight="1">
      <x:c r="A884" s="30" t="str">
        <x:v>CL0880</x:v>
      </x:c>
      <x:c r="B884" s="31" t="str">
        <x:v>What are the differences of a day-to-day of working in IBD and ER? Which one do you like more</x:v>
      </x:c>
      <x:c r="C884" s="31" t="str">
        <x:v>Other Question</x:v>
      </x:c>
      <x:c r="D884" s="69" t="n">
        <x:f>COUNTIF('All Questions'!$G$5:$G$1725,A884)</x:f>
        <x:v>1</x:v>
      </x:c>
      <x:c r="E884" s="31" t="str">
        <x:v>MS IBD</x:v>
      </x:c>
      <x:c r="F884" s="31" t="str">
        <x:v>IBD / GCM</x:v>
      </x:c>
      <x:c r="G884" s="31" t="str">
        <x:v>What are the differences of a day-to-day of working in IBD and ER? Which one do you like more?</x:v>
      </x:c>
    </x:row>
    <x:row r="885" ht="34" customHeight="1">
      <x:c r="A885" s="30" t="str">
        <x:v>CL0881</x:v>
      </x:c>
      <x:c r="B885" s="31" t="str">
        <x:v>What are the factors that will affect the NPV of the company</x:v>
      </x:c>
      <x:c r="C885" s="31" t="str">
        <x:v>Company, Industry &amp; Deals</x:v>
      </x:c>
      <x:c r="D885" s="69" t="n">
        <x:f>COUNTIF('All Questions'!$G$5:$G$1725,A885)</x:f>
        <x:v>1</x:v>
      </x:c>
      <x:c r="E885" s="31" t="str">
        <x:v>Moelis</x:v>
      </x:c>
      <x:c r="F885" s="31" t="str">
        <x:v>IBD / GCM</x:v>
      </x:c>
      <x:c r="G885" s="31" t="str">
        <x:v>What are the factors that will affect the NPV of the company?</x:v>
      </x:c>
    </x:row>
    <x:row r="886" ht="34" customHeight="1">
      <x:c r="A886" s="30" t="str">
        <x:v>CL0882</x:v>
      </x:c>
      <x:c r="B886" s="31" t="str">
        <x:v>What are the important qualities to be a good investment banker</x:v>
      </x:c>
      <x:c r="C886" s="31" t="str">
        <x:v>Fit &amp; Motivation</x:v>
      </x:c>
      <x:c r="D886" s="69" t="n">
        <x:f>COUNTIF('All Questions'!$G$5:$G$1725,A886)</x:f>
        <x:v>1</x:v>
      </x:c>
      <x:c r="E886" s="31" t="str">
        <x:v>MS IBD</x:v>
      </x:c>
      <x:c r="F886" s="31" t="str">
        <x:v>IBD / GCM</x:v>
      </x:c>
      <x:c r="G886" s="31" t="str">
        <x:v>What are the important qualities to be a good investment banker</x:v>
      </x:c>
    </x:row>
    <x:row r="887" ht="34" customHeight="1">
      <x:c r="A887" s="30" t="str">
        <x:v>CL0883</x:v>
      </x:c>
      <x:c r="B887" s="31" t="str">
        <x:v>What are the main factors of choosing the final buyer in M&amp;A as a sellside advisor</x:v>
      </x:c>
      <x:c r="C887" s="31" t="str">
        <x:v>M&amp;A</x:v>
      </x:c>
      <x:c r="D887" s="69" t="n">
        <x:f>COUNTIF('All Questions'!$G$5:$G$1725,A887)</x:f>
        <x:v>1</x:v>
      </x:c>
      <x:c r="E887" s="31" t="str">
        <x:v>Lazard</x:v>
      </x:c>
      <x:c r="F887" s="31" t="str">
        <x:v>IBD / GCM</x:v>
      </x:c>
      <x:c r="G887" s="31" t="str">
        <x:v>What are the main factors of choosing the final buyer in M&amp;A as a sellside advisor?</x:v>
      </x:c>
    </x:row>
    <x:row r="888" ht="34" customHeight="1">
      <x:c r="A888" s="30" t="str">
        <x:v>CL0884</x:v>
      </x:c>
      <x:c r="B888" s="31" t="str">
        <x:v>What are the risks in the China and US market</x:v>
      </x:c>
      <x:c r="C888" s="31" t="str">
        <x:v>Other Question</x:v>
      </x:c>
      <x:c r="D888" s="69" t="n">
        <x:f>COUNTIF('All Questions'!$G$5:$G$1725,A888)</x:f>
        <x:v>1</x:v>
      </x:c>
      <x:c r="E888" s="31" t="str">
        <x:v>UBS AM</x:v>
      </x:c>
      <x:c r="F888" s="31" t="str">
        <x:v>PWM / AM</x:v>
      </x:c>
      <x:c r="G888" s="31" t="str">
        <x:v>What are the risks in the China and US market?</x:v>
      </x:c>
    </x:row>
    <x:row r="889" ht="34" customHeight="1">
      <x:c r="A889" s="30" t="str">
        <x:v>CL0885</x:v>
      </x:c>
      <x:c r="B889" s="31" t="str">
        <x:v>What are typical components in CIM and Management presentation</x:v>
      </x:c>
      <x:c r="C889" s="31" t="str">
        <x:v>Other Question</x:v>
      </x:c>
      <x:c r="D889" s="69" t="n">
        <x:f>COUNTIF('All Questions'!$G$5:$G$1725,A889)</x:f>
        <x:v>1</x:v>
      </x:c>
      <x:c r="E889" s="31" t="str">
        <x:v>Lazard</x:v>
      </x:c>
      <x:c r="F889" s="31" t="str">
        <x:v>IBD / GCM</x:v>
      </x:c>
      <x:c r="G889" s="31" t="str">
        <x:v>What are typical components in CIM and Management presentation?</x:v>
      </x:c>
    </x:row>
    <x:row r="890" ht="34" customHeight="1">
      <x:c r="A890" s="30" t="str">
        <x:v>CL0886</x:v>
      </x:c>
      <x:c r="B890" s="31" t="str">
        <x:v>What are you exactly doing in this role</x:v>
      </x:c>
      <x:c r="C890" s="31" t="str">
        <x:v>Other Question</x:v>
      </x:c>
      <x:c r="D890" s="69" t="n">
        <x:f>COUNTIF('All Questions'!$G$5:$G$1725,A890)</x:f>
        <x:v>1</x:v>
      </x:c>
      <x:c r="E890" s="31" t="str">
        <x:v>JPM PB</x:v>
      </x:c>
      <x:c r="F890" s="31" t="str">
        <x:v>PWM / AM</x:v>
      </x:c>
      <x:c r="G890" s="31" t="str">
        <x:v>What are you exactly doing in this role?</x:v>
      </x:c>
    </x:row>
    <x:row r="891" ht="34" customHeight="1">
      <x:c r="A891" s="30" t="str">
        <x:v>CL0887</x:v>
      </x:c>
      <x:c r="B891" s="31" t="str">
        <x:v>What are your strengths</x:v>
      </x:c>
      <x:c r="C891" s="31" t="str">
        <x:v>Behavioral &amp; Situational</x:v>
      </x:c>
      <x:c r="D891" s="69" t="n">
        <x:f>COUNTIF('All Questions'!$G$5:$G$1725,A891)</x:f>
        <x:v>1</x:v>
      </x:c>
      <x:c r="E891" s="31" t="str">
        <x:v>Barclays</x:v>
      </x:c>
      <x:c r="F891" s="31" t="str">
        <x:v>IBD / GCM</x:v>
      </x:c>
      <x:c r="G891" s="31" t="str">
        <x:v>What are your strengths?</x:v>
      </x:c>
    </x:row>
    <x:row r="892" ht="34" customHeight="1">
      <x:c r="A892" s="30" t="str">
        <x:v>CL0888</x:v>
      </x:c>
      <x:c r="B892" s="31" t="str">
        <x:v>What can companies use with excess cash</x:v>
      </x:c>
      <x:c r="C892" s="31" t="str">
        <x:v>Company, Industry &amp; Deals</x:v>
      </x:c>
      <x:c r="D892" s="69" t="n">
        <x:f>COUNTIF('All Questions'!$G$5:$G$1725,A892)</x:f>
        <x:v>1</x:v>
      </x:c>
      <x:c r="E892" s="31" t="str">
        <x:v>Citi</x:v>
      </x:c>
      <x:c r="F892" s="31" t="str">
        <x:v>IBD / GCM</x:v>
      </x:c>
      <x:c r="G892" s="31" t="str">
        <x:v>What can companies use with excess cash?</x:v>
      </x:c>
    </x:row>
    <x:row r="893" ht="34" customHeight="1">
      <x:c r="A893" s="30" t="str">
        <x:v>CL0889</x:v>
      </x:c>
      <x:c r="B893" s="31" t="str">
        <x:v>What companies did you use for comparables analysis</x:v>
      </x:c>
      <x:c r="C893" s="31" t="str">
        <x:v>Valuation</x:v>
      </x:c>
      <x:c r="D893" s="69" t="n">
        <x:f>COUNTIF('All Questions'!$G$5:$G$1725,A893)</x:f>
        <x:v>1</x:v>
      </x:c>
      <x:c r="E893" s="31" t="str">
        <x:v>HSBC</x:v>
      </x:c>
      <x:c r="F893" s="31" t="str">
        <x:v>IBD / GCM</x:v>
      </x:c>
      <x:c r="G893" s="31" t="str">
        <x:v>what companies did you use for comparables analysis</x:v>
      </x:c>
    </x:row>
    <x:row r="894" ht="34" customHeight="1">
      <x:c r="A894" s="30" t="str">
        <x:v>CL0890</x:v>
      </x:c>
      <x:c r="B894" s="31" t="str">
        <x:v>What companies did you use for the comparable analysis at XXXX</x:v>
      </x:c>
      <x:c r="C894" s="31" t="str">
        <x:v>Valuation</x:v>
      </x:c>
      <x:c r="D894" s="69" t="n">
        <x:f>COUNTIF('All Questions'!$G$5:$G$1725,A894)</x:f>
        <x:v>1</x:v>
      </x:c>
      <x:c r="E894" s="31" t="str">
        <x:v>HSBC</x:v>
      </x:c>
      <x:c r="F894" s="31" t="str">
        <x:v>IBD / GCM</x:v>
      </x:c>
      <x:c r="G894" s="31" t="str">
        <x:v>what companies did you use for the comparable analysis at XXXX</x:v>
      </x:c>
    </x:row>
    <x:row r="895" ht="52" customHeight="1">
      <x:c r="A895" s="30" t="str">
        <x:v>CL0891</x:v>
      </x:c>
      <x:c r="B895" s="31" t="str">
        <x:v>What considerations for the bank take into account when making a decision on bank loan or bond issuance for the corporates</x:v>
      </x:c>
      <x:c r="C895" s="31" t="str">
        <x:v>Capital Markets &amp; Financing</x:v>
      </x:c>
      <x:c r="D895" s="69" t="n">
        <x:f>COUNTIF('All Questions'!$G$5:$G$1725,A895)</x:f>
        <x:v>1</x:v>
      </x:c>
      <x:c r="E895" s="31" t="str">
        <x:v>Citi</x:v>
      </x:c>
      <x:c r="F895" s="31" t="str">
        <x:v>IBD / GCM</x:v>
      </x:c>
      <x:c r="G895" s="31" t="str">
        <x:v>What considerations for the bank take into account when making a decision on bank loan or bond issuance for the corporates?</x:v>
      </x:c>
    </x:row>
    <x:row r="896" ht="34" customHeight="1">
      <x:c r="A896" s="30" t="str">
        <x:v>CL0892</x:v>
      </x:c>
      <x:c r="B896" s="31" t="str">
        <x:v>What coverage are you interested in working on at Barclays</x:v>
      </x:c>
      <x:c r="C896" s="31" t="str">
        <x:v>Other Question</x:v>
      </x:c>
      <x:c r="D896" s="69" t="n">
        <x:f>COUNTIF('All Questions'!$G$5:$G$1725,A896)</x:f>
        <x:v>1</x:v>
      </x:c>
      <x:c r="E896" s="31" t="str">
        <x:v>Barclays</x:v>
      </x:c>
      <x:c r="F896" s="31" t="str">
        <x:v>IBD / GCM</x:v>
      </x:c>
      <x:c r="G896" s="31" t="str">
        <x:v>What coverage are you interested in working on at Barclays?</x:v>
      </x:c>
    </x:row>
    <x:row r="897" ht="34" customHeight="1">
      <x:c r="A897" s="30" t="str">
        <x:v>CL0893</x:v>
      </x:c>
      <x:c r="B897" s="31" t="str">
        <x:v>What did i do in the esports project</x:v>
      </x:c>
      <x:c r="C897" s="31" t="str">
        <x:v>Other Question</x:v>
      </x:c>
      <x:c r="D897" s="69" t="n">
        <x:f>COUNTIF('All Questions'!$G$5:$G$1725,A897)</x:f>
        <x:v>1</x:v>
      </x:c>
      <x:c r="E897" s="31" t="str">
        <x:v>JPM</x:v>
      </x:c>
      <x:c r="F897" s="31" t="str">
        <x:v>IBD / GCM</x:v>
      </x:c>
      <x:c r="G897" s="31" t="str">
        <x:v>what did i do in the esports project</x:v>
      </x:c>
    </x:row>
    <x:row r="898" ht="34" customHeight="1">
      <x:c r="A898" s="30" t="str">
        <x:v>CL0894</x:v>
      </x:c>
      <x:c r="B898" s="31" t="str">
        <x:v>What did u do in previous internship</x:v>
      </x:c>
      <x:c r="C898" s="31" t="str">
        <x:v>Resume &amp; Experience</x:v>
      </x:c>
      <x:c r="D898" s="69" t="n">
        <x:f>COUNTIF('All Questions'!$G$5:$G$1725,A898)</x:f>
        <x:v>1</x:v>
      </x:c>
      <x:c r="E898" s="31" t="str">
        <x:v>Mindworks Capital</x:v>
      </x:c>
      <x:c r="F898" s="31" t="str">
        <x:v>PE / VC / Other</x:v>
      </x:c>
      <x:c r="G898" s="31" t="str">
        <x:v>What did u do in previous internship</x:v>
      </x:c>
    </x:row>
    <x:row r="899" ht="34" customHeight="1">
      <x:c r="A899" s="30" t="str">
        <x:v>CL0895</x:v>
      </x:c>
      <x:c r="B899" s="31" t="str">
        <x:v>What did you do / what role did you play in preparing the pitches</x:v>
      </x:c>
      <x:c r="C899" s="31" t="str">
        <x:v>Resume &amp; Experience</x:v>
      </x:c>
      <x:c r="D899" s="69" t="n">
        <x:f>COUNTIF('All Questions'!$G$5:$G$1725,A899)</x:f>
        <x:v>1</x:v>
      </x:c>
      <x:c r="E899" s="31" t="str">
        <x:v>MS IBD</x:v>
      </x:c>
      <x:c r="F899" s="31" t="str">
        <x:v>IBD / GCM</x:v>
      </x:c>
      <x:c r="G899" s="31" t="str">
        <x:v>What did you do / what role did you play in preparing the pitches?</x:v>
      </x:c>
    </x:row>
    <x:row r="900" ht="34" customHeight="1">
      <x:c r="A900" s="30" t="str">
        <x:v>CL0896</x:v>
      </x:c>
      <x:c r="B900" s="31" t="str">
        <x:v>What did you do at equity research internship</x:v>
      </x:c>
      <x:c r="C900" s="31" t="str">
        <x:v>Resume &amp; Experience</x:v>
      </x:c>
      <x:c r="D900" s="69" t="n">
        <x:f>COUNTIF('All Questions'!$G$5:$G$1725,A900)</x:f>
        <x:v>1</x:v>
      </x:c>
      <x:c r="E900" s="31" t="str">
        <x:v>Nomura</x:v>
      </x:c>
      <x:c r="F900" s="31" t="str">
        <x:v>IBD / GCM</x:v>
      </x:c>
      <x:c r="G900" s="31" t="str">
        <x:v>What did you do at equity research internship</x:v>
      </x:c>
    </x:row>
    <x:row r="901" ht="34" customHeight="1">
      <x:c r="A901" s="30" t="str">
        <x:v>CL0897</x:v>
      </x:c>
      <x:c r="B901" s="31" t="str">
        <x:v>What did you do at KPMG</x:v>
      </x:c>
      <x:c r="C901" s="31" t="str">
        <x:v>Resume &amp; Experience</x:v>
      </x:c>
      <x:c r="D901" s="69" t="n">
        <x:f>COUNTIF('All Questions'!$G$5:$G$1725,A901)</x:f>
        <x:v>1</x:v>
      </x:c>
      <x:c r="E901" s="31" t="str">
        <x:v>Barclays</x:v>
      </x:c>
      <x:c r="F901" s="31" t="str">
        <x:v>IBD / GCM</x:v>
      </x:c>
      <x:c r="G901" s="31" t="str">
        <x:v>what did you do at KPMG</x:v>
      </x:c>
    </x:row>
    <x:row r="902" ht="34" customHeight="1">
      <x:c r="A902" s="30" t="str">
        <x:v>CL0898</x:v>
      </x:c>
      <x:c r="B902" s="31" t="str">
        <x:v>What did you do for research for HKU Business School</x:v>
      </x:c>
      <x:c r="C902" s="31" t="str">
        <x:v>Resume &amp; Experience</x:v>
      </x:c>
      <x:c r="D902" s="69" t="n">
        <x:f>COUNTIF('All Questions'!$G$5:$G$1725,A902)</x:f>
        <x:v>1</x:v>
      </x:c>
      <x:c r="E902" s="31" t="str">
        <x:v>Bofa IBD</x:v>
      </x:c>
      <x:c r="F902" s="31" t="str">
        <x:v>IBD / GCM</x:v>
      </x:c>
      <x:c r="G902" s="31" t="str">
        <x:v>What did you do for research for HKU Business School</x:v>
      </x:c>
    </x:row>
    <x:row r="903" ht="34" customHeight="1">
      <x:c r="A903" s="30" t="str">
        <x:v>CL0899</x:v>
      </x:c>
      <x:c r="B903" s="31" t="str">
        <x:v>What did you do in Grant Samuel</x:v>
      </x:c>
      <x:c r="C903" s="31" t="str">
        <x:v>Resume &amp; Experience</x:v>
      </x:c>
      <x:c r="D903" s="69" t="n">
        <x:f>COUNTIF('All Questions'!$G$5:$G$1725,A903)</x:f>
        <x:v>1</x:v>
      </x:c>
      <x:c r="E903" s="31" t="str">
        <x:v>Barclays</x:v>
      </x:c>
      <x:c r="F903" s="31" t="str">
        <x:v>IBD / GCM</x:v>
      </x:c>
      <x:c r="G903" s="31" t="str">
        <x:v>What did you do in Grant Samuel</x:v>
      </x:c>
    </x:row>
    <x:row r="904" ht="34" customHeight="1">
      <x:c r="A904" s="30" t="str">
        <x:v>CL0900</x:v>
      </x:c>
      <x:c r="B904" s="31" t="str">
        <x:v>What did you do in HKUIBC</x:v>
      </x:c>
      <x:c r="C904" s="31" t="str">
        <x:v>Resume &amp; Experience</x:v>
      </x:c>
      <x:c r="D904" s="69" t="n">
        <x:f>COUNTIF('All Questions'!$G$5:$G$1725,A904)</x:f>
        <x:v>1</x:v>
      </x:c>
      <x:c r="E904" s="31" t="str">
        <x:v>UBS IBD</x:v>
      </x:c>
      <x:c r="F904" s="31" t="str">
        <x:v>IBD / GCM</x:v>
      </x:c>
      <x:c r="G904" s="31" t="str">
        <x:v>What did you do in HKUIBC</x:v>
      </x:c>
    </x:row>
    <x:row r="905" ht="34" customHeight="1">
      <x:c r="A905" s="30" t="str">
        <x:v>CL0901</x:v>
      </x:c>
      <x:c r="B905" s="31" t="str">
        <x:v>What did you do in Huatai Investment Banking, any deals</x:v>
      </x:c>
      <x:c r="C905" s="31" t="str">
        <x:v>Resume &amp; Experience</x:v>
      </x:c>
      <x:c r="D905" s="69" t="n">
        <x:f>COUNTIF('All Questions'!$G$5:$G$1725,A905)</x:f>
        <x:v>1</x:v>
      </x:c>
      <x:c r="E905" s="31" t="str">
        <x:v>Others (eg. PE, CB...)</x:v>
      </x:c>
      <x:c r="F905" s="31" t="str">
        <x:v>PE / VC / Other</x:v>
      </x:c>
      <x:c r="G905" s="31" t="str">
        <x:v>What did you do in Huatai Investment Banking, any deals</x:v>
      </x:c>
    </x:row>
    <x:row r="906" ht="34" customHeight="1">
      <x:c r="A906" s="30" t="str">
        <x:v>CL0902</x:v>
      </x:c>
      <x:c r="B906" s="31" t="str">
        <x:v>What did you do in Odysseus</x:v>
      </x:c>
      <x:c r="C906" s="31" t="str">
        <x:v>Resume &amp; Experience</x:v>
      </x:c>
      <x:c r="D906" s="69" t="n">
        <x:f>COUNTIF('All Questions'!$G$5:$G$1725,A906)</x:f>
        <x:v>1</x:v>
      </x:c>
      <x:c r="E906" s="31" t="str">
        <x:v>MS IBD</x:v>
      </x:c>
      <x:c r="F906" s="31" t="str">
        <x:v>IBD / GCM</x:v>
      </x:c>
      <x:c r="G906" s="31" t="str">
        <x:v>What did you do in Odysseus</x:v>
      </x:c>
    </x:row>
    <x:row r="907" ht="52" customHeight="1">
      <x:c r="A907" s="30" t="str">
        <x:v>CL0903</x:v>
      </x:c>
      <x:c r="B907" s="31" t="str">
        <x:v>What did you do in the CPS deal? Tell me about the company, industry, drivers, model assumptions, oil field analysis</x:v>
      </x:c>
      <x:c r="C907" s="31" t="str">
        <x:v>Resume &amp; Experience</x:v>
      </x:c>
      <x:c r="D907" s="69" t="n">
        <x:f>COUNTIF('All Questions'!$G$5:$G$1725,A907)</x:f>
        <x:v>1</x:v>
      </x:c>
      <x:c r="E907" s="31" t="str">
        <x:v>Fountainvest</x:v>
      </x:c>
      <x:c r="F907" s="31" t="str">
        <x:v>PE / VC / Other</x:v>
      </x:c>
      <x:c r="G907" s="31" t="str">
        <x:v>What did you do in the CPS deal? Tell me about the company, industry, drivers, model assumptions, oil field analysis</x:v>
      </x:c>
    </x:row>
    <x:row r="908" ht="34" customHeight="1">
      <x:c r="A908" s="30" t="str">
        <x:v>CL0904</x:v>
      </x:c>
      <x:c r="B908" s="31" t="str">
        <x:v>What did you do in the M&amp;A precedent transaction research? The purpose</x:v>
      </x:c>
      <x:c r="C908" s="31" t="str">
        <x:v>Resume &amp; Experience</x:v>
      </x:c>
      <x:c r="D908" s="69" t="n">
        <x:f>COUNTIF('All Questions'!$G$5:$G$1725,A908)</x:f>
        <x:v>1</x:v>
      </x:c>
      <x:c r="E908" s="31" t="str">
        <x:v>BNP Paribas</x:v>
      </x:c>
      <x:c r="F908" s="31" t="str">
        <x:v>IBD / GCM</x:v>
      </x:c>
      <x:c r="G908" s="31" t="str">
        <x:v>What did you do in the M&amp;A precedent transaction research? The purpose?</x:v>
      </x:c>
    </x:row>
    <x:row r="909" ht="34" customHeight="1">
      <x:c r="A909" s="30" t="str">
        <x:v>CL0905</x:v>
      </x:c>
      <x:c r="B909" s="31" t="str">
        <x:v>What did you do in UBS</x:v>
      </x:c>
      <x:c r="C909" s="31" t="str">
        <x:v>Resume &amp; Experience</x:v>
      </x:c>
      <x:c r="D909" s="69" t="n">
        <x:f>COUNTIF('All Questions'!$G$5:$G$1725,A909)</x:f>
        <x:v>1</x:v>
      </x:c>
      <x:c r="E909" s="31" t="str">
        <x:v>Barclays</x:v>
      </x:c>
      <x:c r="F909" s="31" t="str">
        <x:v>IBD / GCM</x:v>
      </x:c>
      <x:c r="G909" s="31" t="str">
        <x:v>What did you do in UBS</x:v>
      </x:c>
    </x:row>
    <x:row r="910" ht="52" customHeight="1">
      <x:c r="A910" s="30" t="str">
        <x:v>CL0906</x:v>
      </x:c>
      <x:c r="B910" s="31" t="str">
        <x:v>What did you learn from past intern experience? What do you think you will be doing if admitted to the program</x:v>
      </x:c>
      <x:c r="C910" s="31" t="str">
        <x:v>Resume &amp; Experience</x:v>
      </x:c>
      <x:c r="D910" s="69" t="n">
        <x:f>COUNTIF('All Questions'!$G$5:$G$1725,A910)</x:f>
        <x:v>1</x:v>
      </x:c>
      <x:c r="E910" s="31" t="str">
        <x:v>Barclays</x:v>
      </x:c>
      <x:c r="F910" s="31" t="str">
        <x:v>IBD / GCM</x:v>
      </x:c>
      <x:c r="G910" s="31" t="str">
        <x:v>What did you learn from past intern experience? What do you think you will be doing if admitted to the program?</x:v>
      </x:c>
    </x:row>
    <x:row r="911" ht="34" customHeight="1">
      <x:c r="A911" s="30" t="str">
        <x:v>CL0907</x:v>
      </x:c>
      <x:c r="B911" s="31" t="str">
        <x:v>What did you learn in UBS</x:v>
      </x:c>
      <x:c r="C911" s="31" t="str">
        <x:v>Other Question</x:v>
      </x:c>
      <x:c r="D911" s="69" t="n">
        <x:f>COUNTIF('All Questions'!$G$5:$G$1725,A911)</x:f>
        <x:v>1</x:v>
      </x:c>
      <x:c r="E911" s="31" t="str">
        <x:v>Fountainvest</x:v>
      </x:c>
      <x:c r="F911" s="31" t="str">
        <x:v>PE / VC / Other</x:v>
      </x:c>
      <x:c r="G911" s="31" t="str">
        <x:v>What did you learn in UBS?</x:v>
      </x:c>
    </x:row>
    <x:row r="912" ht="34" customHeight="1">
      <x:c r="A912" s="30" t="str">
        <x:v>CL0908</x:v>
      </x:c>
      <x:c r="B912" s="31" t="str">
        <x:v>What did you learn in ur ECM internship</x:v>
      </x:c>
      <x:c r="C912" s="31" t="str">
        <x:v>Resume &amp; Experience</x:v>
      </x:c>
      <x:c r="D912" s="69" t="n">
        <x:f>COUNTIF('All Questions'!$G$5:$G$1725,A912)</x:f>
        <x:v>1</x:v>
      </x:c>
      <x:c r="E912" s="31" t="str">
        <x:v>Barclays</x:v>
      </x:c>
      <x:c r="F912" s="31" t="str">
        <x:v>IBD / GCM</x:v>
      </x:c>
      <x:c r="G912" s="31" t="str">
        <x:v>what did you learn in ur ECM internship</x:v>
      </x:c>
    </x:row>
    <x:row r="913" ht="34" customHeight="1">
      <x:c r="A913" s="30" t="str">
        <x:v>CL0909</x:v>
      </x:c>
      <x:c r="B913" s="31" t="str">
        <x:v>What did you look at for this pitching (it was an industrial pitch)</x:v>
      </x:c>
      <x:c r="C913" s="31" t="str">
        <x:v>Other Question</x:v>
      </x:c>
      <x:c r="D913" s="69" t="n">
        <x:f>COUNTIF('All Questions'!$G$5:$G$1725,A913)</x:f>
        <x:v>1</x:v>
      </x:c>
      <x:c r="E913" s="31" t="str">
        <x:v>Deutsche</x:v>
      </x:c>
      <x:c r="F913" s="31" t="str">
        <x:v>IBD / GCM</x:v>
      </x:c>
      <x:c r="G913" s="31" t="str">
        <x:v>What did you look at for this pitching (it was an industrial pitch)</x:v>
      </x:c>
    </x:row>
    <x:row r="914" ht="34" customHeight="1">
      <x:c r="A914" s="30" t="str">
        <x:v>CL0910</x:v>
      </x:c>
      <x:c r="B914" s="31" t="str">
        <x:v>What did you work on for the operational overview</x:v>
      </x:c>
      <x:c r="C914" s="31" t="str">
        <x:v>Company, Industry &amp; Deals</x:v>
      </x:c>
      <x:c r="D914" s="69" t="n">
        <x:f>COUNTIF('All Questions'!$G$5:$G$1725,A914)</x:f>
        <x:v>1</x:v>
      </x:c>
      <x:c r="E914" s="31" t="str">
        <x:v>Lazard</x:v>
      </x:c>
      <x:c r="F914" s="31" t="str">
        <x:v>IBD / GCM</x:v>
      </x:c>
      <x:c r="G914" s="31" t="str">
        <x:v>What did you work on for the operational overview</x:v>
      </x:c>
    </x:row>
    <x:row r="915" ht="34" customHeight="1">
      <x:c r="A915" s="30" t="str">
        <x:v>CL0911</x:v>
      </x:c>
      <x:c r="B915" s="31" t="str">
        <x:v>What discount rate do you use for levered vs unlevered fcf</x:v>
      </x:c>
      <x:c r="C915" s="31" t="str">
        <x:v>Valuation</x:v>
      </x:c>
      <x:c r="D915" s="69" t="n">
        <x:f>COUNTIF('All Questions'!$G$5:$G$1725,A915)</x:f>
        <x:v>1</x:v>
      </x:c>
      <x:c r="E915" s="31" t="str">
        <x:v>Barclays</x:v>
      </x:c>
      <x:c r="F915" s="31" t="str">
        <x:v>IBD / GCM</x:v>
      </x:c>
      <x:c r="G915" s="31" t="str">
        <x:v>what discount rate do you use for levered vs unlevered fcf</x:v>
      </x:c>
    </x:row>
    <x:row r="916" ht="34" customHeight="1">
      <x:c r="A916" s="30" t="str">
        <x:v>CL0912</x:v>
      </x:c>
      <x:c r="B916" s="31" t="str">
        <x:v>What do GCM do</x:v>
      </x:c>
      <x:c r="C916" s="31" t="str">
        <x:v>Capital Markets &amp; Financing</x:v>
      </x:c>
      <x:c r="D916" s="69" t="n">
        <x:f>COUNTIF('All Questions'!$G$5:$G$1725,A916)</x:f>
        <x:v>1</x:v>
      </x:c>
      <x:c r="E916" s="31" t="str">
        <x:v>MS GCM</x:v>
      </x:c>
      <x:c r="F916" s="31" t="str">
        <x:v>IBD / GCM</x:v>
      </x:c>
      <x:c r="G916" s="31" t="str">
        <x:v>what do GCM do</x:v>
      </x:c>
    </x:row>
    <x:row r="917" ht="34" customHeight="1">
      <x:c r="A917" s="30" t="str">
        <x:v>CL0913</x:v>
      </x:c>
      <x:c r="B917" s="31" t="str">
        <x:v>What do you do at spare time</x:v>
      </x:c>
      <x:c r="C917" s="31" t="str">
        <x:v>Other Question</x:v>
      </x:c>
      <x:c r="D917" s="69" t="n">
        <x:f>COUNTIF('All Questions'!$G$5:$G$1725,A917)</x:f>
        <x:v>1</x:v>
      </x:c>
      <x:c r="E917" s="31" t="str">
        <x:v>Bofa IBD</x:v>
      </x:c>
      <x:c r="F917" s="31" t="str">
        <x:v>IBD / GCM</x:v>
      </x:c>
      <x:c r="G917" s="31" t="str">
        <x:v>What do you do at spare time?</x:v>
      </x:c>
    </x:row>
    <x:row r="918" ht="34" customHeight="1">
      <x:c r="A918" s="30" t="str">
        <x:v>CL0914</x:v>
      </x:c>
      <x:c r="B918" s="31" t="str">
        <x:v>What do you do in HKUIBC? Any mentors from DB</x:v>
      </x:c>
      <x:c r="C918" s="31" t="str">
        <x:v>Other Question</x:v>
      </x:c>
      <x:c r="D918" s="69" t="n">
        <x:f>COUNTIF('All Questions'!$G$5:$G$1725,A918)</x:f>
        <x:v>1</x:v>
      </x:c>
      <x:c r="E918" s="31" t="str">
        <x:v>Deutsche</x:v>
      </x:c>
      <x:c r="F918" s="31" t="str">
        <x:v>IBD / GCM</x:v>
      </x:c>
      <x:c r="G918" s="31" t="str">
        <x:v>What do you do in HKUIBC? Any mentors from DB?</x:v>
      </x:c>
    </x:row>
    <x:row r="919" ht="34" customHeight="1">
      <x:c r="A919" s="30" t="str">
        <x:v>CL0915</x:v>
      </x:c>
      <x:c r="B919" s="31" t="str">
        <x:v>What do you do in IBC</x:v>
      </x:c>
      <x:c r="C919" s="31" t="str">
        <x:v>Other Question</x:v>
      </x:c>
      <x:c r="D919" s="69" t="n">
        <x:f>COUNTIF('All Questions'!$G$5:$G$1725,A919)</x:f>
        <x:v>1</x:v>
      </x:c>
      <x:c r="E919" s="31" t="str">
        <x:v>UBS AM</x:v>
      </x:c>
      <x:c r="F919" s="31" t="str">
        <x:v>PWM / AM</x:v>
      </x:c>
      <x:c r="G919" s="31" t="str">
        <x:v>What do you do in IBC?</x:v>
      </x:c>
    </x:row>
    <x:row r="920" ht="34" customHeight="1">
      <x:c r="A920" s="30" t="str">
        <x:v>CL0916</x:v>
      </x:c>
      <x:c r="B920" s="31" t="str">
        <x:v>What do you do in NB? (didnt go deep)</x:v>
      </x:c>
      <x:c r="C920" s="31" t="str">
        <x:v>Other Question</x:v>
      </x:c>
      <x:c r="D920" s="69" t="n">
        <x:f>COUNTIF('All Questions'!$G$5:$G$1725,A920)</x:f>
        <x:v>1</x:v>
      </x:c>
      <x:c r="E920" s="31" t="str">
        <x:v>Bofa GCM</x:v>
      </x:c>
      <x:c r="F920" s="31" t="str">
        <x:v>IBD / GCM</x:v>
      </x:c>
      <x:c r="G920" s="31" t="str">
        <x:v>what do you do in NB? (didnt go deep)</x:v>
      </x:c>
    </x:row>
    <x:row r="921" ht="34" customHeight="1">
      <x:c r="A921" s="30" t="str">
        <x:v>CL0917</x:v>
      </x:c>
      <x:c r="B921" s="31" t="str">
        <x:v>What do you do in your free time apart from fencing</x:v>
      </x:c>
      <x:c r="C921" s="31" t="str">
        <x:v>Other Question</x:v>
      </x:c>
      <x:c r="D921" s="69" t="n">
        <x:f>COUNTIF('All Questions'!$G$5:$G$1725,A921)</x:f>
        <x:v>1</x:v>
      </x:c>
      <x:c r="E921" s="31" t="str">
        <x:v>Barclays</x:v>
      </x:c>
      <x:c r="F921" s="31" t="str">
        <x:v>IBD / GCM</x:v>
      </x:c>
      <x:c r="G921" s="31" t="str">
        <x:v>What do you do in your free time apart from fencing</x:v>
      </x:c>
    </x:row>
    <x:row r="922" ht="34" customHeight="1">
      <x:c r="A922" s="30" t="str">
        <x:v>CL0918</x:v>
      </x:c>
      <x:c r="B922" s="31" t="str">
        <x:v>What do you do in your spare time</x:v>
      </x:c>
      <x:c r="C922" s="31" t="str">
        <x:v>Other Question</x:v>
      </x:c>
      <x:c r="D922" s="69" t="n">
        <x:f>COUNTIF('All Questions'!$G$5:$G$1725,A922)</x:f>
        <x:v>1</x:v>
      </x:c>
      <x:c r="E922" s="31" t="str">
        <x:v>Nomura</x:v>
      </x:c>
      <x:c r="F922" s="31" t="str">
        <x:v>IBD / GCM</x:v>
      </x:c>
      <x:c r="G922" s="31" t="str">
        <x:v>What do you do in your spare time</x:v>
      </x:c>
    </x:row>
    <x:row r="923" ht="34" customHeight="1">
      <x:c r="A923" s="30" t="str">
        <x:v>CL0919</x:v>
      </x:c>
      <x:c r="B923" s="31" t="str">
        <x:v>What do you know about Barclays</x:v>
      </x:c>
      <x:c r="C923" s="31" t="str">
        <x:v>Other Question</x:v>
      </x:c>
      <x:c r="D923" s="69" t="n">
        <x:f>COUNTIF('All Questions'!$G$5:$G$1725,A923)</x:f>
        <x:v>1</x:v>
      </x:c>
      <x:c r="E923" s="31" t="str">
        <x:v>Barclays</x:v>
      </x:c>
      <x:c r="F923" s="31" t="str">
        <x:v>IBD / GCM</x:v>
      </x:c>
      <x:c r="G923" s="31" t="str">
        <x:v>What do you know about Barclays?</x:v>
      </x:c>
    </x:row>
    <x:row r="924" ht="34" customHeight="1">
      <x:c r="A924" s="30" t="str">
        <x:v>CL0920</x:v>
      </x:c>
      <x:c r="B924" s="31" t="str">
        <x:v>What do you know about DB / O&amp;A</x:v>
      </x:c>
      <x:c r="C924" s="31" t="str">
        <x:v>Other Question</x:v>
      </x:c>
      <x:c r="D924" s="69" t="n">
        <x:f>COUNTIF('All Questions'!$G$5:$G$1725,A924)</x:f>
        <x:v>1</x:v>
      </x:c>
      <x:c r="E924" s="31" t="str">
        <x:v>Deutsche</x:v>
      </x:c>
      <x:c r="F924" s="31" t="str">
        <x:v>IBD / GCM</x:v>
      </x:c>
      <x:c r="G924" s="31" t="str">
        <x:v>What do you know about DB / O&amp;A</x:v>
      </x:c>
    </x:row>
    <x:row r="925" ht="34" customHeight="1">
      <x:c r="A925" s="30" t="str">
        <x:v>CL0921</x:v>
      </x:c>
      <x:c r="B925" s="31" t="str">
        <x:v>What do you know about DCM (not sure if she asked)</x:v>
      </x:c>
      <x:c r="C925" s="31" t="str">
        <x:v>Capital Markets &amp; Financing</x:v>
      </x:c>
      <x:c r="D925" s="69" t="n">
        <x:f>COUNTIF('All Questions'!$G$5:$G$1725,A925)</x:f>
        <x:v>1</x:v>
      </x:c>
      <x:c r="E925" s="31" t="str">
        <x:v>BNP Paribas</x:v>
      </x:c>
      <x:c r="F925" s="31" t="str">
        <x:v>IBD / GCM</x:v>
      </x:c>
      <x:c r="G925" s="31" t="str">
        <x:v>What do you know about DCM (not sure if she asked)</x:v>
      </x:c>
    </x:row>
    <x:row r="926" ht="34" customHeight="1">
      <x:c r="A926" s="30" t="str">
        <x:v>CL0922</x:v>
      </x:c>
      <x:c r="B926" s="31" t="str">
        <x:v>What do you know about LBO</x:v>
      </x:c>
      <x:c r="C926" s="31" t="str">
        <x:v>Private Equity &amp; LBO</x:v>
      </x:c>
      <x:c r="D926" s="69" t="n">
        <x:f>COUNTIF('All Questions'!$G$5:$G$1725,A926)</x:f>
        <x:v>1</x:v>
      </x:c>
      <x:c r="E926" s="31" t="str">
        <x:v>BNP Paribas</x:v>
      </x:c>
      <x:c r="F926" s="31" t="str">
        <x:v>IBD / GCM</x:v>
      </x:c>
      <x:c r="G926" s="31" t="str">
        <x:v>What do you know about LBO</x:v>
      </x:c>
    </x:row>
    <x:row r="927" ht="34" customHeight="1">
      <x:c r="A927" s="30" t="str">
        <x:v>CL0923</x:v>
      </x:c>
      <x:c r="B927" s="31" t="str">
        <x:v>What do you know about nomura</x:v>
      </x:c>
      <x:c r="C927" s="31" t="str">
        <x:v>Other Question</x:v>
      </x:c>
      <x:c r="D927" s="69" t="n">
        <x:f>COUNTIF('All Questions'!$G$5:$G$1725,A927)</x:f>
        <x:v>1</x:v>
      </x:c>
      <x:c r="E927" s="31" t="str">
        <x:v>Nomura</x:v>
      </x:c>
      <x:c r="F927" s="31" t="str">
        <x:v>IBD / GCM</x:v>
      </x:c>
      <x:c r="G927" s="31" t="str">
        <x:v>what do you know about nomura</x:v>
      </x:c>
    </x:row>
    <x:row r="928" ht="34" customHeight="1">
      <x:c r="A928" s="30" t="str">
        <x:v>CL0924</x:v>
      </x:c>
      <x:c r="B928" s="31" t="str">
        <x:v>What do you know about this industry the company is in</x:v>
      </x:c>
      <x:c r="C928" s="31" t="str">
        <x:v>Accounting &amp; Financial Statements</x:v>
      </x:c>
      <x:c r="D928" s="69" t="n">
        <x:f>COUNTIF('All Questions'!$G$5:$G$1725,A928)</x:f>
        <x:v>1</x:v>
      </x:c>
      <x:c r="E928" s="31" t="str">
        <x:v>Others (eg. PE, CB...)</x:v>
      </x:c>
      <x:c r="F928" s="31" t="str">
        <x:v>PE / VC / Other</x:v>
      </x:c>
      <x:c r="G928" s="31" t="str">
        <x:v>what do you know about this industry the company is in</x:v>
      </x:c>
    </x:row>
    <x:row r="929" ht="34" customHeight="1">
      <x:c r="A929" s="30" t="str">
        <x:v>CL0925</x:v>
      </x:c>
      <x:c r="B929" s="31" t="str">
        <x:v>What do you think about the FI</x:v>
      </x:c>
      <x:c r="C929" s="31" t="str">
        <x:v>Other Question</x:v>
      </x:c>
      <x:c r="D929" s="69" t="n">
        <x:f>COUNTIF('All Questions'!$G$5:$G$1725,A929)</x:f>
        <x:v>1</x:v>
      </x:c>
      <x:c r="E929" s="31" t="str">
        <x:v>Moelis</x:v>
      </x:c>
      <x:c r="F929" s="31" t="str">
        <x:v>IBD / GCM</x:v>
      </x:c>
      <x:c r="G929" s="31" t="str">
        <x:v>What do you think about the FI?</x:v>
      </x:c>
    </x:row>
    <x:row r="930" ht="34" customHeight="1">
      <x:c r="A930" s="30" t="str">
        <x:v>CL0926</x:v>
      </x:c>
      <x:c r="B930" s="31" t="str">
        <x:v>What do you think are the important qualities to become a successful salesperson</x:v>
      </x:c>
      <x:c r="C930" s="31" t="str">
        <x:v>Behavioral &amp; Situational</x:v>
      </x:c>
      <x:c r="D930" s="69" t="n">
        <x:f>COUNTIF('All Questions'!$G$5:$G$1725,A930)</x:f>
        <x:v>1</x:v>
      </x:c>
      <x:c r="E930" s="31" t="str">
        <x:v>MS IED</x:v>
      </x:c>
      <x:c r="F930" s="31" t="str">
        <x:v>Sales &amp; Trading</x:v>
      </x:c>
      <x:c r="G930" s="31" t="str">
        <x:v>What do you think are the important qualities to become a successful salesperson?</x:v>
      </x:c>
    </x:row>
    <x:row r="931" ht="34" customHeight="1">
      <x:c r="A931" s="30" t="str">
        <x:v>CL0927</x:v>
      </x:c>
      <x:c r="B931" s="31" t="str">
        <x:v>What do you think are your adv and disadv</x:v>
      </x:c>
      <x:c r="C931" s="31" t="str">
        <x:v>Other Question</x:v>
      </x:c>
      <x:c r="D931" s="69" t="n">
        <x:f>COUNTIF('All Questions'!$G$5:$G$1725,A931)</x:f>
        <x:v>1</x:v>
      </x:c>
      <x:c r="E931" s="31" t="str">
        <x:v>MS IED</x:v>
      </x:c>
      <x:c r="F931" s="31" t="str">
        <x:v>Sales &amp; Trading</x:v>
      </x:c>
      <x:c r="G931" s="31" t="str">
        <x:v>what do you think are your adv and disadv</x:v>
      </x:c>
    </x:row>
    <x:row r="932" ht="34" customHeight="1">
      <x:c r="A932" s="30" t="str">
        <x:v>CL0928</x:v>
      </x:c>
      <x:c r="B932" s="31" t="str">
        <x:v>What do you think differentiates MS from the other banks</x:v>
      </x:c>
      <x:c r="C932" s="31" t="str">
        <x:v>Other Question</x:v>
      </x:c>
      <x:c r="D932" s="69" t="n">
        <x:f>COUNTIF('All Questions'!$G$5:$G$1725,A932)</x:f>
        <x:v>1</x:v>
      </x:c>
      <x:c r="E932" s="31" t="str">
        <x:v>MS IED</x:v>
      </x:c>
      <x:c r="F932" s="31" t="str">
        <x:v>Sales &amp; Trading</x:v>
      </x:c>
      <x:c r="G932" s="31" t="str">
        <x:v>what do you think differentiates MS from the other banks</x:v>
      </x:c>
    </x:row>
    <x:row r="933" ht="52" customHeight="1">
      <x:c r="A933" s="30" t="str">
        <x:v>CL0929</x:v>
      </x:c>
      <x:c r="B933" s="31" t="str">
        <x:v>What do you think drives the financial market in the last 6 months and what will be the drivers for the next 6 months</x:v>
      </x:c>
      <x:c r="C933" s="31" t="str">
        <x:v>Other Question</x:v>
      </x:c>
      <x:c r="D933" s="69" t="n">
        <x:f>COUNTIF('All Questions'!$G$5:$G$1725,A933)</x:f>
        <x:v>1</x:v>
      </x:c>
      <x:c r="E933" s="31" t="str">
        <x:v>HSBC (GM)</x:v>
      </x:c>
      <x:c r="F933" s="31" t="str">
        <x:v>Sales &amp; Trading</x:v>
      </x:c>
      <x:c r="G933" s="31" t="str">
        <x:v>what do you think drives the financial market in the last 6 months and what will be the drivers for the next 6 months</x:v>
      </x:c>
    </x:row>
    <x:row r="934" ht="34" customHeight="1">
      <x:c r="A934" s="30" t="str">
        <x:v>CL0930</x:v>
      </x:c>
      <x:c r="B934" s="31" t="str">
        <x:v>What do you think is one of the trends in AM industry currently? (I said digital transformation)</x:v>
      </x:c>
      <x:c r="C934" s="31" t="str">
        <x:v>Accounting &amp; Financial Statements</x:v>
      </x:c>
      <x:c r="D934" s="69" t="n">
        <x:f>COUNTIF('All Questions'!$G$5:$G$1725,A934)</x:f>
        <x:v>1</x:v>
      </x:c>
      <x:c r="E934" s="31" t="str">
        <x:v>JPM AM</x:v>
      </x:c>
      <x:c r="F934" s="31" t="str">
        <x:v>PWM / AM</x:v>
      </x:c>
      <x:c r="G934" s="31" t="str">
        <x:v>What do you think is one of the trends in AM industry currently? (I said digital transformation)</x:v>
      </x:c>
    </x:row>
    <x:row r="935" ht="34" customHeight="1">
      <x:c r="A935" s="30" t="str">
        <x:v>CL0931</x:v>
      </x:c>
      <x:c r="B935" s="31" t="str">
        <x:v>What do you think is the key move of investment banks to stay relevant and compete competitively</x:v>
      </x:c>
      <x:c r="C935" s="31" t="str">
        <x:v>Accounting &amp; Financial Statements</x:v>
      </x:c>
      <x:c r="D935" s="69" t="n">
        <x:f>COUNTIF('All Questions'!$G$5:$G$1725,A935)</x:f>
        <x:v>1</x:v>
      </x:c>
      <x:c r="E935" s="31" t="str">
        <x:v>UBS IBD</x:v>
      </x:c>
      <x:c r="F935" s="31" t="str">
        <x:v>IBD / GCM</x:v>
      </x:c>
      <x:c r="G935" s="31" t="str">
        <x:v>What do you think is the key move of investment banks to stay relevant and compete competitively</x:v>
      </x:c>
    </x:row>
    <x:row r="936" ht="34" customHeight="1">
      <x:c r="A936" s="30" t="str">
        <x:v>CL0932</x:v>
      </x:c>
      <x:c r="B936" s="31" t="str">
        <x:v>What do you think the sales role are doing</x:v>
      </x:c>
      <x:c r="C936" s="31" t="str">
        <x:v>Other Question</x:v>
      </x:c>
      <x:c r="D936" s="69" t="n">
        <x:f>COUNTIF('All Questions'!$G$5:$G$1725,A936)</x:f>
        <x:v>1</x:v>
      </x:c>
      <x:c r="E936" s="31" t="str">
        <x:v>BofA (GM)</x:v>
      </x:c>
      <x:c r="F936" s="31" t="str">
        <x:v>Sales &amp; Trading</x:v>
      </x:c>
      <x:c r="G936" s="31" t="str">
        <x:v>What do you think the sales role are doing?</x:v>
      </x:c>
    </x:row>
    <x:row r="937" ht="52" customHeight="1">
      <x:c r="A937" s="30" t="str">
        <x:v>CL0933</x:v>
      </x:c>
      <x:c r="B937" s="31" t="str">
        <x:v>What do you think would be the impact or consequences of tariffs on Asian economies in the short/medium/long term</x:v>
      </x:c>
      <x:c r="C937" s="31" t="str">
        <x:v>Markets &amp; Macro</x:v>
      </x:c>
      <x:c r="D937" s="69" t="n">
        <x:f>COUNTIF('All Questions'!$G$5:$G$1725,A937)</x:f>
        <x:v>1</x:v>
      </x:c>
      <x:c r="E937" s="31" t="str">
        <x:v>UBS IBD</x:v>
      </x:c>
      <x:c r="F937" s="31" t="str">
        <x:v>IBD / GCM</x:v>
      </x:c>
      <x:c r="G937" s="31" t="str">
        <x:v>What do you think would be the impact or consequences of tariffs on Asian economies in the short/medium/long term</x:v>
      </x:c>
    </x:row>
    <x:row r="938" ht="34" customHeight="1">
      <x:c r="A938" s="30" t="str">
        <x:v>CL0934</x:v>
      </x:c>
      <x:c r="B938" s="31" t="str">
        <x:v>What do you use for rf ( I said t-bill/bond/notes)</x:v>
      </x:c>
      <x:c r="C938" s="31" t="str">
        <x:v>Other Question</x:v>
      </x:c>
      <x:c r="D938" s="69" t="n">
        <x:f>COUNTIF('All Questions'!$G$5:$G$1725,A938)</x:f>
        <x:v>1</x:v>
      </x:c>
      <x:c r="E938" s="31" t="str">
        <x:v>Nomura</x:v>
      </x:c>
      <x:c r="F938" s="31" t="str">
        <x:v>IBD / GCM</x:v>
      </x:c>
      <x:c r="G938" s="31" t="str">
        <x:v>What do you use for rf ( I said t-bill/bond/notes)</x:v>
      </x:c>
    </x:row>
    <x:row r="939" ht="34" customHeight="1">
      <x:c r="A939" s="30" t="str">
        <x:v>CL0935</x:v>
      </x:c>
      <x:c r="B939" s="31" t="str">
        <x:v>What do you use for risk-free rate</x:v>
      </x:c>
      <x:c r="C939" s="31" t="str">
        <x:v>Valuation</x:v>
      </x:c>
      <x:c r="D939" s="69" t="n">
        <x:f>COUNTIF('All Questions'!$G$5:$G$1725,A939)</x:f>
        <x:v>1</x:v>
      </x:c>
      <x:c r="E939" s="31" t="str">
        <x:v>MS IBD</x:v>
      </x:c>
      <x:c r="F939" s="31" t="str">
        <x:v>IBD / GCM</x:v>
      </x:c>
      <x:c r="G939" s="31" t="str">
        <x:v>What do you use for risk-free rate</x:v>
      </x:c>
    </x:row>
    <x:row r="940" ht="34" customHeight="1">
      <x:c r="A940" s="30" t="str">
        <x:v>CL0936</x:v>
      </x:c>
      <x:c r="B940" s="31" t="str">
        <x:v>What do you want to take away from this internship experience</x:v>
      </x:c>
      <x:c r="C940" s="31" t="str">
        <x:v>Resume &amp; Experience</x:v>
      </x:c>
      <x:c r="D940" s="69" t="n">
        <x:f>COUNTIF('All Questions'!$G$5:$G$1725,A940)</x:f>
        <x:v>1</x:v>
      </x:c>
      <x:c r="E940" s="31" t="str">
        <x:v>HSBC (GM)</x:v>
      </x:c>
      <x:c r="F940" s="31" t="str">
        <x:v>Sales &amp; Trading</x:v>
      </x:c>
      <x:c r="G940" s="31" t="str">
        <x:v>what do you want to take away from this internship experience</x:v>
      </x:c>
    </x:row>
    <x:row r="941" ht="34" customHeight="1">
      <x:c r="A941" s="30" t="str">
        <x:v>CL0937</x:v>
      </x:c>
      <x:c r="B941" s="31" t="str">
        <x:v>What does a CIM include</x:v>
      </x:c>
      <x:c r="C941" s="31" t="str">
        <x:v>Other Question</x:v>
      </x:c>
      <x:c r="D941" s="69" t="n">
        <x:f>COUNTIF('All Questions'!$G$5:$G$1725,A941)</x:f>
        <x:v>1</x:v>
      </x:c>
      <x:c r="E941" s="31" t="str">
        <x:v>BNP Paribas</x:v>
      </x:c>
      <x:c r="F941" s="31" t="str">
        <x:v>IBD / GCM</x:v>
      </x:c>
      <x:c r="G941" s="31" t="str">
        <x:v>What does a CIM include</x:v>
      </x:c>
    </x:row>
    <x:row r="942" ht="34" customHeight="1">
      <x:c r="A942" s="30" t="str">
        <x:v>CL0938</x:v>
      </x:c>
      <x:c r="B942" s="31" t="str">
        <x:v>What does a Letter of Intent include</x:v>
      </x:c>
      <x:c r="C942" s="31" t="str">
        <x:v>Other Question</x:v>
      </x:c>
      <x:c r="D942" s="69" t="n">
        <x:f>COUNTIF('All Questions'!$G$5:$G$1725,A942)</x:f>
        <x:v>1</x:v>
      </x:c>
      <x:c r="E942" s="31" t="str">
        <x:v>BNP Paribas</x:v>
      </x:c>
      <x:c r="F942" s="31" t="str">
        <x:v>IBD / GCM</x:v>
      </x:c>
      <x:c r="G942" s="31" t="str">
        <x:v>What does a Letter of Intent include</x:v>
      </x:c>
    </x:row>
    <x:row r="943" ht="34" customHeight="1">
      <x:c r="A943" s="30" t="str">
        <x:v>CL0939</x:v>
      </x:c>
      <x:c r="B943" s="31" t="str">
        <x:v>What does a teaser include</x:v>
      </x:c>
      <x:c r="C943" s="31" t="str">
        <x:v>Other Question</x:v>
      </x:c>
      <x:c r="D943" s="69" t="n">
        <x:f>COUNTIF('All Questions'!$G$5:$G$1725,A943)</x:f>
        <x:v>1</x:v>
      </x:c>
      <x:c r="E943" s="31" t="str">
        <x:v>BNP Paribas</x:v>
      </x:c>
      <x:c r="F943" s="31" t="str">
        <x:v>IBD / GCM</x:v>
      </x:c>
      <x:c r="G943" s="31" t="str">
        <x:v>What does a teaser include</x:v>
      </x:c>
    </x:row>
    <x:row r="944" ht="34" customHeight="1">
      <x:c r="A944" s="30" t="str">
        <x:v>CL0940</x:v>
      </x:c>
      <x:c r="B944" s="31" t="str">
        <x:v>What does gold mean as safe haven asset and what other assets are also safe haven</x:v>
      </x:c>
      <x:c r="C944" s="31" t="str">
        <x:v>Markets &amp; Macro</x:v>
      </x:c>
      <x:c r="D944" s="69" t="n">
        <x:f>COUNTIF('All Questions'!$G$5:$G$1725,A944)</x:f>
        <x:v>1</x:v>
      </x:c>
      <x:c r="E944" s="31" t="str">
        <x:v>HSBC (GM)</x:v>
      </x:c>
      <x:c r="F944" s="31" t="str">
        <x:v>Sales &amp; Trading</x:v>
      </x:c>
      <x:c r="G944" s="31" t="str">
        <x:v>what does gold mean as safe haven asset and what other assets are also safe haven</x:v>
      </x:c>
    </x:row>
    <x:row r="945" ht="34" customHeight="1">
      <x:c r="A945" s="30" t="str">
        <x:v>CL0941</x:v>
      </x:c>
      <x:c r="B945" s="31" t="str">
        <x:v>What does negative NWC mean and how to improve WC</x:v>
      </x:c>
      <x:c r="C945" s="31" t="str">
        <x:v>Accounting &amp; Financial Statements</x:v>
      </x:c>
      <x:c r="D945" s="69" t="n">
        <x:f>COUNTIF('All Questions'!$G$5:$G$1725,A945)</x:f>
        <x:v>1</x:v>
      </x:c>
      <x:c r="E945" s="31" t="str">
        <x:v>Citi</x:v>
      </x:c>
      <x:c r="F945" s="31" t="str">
        <x:v>IBD / GCM</x:v>
      </x:c>
      <x:c r="G945" s="31" t="str">
        <x:v>What does negative NWC mean and how to improve WC?</x:v>
      </x:c>
    </x:row>
    <x:row r="946" ht="34" customHeight="1">
      <x:c r="A946" s="30" t="str">
        <x:v>CL0942</x:v>
      </x:c>
      <x:c r="B946" s="31" t="str">
        <x:v>What exactly did you do in this deal, what’s the responsibilities</x:v>
      </x:c>
      <x:c r="C946" s="31" t="str">
        <x:v>Resume &amp; Experience</x:v>
      </x:c>
      <x:c r="D946" s="69" t="n">
        <x:f>COUNTIF('All Questions'!$G$5:$G$1725,A946)</x:f>
        <x:v>1</x:v>
      </x:c>
      <x:c r="E946" s="31" t="str">
        <x:v>Deutsche</x:v>
      </x:c>
      <x:c r="F946" s="31" t="str">
        <x:v>IBD / GCM</x:v>
      </x:c>
      <x:c r="G946" s="31" t="str">
        <x:v>What exactly did you do in this deal, what’s the responsibilities</x:v>
      </x:c>
    </x:row>
    <x:row r="947" ht="34" customHeight="1">
      <x:c r="A947" s="30" t="str">
        <x:v>CL0943</x:v>
      </x:c>
      <x:c r="B947" s="31" t="str">
        <x:v>What extra efforts I made for IBD</x:v>
      </x:c>
      <x:c r="C947" s="31" t="str">
        <x:v>Other Question</x:v>
      </x:c>
      <x:c r="D947" s="69" t="n">
        <x:f>COUNTIF('All Questions'!$G$5:$G$1725,A947)</x:f>
        <x:v>1</x:v>
      </x:c>
      <x:c r="E947" s="31" t="str">
        <x:v>GS DCMECM</x:v>
      </x:c>
      <x:c r="F947" s="31" t="str">
        <x:v>IBD / GCM</x:v>
      </x:c>
      <x:c r="G947" s="31" t="str">
        <x:v>What extra efforts I made for IBD</x:v>
      </x:c>
    </x:row>
    <x:row r="948" ht="34" customHeight="1">
      <x:c r="A948" s="30" t="str">
        <x:v>CL0944</x:v>
      </x:c>
      <x:c r="B948" s="31" t="str">
        <x:v>What financial due dilligence did you do</x:v>
      </x:c>
      <x:c r="C948" s="31" t="str">
        <x:v>Other Question</x:v>
      </x:c>
      <x:c r="D948" s="69" t="n">
        <x:f>COUNTIF('All Questions'!$G$5:$G$1725,A948)</x:f>
        <x:v>1</x:v>
      </x:c>
      <x:c r="E948" s="31" t="str">
        <x:v>Barclays</x:v>
      </x:c>
      <x:c r="F948" s="31" t="str">
        <x:v>IBD / GCM</x:v>
      </x:c>
      <x:c r="G948" s="31" t="str">
        <x:v>what financial due dilligence did you do</x:v>
      </x:c>
    </x:row>
    <x:row r="949" ht="34" customHeight="1">
      <x:c r="A949" s="30" t="str">
        <x:v>CL0945</x:v>
      </x:c>
      <x:c r="B949" s="31" t="str">
        <x:v>What financial ratios will you take a look when you take a look at the leverage of a company</x:v>
      </x:c>
      <x:c r="C949" s="31" t="str">
        <x:v>Company, Industry &amp; Deals</x:v>
      </x:c>
      <x:c r="D949" s="69" t="n">
        <x:f>COUNTIF('All Questions'!$G$5:$G$1725,A949)</x:f>
        <x:v>1</x:v>
      </x:c>
      <x:c r="E949" s="31" t="str">
        <x:v>Citi</x:v>
      </x:c>
      <x:c r="F949" s="31" t="str">
        <x:v>IBD / GCM</x:v>
      </x:c>
      <x:c r="G949" s="31" t="str">
        <x:v>What financial ratios will you take a look when you take a look at the leverage of a company?</x:v>
      </x:c>
    </x:row>
    <x:row r="950" ht="34" customHeight="1">
      <x:c r="A950" s="30" t="str">
        <x:v>CL0946</x:v>
      </x:c>
      <x:c r="B950" s="31" t="str">
        <x:v>What formula you use for cost of equity</x:v>
      </x:c>
      <x:c r="C950" s="31" t="str">
        <x:v>Valuation</x:v>
      </x:c>
      <x:c r="D950" s="69" t="n">
        <x:f>COUNTIF('All Questions'!$G$5:$G$1725,A950)</x:f>
        <x:v>1</x:v>
      </x:c>
      <x:c r="E950" s="31" t="str">
        <x:v>Nomura</x:v>
      </x:c>
      <x:c r="F950" s="31" t="str">
        <x:v>IBD / GCM</x:v>
      </x:c>
      <x:c r="G950" s="31" t="str">
        <x:v>What formula you use for cost of equity</x:v>
      </x:c>
    </x:row>
    <x:row r="951" ht="34" customHeight="1">
      <x:c r="A951" s="30" t="str">
        <x:v>CL0947</x:v>
      </x:c>
      <x:c r="B951" s="31" t="str">
        <x:v>What formula you used</x:v>
      </x:c>
      <x:c r="C951" s="31" t="str">
        <x:v>Consulting &amp; Case</x:v>
      </x:c>
      <x:c r="D951" s="69" t="n">
        <x:f>COUNTIF('All Questions'!$G$5:$G$1725,A951)</x:f>
        <x:v>1</x:v>
      </x:c>
      <x:c r="E951" s="31" t="str">
        <x:v>Mckinsey</x:v>
      </x:c>
      <x:c r="F951" s="31" t="str">
        <x:v>Consulting</x:v>
      </x:c>
      <x:c r="G951" s="31" t="str">
        <x:v>What formula you used</x:v>
      </x:c>
    </x:row>
    <x:row r="952" ht="34" customHeight="1">
      <x:c r="A952" s="30" t="str">
        <x:v>CL0948</x:v>
      </x:c>
      <x:c r="B952" s="31" t="str">
        <x:v>What group / coverage if Barclays? Why</x:v>
      </x:c>
      <x:c r="C952" s="31" t="str">
        <x:v>Other Question</x:v>
      </x:c>
      <x:c r="D952" s="69" t="n">
        <x:f>COUNTIF('All Questions'!$G$5:$G$1725,A952)</x:f>
        <x:v>1</x:v>
      </x:c>
      <x:c r="E952" s="31" t="str">
        <x:v>Barclays</x:v>
      </x:c>
      <x:c r="F952" s="31" t="str">
        <x:v>IBD / GCM</x:v>
      </x:c>
      <x:c r="G952" s="31" t="str">
        <x:v>What group / coverage if Barclays? Why?</x:v>
      </x:c>
    </x:row>
    <x:row r="953" ht="34" customHeight="1">
      <x:c r="A953" s="30" t="str">
        <x:v>CL0949</x:v>
      </x:c>
      <x:c r="B953" s="31" t="str">
        <x:v>What happens when countries get to show and utilize their comparative advantages against the others</x:v>
      </x:c>
      <x:c r="C953" s="31" t="str">
        <x:v>Other Question</x:v>
      </x:c>
      <x:c r="D953" s="69" t="n">
        <x:f>COUNTIF('All Questions'!$G$5:$G$1725,A953)</x:f>
        <x:v>1</x:v>
      </x:c>
      <x:c r="E953" s="31" t="str">
        <x:v>HSBC (GM)</x:v>
      </x:c>
      <x:c r="F953" s="31" t="str">
        <x:v>Sales &amp; Trading</x:v>
      </x:c>
      <x:c r="G953" s="31" t="str">
        <x:v>what happens when countries get to show and utilize their comparative advantages against the others</x:v>
      </x:c>
    </x:row>
    <x:row r="954" ht="34" customHeight="1">
      <x:c r="A954" s="30" t="str">
        <x:v>CL0950</x:v>
      </x:c>
      <x:c r="B954" s="31" t="str">
        <x:v>What have you done in Daiwa? Major responsibility and project</x:v>
      </x:c>
      <x:c r="C954" s="31" t="str">
        <x:v>Resume &amp; Experience</x:v>
      </x:c>
      <x:c r="D954" s="69" t="n">
        <x:f>COUNTIF('All Questions'!$G$5:$G$1725,A954)</x:f>
        <x:v>1</x:v>
      </x:c>
      <x:c r="E954" s="31" t="str">
        <x:v>Barclays</x:v>
      </x:c>
      <x:c r="F954" s="31" t="str">
        <x:v>IBD / GCM</x:v>
      </x:c>
      <x:c r="G954" s="31" t="str">
        <x:v>What have you done in Daiwa? Major responsibility and project</x:v>
      </x:c>
    </x:row>
    <x:row r="955" ht="34" customHeight="1">
      <x:c r="A955" s="30" t="str">
        <x:v>CL0951</x:v>
      </x:c>
      <x:c r="B955" s="31" t="str">
        <x:v>What I did at Bain</x:v>
      </x:c>
      <x:c r="C955" s="31" t="str">
        <x:v>Other Question</x:v>
      </x:c>
      <x:c r="D955" s="69" t="n">
        <x:f>COUNTIF('All Questions'!$G$5:$G$1725,A955)</x:f>
        <x:v>1</x:v>
      </x:c>
      <x:c r="E955" s="31" t="str">
        <x:v>MS IBD</x:v>
      </x:c>
      <x:c r="F955" s="31" t="str">
        <x:v>IBD / GCM</x:v>
      </x:c>
      <x:c r="G955" s="31" t="str">
        <x:v>What I did at Bain</x:v>
      </x:c>
    </x:row>
    <x:row r="956" ht="52" customHeight="1">
      <x:c r="A956" s="30" t="str">
        <x:v>CL0952</x:v>
      </x:c>
      <x:c r="B956" s="31" t="str">
        <x:v>What I did at blackrock, deal background about the buyout of the indian IT services, EBITDA margin level and compared to industry average</x:v>
      </x:c>
      <x:c r="C956" s="31" t="str">
        <x:v>Resume &amp; Experience</x:v>
      </x:c>
      <x:c r="D956" s="69" t="n">
        <x:f>COUNTIF('All Questions'!$G$5:$G$1725,A956)</x:f>
        <x:v>1</x:v>
      </x:c>
      <x:c r="E956" s="31" t="str">
        <x:v>Deutsche</x:v>
      </x:c>
      <x:c r="F956" s="31" t="str">
        <x:v>IBD / GCM</x:v>
      </x:c>
      <x:c r="G956" s="31" t="str">
        <x:v>What I did at blackrock, deal background about the buyout of the indian IT services, EBITDA margin level and compared to industry average</x:v>
      </x:c>
    </x:row>
    <x:row r="957" ht="34" customHeight="1">
      <x:c r="A957" s="30" t="str">
        <x:v>CL0953</x:v>
      </x:c>
      <x:c r="B957" s="31" t="str">
        <x:v>What I did at SFC - as a regulator, how do they work with investment banks</x:v>
      </x:c>
      <x:c r="C957" s="31" t="str">
        <x:v>Other Question</x:v>
      </x:c>
      <x:c r="D957" s="69" t="n">
        <x:f>COUNTIF('All Questions'!$G$5:$G$1725,A957)</x:f>
        <x:v>1</x:v>
      </x:c>
      <x:c r="E957" s="31" t="str">
        <x:v>MS IBD</x:v>
      </x:c>
      <x:c r="F957" s="31" t="str">
        <x:v>IBD / GCM</x:v>
      </x:c>
      <x:c r="G957" s="31" t="str">
        <x:v>What I did at SFC - as a regulator, how do they work with investment banks?</x:v>
      </x:c>
    </x:row>
    <x:row r="958" ht="52" customHeight="1">
      <x:c r="A958" s="30" t="str">
        <x:v>CL0954</x:v>
      </x:c>
      <x:c r="B958" s="31" t="str">
        <x:v>What if someone in your team is not performing as expected (like in that case), how do you deal with it</x:v>
      </x:c>
      <x:c r="C958" s="31" t="str">
        <x:v>Behavioral &amp; Situational</x:v>
      </x:c>
      <x:c r="D958" s="69" t="n">
        <x:f>COUNTIF('All Questions'!$G$5:$G$1725,A958)</x:f>
        <x:v>1</x:v>
      </x:c>
      <x:c r="E958" s="31" t="str">
        <x:v>Citi</x:v>
      </x:c>
      <x:c r="F958" s="31" t="str">
        <x:v>IBD / GCM</x:v>
      </x:c>
      <x:c r="G958" s="31" t="str">
        <x:v>What if someone in your team is not performing as expected (like in that case), how do you deal with it?</x:v>
      </x:c>
    </x:row>
    <x:row r="959" ht="52" customHeight="1">
      <x:c r="A959" s="30" t="str">
        <x:v>CL0955</x:v>
      </x:c>
      <x:c r="B959" s="31" t="str">
        <x:v>What if the private company is a tech company, which its equity value may far exceed its book value (I said manually adjust by looking at comps)</x:v>
      </x:c>
      <x:c r="C959" s="31" t="str">
        <x:v>Accounting &amp; Financial Statements</x:v>
      </x:c>
      <x:c r="D959" s="69" t="n">
        <x:f>COUNTIF('All Questions'!$G$5:$G$1725,A959)</x:f>
        <x:v>1</x:v>
      </x:c>
      <x:c r="E959" s="31" t="str">
        <x:v>Lazard</x:v>
      </x:c>
      <x:c r="F959" s="31" t="str">
        <x:v>IBD / GCM</x:v>
      </x:c>
      <x:c r="G959" s="31" t="str">
        <x:v>What if the private company is a tech company, which its equity value may far exceed its book value (I said manually adjust by looking at comps)</x:v>
      </x:c>
    </x:row>
    <x:row r="960" ht="34" customHeight="1">
      <x:c r="A960" s="30" t="str">
        <x:v>CL0956</x:v>
      </x:c>
      <x:c r="B960" s="31" t="str">
        <x:v>What if there are like 4 MDs reaching out to you, what would you do</x:v>
      </x:c>
      <x:c r="C960" s="31" t="str">
        <x:v>Other Question</x:v>
      </x:c>
      <x:c r="D960" s="69" t="n">
        <x:f>COUNTIF('All Questions'!$G$5:$G$1725,A960)</x:f>
        <x:v>1</x:v>
      </x:c>
      <x:c r="E960" s="31" t="str">
        <x:v>UBS IBD</x:v>
      </x:c>
      <x:c r="F960" s="31" t="str">
        <x:v>IBD / GCM</x:v>
      </x:c>
      <x:c r="G960" s="31" t="str">
        <x:v>What if there are like 4 MDs reaching out to you, what would you do?</x:v>
      </x:c>
    </x:row>
    <x:row r="961" ht="34" customHeight="1">
      <x:c r="A961" s="30" t="str">
        <x:v>CL0957</x:v>
      </x:c>
      <x:c r="B961" s="31" t="str">
        <x:v>What if you projected it for longer</x:v>
      </x:c>
      <x:c r="C961" s="31" t="str">
        <x:v>Other Question</x:v>
      </x:c>
      <x:c r="D961" s="69" t="n">
        <x:f>COUNTIF('All Questions'!$G$5:$G$1725,A961)</x:f>
        <x:v>1</x:v>
      </x:c>
      <x:c r="E961" s="31" t="str">
        <x:v>Bofa IBD</x:v>
      </x:c>
      <x:c r="F961" s="31" t="str">
        <x:v>IBD / GCM</x:v>
      </x:c>
      <x:c r="G961" s="31" t="str">
        <x:v>What if you projected it for longer</x:v>
      </x:c>
    </x:row>
    <x:row r="962" ht="34" customHeight="1">
      <x:c r="A962" s="30" t="str">
        <x:v>CL0958</x:v>
      </x:c>
      <x:c r="B962" s="31" t="str">
        <x:v>What industries am I interested in</x:v>
      </x:c>
      <x:c r="C962" s="31" t="str">
        <x:v>Other Question</x:v>
      </x:c>
      <x:c r="D962" s="69" t="n">
        <x:f>COUNTIF('All Questions'!$G$5:$G$1725,A962)</x:f>
        <x:v>1</x:v>
      </x:c>
      <x:c r="E962" s="31" t="str">
        <x:v>MS IBD</x:v>
      </x:c>
      <x:c r="F962" s="31" t="str">
        <x:v>IBD / GCM</x:v>
      </x:c>
      <x:c r="G962" s="31" t="str">
        <x:v>What industries am I interested in</x:v>
      </x:c>
    </x:row>
    <x:row r="963" ht="34" customHeight="1">
      <x:c r="A963" s="30" t="str">
        <x:v>CL0959</x:v>
      </x:c>
      <x:c r="B963" s="31" t="str">
        <x:v>What investment or project did you do at Alibaba</x:v>
      </x:c>
      <x:c r="C963" s="31" t="str">
        <x:v>Other Question</x:v>
      </x:c>
      <x:c r="D963" s="69" t="n">
        <x:f>COUNTIF('All Questions'!$G$5:$G$1725,A963)</x:f>
        <x:v>1</x:v>
      </x:c>
      <x:c r="E963" s="31" t="str">
        <x:v>Barclays</x:v>
      </x:c>
      <x:c r="F963" s="31" t="str">
        <x:v>IBD / GCM</x:v>
      </x:c>
      <x:c r="G963" s="31" t="str">
        <x:v>What investment or project did you do at Alibaba?</x:v>
      </x:c>
    </x:row>
    <x:row r="964" ht="34" customHeight="1">
      <x:c r="A964" s="30" t="str">
        <x:v>CL0960</x:v>
      </x:c>
      <x:c r="B964" s="31" t="str">
        <x:v>What is a continuation fund (i did in TR)</x:v>
      </x:c>
      <x:c r="C964" s="31" t="str">
        <x:v>Accounting &amp; Financial Statements</x:v>
      </x:c>
      <x:c r="D964" s="69" t="n">
        <x:f>COUNTIF('All Questions'!$G$5:$G$1725,A964)</x:f>
        <x:v>1</x:v>
      </x:c>
      <x:c r="E964" s="31" t="str">
        <x:v>JPM</x:v>
      </x:c>
      <x:c r="F964" s="31" t="str">
        <x:v>IBD / GCM</x:v>
      </x:c>
      <x:c r="G964" s="31" t="str">
        <x:v>what is a continuation fund (i did in TR)</x:v>
      </x:c>
    </x:row>
    <x:row r="965" ht="34" customHeight="1">
      <x:c r="A965" s="30" t="str">
        <x:v>CL0961</x:v>
      </x:c>
      <x:c r="B965" s="31" t="str">
        <x:v>What is a good IPO candidate</x:v>
      </x:c>
      <x:c r="C965" s="31" t="str">
        <x:v>Accounting &amp; Financial Statements</x:v>
      </x:c>
      <x:c r="D965" s="69" t="n">
        <x:f>COUNTIF('All Questions'!$G$5:$G$1725,A965)</x:f>
        <x:v>1</x:v>
      </x:c>
      <x:c r="E965" s="31" t="str">
        <x:v>Neuberger Berman</x:v>
      </x:c>
      <x:c r="F965" s="31" t="str">
        <x:v>PWM / AM</x:v>
      </x:c>
      <x:c r="G965" s="31" t="str">
        <x:v>What is a good IPO candidate</x:v>
      </x:c>
    </x:row>
    <x:row r="966" ht="34" customHeight="1">
      <x:c r="A966" s="30" t="str">
        <x:v>CL0962</x:v>
      </x:c>
      <x:c r="B966" s="31" t="str">
        <x:v>What is a good target for PE</x:v>
      </x:c>
      <x:c r="C966" s="31" t="str">
        <x:v>Accounting &amp; Financial Statements</x:v>
      </x:c>
      <x:c r="D966" s="69" t="n">
        <x:f>COUNTIF('All Questions'!$G$5:$G$1725,A966)</x:f>
        <x:v>1</x:v>
      </x:c>
      <x:c r="E966" s="31" t="str">
        <x:v>Neuberger Berman</x:v>
      </x:c>
      <x:c r="F966" s="31" t="str">
        <x:v>PWM / AM</x:v>
      </x:c>
      <x:c r="G966" s="31" t="str">
        <x:v>What is a good target for PE</x:v>
      </x:c>
    </x:row>
    <x:row r="967" ht="34" customHeight="1">
      <x:c r="A967" s="30" t="str">
        <x:v>CL0963</x:v>
      </x:c>
      <x:c r="B967" s="31" t="str">
        <x:v>What is a recent book you read</x:v>
      </x:c>
      <x:c r="C967" s="31" t="str">
        <x:v>Accounting &amp; Financial Statements</x:v>
      </x:c>
      <x:c r="D967" s="69" t="n">
        <x:f>COUNTIF('All Questions'!$G$5:$G$1725,A967)</x:f>
        <x:v>1</x:v>
      </x:c>
      <x:c r="E967" s="31" t="str">
        <x:v>MSPEA</x:v>
      </x:c>
      <x:c r="F967" s="31" t="str">
        <x:v>PE / VC / Other</x:v>
      </x:c>
      <x:c r="G967" s="31" t="str">
        <x:v>What is a recent book you read</x:v>
      </x:c>
    </x:row>
    <x:row r="968" ht="34" customHeight="1">
      <x:c r="A968" s="30" t="str">
        <x:v>CL0964</x:v>
      </x:c>
      <x:c r="B968" s="31" t="str">
        <x:v>What is beta</x:v>
      </x:c>
      <x:c r="C968" s="31" t="str">
        <x:v>Accounting &amp; Financial Statements</x:v>
      </x:c>
      <x:c r="D968" s="69" t="n">
        <x:f>COUNTIF('All Questions'!$G$5:$G$1725,A968)</x:f>
        <x:v>1</x:v>
      </x:c>
      <x:c r="E968" s="31" t="str">
        <x:v>Barclays</x:v>
      </x:c>
      <x:c r="F968" s="31" t="str">
        <x:v>IBD / GCM</x:v>
      </x:c>
      <x:c r="G968" s="31" t="str">
        <x:v>what is beta</x:v>
      </x:c>
    </x:row>
    <x:row r="969" ht="34" customHeight="1">
      <x:c r="A969" s="30" t="str">
        <x:v>CL0965</x:v>
      </x:c>
      <x:c r="B969" s="31" t="str">
        <x:v>What is CGPA, my GPA for finance and Law</x:v>
      </x:c>
      <x:c r="C969" s="31" t="str">
        <x:v>Accounting &amp; Financial Statements</x:v>
      </x:c>
      <x:c r="D969" s="69" t="n">
        <x:f>COUNTIF('All Questions'!$G$5:$G$1725,A969)</x:f>
        <x:v>1</x:v>
      </x:c>
      <x:c r="E969" s="31" t="str">
        <x:v>GS DCMECM</x:v>
      </x:c>
      <x:c r="F969" s="31" t="str">
        <x:v>IBD / GCM</x:v>
      </x:c>
      <x:c r="G969" s="31" t="str">
        <x:v>What is CGPA, my GPA for finance and Law</x:v>
      </x:c>
    </x:row>
    <x:row r="970" ht="34" customHeight="1">
      <x:c r="A970" s="30" t="str">
        <x:v>CL0966</x:v>
      </x:c>
      <x:c r="B970" s="31" t="str">
        <x:v>What is client financing solutions, DCM</x:v>
      </x:c>
      <x:c r="C970" s="31" t="str">
        <x:v>Accounting &amp; Financial Statements</x:v>
      </x:c>
      <x:c r="D970" s="69" t="n">
        <x:f>COUNTIF('All Questions'!$G$5:$G$1725,A970)</x:f>
        <x:v>1</x:v>
      </x:c>
      <x:c r="E970" s="31" t="str">
        <x:v>MS IBD</x:v>
      </x:c>
      <x:c r="F970" s="31" t="str">
        <x:v>IBD / GCM</x:v>
      </x:c>
      <x:c r="G970" s="31" t="str">
        <x:v>What is client financing solutions, DCM?</x:v>
      </x:c>
    </x:row>
    <x:row r="971" ht="34" customHeight="1">
      <x:c r="A971" s="30" t="str">
        <x:v>CL0967</x:v>
      </x:c>
      <x:c r="B971" s="31" t="str">
        <x:v>⁠⁠what is cost of debt</x:v>
      </x:c>
      <x:c r="C971" s="31" t="str">
        <x:v>Accounting &amp; Financial Statements</x:v>
      </x:c>
      <x:c r="D971" s="69" t="n">
        <x:f>COUNTIF('All Questions'!$G$5:$G$1725,A971)</x:f>
        <x:v>1</x:v>
      </x:c>
      <x:c r="E971" s="31" t="str">
        <x:v>MS IBD</x:v>
      </x:c>
      <x:c r="F971" s="31" t="str">
        <x:v>IBD / GCM</x:v>
      </x:c>
      <x:c r="G971" s="31" t="str">
        <x:v>⁠⁠what is cost of debt</x:v>
      </x:c>
    </x:row>
    <x:row r="972" ht="34" customHeight="1">
      <x:c r="A972" s="30" t="str">
        <x:v>CL0968</x:v>
      </x:c>
      <x:c r="B972" s="31" t="str">
        <x:v>What is discount rate</x:v>
      </x:c>
      <x:c r="C972" s="31" t="str">
        <x:v>Accounting &amp; Financial Statements</x:v>
      </x:c>
      <x:c r="D972" s="69" t="n">
        <x:f>COUNTIF('All Questions'!$G$5:$G$1725,A972)</x:f>
        <x:v>1</x:v>
      </x:c>
      <x:c r="E972" s="31" t="str">
        <x:v>MS IBD</x:v>
      </x:c>
      <x:c r="F972" s="31" t="str">
        <x:v>IBD / GCM</x:v>
      </x:c>
      <x:c r="G972" s="31" t="str">
        <x:v>What is discount rate</x:v>
      </x:c>
    </x:row>
    <x:row r="973" ht="34" customHeight="1">
      <x:c r="A973" s="30" t="str">
        <x:v>CL0969</x:v>
      </x:c>
      <x:c r="B973" s="31" t="str">
        <x:v>What is epee fencing? Why fencing and how did you get started</x:v>
      </x:c>
      <x:c r="C973" s="31" t="str">
        <x:v>Fit &amp; Motivation</x:v>
      </x:c>
      <x:c r="D973" s="69" t="n">
        <x:f>COUNTIF('All Questions'!$G$5:$G$1725,A973)</x:f>
        <x:v>1</x:v>
      </x:c>
      <x:c r="E973" s="31" t="str">
        <x:v>Bofa IBD</x:v>
      </x:c>
      <x:c r="F973" s="31" t="str">
        <x:v>IBD / GCM</x:v>
      </x:c>
      <x:c r="G973" s="31" t="str">
        <x:v>What is epee fencing? Why fencing and how did you get started?</x:v>
      </x:c>
    </x:row>
    <x:row r="974" ht="34" customHeight="1">
      <x:c r="A974" s="30" t="str">
        <x:v>CL0970</x:v>
      </x:c>
      <x:c r="B974" s="31" t="str">
        <x:v>What is goodwill impairment</x:v>
      </x:c>
      <x:c r="C974" s="31" t="str">
        <x:v>Accounting &amp; Financial Statements</x:v>
      </x:c>
      <x:c r="D974" s="69" t="n">
        <x:f>COUNTIF('All Questions'!$G$5:$G$1725,A974)</x:f>
        <x:v>1</x:v>
      </x:c>
      <x:c r="E974" s="31" t="str">
        <x:v>MS IBD</x:v>
      </x:c>
      <x:c r="F974" s="31" t="str">
        <x:v>IBD / GCM</x:v>
      </x:c>
      <x:c r="G974" s="31" t="str">
        <x:v>What is goodwill impairment</x:v>
      </x:c>
    </x:row>
    <x:row r="975" ht="34" customHeight="1">
      <x:c r="A975" s="30" t="str">
        <x:v>CL0971</x:v>
      </x:c>
      <x:c r="B975" s="31" t="str">
        <x:v>What is its valuation, what is your view on it</x:v>
      </x:c>
      <x:c r="C975" s="31" t="str">
        <x:v>Accounting &amp; Financial Statements</x:v>
      </x:c>
      <x:c r="D975" s="69" t="n">
        <x:f>COUNTIF('All Questions'!$G$5:$G$1725,A975)</x:f>
        <x:v>1</x:v>
      </x:c>
      <x:c r="E975" s="31" t="str">
        <x:v>Bofa IBD</x:v>
      </x:c>
      <x:c r="F975" s="31" t="str">
        <x:v>IBD / GCM</x:v>
      </x:c>
      <x:c r="G975" s="31" t="str">
        <x:v>What is its valuation, what is your view on it</x:v>
      </x:c>
    </x:row>
    <x:row r="976" ht="34" customHeight="1">
      <x:c r="A976" s="30" t="str">
        <x:v>CL0972</x:v>
      </x:c>
      <x:c r="B976" s="31" t="str">
        <x:v>What is special about Nike? (I mentioned Nike)</x:v>
      </x:c>
      <x:c r="C976" s="31" t="str">
        <x:v>Accounting &amp; Financial Statements</x:v>
      </x:c>
      <x:c r="D976" s="69" t="n">
        <x:f>COUNTIF('All Questions'!$G$5:$G$1725,A976)</x:f>
        <x:v>1</x:v>
      </x:c>
      <x:c r="E976" s="31" t="str">
        <x:v>UBS IBD</x:v>
      </x:c>
      <x:c r="F976" s="31" t="str">
        <x:v>IBD / GCM</x:v>
      </x:c>
      <x:c r="G976" s="31" t="str">
        <x:v>What is special about Nike? (I mentioned Nike)</x:v>
      </x:c>
    </x:row>
    <x:row r="977" ht="34" customHeight="1">
      <x:c r="A977" s="30" t="str">
        <x:v>CL0973</x:v>
      </x:c>
      <x:c r="B977" s="31" t="str">
        <x:v>What is the 3 ways of privitization and what’s the difference</x:v>
      </x:c>
      <x:c r="C977" s="31" t="str">
        <x:v>Accounting &amp; Financial Statements</x:v>
      </x:c>
      <x:c r="D977" s="69" t="n">
        <x:f>COUNTIF('All Questions'!$G$5:$G$1725,A977)</x:f>
        <x:v>1</x:v>
      </x:c>
      <x:c r="E977" s="31" t="str">
        <x:v>Lazard</x:v>
      </x:c>
      <x:c r="F977" s="31" t="str">
        <x:v>IBD / GCM</x:v>
      </x:c>
      <x:c r="G977" s="31" t="str">
        <x:v>What is the 3 ways of privitization and what’s the difference</x:v>
      </x:c>
    </x:row>
    <x:row r="978" ht="52" customHeight="1">
      <x:c r="A978" s="30" t="str">
        <x:v>CL0974</x:v>
      </x:c>
      <x:c r="B978" s="31" t="str">
        <x:v>What is the company's market position in the industry? (he calculated if 25bn market size in 5 years, now around 10bn, company 1bn revenue, so 10% share wow)</x:v>
      </x:c>
      <x:c r="C978" s="31" t="str">
        <x:v>Accounting &amp; Financial Statements</x:v>
      </x:c>
      <x:c r="D978" s="69" t="n">
        <x:f>COUNTIF('All Questions'!$G$5:$G$1725,A978)</x:f>
        <x:v>1</x:v>
      </x:c>
      <x:c r="E978" s="31" t="str">
        <x:v>CDH</x:v>
      </x:c>
      <x:c r="F978" s="31" t="str">
        <x:v>PE / VC / Other</x:v>
      </x:c>
      <x:c r="G978" s="31" t="str">
        <x:v>What is the company's market position in the industry? (he calculated if 25bn market size in 5 years, now around 10bn, company 1bn revenue, so 10% share wow)</x:v>
      </x:c>
    </x:row>
    <x:row r="979" ht="34" customHeight="1">
      <x:c r="A979" s="30" t="str">
        <x:v>CL0975</x:v>
      </x:c>
      <x:c r="B979" s="31" t="str">
        <x:v>What is the comparative advantage of HKEX</x:v>
      </x:c>
      <x:c r="C979" s="31" t="str">
        <x:v>Accounting &amp; Financial Statements</x:v>
      </x:c>
      <x:c r="D979" s="69" t="n">
        <x:f>COUNTIF('All Questions'!$G$5:$G$1725,A979)</x:f>
        <x:v>1</x:v>
      </x:c>
      <x:c r="E979" s="31" t="str">
        <x:v>HKEX</x:v>
      </x:c>
      <x:c r="F979" s="31" t="str">
        <x:v>PE / VC / Other</x:v>
      </x:c>
      <x:c r="G979" s="31" t="str">
        <x:v>What is the comparative advantage of HKEX?</x:v>
      </x:c>
    </x:row>
    <x:row r="980" ht="34" customHeight="1">
      <x:c r="A980" s="30" t="str">
        <x:v>CL0976</x:v>
      </x:c>
      <x:c r="B980" s="31" t="str">
        <x:v>What is the culture of GS</x:v>
      </x:c>
      <x:c r="C980" s="31" t="str">
        <x:v>Accounting &amp; Financial Statements</x:v>
      </x:c>
      <x:c r="D980" s="69" t="n">
        <x:f>COUNTIF('All Questions'!$G$5:$G$1725,A980)</x:f>
        <x:v>1</x:v>
      </x:c>
      <x:c r="E980" s="31" t="str">
        <x:v>GS PWM</x:v>
      </x:c>
      <x:c r="F980" s="31" t="str">
        <x:v>PWM / AM</x:v>
      </x:c>
      <x:c r="G980" s="31" t="str">
        <x:v>What is the culture of GS?</x:v>
      </x:c>
    </x:row>
    <x:row r="981" ht="34" customHeight="1">
      <x:c r="A981" s="30" t="str">
        <x:v>CL0977</x:v>
      </x:c>
      <x:c r="B981" s="31" t="str">
        <x:v>What is the difference betweeen lfcf and ufcf</x:v>
      </x:c>
      <x:c r="C981" s="31" t="str">
        <x:v>Accounting &amp; Financial Statements</x:v>
      </x:c>
      <x:c r="D981" s="69" t="n">
        <x:f>COUNTIF('All Questions'!$G$5:$G$1725,A981)</x:f>
        <x:v>1</x:v>
      </x:c>
      <x:c r="E981" s="31" t="str">
        <x:v>Barclays</x:v>
      </x:c>
      <x:c r="F981" s="31" t="str">
        <x:v>IBD / GCM</x:v>
      </x:c>
      <x:c r="G981" s="31" t="str">
        <x:v>what is the difference betweeen lfcf and ufcf</x:v>
      </x:c>
    </x:row>
    <x:row r="982" ht="34" customHeight="1">
      <x:c r="A982" s="30" t="str">
        <x:v>CL0978</x:v>
      </x:c>
      <x:c r="B982" s="31" t="str">
        <x:v>What is the difference between private placement and rights issue</x:v>
      </x:c>
      <x:c r="C982" s="31" t="str">
        <x:v>Accounting &amp; Financial Statements</x:v>
      </x:c>
      <x:c r="D982" s="69" t="n">
        <x:f>COUNTIF('All Questions'!$G$5:$G$1725,A982)</x:f>
        <x:v>1</x:v>
      </x:c>
      <x:c r="E982" s="31" t="str">
        <x:v>Bofa IBD</x:v>
      </x:c>
      <x:c r="F982" s="31" t="str">
        <x:v>IBD / GCM</x:v>
      </x:c>
      <x:c r="G982" s="31" t="str">
        <x:v>What is the difference between private placement and rights issue</x:v>
      </x:c>
    </x:row>
    <x:row r="983" ht="34" customHeight="1">
      <x:c r="A983" s="30" t="str">
        <x:v>CL0979</x:v>
      </x:c>
      <x:c r="B983" s="31" t="str">
        <x:v>What is the difference in motivations for finding a strategic vs financial buyer</x:v>
      </x:c>
      <x:c r="C983" s="31" t="str">
        <x:v>Fit &amp; Motivation</x:v>
      </x:c>
      <x:c r="D983" s="69" t="n">
        <x:f>COUNTIF('All Questions'!$G$5:$G$1725,A983)</x:f>
        <x:v>1</x:v>
      </x:c>
      <x:c r="E983" s="31" t="str">
        <x:v>MS IBD</x:v>
      </x:c>
      <x:c r="F983" s="31" t="str">
        <x:v>IBD / GCM</x:v>
      </x:c>
      <x:c r="G983" s="31" t="str">
        <x:v>What is the difference in motivations for finding a strategic vs financial buyer</x:v>
      </x:c>
    </x:row>
    <x:row r="984" ht="34" customHeight="1">
      <x:c r="A984" s="30" t="str">
        <x:v>CL0980</x:v>
      </x:c>
      <x:c r="B984" s="31" t="str">
        <x:v>What is the disadvantage of ufcf</x:v>
      </x:c>
      <x:c r="C984" s="31" t="str">
        <x:v>Accounting &amp; Financial Statements</x:v>
      </x:c>
      <x:c r="D984" s="69" t="n">
        <x:f>COUNTIF('All Questions'!$G$5:$G$1725,A984)</x:f>
        <x:v>1</x:v>
      </x:c>
      <x:c r="E984" s="31" t="str">
        <x:v>Barclays</x:v>
      </x:c>
      <x:c r="F984" s="31" t="str">
        <x:v>IBD / GCM</x:v>
      </x:c>
      <x:c r="G984" s="31" t="str">
        <x:v>what is the disadvantage of ufcf</x:v>
      </x:c>
    </x:row>
    <x:row r="985" ht="34" customHeight="1">
      <x:c r="A985" s="30" t="str">
        <x:v>CL0981</x:v>
      </x:c>
      <x:c r="B985" s="31" t="str">
        <x:v>What is the gross margin for the China freight forwarding company</x:v>
      </x:c>
      <x:c r="C985" s="31" t="str">
        <x:v>Accounting &amp; Financial Statements</x:v>
      </x:c>
      <x:c r="D985" s="69" t="n">
        <x:f>COUNTIF('All Questions'!$G$5:$G$1725,A985)</x:f>
        <x:v>1</x:v>
      </x:c>
      <x:c r="E985" s="31" t="str">
        <x:v>Bofa IBD</x:v>
      </x:c>
      <x:c r="F985" s="31" t="str">
        <x:v>IBD / GCM</x:v>
      </x:c>
      <x:c r="G985" s="31" t="str">
        <x:v>What is the gross margin for the China freight forwarding company?</x:v>
      </x:c>
    </x:row>
    <x:row r="986" ht="34" customHeight="1">
      <x:c r="A986" s="30" t="str">
        <x:v>CL0982</x:v>
      </x:c>
      <x:c r="B986" s="31" t="str">
        <x:v>What is the IRR</x:v>
      </x:c>
      <x:c r="C986" s="31" t="str">
        <x:v>Accounting &amp; Financial Statements</x:v>
      </x:c>
      <x:c r="D986" s="69" t="n">
        <x:f>COUNTIF('All Questions'!$G$5:$G$1725,A986)</x:f>
        <x:v>1</x:v>
      </x:c>
      <x:c r="E986" s="31" t="str">
        <x:v>Houlihan Lokey</x:v>
      </x:c>
      <x:c r="F986" s="31" t="str">
        <x:v>IBD / GCM</x:v>
      </x:c>
      <x:c r="G986" s="31" t="str">
        <x:v>What is the IRR ?</x:v>
      </x:c>
    </x:row>
    <x:row r="987" ht="34" customHeight="1">
      <x:c r="A987" s="30" t="str">
        <x:v>CL0983</x:v>
      </x:c>
      <x:c r="B987" s="31" t="str">
        <x:v>What is the IRR? (20%)</x:v>
      </x:c>
      <x:c r="C987" s="31" t="str">
        <x:v>Accounting &amp; Financial Statements</x:v>
      </x:c>
      <x:c r="D987" s="69" t="n">
        <x:f>COUNTIF('All Questions'!$G$5:$G$1725,A987)</x:f>
        <x:v>1</x:v>
      </x:c>
      <x:c r="E987" s="31" t="str">
        <x:v>Moelis</x:v>
      </x:c>
      <x:c r="F987" s="31" t="str">
        <x:v>IBD / GCM</x:v>
      </x:c>
      <x:c r="G987" s="31" t="str">
        <x:v>What is the IRR? (20%)</x:v>
      </x:c>
    </x:row>
    <x:row r="988" ht="34" customHeight="1">
      <x:c r="A988" s="30" t="str">
        <x:v>CL0984</x:v>
      </x:c>
      <x:c r="B988" s="31" t="str">
        <x:v>What is the market dynamic of this sector</x:v>
      </x:c>
      <x:c r="C988" s="31" t="str">
        <x:v>Accounting &amp; Financial Statements</x:v>
      </x:c>
      <x:c r="D988" s="69" t="n">
        <x:f>COUNTIF('All Questions'!$G$5:$G$1725,A988)</x:f>
        <x:v>1</x:v>
      </x:c>
      <x:c r="E988" s="31" t="str">
        <x:v>Lazard</x:v>
      </x:c>
      <x:c r="F988" s="31" t="str">
        <x:v>IBD / GCM</x:v>
      </x:c>
      <x:c r="G988" s="31" t="str">
        <x:v>What is the market dynamic of this sector</x:v>
      </x:c>
    </x:row>
    <x:row r="989" ht="34" customHeight="1">
      <x:c r="A989" s="30" t="str">
        <x:v>CL0985</x:v>
      </x:c>
      <x:c r="B989" s="31" t="str">
        <x:v>What is the market for sell side right now</x:v>
      </x:c>
      <x:c r="C989" s="31" t="str">
        <x:v>Accounting &amp; Financial Statements</x:v>
      </x:c>
      <x:c r="D989" s="69" t="n">
        <x:f>COUNTIF('All Questions'!$G$5:$G$1725,A989)</x:f>
        <x:v>1</x:v>
      </x:c>
      <x:c r="E989" s="31" t="str">
        <x:v>Bofa IBD</x:v>
      </x:c>
      <x:c r="F989" s="31" t="str">
        <x:v>IBD / GCM</x:v>
      </x:c>
      <x:c r="G989" s="31" t="str">
        <x:v>What is the market for sell side right now</x:v>
      </x:c>
    </x:row>
    <x:row r="990" ht="34" customHeight="1">
      <x:c r="A990" s="30" t="str">
        <x:v>CL0986</x:v>
      </x:c>
      <x:c r="B990" s="31" t="str">
        <x:v>⁠⁠what is the normal market risk premium</x:v>
      </x:c>
      <x:c r="C990" s="31" t="str">
        <x:v>Accounting &amp; Financial Statements</x:v>
      </x:c>
      <x:c r="D990" s="69" t="n">
        <x:f>COUNTIF('All Questions'!$G$5:$G$1725,A990)</x:f>
        <x:v>1</x:v>
      </x:c>
      <x:c r="E990" s="31" t="str">
        <x:v>MS IBD</x:v>
      </x:c>
      <x:c r="F990" s="31" t="str">
        <x:v>IBD / GCM</x:v>
      </x:c>
      <x:c r="G990" s="31" t="str">
        <x:v>⁠⁠what is the normal market risk premium</x:v>
      </x:c>
    </x:row>
    <x:row r="991" ht="34" customHeight="1">
      <x:c r="A991" s="30" t="str">
        <x:v>CL0987</x:v>
      </x:c>
      <x:c r="B991" s="31" t="str">
        <x:v>What is the one thing u felt has not been priced in and investors should be most excited about</x:v>
      </x:c>
      <x:c r="C991" s="31" t="str">
        <x:v>Accounting &amp; Financial Statements</x:v>
      </x:c>
      <x:c r="D991" s="69" t="n">
        <x:f>COUNTIF('All Questions'!$G$5:$G$1725,A991)</x:f>
        <x:v>1</x:v>
      </x:c>
      <x:c r="E991" s="31" t="str">
        <x:v>MS IED</x:v>
      </x:c>
      <x:c r="F991" s="31" t="str">
        <x:v>Sales &amp; Trading</x:v>
      </x:c>
      <x:c r="G991" s="31" t="str">
        <x:v>what is the one thing u felt has not been priced in and investors should be most excited about</x:v>
      </x:c>
    </x:row>
    <x:row r="992" ht="34" customHeight="1">
      <x:c r="A992" s="30" t="str">
        <x:v>CL0988</x:v>
      </x:c>
      <x:c r="B992" s="31" t="str">
        <x:v>What is the P/B multiple used</x:v>
      </x:c>
      <x:c r="C992" s="31" t="str">
        <x:v>Accounting &amp; Financial Statements</x:v>
      </x:c>
      <x:c r="D992" s="69" t="n">
        <x:f>COUNTIF('All Questions'!$G$5:$G$1725,A992)</x:f>
        <x:v>1</x:v>
      </x:c>
      <x:c r="E992" s="31" t="str">
        <x:v>Deutsche</x:v>
      </x:c>
      <x:c r="F992" s="31" t="str">
        <x:v>IBD / GCM</x:v>
      </x:c>
      <x:c r="G992" s="31" t="str">
        <x:v>What is the P/B multiple used</x:v>
      </x:c>
    </x:row>
    <x:row r="993" ht="34" customHeight="1">
      <x:c r="A993" s="30" t="str">
        <x:v>CL0989</x:v>
      </x:c>
      <x:c r="B993" s="31" t="str">
        <x:v>What is the part of IBD work that I love the most and hate the most</x:v>
      </x:c>
      <x:c r="C993" s="31" t="str">
        <x:v>Accounting &amp; Financial Statements</x:v>
      </x:c>
      <x:c r="D993" s="69" t="n">
        <x:f>COUNTIF('All Questions'!$G$5:$G$1725,A993)</x:f>
        <x:v>1</x:v>
      </x:c>
      <x:c r="E993" s="31" t="str">
        <x:v>Lazard</x:v>
      </x:c>
      <x:c r="F993" s="31" t="str">
        <x:v>IBD / GCM</x:v>
      </x:c>
      <x:c r="G993" s="31" t="str">
        <x:v>What is the part of IBD work that I love the most and hate the most</x:v>
      </x:c>
    </x:row>
    <x:row r="994" ht="34" customHeight="1">
      <x:c r="A994" s="30" t="str">
        <x:v>CL0990</x:v>
      </x:c>
      <x:c r="B994" s="31" t="str">
        <x:v>What is the process of a buy-side M&amp;A, what would advisor do in each stage</x:v>
      </x:c>
      <x:c r="C994" s="31" t="str">
        <x:v>Accounting &amp; Financial Statements</x:v>
      </x:c>
      <x:c r="D994" s="69" t="n">
        <x:f>COUNTIF('All Questions'!$G$5:$G$1725,A994)</x:f>
        <x:v>1</x:v>
      </x:c>
      <x:c r="E994" s="31" t="str">
        <x:v>Lazard</x:v>
      </x:c>
      <x:c r="F994" s="31" t="str">
        <x:v>IBD / GCM</x:v>
      </x:c>
      <x:c r="G994" s="31" t="str">
        <x:v>What is the process of a buy-side M&amp;A, what would advisor do in each stage</x:v>
      </x:c>
    </x:row>
    <x:row r="995" ht="34" customHeight="1">
      <x:c r="A995" s="30" t="str">
        <x:v>CL0991</x:v>
      </x:c>
      <x:c r="B995" s="31" t="str">
        <x:v>What is the process of a typical Sell-side M&amp;A deal</x:v>
      </x:c>
      <x:c r="C995" s="31" t="str">
        <x:v>Accounting &amp; Financial Statements</x:v>
      </x:c>
      <x:c r="D995" s="69" t="n">
        <x:f>COUNTIF('All Questions'!$G$5:$G$1725,A995)</x:f>
        <x:v>1</x:v>
      </x:c>
      <x:c r="E995" s="31" t="str">
        <x:v>BNP Paribas</x:v>
      </x:c>
      <x:c r="F995" s="31" t="str">
        <x:v>IBD / GCM</x:v>
      </x:c>
      <x:c r="G995" s="31" t="str">
        <x:v>What is the process of a typical Sell-side M&amp;A deal</x:v>
      </x:c>
    </x:row>
    <x:row r="996" ht="34" customHeight="1">
      <x:c r="A996" s="30" t="str">
        <x:v>CL0992</x:v>
      </x:c>
      <x:c r="B996" s="31" t="str">
        <x:v>What is the recent development of HKEX</x:v>
      </x:c>
      <x:c r="C996" s="31" t="str">
        <x:v>Accounting &amp; Financial Statements</x:v>
      </x:c>
      <x:c r="D996" s="69" t="n">
        <x:f>COUNTIF('All Questions'!$G$5:$G$1725,A996)</x:f>
        <x:v>1</x:v>
      </x:c>
      <x:c r="E996" s="31" t="str">
        <x:v>HKEX</x:v>
      </x:c>
      <x:c r="F996" s="31" t="str">
        <x:v>PE / VC / Other</x:v>
      </x:c>
      <x:c r="G996" s="31" t="str">
        <x:v>What is the recent development of HKEX?</x:v>
      </x:c>
    </x:row>
    <x:row r="997" ht="34" customHeight="1">
      <x:c r="A997" s="30" t="str">
        <x:v>CL0993</x:v>
      </x:c>
      <x:c r="B997" s="31" t="str">
        <x:v>What is the risk? Policy wide</x:v>
      </x:c>
      <x:c r="C997" s="31" t="str">
        <x:v>Accounting &amp; Financial Statements</x:v>
      </x:c>
      <x:c r="D997" s="69" t="n">
        <x:f>COUNTIF('All Questions'!$G$5:$G$1725,A997)</x:f>
        <x:v>1</x:v>
      </x:c>
      <x:c r="E997" s="31" t="str">
        <x:v>Bofa IBD</x:v>
      </x:c>
      <x:c r="F997" s="31" t="str">
        <x:v>IBD / GCM</x:v>
      </x:c>
      <x:c r="G997" s="31" t="str">
        <x:v>What is the risk? Policy wide?</x:v>
      </x:c>
    </x:row>
    <x:row r="998" ht="34" customHeight="1">
      <x:c r="A998" s="30" t="str">
        <x:v>CL0994</x:v>
      </x:c>
      <x:c r="B998" s="31" t="str">
        <x:v>What is the synergy of this acquisition</x:v>
      </x:c>
      <x:c r="C998" s="31" t="str">
        <x:v>Accounting &amp; Financial Statements</x:v>
      </x:c>
      <x:c r="D998" s="69" t="n">
        <x:f>COUNTIF('All Questions'!$G$5:$G$1725,A998)</x:f>
        <x:v>1</x:v>
      </x:c>
      <x:c r="E998" s="31" t="str">
        <x:v>Barclays</x:v>
      </x:c>
      <x:c r="F998" s="31" t="str">
        <x:v>IBD / GCM</x:v>
      </x:c>
      <x:c r="G998" s="31" t="str">
        <x:v>What is the synergy of this acquisition?</x:v>
      </x:c>
    </x:row>
    <x:row r="999" ht="34" customHeight="1">
      <x:c r="A999" s="30" t="str">
        <x:v>CL0995</x:v>
      </x:c>
      <x:c r="B999" s="31" t="str">
        <x:v>What is the top line? How did you determine the revenue growth rate</x:v>
      </x:c>
      <x:c r="C999" s="31" t="str">
        <x:v>Accounting &amp; Financial Statements</x:v>
      </x:c>
      <x:c r="D999" s="69" t="n">
        <x:f>COUNTIF('All Questions'!$G$5:$G$1725,A999)</x:f>
        <x:v>1</x:v>
      </x:c>
      <x:c r="E999" s="31" t="str">
        <x:v>Bofa IBD</x:v>
      </x:c>
      <x:c r="F999" s="31" t="str">
        <x:v>IBD / GCM</x:v>
      </x:c>
      <x:c r="G999" s="31" t="str">
        <x:v>What is the top line? How did you determine the revenue growth rate?</x:v>
      </x:c>
    </x:row>
    <x:row r="1000" ht="34" customHeight="1">
      <x:c r="A1000" s="30" t="str">
        <x:v>CL0996</x:v>
      </x:c>
      <x:c r="B1000" s="31" t="str">
        <x:v>What is the valuation of this target</x:v>
      </x:c>
      <x:c r="C1000" s="31" t="str">
        <x:v>Accounting &amp; Financial Statements</x:v>
      </x:c>
      <x:c r="D1000" s="69" t="n">
        <x:f>COUNTIF('All Questions'!$G$5:$G$1725,A1000)</x:f>
        <x:v>1</x:v>
      </x:c>
      <x:c r="E1000" s="31" t="str">
        <x:v>Deutsche</x:v>
      </x:c>
      <x:c r="F1000" s="31" t="str">
        <x:v>IBD / GCM</x:v>
      </x:c>
      <x:c r="G1000" s="31" t="str">
        <x:v>What is the valuation of this target?</x:v>
      </x:c>
    </x:row>
    <x:row r="1001" ht="34" customHeight="1">
      <x:c r="A1001" s="30" t="str">
        <x:v>CL0997</x:v>
      </x:c>
      <x:c r="B1001" s="31" t="str">
        <x:v>What is UBS AM known for</x:v>
      </x:c>
      <x:c r="C1001" s="31" t="str">
        <x:v>Accounting &amp; Financial Statements</x:v>
      </x:c>
      <x:c r="D1001" s="69" t="n">
        <x:f>COUNTIF('All Questions'!$G$5:$G$1725,A1001)</x:f>
        <x:v>1</x:v>
      </x:c>
      <x:c r="E1001" s="31" t="str">
        <x:v>UBS AM</x:v>
      </x:c>
      <x:c r="F1001" s="31" t="str">
        <x:v>PWM / AM</x:v>
      </x:c>
      <x:c r="G1001" s="31" t="str">
        <x:v>What is UBS AM known for?</x:v>
      </x:c>
    </x:row>
    <x:row r="1002" ht="34" customHeight="1">
      <x:c r="A1002" s="30" t="str">
        <x:v>CL0998</x:v>
      </x:c>
      <x:c r="B1002" s="31" t="str">
        <x:v>What is ur favourite subject in school</x:v>
      </x:c>
      <x:c r="C1002" s="31" t="str">
        <x:v>Resume &amp; Experience</x:v>
      </x:c>
      <x:c r="D1002" s="69" t="n">
        <x:f>COUNTIF('All Questions'!$G$5:$G$1725,A1002)</x:f>
        <x:v>1</x:v>
      </x:c>
      <x:c r="E1002" s="31" t="str">
        <x:v>HSBC (GM)</x:v>
      </x:c>
      <x:c r="F1002" s="31" t="str">
        <x:v>Sales &amp; Trading</x:v>
      </x:c>
      <x:c r="G1002" s="31" t="str">
        <x:v>what is ur favourite subject in school</x:v>
      </x:c>
    </x:row>
    <x:row r="1003" ht="34" customHeight="1">
      <x:c r="A1003" s="30" t="str">
        <x:v>CL0999</x:v>
      </x:c>
      <x:c r="B1003" s="31" t="str">
        <x:v>What is VIE, and why would company list like VIE? Pros of VIE</x:v>
      </x:c>
      <x:c r="C1003" s="31" t="str">
        <x:v>Fit &amp; Motivation</x:v>
      </x:c>
      <x:c r="D1003" s="69" t="n">
        <x:f>COUNTIF('All Questions'!$G$5:$G$1725,A1003)</x:f>
        <x:v>1</x:v>
      </x:c>
      <x:c r="E1003" s="31" t="str">
        <x:v>Bofa IBD</x:v>
      </x:c>
      <x:c r="F1003" s="31" t="str">
        <x:v>IBD / GCM</x:v>
      </x:c>
      <x:c r="G1003" s="31" t="str">
        <x:v>What is VIE, and why would company list like VIE? Pros of VIE?</x:v>
      </x:c>
    </x:row>
    <x:row r="1004" ht="34" customHeight="1">
      <x:c r="A1004" s="30" t="str">
        <x:v>CL1000</x:v>
      </x:c>
      <x:c r="B1004" s="31" t="str">
        <x:v>What is wacc</x:v>
      </x:c>
      <x:c r="C1004" s="31" t="str">
        <x:v>Accounting &amp; Financial Statements</x:v>
      </x:c>
      <x:c r="D1004" s="69" t="n">
        <x:f>COUNTIF('All Questions'!$G$5:$G$1725,A1004)</x:f>
        <x:v>1</x:v>
      </x:c>
      <x:c r="E1004" s="31" t="str">
        <x:v>Barclays</x:v>
      </x:c>
      <x:c r="F1004" s="31" t="str">
        <x:v>IBD / GCM</x:v>
      </x:c>
      <x:c r="G1004" s="31" t="str">
        <x:v>what is wacc</x:v>
      </x:c>
    </x:row>
    <x:row r="1005" ht="34" customHeight="1">
      <x:c r="A1005" s="30" t="str">
        <x:v>CL1001</x:v>
      </x:c>
      <x:c r="B1005" s="31" t="str">
        <x:v>What is your career plan</x:v>
      </x:c>
      <x:c r="C1005" s="31" t="str">
        <x:v>Accounting &amp; Financial Statements</x:v>
      </x:c>
      <x:c r="D1005" s="69" t="n">
        <x:f>COUNTIF('All Questions'!$G$5:$G$1725,A1005)</x:f>
        <x:v>1</x:v>
      </x:c>
      <x:c r="E1005" s="31" t="str">
        <x:v>Fountainvest</x:v>
      </x:c>
      <x:c r="F1005" s="31" t="str">
        <x:v>PE / VC / Other</x:v>
      </x:c>
      <x:c r="G1005" s="31" t="str">
        <x:v>What is your career plan?</x:v>
      </x:c>
    </x:row>
    <x:row r="1006" ht="34" customHeight="1">
      <x:c r="A1006" s="30" t="str">
        <x:v>CL1002</x:v>
      </x:c>
      <x:c r="B1006" s="31" t="str">
        <x:v>What is your expectation for the UBS AM GTP programme</x:v>
      </x:c>
      <x:c r="C1006" s="31" t="str">
        <x:v>Accounting &amp; Financial Statements</x:v>
      </x:c>
      <x:c r="D1006" s="69" t="n">
        <x:f>COUNTIF('All Questions'!$G$5:$G$1725,A1006)</x:f>
        <x:v>1</x:v>
      </x:c>
      <x:c r="E1006" s="31" t="str">
        <x:v>UBS AM</x:v>
      </x:c>
      <x:c r="F1006" s="31" t="str">
        <x:v>PWM / AM</x:v>
      </x:c>
      <x:c r="G1006" s="31" t="str">
        <x:v>What is your expectation for the UBS AM GTP programme?</x:v>
      </x:c>
    </x:row>
    <x:row r="1007" ht="34" customHeight="1">
      <x:c r="A1007" s="30" t="str">
        <x:v>CL1003</x:v>
      </x:c>
      <x:c r="B1007" s="31" t="str">
        <x:v>What is your favourite book outside of finance and why</x:v>
      </x:c>
      <x:c r="C1007" s="31" t="str">
        <x:v>Accounting &amp; Financial Statements</x:v>
      </x:c>
      <x:c r="D1007" s="69" t="n">
        <x:f>COUNTIF('All Questions'!$G$5:$G$1725,A1007)</x:f>
        <x:v>1</x:v>
      </x:c>
      <x:c r="E1007" s="31" t="str">
        <x:v>BlackRock</x:v>
      </x:c>
      <x:c r="F1007" s="31" t="str">
        <x:v>PWM / AM</x:v>
      </x:c>
      <x:c r="G1007" s="31" t="str">
        <x:v>what is your favourite book outside of finance and why</x:v>
      </x:c>
    </x:row>
    <x:row r="1008" ht="34" customHeight="1">
      <x:c r="A1008" s="30" t="str">
        <x:v>CL1004</x:v>
      </x:c>
      <x:c r="B1008" s="31" t="str">
        <x:v>What is your most favourite and least favourite internship and why</x:v>
      </x:c>
      <x:c r="C1008" s="31" t="str">
        <x:v>Resume &amp; Experience</x:v>
      </x:c>
      <x:c r="D1008" s="69" t="n">
        <x:f>COUNTIF('All Questions'!$G$5:$G$1725,A1008)</x:f>
        <x:v>1</x:v>
      </x:c>
      <x:c r="E1008" s="31" t="str">
        <x:v>Barclays</x:v>
      </x:c>
      <x:c r="F1008" s="31" t="str">
        <x:v>IBD / GCM</x:v>
      </x:c>
      <x:c r="G1008" s="31" t="str">
        <x:v>What is your most favourite and least favourite internship and why</x:v>
      </x:c>
    </x:row>
    <x:row r="1009" ht="34" customHeight="1">
      <x:c r="A1009" s="30" t="str">
        <x:v>CL1005</x:v>
      </x:c>
      <x:c r="B1009" s="31" t="str">
        <x:v>What is β, predict Walmart's β</x:v>
      </x:c>
      <x:c r="C1009" s="31" t="str">
        <x:v>Accounting &amp; Financial Statements</x:v>
      </x:c>
      <x:c r="D1009" s="69" t="n">
        <x:f>COUNTIF('All Questions'!$G$5:$G$1725,A1009)</x:f>
        <x:v>1</x:v>
      </x:c>
      <x:c r="E1009" s="31" t="str">
        <x:v>MS IBD</x:v>
      </x:c>
      <x:c r="F1009" s="31" t="str">
        <x:v>IBD / GCM</x:v>
      </x:c>
      <x:c r="G1009" s="31" t="str">
        <x:v>What is β, predict Walmart's β</x:v>
      </x:c>
    </x:row>
    <x:row r="1010" ht="34" customHeight="1">
      <x:c r="A1010" s="30" t="str">
        <x:v>CL1006</x:v>
      </x:c>
      <x:c r="B1010" s="31" t="str">
        <x:v>What key metrics would you focus on in healthcare</x:v>
      </x:c>
      <x:c r="C1010" s="31" t="str">
        <x:v>Other Question</x:v>
      </x:c>
      <x:c r="D1010" s="69" t="n">
        <x:f>COUNTIF('All Questions'!$G$5:$G$1725,A1010)</x:f>
        <x:v>1</x:v>
      </x:c>
      <x:c r="E1010" s="31" t="str">
        <x:v>BNP Paribas</x:v>
      </x:c>
      <x:c r="F1010" s="31" t="str">
        <x:v>IBD / GCM</x:v>
      </x:c>
      <x:c r="G1010" s="31" t="str">
        <x:v>What key metrics would you focus on in healthcare</x:v>
      </x:c>
    </x:row>
    <x:row r="1011" ht="52" customHeight="1">
      <x:c r="A1011" s="30" t="str">
        <x:v>CL1007</x:v>
      </x:c>
      <x:c r="B1011" s="31" t="str">
        <x:v>What kind of companies will receive cash but not yet record it as revenue on the IS, and how would it affect the BS</x:v>
      </x:c>
      <x:c r="C1011" s="31" t="str">
        <x:v>Accounting &amp; Financial Statements</x:v>
      </x:c>
      <x:c r="D1011" s="69" t="n">
        <x:f>COUNTIF('All Questions'!$G$5:$G$1725,A1011)</x:f>
        <x:v>1</x:v>
      </x:c>
      <x:c r="E1011" s="31" t="str">
        <x:v>Citi</x:v>
      </x:c>
      <x:c r="F1011" s="31" t="str">
        <x:v>IBD / GCM</x:v>
      </x:c>
      <x:c r="G1011" s="31" t="str">
        <x:v>what kind of companies will receive cash but not yet record it as revenue on the IS, and how would it affect the BS</x:v>
      </x:c>
    </x:row>
    <x:row r="1012" ht="34" customHeight="1">
      <x:c r="A1012" s="30" t="str">
        <x:v>CL1008</x:v>
      </x:c>
      <x:c r="B1012" s="31" t="str">
        <x:v>What kind of technical skills you think you lack in UBS</x:v>
      </x:c>
      <x:c r="C1012" s="31" t="str">
        <x:v>Other Technical</x:v>
      </x:c>
      <x:c r="D1012" s="69" t="n">
        <x:f>COUNTIF('All Questions'!$G$5:$G$1725,A1012)</x:f>
        <x:v>1</x:v>
      </x:c>
      <x:c r="E1012" s="31" t="str">
        <x:v>Warburg Pincus</x:v>
      </x:c>
      <x:c r="F1012" s="31" t="str">
        <x:v>PE / VC / Other</x:v>
      </x:c>
      <x:c r="G1012" s="31" t="str">
        <x:v>What kind of technical skills you think you lack in UBS?</x:v>
      </x:c>
    </x:row>
    <x:row r="1013" ht="34" customHeight="1">
      <x:c r="A1013" s="30" t="str">
        <x:v>CL1009</x:v>
      </x:c>
      <x:c r="B1013" s="31" t="str">
        <x:v>What kind of tools can you think in terms of lending</x:v>
      </x:c>
      <x:c r="C1013" s="31" t="str">
        <x:v>Other Question</x:v>
      </x:c>
      <x:c r="D1013" s="69" t="n">
        <x:f>COUNTIF('All Questions'!$G$5:$G$1725,A1013)</x:f>
        <x:v>1</x:v>
      </x:c>
      <x:c r="E1013" s="31" t="str">
        <x:v>JPM PB</x:v>
      </x:c>
      <x:c r="F1013" s="31" t="str">
        <x:v>PWM / AM</x:v>
      </x:c>
      <x:c r="G1013" s="31" t="str">
        <x:v>What kind of tools can you think in terms of lending?</x:v>
      </x:c>
    </x:row>
    <x:row r="1014" ht="34" customHeight="1">
      <x:c r="A1014" s="30" t="str">
        <x:v>CL1010</x:v>
      </x:c>
      <x:c r="B1014" s="31" t="str">
        <x:v>What kinds of preparations you've made for the SPD</x:v>
      </x:c>
      <x:c r="C1014" s="31" t="str">
        <x:v>Company, Industry &amp; Deals</x:v>
      </x:c>
      <x:c r="D1014" s="69" t="n">
        <x:f>COUNTIF('All Questions'!$G$5:$G$1725,A1014)</x:f>
        <x:v>1</x:v>
      </x:c>
      <x:c r="E1014" s="31" t="str">
        <x:v>JPM AM</x:v>
      </x:c>
      <x:c r="F1014" s="31" t="str">
        <x:v>PWM / AM</x:v>
      </x:c>
      <x:c r="G1014" s="31" t="str">
        <x:v>What kinds of preparations you've made for the SPD?</x:v>
      </x:c>
    </x:row>
    <x:row r="1015" ht="52" customHeight="1">
      <x:c r="A1015" s="30" t="str">
        <x:v>CL1011</x:v>
      </x:c>
      <x:c r="B1015" s="31" t="str">
        <x:v>What kinds of skill sets do you believe that you've been equipped with and make you suitable for a sales</x:v>
      </x:c>
      <x:c r="C1015" s="31" t="str">
        <x:v>Other Question</x:v>
      </x:c>
      <x:c r="D1015" s="69" t="n">
        <x:f>COUNTIF('All Questions'!$G$5:$G$1725,A1015)</x:f>
        <x:v>1</x:v>
      </x:c>
      <x:c r="E1015" s="31" t="str">
        <x:v>BofA (GM)</x:v>
      </x:c>
      <x:c r="F1015" s="31" t="str">
        <x:v>Sales &amp; Trading</x:v>
      </x:c>
      <x:c r="G1015" s="31" t="str">
        <x:v>What kinds of skill sets do you believe that you've been equipped with and make you suitable for a sales?</x:v>
      </x:c>
    </x:row>
    <x:row r="1016" ht="34" customHeight="1">
      <x:c r="A1016" s="30" t="str">
        <x:v>CL1012</x:v>
      </x:c>
      <x:c r="B1016" s="31" t="str">
        <x:v>What makes me a good player</x:v>
      </x:c>
      <x:c r="C1016" s="31" t="str">
        <x:v>Other Question</x:v>
      </x:c>
      <x:c r="D1016" s="69" t="n">
        <x:f>COUNTIF('All Questions'!$G$5:$G$1725,A1016)</x:f>
        <x:v>1</x:v>
      </x:c>
      <x:c r="E1016" s="31" t="str">
        <x:v>GS DCMECM</x:v>
      </x:c>
      <x:c r="F1016" s="31" t="str">
        <x:v>IBD / GCM</x:v>
      </x:c>
      <x:c r="G1016" s="31" t="str">
        <x:v>What makes me a good player</x:v>
      </x:c>
    </x:row>
    <x:row r="1017" ht="34" customHeight="1">
      <x:c r="A1017" s="30" t="str">
        <x:v>CL1013</x:v>
      </x:c>
      <x:c r="B1017" s="31" t="str">
        <x:v>What motivates you to be here today? (Why JPM?)</x:v>
      </x:c>
      <x:c r="C1017" s="31" t="str">
        <x:v>Fit &amp; Motivation</x:v>
      </x:c>
      <x:c r="D1017" s="69" t="n">
        <x:f>COUNTIF('All Questions'!$G$5:$G$1725,A1017)</x:f>
        <x:v>1</x:v>
      </x:c>
      <x:c r="E1017" s="31" t="str">
        <x:v>JPM AM</x:v>
      </x:c>
      <x:c r="F1017" s="31" t="str">
        <x:v>PWM / AM</x:v>
      </x:c>
      <x:c r="G1017" s="31" t="str">
        <x:v>What motivates you to be here today? (Why JPM?)</x:v>
      </x:c>
    </x:row>
    <x:row r="1018" ht="34" customHeight="1">
      <x:c r="A1018" s="30" t="str">
        <x:v>CL1014</x:v>
      </x:c>
      <x:c r="B1018" s="31" t="str">
        <x:v>What MS deals do I know</x:v>
      </x:c>
      <x:c r="C1018" s="31" t="str">
        <x:v>Company, Industry &amp; Deals</x:v>
      </x:c>
      <x:c r="D1018" s="69" t="n">
        <x:f>COUNTIF('All Questions'!$G$5:$G$1725,A1018)</x:f>
        <x:v>1</x:v>
      </x:c>
      <x:c r="E1018" s="31" t="str">
        <x:v>MS IBD</x:v>
      </x:c>
      <x:c r="F1018" s="31" t="str">
        <x:v>IBD / GCM</x:v>
      </x:c>
      <x:c r="G1018" s="31" t="str">
        <x:v>What MS deals do I know</x:v>
      </x:c>
    </x:row>
    <x:row r="1019" ht="34" customHeight="1">
      <x:c r="A1019" s="30" t="str">
        <x:v>CL1015</x:v>
      </x:c>
      <x:c r="B1019" s="31" t="str">
        <x:v>What multiple did you use</x:v>
      </x:c>
      <x:c r="C1019" s="31" t="str">
        <x:v>Valuation</x:v>
      </x:c>
      <x:c r="D1019" s="69" t="n">
        <x:f>COUNTIF('All Questions'!$G$5:$G$1725,A1019)</x:f>
        <x:v>1</x:v>
      </x:c>
      <x:c r="E1019" s="31" t="str">
        <x:v>Deutsche</x:v>
      </x:c>
      <x:c r="F1019" s="31" t="str">
        <x:v>IBD / GCM</x:v>
      </x:c>
      <x:c r="G1019" s="31" t="str">
        <x:v>What multiple did you use</x:v>
      </x:c>
    </x:row>
    <x:row r="1020" ht="34" customHeight="1">
      <x:c r="A1020" s="30" t="str">
        <x:v>CL1016</x:v>
      </x:c>
      <x:c r="B1020" s="31" t="str">
        <x:v>What multiples for comps and any special multiples</x:v>
      </x:c>
      <x:c r="C1020" s="31" t="str">
        <x:v>Valuation</x:v>
      </x:c>
      <x:c r="D1020" s="69" t="n">
        <x:f>COUNTIF('All Questions'!$G$5:$G$1725,A1020)</x:f>
        <x:v>1</x:v>
      </x:c>
      <x:c r="E1020" s="31" t="str">
        <x:v>Moelis</x:v>
      </x:c>
      <x:c r="F1020" s="31" t="str">
        <x:v>IBD / GCM</x:v>
      </x:c>
      <x:c r="G1020" s="31" t="str">
        <x:v>What multiples for comps and any special multiples?</x:v>
      </x:c>
    </x:row>
    <x:row r="1021" ht="34" customHeight="1">
      <x:c r="A1021" s="30" t="str">
        <x:v>CL1017</x:v>
      </x:c>
      <x:c r="B1021" s="31" t="str">
        <x:v>What multiples would you look at? Why EV/EBIT but not other multiples</x:v>
      </x:c>
      <x:c r="C1021" s="31" t="str">
        <x:v>Fit &amp; Motivation</x:v>
      </x:c>
      <x:c r="D1021" s="69" t="n">
        <x:f>COUNTIF('All Questions'!$G$5:$G$1725,A1021)</x:f>
        <x:v>1</x:v>
      </x:c>
      <x:c r="E1021" s="31" t="str">
        <x:v>MSPEA</x:v>
      </x:c>
      <x:c r="F1021" s="31" t="str">
        <x:v>PE / VC / Other</x:v>
      </x:c>
      <x:c r="G1021" s="31" t="str">
        <x:v>What multiples would you look at? Why EV/EBIT but not other multiples?</x:v>
      </x:c>
    </x:row>
    <x:row r="1022" ht="52" customHeight="1">
      <x:c r="A1022" s="30" t="str">
        <x:v>CL1018</x:v>
      </x:c>
      <x:c r="B1022" s="31" t="str">
        <x:v>What multiples would you use? Why use EV/EBIT? Why does the company have a lower EV/EBIT than others</x:v>
      </x:c>
      <x:c r="C1022" s="31" t="str">
        <x:v>Fit &amp; Motivation</x:v>
      </x:c>
      <x:c r="D1022" s="69" t="n">
        <x:f>COUNTIF('All Questions'!$G$5:$G$1725,A1022)</x:f>
        <x:v>1</x:v>
      </x:c>
      <x:c r="E1022" s="31" t="str">
        <x:v>Fountainvest</x:v>
      </x:c>
      <x:c r="F1022" s="31" t="str">
        <x:v>PE / VC / Other</x:v>
      </x:c>
      <x:c r="G1022" s="31" t="str">
        <x:v>What multiples would you use? Why use EV/EBIT? Why does the company have a lower EV/EBIT than others?</x:v>
      </x:c>
    </x:row>
    <x:row r="1023" ht="34" customHeight="1">
      <x:c r="A1023" s="30" t="str">
        <x:v>CL1019</x:v>
      </x:c>
      <x:c r="B1023" s="31" t="str">
        <x:v>What multiples you used for comps? EV/MW makes sense</x:v>
      </x:c>
      <x:c r="C1023" s="31" t="str">
        <x:v>Valuation</x:v>
      </x:c>
      <x:c r="D1023" s="69" t="n">
        <x:f>COUNTIF('All Questions'!$G$5:$G$1725,A1023)</x:f>
        <x:v>1</x:v>
      </x:c>
      <x:c r="E1023" s="31" t="str">
        <x:v>Lazard</x:v>
      </x:c>
      <x:c r="F1023" s="31" t="str">
        <x:v>IBD / GCM</x:v>
      </x:c>
      <x:c r="G1023" s="31" t="str">
        <x:v>What multiples you used for comps? EV/MW makes sense?</x:v>
      </x:c>
    </x:row>
    <x:row r="1024" ht="34" customHeight="1">
      <x:c r="A1024" s="30" t="str">
        <x:v>CL1020</x:v>
      </x:c>
      <x:c r="B1024" s="31" t="str">
        <x:v>What multiples you used for valuation of this stcok</x:v>
      </x:c>
      <x:c r="C1024" s="31" t="str">
        <x:v>Valuation</x:v>
      </x:c>
      <x:c r="D1024" s="69" t="n">
        <x:f>COUNTIF('All Questions'!$G$5:$G$1725,A1024)</x:f>
        <x:v>1</x:v>
      </x:c>
      <x:c r="E1024" s="31" t="str">
        <x:v>MS GCM</x:v>
      </x:c>
      <x:c r="F1024" s="31" t="str">
        <x:v>IBD / GCM</x:v>
      </x:c>
      <x:c r="G1024" s="31" t="str">
        <x:v>what multiples you used for valuation of this stcok</x:v>
      </x:c>
    </x:row>
    <x:row r="1025" ht="34" customHeight="1">
      <x:c r="A1025" s="30" t="str">
        <x:v>CL1021</x:v>
      </x:c>
      <x:c r="B1025" s="31" t="str">
        <x:v>What new policies did China just implement? (rate cuts, lower rrr etc)</x:v>
      </x:c>
      <x:c r="C1025" s="31" t="str">
        <x:v>Other Question</x:v>
      </x:c>
      <x:c r="D1025" s="69" t="n">
        <x:f>COUNTIF('All Questions'!$G$5:$G$1725,A1025)</x:f>
        <x:v>1</x:v>
      </x:c>
      <x:c r="E1025" s="31" t="str">
        <x:v>UBS IBD</x:v>
      </x:c>
      <x:c r="F1025" s="31" t="str">
        <x:v>IBD / GCM</x:v>
      </x:c>
      <x:c r="G1025" s="31" t="str">
        <x:v>What new policies did China just implement? (rate cuts, lower rrr etc)</x:v>
      </x:c>
    </x:row>
    <x:row r="1026" ht="34" customHeight="1">
      <x:c r="A1026" s="30" t="str">
        <x:v>CL1022</x:v>
      </x:c>
      <x:c r="B1026" s="31" t="str">
        <x:v>What news am I following (i said esports on hanzhou asian game)</x:v>
      </x:c>
      <x:c r="C1026" s="31" t="str">
        <x:v>Other Question</x:v>
      </x:c>
      <x:c r="D1026" s="69" t="n">
        <x:f>COUNTIF('All Questions'!$G$5:$G$1725,A1026)</x:f>
        <x:v>1</x:v>
      </x:c>
      <x:c r="E1026" s="31" t="str">
        <x:v>JPM</x:v>
      </x:c>
      <x:c r="F1026" s="31" t="str">
        <x:v>IBD / GCM</x:v>
      </x:c>
      <x:c r="G1026" s="31" t="str">
        <x:v>What news am I following (i said esports on hanzhou asian game)</x:v>
      </x:c>
    </x:row>
    <x:row r="1027" ht="34" customHeight="1">
      <x:c r="A1027" s="30" t="str">
        <x:v>CL1023</x:v>
      </x:c>
      <x:c r="B1027" s="31" t="str">
        <x:v>What opportunities this company can have (ECM, DCM, M&amp;A)</x:v>
      </x:c>
      <x:c r="C1027" s="31" t="str">
        <x:v>Capital Markets &amp; Financing</x:v>
      </x:c>
      <x:c r="D1027" s="69" t="n">
        <x:f>COUNTIF('All Questions'!$G$5:$G$1725,A1027)</x:f>
        <x:v>1</x:v>
      </x:c>
      <x:c r="E1027" s="31" t="str">
        <x:v>Citi</x:v>
      </x:c>
      <x:c r="F1027" s="31" t="str">
        <x:v>IBD / GCM</x:v>
      </x:c>
      <x:c r="G1027" s="31" t="str">
        <x:v>What opportunities this company can have (ECM, DCM, M&amp;A)</x:v>
      </x:c>
    </x:row>
    <x:row r="1028" ht="34" customHeight="1">
      <x:c r="A1028" s="30" t="str">
        <x:v>CL1024</x:v>
      </x:c>
      <x:c r="B1028" s="31" t="str">
        <x:v>What other additional things are in the equation and why (nols, dta etc)</x:v>
      </x:c>
      <x:c r="C1028" s="31" t="str">
        <x:v>Fit &amp; Motivation</x:v>
      </x:c>
      <x:c r="D1028" s="69" t="n">
        <x:f>COUNTIF('All Questions'!$G$5:$G$1725,A1028)</x:f>
        <x:v>1</x:v>
      </x:c>
      <x:c r="E1028" s="31" t="str">
        <x:v>Citi</x:v>
      </x:c>
      <x:c r="F1028" s="31" t="str">
        <x:v>IBD / GCM</x:v>
      </x:c>
      <x:c r="G1028" s="31" t="str">
        <x:v>what other additional things are in the equation and why (nols, dta etc)</x:v>
      </x:c>
    </x:row>
    <x:row r="1029" ht="34" customHeight="1">
      <x:c r="A1029" s="30" t="str">
        <x:v>CL1025</x:v>
      </x:c>
      <x:c r="B1029" s="31" t="str">
        <x:v>What part of CIM I did? How long have you stayed in this company and how long does the CIM takes</x:v>
      </x:c>
      <x:c r="C1029" s="31" t="str">
        <x:v>Company, Industry &amp; Deals</x:v>
      </x:c>
      <x:c r="D1029" s="69" t="n">
        <x:f>COUNTIF('All Questions'!$G$5:$G$1725,A1029)</x:f>
        <x:v>1</x:v>
      </x:c>
      <x:c r="E1029" s="31" t="str">
        <x:v>Lazard</x:v>
      </x:c>
      <x:c r="F1029" s="31" t="str">
        <x:v>IBD / GCM</x:v>
      </x:c>
      <x:c r="G1029" s="31" t="str">
        <x:v>What part of CIM I did? How long have you stayed in this company and how long does the CIM takes</x:v>
      </x:c>
    </x:row>
    <x:row r="1030" ht="34" customHeight="1">
      <x:c r="A1030" s="30" t="str">
        <x:v>CL1026</x:v>
      </x:c>
      <x:c r="B1030" s="31" t="str">
        <x:v>What risk metrics are most important when managing a portfolio</x:v>
      </x:c>
      <x:c r="C1030" s="31" t="str">
        <x:v>Wealth &amp; Asset Management</x:v>
      </x:c>
      <x:c r="D1030" s="69" t="n">
        <x:f>COUNTIF('All Questions'!$G$5:$G$1725,A1030)</x:f>
        <x:v>1</x:v>
      </x:c>
      <x:c r="E1030" s="31" t="str">
        <x:v>UBS(GM Off cycle)</x:v>
      </x:c>
      <x:c r="F1030" s="31" t="str">
        <x:v>Sales &amp; Trading</x:v>
      </x:c>
      <x:c r="G1030" s="31" t="str">
        <x:v>What risk metrics are most important when managing a portfolio</x:v>
      </x:c>
    </x:row>
    <x:row r="1031" ht="34" customHeight="1">
      <x:c r="A1031" s="30" t="str">
        <x:v>CL1027</x:v>
      </x:c>
      <x:c r="B1031" s="31" t="str">
        <x:v>What roles within IED do u prefer</x:v>
      </x:c>
      <x:c r="C1031" s="31" t="str">
        <x:v>Other Question</x:v>
      </x:c>
      <x:c r="D1031" s="69" t="n">
        <x:f>COUNTIF('All Questions'!$G$5:$G$1725,A1031)</x:f>
        <x:v>1</x:v>
      </x:c>
      <x:c r="E1031" s="31" t="str">
        <x:v>MS IED</x:v>
      </x:c>
      <x:c r="F1031" s="31" t="str">
        <x:v>Sales &amp; Trading</x:v>
      </x:c>
      <x:c r="G1031" s="31" t="str">
        <x:v>what roles within IED do u prefer</x:v>
      </x:c>
    </x:row>
    <x:row r="1032" ht="34" customHeight="1">
      <x:c r="A1032" s="30" t="str">
        <x:v>CL1028</x:v>
      </x:c>
      <x:c r="B1032" s="31" t="str">
        <x:v>What roles you are intereted in within the IED business</x:v>
      </x:c>
      <x:c r="C1032" s="31" t="str">
        <x:v>Other Question</x:v>
      </x:c>
      <x:c r="D1032" s="69" t="n">
        <x:f>COUNTIF('All Questions'!$G$5:$G$1725,A1032)</x:f>
        <x:v>1</x:v>
      </x:c>
      <x:c r="E1032" s="31" t="str">
        <x:v>MS IED</x:v>
      </x:c>
      <x:c r="F1032" s="31" t="str">
        <x:v>Sales &amp; Trading</x:v>
      </x:c>
      <x:c r="G1032" s="31" t="str">
        <x:v>What roles you are intereted in within the IED business?</x:v>
      </x:c>
    </x:row>
    <x:row r="1033" ht="34" customHeight="1">
      <x:c r="A1033" s="30" t="str">
        <x:v>CL1029</x:v>
      </x:c>
      <x:c r="B1033" s="31" t="str">
        <x:v>What skills do you think are applicable to IBD</x:v>
      </x:c>
      <x:c r="C1033" s="31" t="str">
        <x:v>Other Question</x:v>
      </x:c>
      <x:c r="D1033" s="69" t="n">
        <x:f>COUNTIF('All Questions'!$G$5:$G$1725,A1033)</x:f>
        <x:v>1</x:v>
      </x:c>
      <x:c r="E1033" s="31" t="str">
        <x:v>UBS IBD</x:v>
      </x:c>
      <x:c r="F1033" s="31" t="str">
        <x:v>IBD / GCM</x:v>
      </x:c>
      <x:c r="G1033" s="31" t="str">
        <x:v>What skills do you think are applicable to IBD</x:v>
      </x:c>
    </x:row>
    <x:row r="1034" ht="34" customHeight="1">
      <x:c r="A1034" s="30" t="str">
        <x:v>CL1030</x:v>
      </x:c>
      <x:c r="B1034" s="31" t="str">
        <x:v>What team do you wanna do if you join us</x:v>
      </x:c>
      <x:c r="C1034" s="31" t="str">
        <x:v>Behavioral &amp; Situational</x:v>
      </x:c>
      <x:c r="D1034" s="69" t="n">
        <x:f>COUNTIF('All Questions'!$G$5:$G$1725,A1034)</x:f>
        <x:v>1</x:v>
      </x:c>
      <x:c r="E1034" s="31" t="str">
        <x:v>UBS IBD</x:v>
      </x:c>
      <x:c r="F1034" s="31" t="str">
        <x:v>IBD / GCM</x:v>
      </x:c>
      <x:c r="G1034" s="31" t="str">
        <x:v>What team do you wanna do if you join us</x:v>
      </x:c>
    </x:row>
    <x:row r="1035" ht="34" customHeight="1">
      <x:c r="A1035" s="30" t="str">
        <x:v>CL1031</x:v>
      </x:c>
      <x:c r="B1035" s="31" t="str">
        <x:v>What team you want to be in</x:v>
      </x:c>
      <x:c r="C1035" s="31" t="str">
        <x:v>Fit &amp; Motivation</x:v>
      </x:c>
      <x:c r="D1035" s="69" t="n">
        <x:f>COUNTIF('All Questions'!$G$5:$G$1725,A1035)</x:f>
        <x:v>1</x:v>
      </x:c>
      <x:c r="E1035" s="31" t="str">
        <x:v>Deutsche</x:v>
      </x:c>
      <x:c r="F1035" s="31" t="str">
        <x:v>IBD / GCM</x:v>
      </x:c>
      <x:c r="G1035" s="31" t="str">
        <x:v>What team you want to be in?</x:v>
      </x:c>
    </x:row>
    <x:row r="1036" ht="34" customHeight="1">
      <x:c r="A1036" s="30" t="str">
        <x:v>CL1032</x:v>
      </x:c>
      <x:c r="B1036" s="31" t="str">
        <x:v>What the key competitive advantage of the company</x:v>
      </x:c>
      <x:c r="C1036" s="31" t="str">
        <x:v>Company, Industry &amp; Deals</x:v>
      </x:c>
      <x:c r="D1036" s="69" t="n">
        <x:f>COUNTIF('All Questions'!$G$5:$G$1725,A1036)</x:f>
        <x:v>1</x:v>
      </x:c>
      <x:c r="E1036" s="31" t="str">
        <x:v>CDH</x:v>
      </x:c>
      <x:c r="F1036" s="31" t="str">
        <x:v>PE / VC / Other</x:v>
      </x:c>
      <x:c r="G1036" s="31" t="str">
        <x:v>What the key competitive advantage of the company?</x:v>
      </x:c>
    </x:row>
    <x:row r="1037" ht="34" customHeight="1">
      <x:c r="A1037" s="30" t="str">
        <x:v>CL1033</x:v>
      </x:c>
      <x:c r="B1037" s="31" t="str">
        <x:v>What to include in a one-page company profile</x:v>
      </x:c>
      <x:c r="C1037" s="31" t="str">
        <x:v>Company, Industry &amp; Deals</x:v>
      </x:c>
      <x:c r="D1037" s="69" t="n">
        <x:f>COUNTIF('All Questions'!$G$5:$G$1725,A1037)</x:f>
        <x:v>1</x:v>
      </x:c>
      <x:c r="E1037" s="31" t="str">
        <x:v>Citi</x:v>
      </x:c>
      <x:c r="F1037" s="31" t="str">
        <x:v>IBD / GCM</x:v>
      </x:c>
      <x:c r="G1037" s="31" t="str">
        <x:v>what to include in a one-page company profile</x:v>
      </x:c>
    </x:row>
    <x:row r="1038" ht="34" customHeight="1">
      <x:c r="A1038" s="30" t="str">
        <x:v>CL1034</x:v>
      </x:c>
      <x:c r="B1038" s="31" t="str">
        <x:v>What traits do you think a GCM banker should have</x:v>
      </x:c>
      <x:c r="C1038" s="31" t="str">
        <x:v>Capital Markets &amp; Financing</x:v>
      </x:c>
      <x:c r="D1038" s="69" t="n">
        <x:f>COUNTIF('All Questions'!$G$5:$G$1725,A1038)</x:f>
        <x:v>1</x:v>
      </x:c>
      <x:c r="E1038" s="31" t="str">
        <x:v>MS GCM</x:v>
      </x:c>
      <x:c r="F1038" s="31" t="str">
        <x:v>IBD / GCM</x:v>
      </x:c>
      <x:c r="G1038" s="31" t="str">
        <x:v>what traits do you think a GCM banker should have</x:v>
      </x:c>
    </x:row>
    <x:row r="1039" ht="34" customHeight="1">
      <x:c r="A1039" s="30" t="str">
        <x:v>CL1035</x:v>
      </x:c>
      <x:c r="B1039" s="31" t="str">
        <x:v>What was the industry multiple</x:v>
      </x:c>
      <x:c r="C1039" s="31" t="str">
        <x:v>Valuation</x:v>
      </x:c>
      <x:c r="D1039" s="69" t="n">
        <x:f>COUNTIF('All Questions'!$G$5:$G$1725,A1039)</x:f>
        <x:v>1</x:v>
      </x:c>
      <x:c r="E1039" s="31" t="str">
        <x:v>HSBC</x:v>
      </x:c>
      <x:c r="F1039" s="31" t="str">
        <x:v>IBD / GCM</x:v>
      </x:c>
      <x:c r="G1039" s="31" t="str">
        <x:v>what was the industry multiple</x:v>
      </x:c>
    </x:row>
    <x:row r="1040" ht="34" customHeight="1">
      <x:c r="A1040" s="30" t="str">
        <x:v>CL1036</x:v>
      </x:c>
      <x:c r="B1040" s="31" t="str">
        <x:v>What was the team structure of my previous firm like, do I engage with overseas team as well</x:v>
      </x:c>
      <x:c r="C1040" s="31" t="str">
        <x:v>Behavioral &amp; Situational</x:v>
      </x:c>
      <x:c r="D1040" s="69" t="n">
        <x:f>COUNTIF('All Questions'!$G$5:$G$1725,A1040)</x:f>
        <x:v>1</x:v>
      </x:c>
      <x:c r="E1040" s="31" t="str">
        <x:v>Lazard</x:v>
      </x:c>
      <x:c r="F1040" s="31" t="str">
        <x:v>IBD / GCM</x:v>
      </x:c>
      <x:c r="G1040" s="31" t="str">
        <x:v>What was the team structure of my previous firm like, do I engage with overseas team as well?</x:v>
      </x:c>
    </x:row>
    <x:row r="1041" ht="34" customHeight="1">
      <x:c r="A1041" s="30" t="str">
        <x:v>CL1037</x:v>
      </x:c>
      <x:c r="B1041" s="31" t="str">
        <x:v>What were people's background of intern batch mates in UBS</x:v>
      </x:c>
      <x:c r="C1041" s="31" t="str">
        <x:v>Resume &amp; Experience</x:v>
      </x:c>
      <x:c r="D1041" s="69" t="n">
        <x:f>COUNTIF('All Questions'!$G$5:$G$1725,A1041)</x:f>
        <x:v>1</x:v>
      </x:c>
      <x:c r="E1041" s="31" t="str">
        <x:v>Warburg Pincus</x:v>
      </x:c>
      <x:c r="F1041" s="31" t="str">
        <x:v>PE / VC / Other</x:v>
      </x:c>
      <x:c r="G1041" s="31" t="str">
        <x:v>What were people's background of intern batch mates in UBS?</x:v>
      </x:c>
    </x:row>
    <x:row r="1042" ht="34" customHeight="1">
      <x:c r="A1042" s="30" t="str">
        <x:v>CL1038</x:v>
      </x:c>
      <x:c r="B1042" s="31" t="str">
        <x:v>What would you do if you weren’t in investment banking</x:v>
      </x:c>
      <x:c r="C1042" s="31" t="str">
        <x:v>Other Question</x:v>
      </x:c>
      <x:c r="D1042" s="69" t="n">
        <x:f>COUNTIF('All Questions'!$G$5:$G$1725,A1042)</x:f>
        <x:v>1</x:v>
      </x:c>
      <x:c r="E1042" s="31" t="str">
        <x:v>Barclays</x:v>
      </x:c>
      <x:c r="F1042" s="31" t="str">
        <x:v>IBD / GCM</x:v>
      </x:c>
      <x:c r="G1042" s="31" t="str">
        <x:v>What would you do if you weren’t in investment banking?</x:v>
      </x:c>
    </x:row>
    <x:row r="1043" ht="52" customHeight="1">
      <x:c r="A1043" s="30" t="str">
        <x:v>CL1039</x:v>
      </x:c>
      <x:c r="B1043" s="31" t="str">
        <x:v>What would you do if your boss/team is demanding a deliverable from you that you are unfamiliar with</x:v>
      </x:c>
      <x:c r="C1043" s="31" t="str">
        <x:v>Behavioral &amp; Situational</x:v>
      </x:c>
      <x:c r="D1043" s="69" t="n">
        <x:f>COUNTIF('All Questions'!$G$5:$G$1725,A1043)</x:f>
        <x:v>1</x:v>
      </x:c>
      <x:c r="E1043" s="31" t="str">
        <x:v>MS GCM</x:v>
      </x:c>
      <x:c r="F1043" s="31" t="str">
        <x:v>IBD / GCM</x:v>
      </x:c>
      <x:c r="G1043" s="31" t="str">
        <x:v>What would you do if your boss/team is demanding a deliverable from you that you are unfamiliar with?</x:v>
      </x:c>
    </x:row>
    <x:row r="1044" ht="52" customHeight="1">
      <x:c r="A1044" s="30" t="str">
        <x:v>CL1040</x:v>
      </x:c>
      <x:c r="B1044" s="31" t="str">
        <x:v>What would you recommend HKEX to do in the future (you may consider policies, fintech integration, Southeast Asian market etc.)</x:v>
      </x:c>
      <x:c r="C1044" s="31" t="str">
        <x:v>Company, Industry &amp; Deals</x:v>
      </x:c>
      <x:c r="D1044" s="69" t="n">
        <x:f>COUNTIF('All Questions'!$G$5:$G$1725,A1044)</x:f>
        <x:v>1</x:v>
      </x:c>
      <x:c r="E1044" s="31" t="str">
        <x:v>HKEX</x:v>
      </x:c>
      <x:c r="F1044" s="31" t="str">
        <x:v>PE / VC / Other</x:v>
      </x:c>
      <x:c r="G1044" s="31" t="str">
        <x:v>What would you recommend HKEX to do in the future (you may consider policies, fintech integration, Southeast Asian market etc.)</x:v>
      </x:c>
    </x:row>
    <x:row r="1045" ht="34" customHeight="1">
      <x:c r="A1045" s="30" t="str">
        <x:v>CL1041</x:v>
      </x:c>
      <x:c r="B1045" s="31" t="str">
        <x:v>What you expect to learn here</x:v>
      </x:c>
      <x:c r="C1045" s="31" t="str">
        <x:v>Other Question</x:v>
      </x:c>
      <x:c r="D1045" s="69" t="n">
        <x:f>COUNTIF('All Questions'!$G$5:$G$1725,A1045)</x:f>
        <x:v>1</x:v>
      </x:c>
      <x:c r="E1045" s="31" t="str">
        <x:v>BNP Paribas</x:v>
      </x:c>
      <x:c r="F1045" s="31" t="str">
        <x:v>IBD / GCM</x:v>
      </x:c>
      <x:c r="G1045" s="31" t="str">
        <x:v>What you expect to learn here</x:v>
      </x:c>
    </x:row>
    <x:row r="1046" ht="34" customHeight="1">
      <x:c r="A1046" s="30" t="str">
        <x:v>CL1042</x:v>
      </x:c>
      <x:c r="B1046" s="31" t="str">
        <x:v>What your perspectives in short-run &amp; long-run</x:v>
      </x:c>
      <x:c r="C1046" s="31" t="str">
        <x:v>Other Question</x:v>
      </x:c>
      <x:c r="D1046" s="69" t="n">
        <x:f>COUNTIF('All Questions'!$G$5:$G$1725,A1046)</x:f>
        <x:v>1</x:v>
      </x:c>
      <x:c r="E1046" s="31" t="str">
        <x:v>MS GCM</x:v>
      </x:c>
      <x:c r="F1046" s="31" t="str">
        <x:v>IBD / GCM</x:v>
      </x:c>
      <x:c r="G1046" s="31" t="str">
        <x:v>what your perspectives in short-run &amp; long-run</x:v>
      </x:c>
    </x:row>
    <x:row r="1047" ht="34" customHeight="1">
      <x:c r="A1047" s="30" t="str">
        <x:v>CL1043</x:v>
      </x:c>
      <x:c r="B1047" s="31" t="str">
        <x:v>What's a time you faced conflicing interest and how did you manage it</x:v>
      </x:c>
      <x:c r="C1047" s="31" t="str">
        <x:v>Other Question</x:v>
      </x:c>
      <x:c r="D1047" s="69" t="n">
        <x:f>COUNTIF('All Questions'!$G$5:$G$1725,A1047)</x:f>
        <x:v>1</x:v>
      </x:c>
      <x:c r="E1047" s="31" t="str">
        <x:v>MS IBD</x:v>
      </x:c>
      <x:c r="F1047" s="31" t="str">
        <x:v>IBD / GCM</x:v>
      </x:c>
      <x:c r="G1047" s="31" t="str">
        <x:v>What's a time you faced conflicing interest and how did you manage it</x:v>
      </x:c>
    </x:row>
    <x:row r="1048" ht="34" customHeight="1">
      <x:c r="A1048" s="30" t="str">
        <x:v>CL1044</x:v>
      </x:c>
      <x:c r="B1048" s="31" t="str">
        <x:v>What’s deferred expense</x:v>
      </x:c>
      <x:c r="C1048" s="31" t="str">
        <x:v>Other Question</x:v>
      </x:c>
      <x:c r="D1048" s="69" t="n">
        <x:f>COUNTIF('All Questions'!$G$5:$G$1725,A1048)</x:f>
        <x:v>1</x:v>
      </x:c>
      <x:c r="E1048" s="31" t="str">
        <x:v>Bofa IBD</x:v>
      </x:c>
      <x:c r="F1048" s="31" t="str">
        <x:v>IBD / GCM</x:v>
      </x:c>
      <x:c r="G1048" s="31" t="str">
        <x:v>What’s deferred expense</x:v>
      </x:c>
    </x:row>
    <x:row r="1049" ht="34" customHeight="1">
      <x:c r="A1049" s="30" t="str">
        <x:v>CL1045</x:v>
      </x:c>
      <x:c r="B1049" s="31" t="str">
        <x:v>What’s deferred revenue</x:v>
      </x:c>
      <x:c r="C1049" s="31" t="str">
        <x:v>Company, Industry &amp; Deals</x:v>
      </x:c>
      <x:c r="D1049" s="69" t="n">
        <x:f>COUNTIF('All Questions'!$G$5:$G$1725,A1049)</x:f>
        <x:v>1</x:v>
      </x:c>
      <x:c r="E1049" s="31" t="str">
        <x:v>Bofa IBD</x:v>
      </x:c>
      <x:c r="F1049" s="31" t="str">
        <x:v>IBD / GCM</x:v>
      </x:c>
      <x:c r="G1049" s="31" t="str">
        <x:v>What’s deferred revenue</x:v>
      </x:c>
    </x:row>
    <x:row r="1050" ht="34" customHeight="1">
      <x:c r="A1050" s="30" t="str">
        <x:v>CL1046</x:v>
      </x:c>
      <x:c r="B1050" s="31" t="str">
        <x:v>What’s net working capital</x:v>
      </x:c>
      <x:c r="C1050" s="31" t="str">
        <x:v>Accounting &amp; Financial Statements</x:v>
      </x:c>
      <x:c r="D1050" s="69" t="n">
        <x:f>COUNTIF('All Questions'!$G$5:$G$1725,A1050)</x:f>
        <x:v>1</x:v>
      </x:c>
      <x:c r="E1050" s="31" t="str">
        <x:v>Bofa IBD</x:v>
      </x:c>
      <x:c r="F1050" s="31" t="str">
        <x:v>IBD / GCM</x:v>
      </x:c>
      <x:c r="G1050" s="31" t="str">
        <x:v>What’s net working capital</x:v>
      </x:c>
    </x:row>
    <x:row r="1051" ht="34" customHeight="1">
      <x:c r="A1051" s="30" t="str">
        <x:v>CL1047</x:v>
      </x:c>
      <x:c r="B1051" s="31" t="str">
        <x:v>What’s special about PUI</x:v>
      </x:c>
      <x:c r="C1051" s="31" t="str">
        <x:v>Other Question</x:v>
      </x:c>
      <x:c r="D1051" s="69" t="n">
        <x:f>COUNTIF('All Questions'!$G$5:$G$1725,A1051)</x:f>
        <x:v>1</x:v>
      </x:c>
      <x:c r="E1051" s="31" t="str">
        <x:v>Barclays</x:v>
      </x:c>
      <x:c r="F1051" s="31" t="str">
        <x:v>IBD / GCM</x:v>
      </x:c>
      <x:c r="G1051" s="31" t="str">
        <x:v>What’s special about PUI?</x:v>
      </x:c>
    </x:row>
    <x:row r="1052" ht="34" customHeight="1">
      <x:c r="A1052" s="30" t="str">
        <x:v>CL1048</x:v>
      </x:c>
      <x:c r="B1052" s="31" t="str">
        <x:v>What's the advantages of nomura</x:v>
      </x:c>
      <x:c r="C1052" s="31" t="str">
        <x:v>Other Question</x:v>
      </x:c>
      <x:c r="D1052" s="69" t="n">
        <x:f>COUNTIF('All Questions'!$G$5:$G$1725,A1052)</x:f>
        <x:v>1</x:v>
      </x:c>
      <x:c r="E1052" s="31" t="str">
        <x:v>Nomura</x:v>
      </x:c>
      <x:c r="F1052" s="31" t="str">
        <x:v>IBD / GCM</x:v>
      </x:c>
      <x:c r="G1052" s="31" t="str">
        <x:v>What's the advantages of nomura</x:v>
      </x:c>
    </x:row>
    <x:row r="1053" ht="34" customHeight="1">
      <x:c r="A1053" s="30" t="str">
        <x:v>CL1049</x:v>
      </x:c>
      <x:c r="B1053" s="31" t="str">
        <x:v>What’s the best fund investment that was done by HKEX in your opinion and why</x:v>
      </x:c>
      <x:c r="C1053" s="31" t="str">
        <x:v>Company, Industry &amp; Deals</x:v>
      </x:c>
      <x:c r="D1053" s="69" t="n">
        <x:f>COUNTIF('All Questions'!$G$5:$G$1725,A1053)</x:f>
        <x:v>1</x:v>
      </x:c>
      <x:c r="E1053" s="31" t="str">
        <x:v>Barclays</x:v>
      </x:c>
      <x:c r="F1053" s="31" t="str">
        <x:v>IBD / GCM</x:v>
      </x:c>
      <x:c r="G1053" s="31" t="str">
        <x:v>What’s the best fund investment that was done by HKEX in your opinion and why</x:v>
      </x:c>
    </x:row>
    <x:row r="1054" ht="34" customHeight="1">
      <x:c r="A1054" s="30" t="str">
        <x:v>CL1050</x:v>
      </x:c>
      <x:c r="B1054" s="31" t="str">
        <x:v>What's the collaborative environment in BofA look like</x:v>
      </x:c>
      <x:c r="C1054" s="31" t="str">
        <x:v>Other Question</x:v>
      </x:c>
      <x:c r="D1054" s="69" t="n">
        <x:f>COUNTIF('All Questions'!$G$5:$G$1725,A1054)</x:f>
        <x:v>1</x:v>
      </x:c>
      <x:c r="E1054" s="31" t="str">
        <x:v>BofA (GM)</x:v>
      </x:c>
      <x:c r="F1054" s="31" t="str">
        <x:v>Sales &amp; Trading</x:v>
      </x:c>
      <x:c r="G1054" s="31" t="str">
        <x:v>What's the collaborative environment in BofA look like?</x:v>
      </x:c>
    </x:row>
    <x:row r="1055" ht="34" customHeight="1">
      <x:c r="A1055" s="30" t="str">
        <x:v>CL1051</x:v>
      </x:c>
      <x:c r="B1055" s="31" t="str">
        <x:v>What's the difference (typically) between the 1st Gen Wealthy people and the 2nd Gen</x:v>
      </x:c>
      <x:c r="C1055" s="31" t="str">
        <x:v>Wealth &amp; Asset Management</x:v>
      </x:c>
      <x:c r="D1055" s="69" t="n">
        <x:f>COUNTIF('All Questions'!$G$5:$G$1725,A1055)</x:f>
        <x:v>1</x:v>
      </x:c>
      <x:c r="E1055" s="31" t="str">
        <x:v>GS PWM</x:v>
      </x:c>
      <x:c r="F1055" s="31" t="str">
        <x:v>PWM / AM</x:v>
      </x:c>
      <x:c r="G1055" s="31" t="str">
        <x:v>What's the difference (typically) between the 1st Gen Wealthy people and the 2nd Gen?</x:v>
      </x:c>
    </x:row>
    <x:row r="1056" ht="34" customHeight="1">
      <x:c r="A1056" s="30" t="str">
        <x:v>CL1052</x:v>
      </x:c>
      <x:c r="B1056" s="31" t="str">
        <x:v>What's the difference between comparable comp and transaction comp</x:v>
      </x:c>
      <x:c r="C1056" s="31" t="str">
        <x:v>Valuation</x:v>
      </x:c>
      <x:c r="D1056" s="69" t="n">
        <x:f>COUNTIF('All Questions'!$G$5:$G$1725,A1056)</x:f>
        <x:v>1</x:v>
      </x:c>
      <x:c r="E1056" s="31" t="str">
        <x:v>Nomura</x:v>
      </x:c>
      <x:c r="F1056" s="31" t="str">
        <x:v>IBD / GCM</x:v>
      </x:c>
      <x:c r="G1056" s="31" t="str">
        <x:v>What's the difference between comparable comp and transaction comp</x:v>
      </x:c>
    </x:row>
    <x:row r="1057" ht="34" customHeight="1">
      <x:c r="A1057" s="30" t="str">
        <x:v>CL1053</x:v>
      </x:c>
      <x:c r="B1057" s="31" t="str">
        <x:v>What’s the difference between valuing a private and public company</x:v>
      </x:c>
      <x:c r="C1057" s="31" t="str">
        <x:v>Company, Industry &amp; Deals</x:v>
      </x:c>
      <x:c r="D1057" s="69" t="n">
        <x:f>COUNTIF('All Questions'!$G$5:$G$1725,A1057)</x:f>
        <x:v>1</x:v>
      </x:c>
      <x:c r="E1057" s="31" t="str">
        <x:v>Citi</x:v>
      </x:c>
      <x:c r="F1057" s="31" t="str">
        <x:v>IBD / GCM</x:v>
      </x:c>
      <x:c r="G1057" s="31" t="str">
        <x:v>What’s the difference between valuing a private and public company?</x:v>
      </x:c>
    </x:row>
    <x:row r="1058" ht="34" customHeight="1">
      <x:c r="A1058" s="30" t="str">
        <x:v>CL1054</x:v>
      </x:c>
      <x:c r="B1058" s="31" t="str">
        <x:v>What’s the most memorable experience you had in HKEX</x:v>
      </x:c>
      <x:c r="C1058" s="31" t="str">
        <x:v>Resume &amp; Experience</x:v>
      </x:c>
      <x:c r="D1058" s="69" t="n">
        <x:f>COUNTIF('All Questions'!$G$5:$G$1725,A1058)</x:f>
        <x:v>1</x:v>
      </x:c>
      <x:c r="E1058" s="31" t="str">
        <x:v>Barclays</x:v>
      </x:c>
      <x:c r="F1058" s="31" t="str">
        <x:v>IBD / GCM</x:v>
      </x:c>
      <x:c r="G1058" s="31" t="str">
        <x:v>What’s the most memorable experience you had in HKEX</x:v>
      </x:c>
    </x:row>
    <x:row r="1059" ht="34" customHeight="1">
      <x:c r="A1059" s="30" t="str">
        <x:v>CL1055</x:v>
      </x:c>
      <x:c r="B1059" s="31" t="str">
        <x:v>What’s the premium that an investor would pay for an ESG themed company</x:v>
      </x:c>
      <x:c r="C1059" s="31" t="str">
        <x:v>Company, Industry &amp; Deals</x:v>
      </x:c>
      <x:c r="D1059" s="69" t="n">
        <x:f>COUNTIF('All Questions'!$G$5:$G$1725,A1059)</x:f>
        <x:v>1</x:v>
      </x:c>
      <x:c r="E1059" s="31" t="str">
        <x:v>Barclays</x:v>
      </x:c>
      <x:c r="F1059" s="31" t="str">
        <x:v>IBD / GCM</x:v>
      </x:c>
      <x:c r="G1059" s="31" t="str">
        <x:v>What’s the premium that an investor would pay for an ESG themed company?</x:v>
      </x:c>
    </x:row>
    <x:row r="1060" ht="34" customHeight="1">
      <x:c r="A1060" s="30" t="str">
        <x:v>CL1056</x:v>
      </x:c>
      <x:c r="B1060" s="31" t="str">
        <x:v>What's the S&amp;P500 closing price yesterday</x:v>
      </x:c>
      <x:c r="C1060" s="31" t="str">
        <x:v>Other Question</x:v>
      </x:c>
      <x:c r="D1060" s="69" t="n">
        <x:f>COUNTIF('All Questions'!$G$5:$G$1725,A1060)</x:f>
        <x:v>1</x:v>
      </x:c>
      <x:c r="E1060" s="31" t="str">
        <x:v>BofA (GM)</x:v>
      </x:c>
      <x:c r="F1060" s="31" t="str">
        <x:v>Sales &amp; Trading</x:v>
      </x:c>
      <x:c r="G1060" s="31" t="str">
        <x:v>What's the S&amp;P500 closing price yesterday?</x:v>
      </x:c>
    </x:row>
    <x:row r="1061" ht="34" customHeight="1">
      <x:c r="A1061" s="30" t="str">
        <x:v>CL1057</x:v>
      </x:c>
      <x:c r="B1061" s="31" t="str">
        <x:v>What's the score scale of the English exam in Yunnan provice</x:v>
      </x:c>
      <x:c r="C1061" s="31" t="str">
        <x:v>Consulting &amp; Case</x:v>
      </x:c>
      <x:c r="D1061" s="69" t="n">
        <x:f>COUNTIF('All Questions'!$G$5:$G$1725,A1061)</x:f>
        <x:v>1</x:v>
      </x:c>
      <x:c r="E1061" s="31" t="str">
        <x:v>Mckinsey</x:v>
      </x:c>
      <x:c r="F1061" s="31" t="str">
        <x:v>Consulting</x:v>
      </x:c>
      <x:c r="G1061" s="31" t="str">
        <x:v>What's the score scale of the English exam in Yunnan provice</x:v>
      </x:c>
    </x:row>
    <x:row r="1062" ht="34" customHeight="1">
      <x:c r="A1062" s="30" t="str">
        <x:v>CL1058</x:v>
      </x:c>
      <x:c r="B1062" s="31" t="str">
        <x:v>What's the stock price of MS today and what are some of the drivers of the stock recently</x:v>
      </x:c>
      <x:c r="C1062" s="31" t="str">
        <x:v>Other Question</x:v>
      </x:c>
      <x:c r="D1062" s="69" t="n">
        <x:f>COUNTIF('All Questions'!$G$5:$G$1725,A1062)</x:f>
        <x:v>1</x:v>
      </x:c>
      <x:c r="E1062" s="31" t="str">
        <x:v>MS IED</x:v>
      </x:c>
      <x:c r="F1062" s="31" t="str">
        <x:v>Sales &amp; Trading</x:v>
      </x:c>
      <x:c r="G1062" s="31" t="str">
        <x:v>What's the stock price of MS today and what are some of the drivers of the stock recently?</x:v>
      </x:c>
    </x:row>
    <x:row r="1063" ht="34" customHeight="1">
      <x:c r="A1063" s="30" t="str">
        <x:v>CL1059</x:v>
      </x:c>
      <x:c r="B1063" s="31" t="str">
        <x:v>What's the technical skills that make you stand out</x:v>
      </x:c>
      <x:c r="C1063" s="31" t="str">
        <x:v>Other Technical</x:v>
      </x:c>
      <x:c r="D1063" s="69" t="n">
        <x:f>COUNTIF('All Questions'!$G$5:$G$1725,A1063)</x:f>
        <x:v>1</x:v>
      </x:c>
      <x:c r="E1063" s="31" t="str">
        <x:v>MS GCM</x:v>
      </x:c>
      <x:c r="F1063" s="31" t="str">
        <x:v>IBD / GCM</x:v>
      </x:c>
      <x:c r="G1063" s="31" t="str">
        <x:v>what's the technical skills that make you stand out;</x:v>
      </x:c>
    </x:row>
    <x:row r="1064" ht="34" customHeight="1">
      <x:c r="A1064" s="30" t="str">
        <x:v>CL1060</x:v>
      </x:c>
      <x:c r="B1064" s="31" t="str">
        <x:v>What's the usual purporse of Leverage in a portfolio</x:v>
      </x:c>
      <x:c r="C1064" s="31" t="str">
        <x:v>Wealth &amp; Asset Management</x:v>
      </x:c>
      <x:c r="D1064" s="69" t="n">
        <x:f>COUNTIF('All Questions'!$G$5:$G$1725,A1064)</x:f>
        <x:v>1</x:v>
      </x:c>
      <x:c r="E1064" s="31" t="str">
        <x:v>Citi PB</x:v>
      </x:c>
      <x:c r="F1064" s="31" t="str">
        <x:v>PWM / AM</x:v>
      </x:c>
      <x:c r="G1064" s="31" t="str">
        <x:v>What's the usual purporse of Leverage in a portfolio?</x:v>
      </x:c>
    </x:row>
    <x:row r="1065" ht="34" customHeight="1">
      <x:c r="A1065" s="30" t="str">
        <x:v>CL1061</x:v>
      </x:c>
      <x:c r="B1065" s="31" t="str">
        <x:v>What's WACC</x:v>
      </x:c>
      <x:c r="C1065" s="31" t="str">
        <x:v>Valuation</x:v>
      </x:c>
      <x:c r="D1065" s="69" t="n">
        <x:f>COUNTIF('All Questions'!$G$5:$G$1725,A1065)</x:f>
        <x:v>1</x:v>
      </x:c>
      <x:c r="E1065" s="31" t="str">
        <x:v>HSBC</x:v>
      </x:c>
      <x:c r="F1065" s="31" t="str">
        <x:v>IBD / GCM</x:v>
      </x:c>
      <x:c r="G1065" s="31" t="str">
        <x:v>What's WACC</x:v>
      </x:c>
    </x:row>
    <x:row r="1066" ht="34" customHeight="1">
      <x:c r="A1066" s="30" t="str">
        <x:v>CL1062</x:v>
      </x:c>
      <x:c r="B1066" s="31" t="str">
        <x:v>What's you fav and least fav park of your current internship</x:v>
      </x:c>
      <x:c r="C1066" s="31" t="str">
        <x:v>Resume &amp; Experience</x:v>
      </x:c>
      <x:c r="D1066" s="69" t="n">
        <x:f>COUNTIF('All Questions'!$G$5:$G$1725,A1066)</x:f>
        <x:v>1</x:v>
      </x:c>
      <x:c r="E1066" s="31" t="str">
        <x:v>Neuberger Berman</x:v>
      </x:c>
      <x:c r="F1066" s="31" t="str">
        <x:v>PWM / AM</x:v>
      </x:c>
      <x:c r="G1066" s="31" t="str">
        <x:v>What's you fav and least fav park of your current internship</x:v>
      </x:c>
    </x:row>
    <x:row r="1067" ht="34" customHeight="1">
      <x:c r="A1067" s="30" t="str">
        <x:v>CL1063</x:v>
      </x:c>
      <x:c r="B1067" s="31" t="str">
        <x:v>What’s your favorite sector and what’s your least favorite sector at BNP Paribas</x:v>
      </x:c>
      <x:c r="C1067" s="31" t="str">
        <x:v>Company, Industry &amp; Deals</x:v>
      </x:c>
      <x:c r="D1067" s="69" t="n">
        <x:f>COUNTIF('All Questions'!$G$5:$G$1725,A1067)</x:f>
        <x:v>1</x:v>
      </x:c>
      <x:c r="E1067" s="31" t="str">
        <x:v>Moelis</x:v>
      </x:c>
      <x:c r="F1067" s="31" t="str">
        <x:v>IBD / GCM</x:v>
      </x:c>
      <x:c r="G1067" s="31" t="str">
        <x:v>What’s your favorite sector and what’s your least favorite sector at BNP Paribas?</x:v>
      </x:c>
    </x:row>
    <x:row r="1068" ht="34" customHeight="1">
      <x:c r="A1068" s="30" t="str">
        <x:v>CL1064</x:v>
      </x:c>
      <x:c r="B1068" s="31" t="str">
        <x:v>What's your hours on the trading floor? - Banking side has long hours, be prepared</x:v>
      </x:c>
      <x:c r="C1068" s="31" t="str">
        <x:v>Fit &amp; Motivation</x:v>
      </x:c>
      <x:c r="D1068" s="69" t="n">
        <x:f>COUNTIF('All Questions'!$G$5:$G$1725,A1068)</x:f>
        <x:v>1</x:v>
      </x:c>
      <x:c r="E1068" s="31" t="str">
        <x:v>MS GCM</x:v>
      </x:c>
      <x:c r="F1068" s="31" t="str">
        <x:v>IBD / GCM</x:v>
      </x:c>
      <x:c r="G1068" s="31" t="str">
        <x:v>What's your hours on the trading floor? - Banking side has long hours, be prepared.</x:v>
      </x:c>
    </x:row>
    <x:row r="1069" ht="34" customHeight="1">
      <x:c r="A1069" s="30" t="str">
        <x:v>CL1065</x:v>
      </x:c>
      <x:c r="B1069" s="31" t="str">
        <x:v>What's your MBTI</x:v>
      </x:c>
      <x:c r="C1069" s="31" t="str">
        <x:v>Other Question</x:v>
      </x:c>
      <x:c r="D1069" s="69" t="n">
        <x:f>COUNTIF('All Questions'!$G$5:$G$1725,A1069)</x:f>
        <x:v>1</x:v>
      </x:c>
      <x:c r="E1069" s="31" t="str">
        <x:v>Grant Samuel</x:v>
      </x:c>
      <x:c r="F1069" s="31" t="str">
        <x:v>IBD / GCM</x:v>
      </x:c>
      <x:c r="G1069" s="31" t="str">
        <x:v>What's your MBTI</x:v>
      </x:c>
    </x:row>
    <x:row r="1070" ht="34" customHeight="1">
      <x:c r="A1070" s="30" t="str">
        <x:v>CL1066</x:v>
      </x:c>
      <x:c r="B1070" s="31" t="str">
        <x:v>What's your passion for your future career</x:v>
      </x:c>
      <x:c r="C1070" s="31" t="str">
        <x:v>Other Question</x:v>
      </x:c>
      <x:c r="D1070" s="69" t="n">
        <x:f>COUNTIF('All Questions'!$G$5:$G$1725,A1070)</x:f>
        <x:v>1</x:v>
      </x:c>
      <x:c r="E1070" s="31" t="str">
        <x:v>MS IED</x:v>
      </x:c>
      <x:c r="F1070" s="31" t="str">
        <x:v>Sales &amp; Trading</x:v>
      </x:c>
      <x:c r="G1070" s="31" t="str">
        <x:v>What's your passion for your future career?</x:v>
      </x:c>
    </x:row>
    <x:row r="1071" ht="34" customHeight="1">
      <x:c r="A1071" s="30" t="str">
        <x:v>CL1067</x:v>
      </x:c>
      <x:c r="B1071" s="31" t="str">
        <x:v>What's your role in BNP Parbias/ what did you do (like your role, no need to be in detail)</x:v>
      </x:c>
      <x:c r="C1071" s="31" t="str">
        <x:v>Resume &amp; Experience</x:v>
      </x:c>
      <x:c r="D1071" s="69" t="n">
        <x:f>COUNTIF('All Questions'!$G$5:$G$1725,A1071)</x:f>
        <x:v>1</x:v>
      </x:c>
      <x:c r="E1071" s="31" t="str">
        <x:v>Lazard</x:v>
      </x:c>
      <x:c r="F1071" s="31" t="str">
        <x:v>IBD / GCM</x:v>
      </x:c>
      <x:c r="G1071" s="31" t="str">
        <x:v>What's your role in BNP Parbias/ what did you do (like your role, no need to be in detail)</x:v>
      </x:c>
    </x:row>
    <x:row r="1072" ht="34" customHeight="1">
      <x:c r="A1072" s="30" t="str">
        <x:v>CL1068</x:v>
      </x:c>
      <x:c r="B1072" s="31" t="str">
        <x:v>What's your understanding about "do the right thing" and please give an example</x:v>
      </x:c>
      <x:c r="C1072" s="31" t="str">
        <x:v>Other Question</x:v>
      </x:c>
      <x:c r="D1072" s="69" t="n">
        <x:f>COUNTIF('All Questions'!$G$5:$G$1725,A1072)</x:f>
        <x:v>1</x:v>
      </x:c>
      <x:c r="E1072" s="31" t="str">
        <x:v>JPM AM</x:v>
      </x:c>
      <x:c r="F1072" s="31" t="str">
        <x:v>PWM / AM</x:v>
      </x:c>
      <x:c r="G1072" s="31" t="str">
        <x:v>What's your understanding about "do the right thing" and please give an example</x:v>
      </x:c>
    </x:row>
    <x:row r="1073" ht="34" customHeight="1">
      <x:c r="A1073" s="30" t="str">
        <x:v>CL1069</x:v>
      </x:c>
      <x:c r="B1073" s="31" t="str">
        <x:v>What's your view on China, and in these times how can IBs survive</x:v>
      </x:c>
      <x:c r="C1073" s="31" t="str">
        <x:v>Other Question</x:v>
      </x:c>
      <x:c r="D1073" s="69" t="n">
        <x:f>COUNTIF('All Questions'!$G$5:$G$1725,A1073)</x:f>
        <x:v>1</x:v>
      </x:c>
      <x:c r="E1073" s="31" t="str">
        <x:v>Deutsche</x:v>
      </x:c>
      <x:c r="F1073" s="31" t="str">
        <x:v>IBD / GCM</x:v>
      </x:c>
      <x:c r="G1073" s="31" t="str">
        <x:v>What's your view on China, and in these times how can IBs survive?</x:v>
      </x:c>
    </x:row>
    <x:row r="1074" ht="52" customHeight="1">
      <x:c r="A1074" s="30" t="str">
        <x:v>CL1070</x:v>
      </x:c>
      <x:c r="B1074" s="31" t="str">
        <x:v>What’s your view on digital assets development? If you’re the management team member, what’s your policy in terms of digital assets</x:v>
      </x:c>
      <x:c r="C1074" s="31" t="str">
        <x:v>Behavioral &amp; Situational</x:v>
      </x:c>
      <x:c r="D1074" s="69" t="n">
        <x:f>COUNTIF('All Questions'!$G$5:$G$1725,A1074)</x:f>
        <x:v>1</x:v>
      </x:c>
      <x:c r="E1074" s="31" t="str">
        <x:v>UBS IBD</x:v>
      </x:c>
      <x:c r="F1074" s="31" t="str">
        <x:v>IBD / GCM</x:v>
      </x:c>
      <x:c r="G1074" s="31" t="str">
        <x:v>What’s your view on digital assets development? If you’re the management team member, what’s your policy in terms of digital assets?</x:v>
      </x:c>
    </x:row>
    <x:row r="1075" ht="34" customHeight="1">
      <x:c r="A1075" s="30" t="str">
        <x:v>CL1071</x:v>
      </x:c>
      <x:c r="B1075" s="31" t="str">
        <x:v>What's your view on the Chinese macroeconomy? (I said neutral in the short run)</x:v>
      </x:c>
      <x:c r="C1075" s="31" t="str">
        <x:v>Markets &amp; Macro</x:v>
      </x:c>
      <x:c r="D1075" s="69" t="n">
        <x:f>COUNTIF('All Questions'!$G$5:$G$1725,A1075)</x:f>
        <x:v>1</x:v>
      </x:c>
      <x:c r="E1075" s="31" t="str">
        <x:v>BofA (GM)</x:v>
      </x:c>
      <x:c r="F1075" s="31" t="str">
        <x:v>Sales &amp; Trading</x:v>
      </x:c>
      <x:c r="G1075" s="31" t="str">
        <x:v>What's your view on the Chinese macroeconomy? (I said neutral in the short run)</x:v>
      </x:c>
    </x:row>
    <x:row r="1076" ht="34" customHeight="1">
      <x:c r="A1076" s="30" t="str">
        <x:v>CL1072</x:v>
      </x:c>
      <x:c r="B1076" s="31" t="str">
        <x:v>Whats the biggest IPO in hk this year</x:v>
      </x:c>
      <x:c r="C1076" s="31" t="str">
        <x:v>Capital Markets &amp; Financing</x:v>
      </x:c>
      <x:c r="D1076" s="69" t="n">
        <x:f>COUNTIF('All Questions'!$G$5:$G$1725,A1076)</x:f>
        <x:v>1</x:v>
      </x:c>
      <x:c r="E1076" s="31" t="str">
        <x:v>MS GCM</x:v>
      </x:c>
      <x:c r="F1076" s="31" t="str">
        <x:v>IBD / GCM</x:v>
      </x:c>
      <x:c r="G1076" s="31" t="str">
        <x:v>whats the biggest IPO in hk this year</x:v>
      </x:c>
    </x:row>
    <x:row r="1077" ht="34" customHeight="1">
      <x:c r="A1077" s="30" t="str">
        <x:v>CL1073</x:v>
      </x:c>
      <x:c r="B1077" s="31" t="str">
        <x:v>Whats the formulas for unlever and relever</x:v>
      </x:c>
      <x:c r="C1077" s="31" t="str">
        <x:v>Other Technical</x:v>
      </x:c>
      <x:c r="D1077" s="69" t="n">
        <x:f>COUNTIF('All Questions'!$G$5:$G$1725,A1077)</x:f>
        <x:v>1</x:v>
      </x:c>
      <x:c r="E1077" s="31" t="str">
        <x:v>Deutsche</x:v>
      </x:c>
      <x:c r="F1077" s="31" t="str">
        <x:v>IBD / GCM</x:v>
      </x:c>
      <x:c r="G1077" s="31" t="str">
        <x:v>whats the formulas for unlever and relever</x:v>
      </x:c>
    </x:row>
    <x:row r="1078" ht="34" customHeight="1">
      <x:c r="A1078" s="30" t="str">
        <x:v>CL1074</x:v>
      </x:c>
      <x:c r="B1078" s="31" t="str">
        <x:v>Whats the most common mistake for DCF</x:v>
      </x:c>
      <x:c r="C1078" s="31" t="str">
        <x:v>Behavioral &amp; Situational</x:v>
      </x:c>
      <x:c r="D1078" s="69" t="n">
        <x:f>COUNTIF('All Questions'!$G$5:$G$1725,A1078)</x:f>
        <x:v>1</x:v>
      </x:c>
      <x:c r="E1078" s="31" t="str">
        <x:v>MS IBD</x:v>
      </x:c>
      <x:c r="F1078" s="31" t="str">
        <x:v>IBD / GCM</x:v>
      </x:c>
      <x:c r="G1078" s="31" t="str">
        <x:v>Whats the most common mistake for DCF</x:v>
      </x:c>
    </x:row>
    <x:row r="1079" ht="34" customHeight="1">
      <x:c r="A1079" s="30" t="str">
        <x:v>CL1075</x:v>
      </x:c>
      <x:c r="B1079" s="31" t="str">
        <x:v>Whats the purpose of LBO</x:v>
      </x:c>
      <x:c r="C1079" s="31" t="str">
        <x:v>Private Equity &amp; LBO</x:v>
      </x:c>
      <x:c r="D1079" s="69" t="n">
        <x:f>COUNTIF('All Questions'!$G$5:$G$1725,A1079)</x:f>
        <x:v>1</x:v>
      </x:c>
      <x:c r="E1079" s="31" t="str">
        <x:v>Deutsche</x:v>
      </x:c>
      <x:c r="F1079" s="31" t="str">
        <x:v>IBD / GCM</x:v>
      </x:c>
      <x:c r="G1079" s="31" t="str">
        <x:v>whats the purpose of LBO</x:v>
      </x:c>
    </x:row>
    <x:row r="1080" ht="34" customHeight="1">
      <x:c r="A1080" s="30" t="str">
        <x:v>CL1076</x:v>
      </x:c>
      <x:c r="B1080" s="31" t="str">
        <x:v>Whats ur view on oil in the medium term</x:v>
      </x:c>
      <x:c r="C1080" s="31" t="str">
        <x:v>Other Question</x:v>
      </x:c>
      <x:c r="D1080" s="69" t="n">
        <x:f>COUNTIF('All Questions'!$G$5:$G$1725,A1080)</x:f>
        <x:v>1</x:v>
      </x:c>
      <x:c r="E1080" s="31" t="str">
        <x:v>HSBC (GM)</x:v>
      </x:c>
      <x:c r="F1080" s="31" t="str">
        <x:v>Sales &amp; Trading</x:v>
      </x:c>
      <x:c r="G1080" s="31" t="str">
        <x:v>whats ur view on oil in the medium term</x:v>
      </x:c>
    </x:row>
    <x:row r="1081" ht="34" customHeight="1">
      <x:c r="A1081" s="30" t="str">
        <x:v>CL1077</x:v>
      </x:c>
      <x:c r="B1081" s="31" t="str">
        <x:v>Whats your one area of improvement</x:v>
      </x:c>
      <x:c r="C1081" s="31" t="str">
        <x:v>Fit &amp; Motivation</x:v>
      </x:c>
      <x:c r="D1081" s="69" t="n">
        <x:f>COUNTIF('All Questions'!$G$5:$G$1725,A1081)</x:f>
        <x:v>1</x:v>
      </x:c>
      <x:c r="E1081" s="31" t="str">
        <x:v>MS IBD</x:v>
      </x:c>
      <x:c r="F1081" s="31" t="str">
        <x:v>IBD / GCM</x:v>
      </x:c>
      <x:c r="G1081" s="31" t="str">
        <x:v>Whats your one area of improvement</x:v>
      </x:c>
    </x:row>
    <x:row r="1082" ht="34" customHeight="1">
      <x:c r="A1082" s="30" t="str">
        <x:v>CL1078</x:v>
      </x:c>
      <x:c r="B1082" s="31" t="str">
        <x:v>Whay you did for the portfolio level analysis for the fund investing project</x:v>
      </x:c>
      <x:c r="C1082" s="31" t="str">
        <x:v>Wealth &amp; Asset Management</x:v>
      </x:c>
      <x:c r="D1082" s="69" t="n">
        <x:f>COUNTIF('All Questions'!$G$5:$G$1725,A1082)</x:f>
        <x:v>1</x:v>
      </x:c>
      <x:c r="E1082" s="31" t="str">
        <x:v>Deutsche</x:v>
      </x:c>
      <x:c r="F1082" s="31" t="str">
        <x:v>IBD / GCM</x:v>
      </x:c>
      <x:c r="G1082" s="31" t="str">
        <x:v>Whay you did for the portfolio level analysis for the fund investing project?</x:v>
      </x:c>
    </x:row>
    <x:row r="1083" ht="52" customHeight="1">
      <x:c r="A1083" s="30" t="str">
        <x:v>CL1079</x:v>
      </x:c>
      <x:c r="B1083" s="31" t="str">
        <x:v>When looking at the comparables from trading comps and also transaction comps, what are some considerations you should keep in mind</x:v>
      </x:c>
      <x:c r="C1083" s="31" t="str">
        <x:v>Valuation</x:v>
      </x:c>
      <x:c r="D1083" s="69" t="n">
        <x:f>COUNTIF('All Questions'!$G$5:$G$1725,A1083)</x:f>
        <x:v>1</x:v>
      </x:c>
      <x:c r="E1083" s="31" t="str">
        <x:v>Bofa IBD</x:v>
      </x:c>
      <x:c r="F1083" s="31" t="str">
        <x:v>IBD / GCM</x:v>
      </x:c>
      <x:c r="G1083" s="31" t="str">
        <x:v>When looking at the comparables from trading comps and also transaction comps, what are some considerations you should keep in mind?</x:v>
      </x:c>
    </x:row>
    <x:row r="1084" ht="34" customHeight="1">
      <x:c r="A1084" s="30" t="str">
        <x:v>CL1080</x:v>
      </x:c>
      <x:c r="B1084" s="31" t="str">
        <x:v>When to use EV, when P/E</x:v>
      </x:c>
      <x:c r="C1084" s="31" t="str">
        <x:v>Other Question</x:v>
      </x:c>
      <x:c r="D1084" s="69" t="n">
        <x:f>COUNTIF('All Questions'!$G$5:$G$1725,A1084)</x:f>
        <x:v>1</x:v>
      </x:c>
      <x:c r="E1084" s="31" t="str">
        <x:v>BNP Paribas</x:v>
      </x:c>
      <x:c r="F1084" s="31" t="str">
        <x:v>IBD / GCM</x:v>
      </x:c>
      <x:c r="G1084" s="31" t="str">
        <x:v>When to use EV, when P/E</x:v>
      </x:c>
    </x:row>
    <x:row r="1085" ht="34" customHeight="1">
      <x:c r="A1085" s="30" t="str">
        <x:v>CL1081</x:v>
      </x:c>
      <x:c r="B1085" s="31" t="str">
        <x:v>When to use Gross Revenue vs Net Revenue</x:v>
      </x:c>
      <x:c r="C1085" s="31" t="str">
        <x:v>Valuation</x:v>
      </x:c>
      <x:c r="D1085" s="69" t="n">
        <x:f>COUNTIF('All Questions'!$G$5:$G$1725,A1085)</x:f>
        <x:v>1</x:v>
      </x:c>
      <x:c r="E1085" s="31" t="str">
        <x:v>Citi</x:v>
      </x:c>
      <x:c r="F1085" s="31" t="str">
        <x:v>IBD / GCM</x:v>
      </x:c>
      <x:c r="G1085" s="31" t="str">
        <x:v>When to use Gross Revenue vs Net Revenue</x:v>
      </x:c>
    </x:row>
    <x:row r="1086" ht="34" customHeight="1">
      <x:c r="A1086" s="30" t="str">
        <x:v>CL1082</x:v>
      </x:c>
      <x:c r="B1086" s="31" t="str">
        <x:v>When will cost of debt be higher</x:v>
      </x:c>
      <x:c r="C1086" s="31" t="str">
        <x:v>Valuation</x:v>
      </x:c>
      <x:c r="D1086" s="69" t="n">
        <x:f>COUNTIF('All Questions'!$G$5:$G$1725,A1086)</x:f>
        <x:v>1</x:v>
      </x:c>
      <x:c r="E1086" s="31" t="str">
        <x:v>MS IBD</x:v>
      </x:c>
      <x:c r="F1086" s="31" t="str">
        <x:v>IBD / GCM</x:v>
      </x:c>
      <x:c r="G1086" s="31" t="str">
        <x:v>When will cost of debt be higher</x:v>
      </x:c>
    </x:row>
    <x:row r="1087" ht="34" customHeight="1">
      <x:c r="A1087" s="30" t="str">
        <x:v>CL1083</x:v>
      </x:c>
      <x:c r="B1087" s="31" t="str">
        <x:v>Where are you currently based? (and then we chatted a lot on Milan very casually)</x:v>
      </x:c>
      <x:c r="C1087" s="31" t="str">
        <x:v>Other Question</x:v>
      </x:c>
      <x:c r="D1087" s="69" t="n">
        <x:f>COUNTIF('All Questions'!$G$5:$G$1725,A1087)</x:f>
        <x:v>1</x:v>
      </x:c>
      <x:c r="E1087" s="31" t="str">
        <x:v>Barclays GM</x:v>
      </x:c>
      <x:c r="F1087" s="31" t="str">
        <x:v>Sales &amp; Trading</x:v>
      </x:c>
      <x:c r="G1087" s="31" t="str">
        <x:v>Where are you currently based? (and then we chatted a lot on Milan very casually)</x:v>
      </x:c>
    </x:row>
    <x:row r="1088" ht="34" customHeight="1">
      <x:c r="A1088" s="30" t="str">
        <x:v>CL1084</x:v>
      </x:c>
      <x:c r="B1088" s="31" t="str">
        <x:v>Where did you attend your high school? And how did you learn your English</x:v>
      </x:c>
      <x:c r="C1088" s="31" t="str">
        <x:v>Resume &amp; Experience</x:v>
      </x:c>
      <x:c r="D1088" s="69" t="n">
        <x:f>COUNTIF('All Questions'!$G$5:$G$1725,A1088)</x:f>
        <x:v>1</x:v>
      </x:c>
      <x:c r="E1088" s="31" t="str">
        <x:v>JPM AM</x:v>
      </x:c>
      <x:c r="F1088" s="31" t="str">
        <x:v>PWM / AM</x:v>
      </x:c>
      <x:c r="G1088" s="31" t="str">
        <x:v>Where did you attend your high school? And how did you learn your English?</x:v>
      </x:c>
    </x:row>
    <x:row r="1089" ht="34" customHeight="1">
      <x:c r="A1089" s="30" t="str">
        <x:v>CL1085</x:v>
      </x:c>
      <x:c r="B1089" s="31" t="str">
        <x:v>Where did you go to school in gz? (in chinese)</x:v>
      </x:c>
      <x:c r="C1089" s="31" t="str">
        <x:v>Resume &amp; Experience</x:v>
      </x:c>
      <x:c r="D1089" s="69" t="n">
        <x:f>COUNTIF('All Questions'!$G$5:$G$1725,A1089)</x:f>
        <x:v>1</x:v>
      </x:c>
      <x:c r="E1089" s="31" t="str">
        <x:v>Barclays</x:v>
      </x:c>
      <x:c r="F1089" s="31" t="str">
        <x:v>IBD / GCM</x:v>
      </x:c>
      <x:c r="G1089" s="31" t="str">
        <x:v>where did you go to school in gz? (in chinese)</x:v>
      </x:c>
    </x:row>
    <x:row r="1090" ht="34" customHeight="1">
      <x:c r="A1090" s="30" t="str">
        <x:v>CL1086</x:v>
      </x:c>
      <x:c r="B1090" s="31" t="str">
        <x:v>Where do u find the inputs</x:v>
      </x:c>
      <x:c r="C1090" s="31" t="str">
        <x:v>Other Question</x:v>
      </x:c>
      <x:c r="D1090" s="69" t="n">
        <x:f>COUNTIF('All Questions'!$G$5:$G$1725,A1090)</x:f>
        <x:v>1</x:v>
      </x:c>
      <x:c r="E1090" s="31" t="str">
        <x:v>BNP Paribas</x:v>
      </x:c>
      <x:c r="F1090" s="31" t="str">
        <x:v>IBD / GCM</x:v>
      </x:c>
      <x:c r="G1090" s="31" t="str">
        <x:v>where do u find the inputs</x:v>
      </x:c>
    </x:row>
    <x:row r="1091" ht="34" customHeight="1">
      <x:c r="A1091" s="30" t="str">
        <x:v>CL1087</x:v>
      </x:c>
      <x:c r="B1091" s="31" t="str">
        <x:v>Where do you see yourself in 3-5 years?</x:v>
      </x:c>
      <x:c r="C1091" s="31" t="str">
        <x:v>Other Question</x:v>
      </x:c>
      <x:c r="D1091" s="69" t="n">
        <x:f>COUNTIF('All Questions'!$G$5:$G$1725,A1091)</x:f>
        <x:v>1</x:v>
      </x:c>
      <x:c r="E1091" s="31" t="str">
        <x:v>GS DCMECM</x:v>
      </x:c>
      <x:c r="F1091" s="31" t="str">
        <x:v>IBD / GCM</x:v>
      </x:c>
      <x:c r="G1091" s="31" t="str">
        <x:v>Where do I see myself in 3-5 years</x:v>
      </x:c>
    </x:row>
    <x:row r="1092" ht="34" customHeight="1">
      <x:c r="A1092" s="30" t="str">
        <x:v>CL1088</x:v>
      </x:c>
      <x:c r="B1092" s="31" t="str">
        <x:v>Where I grew up in, primary and secondary school, where my parents are from</x:v>
      </x:c>
      <x:c r="C1092" s="31" t="str">
        <x:v>Resume &amp; Experience</x:v>
      </x:c>
      <x:c r="D1092" s="69" t="n">
        <x:f>COUNTIF('All Questions'!$G$5:$G$1725,A1092)</x:f>
        <x:v>1</x:v>
      </x:c>
      <x:c r="E1092" s="31" t="str">
        <x:v>Bofa IBD</x:v>
      </x:c>
      <x:c r="F1092" s="31" t="str">
        <x:v>IBD / GCM</x:v>
      </x:c>
      <x:c r="G1092" s="31" t="str">
        <x:v>Where I grew up in, primary and secondary school, where my parents are from</x:v>
      </x:c>
    </x:row>
    <x:row r="1093" ht="34" customHeight="1">
      <x:c r="A1093" s="30" t="str">
        <x:v>CL1089</x:v>
      </x:c>
      <x:c r="B1093" s="31" t="str">
        <x:v>Where is your passion for finance and SnT come from</x:v>
      </x:c>
      <x:c r="C1093" s="31" t="str">
        <x:v>Accounting &amp; Financial Statements</x:v>
      </x:c>
      <x:c r="D1093" s="69" t="n">
        <x:f>COUNTIF('All Questions'!$G$5:$G$1725,A1093)</x:f>
        <x:v>1</x:v>
      </x:c>
      <x:c r="E1093" s="31" t="str">
        <x:v>BofA (GM)</x:v>
      </x:c>
      <x:c r="F1093" s="31" t="str">
        <x:v>Sales &amp; Trading</x:v>
      </x:c>
      <x:c r="G1093" s="31" t="str">
        <x:v>Where is your passion for finance and SnT come from?</x:v>
      </x:c>
    </x:row>
    <x:row r="1094" ht="34" customHeight="1">
      <x:c r="A1094" s="30" t="str">
        <x:v>CL1090</x:v>
      </x:c>
      <x:c r="B1094" s="31" t="str">
        <x:v>Where to find each part of EV/ EBITDA breakdown from capiq</x:v>
      </x:c>
      <x:c r="C1094" s="31" t="str">
        <x:v>Other Question</x:v>
      </x:c>
      <x:c r="D1094" s="69" t="n">
        <x:f>COUNTIF('All Questions'!$G$5:$G$1725,A1094)</x:f>
        <x:v>1</x:v>
      </x:c>
      <x:c r="E1094" s="31" t="str">
        <x:v>MSPEA</x:v>
      </x:c>
      <x:c r="F1094" s="31" t="str">
        <x:v>PE / VC / Other</x:v>
      </x:c>
      <x:c r="G1094" s="31" t="str">
        <x:v>Where to find each part of EV/ EBITDA breakdown from capiq</x:v>
      </x:c>
    </x:row>
    <x:row r="1095" ht="52" customHeight="1">
      <x:c r="A1095" s="30" t="str">
        <x:v>CL1091</x:v>
      </x:c>
      <x:c r="B1095" s="31" t="str">
        <x:v>Which business segment has the highest CAPEX? Does not make sense for the EPC segment to have CAPEX, what kind of CAPEX</x:v>
      </x:c>
      <x:c r="C1095" s="31" t="str">
        <x:v>Other Question</x:v>
      </x:c>
      <x:c r="D1095" s="69" t="n">
        <x:f>COUNTIF('All Questions'!$G$5:$G$1725,A1095)</x:f>
        <x:v>1</x:v>
      </x:c>
      <x:c r="E1095" s="31" t="str">
        <x:v>Lazard</x:v>
      </x:c>
      <x:c r="F1095" s="31" t="str">
        <x:v>IBD / GCM</x:v>
      </x:c>
      <x:c r="G1095" s="31" t="str">
        <x:v>Which business segment has the highest CAPEX? Does not make sense for the EPC segment to have CAPEX, what kind of CAPEX?</x:v>
      </x:c>
    </x:row>
    <x:row r="1096" ht="34" customHeight="1">
      <x:c r="A1096" s="30" t="str">
        <x:v>CL1092</x:v>
      </x:c>
      <x:c r="B1096" s="31" t="str">
        <x:v>Which company will be the best winner (I said Tesla)</x:v>
      </x:c>
      <x:c r="C1096" s="31" t="str">
        <x:v>Company, Industry &amp; Deals</x:v>
      </x:c>
      <x:c r="D1096" s="69" t="n">
        <x:f>COUNTIF('All Questions'!$G$5:$G$1725,A1096)</x:f>
        <x:v>1</x:v>
      </x:c>
      <x:c r="E1096" s="31" t="str">
        <x:v>Nomura</x:v>
      </x:c>
      <x:c r="F1096" s="31" t="str">
        <x:v>IBD / GCM</x:v>
      </x:c>
      <x:c r="G1096" s="31" t="str">
        <x:v>Which company will be the best winner (I said Tesla)</x:v>
      </x:c>
    </x:row>
    <x:row r="1097" ht="34" customHeight="1">
      <x:c r="A1097" s="30" t="str">
        <x:v>CL1093</x:v>
      </x:c>
      <x:c r="B1097" s="31" t="str">
        <x:v>Which deal you are interested in and walk me through</x:v>
      </x:c>
      <x:c r="C1097" s="31" t="str">
        <x:v>Company, Industry &amp; Deals</x:v>
      </x:c>
      <x:c r="D1097" s="69" t="n">
        <x:f>COUNTIF('All Questions'!$G$5:$G$1725,A1097)</x:f>
        <x:v>1</x:v>
      </x:c>
      <x:c r="E1097" s="31" t="str">
        <x:v>MS IBD</x:v>
      </x:c>
      <x:c r="F1097" s="31" t="str">
        <x:v>IBD / GCM</x:v>
      </x:c>
      <x:c r="G1097" s="31" t="str">
        <x:v>Which deal you are interested in and walk me through</x:v>
      </x:c>
    </x:row>
    <x:row r="1098" ht="34" customHeight="1">
      <x:c r="A1098" s="30" t="str">
        <x:v>CL1094</x:v>
      </x:c>
      <x:c r="B1098" s="31" t="str">
        <x:v>Which deal you had more exposure to? Talk to me in depth about what you did</x:v>
      </x:c>
      <x:c r="C1098" s="31" t="str">
        <x:v>Resume &amp; Experience</x:v>
      </x:c>
      <x:c r="D1098" s="69" t="n">
        <x:f>COUNTIF('All Questions'!$G$5:$G$1725,A1098)</x:f>
        <x:v>1</x:v>
      </x:c>
      <x:c r="E1098" s="31" t="str">
        <x:v>Deutsche</x:v>
      </x:c>
      <x:c r="F1098" s="31" t="str">
        <x:v>IBD / GCM</x:v>
      </x:c>
      <x:c r="G1098" s="31" t="str">
        <x:v>Which deal you had more exposure to? Talk to me in depth about what you did</x:v>
      </x:c>
    </x:row>
    <x:row r="1099" ht="34" customHeight="1">
      <x:c r="A1099" s="30" t="str">
        <x:v>CL1095</x:v>
      </x:c>
      <x:c r="B1099" s="31" t="str">
        <x:v>Which internship I liked the most and the least</x:v>
      </x:c>
      <x:c r="C1099" s="31" t="str">
        <x:v>Resume &amp; Experience</x:v>
      </x:c>
      <x:c r="D1099" s="69" t="n">
        <x:f>COUNTIF('All Questions'!$G$5:$G$1725,A1099)</x:f>
        <x:v>1</x:v>
      </x:c>
      <x:c r="E1099" s="31" t="str">
        <x:v>GS DCMECM</x:v>
      </x:c>
      <x:c r="F1099" s="31" t="str">
        <x:v>IBD / GCM</x:v>
      </x:c>
      <x:c r="G1099" s="31" t="str">
        <x:v>Which internship I liked the most and the least</x:v>
      </x:c>
    </x:row>
    <x:row r="1100" ht="34" customHeight="1">
      <x:c r="A1100" s="30" t="str">
        <x:v>CL1096</x:v>
      </x:c>
      <x:c r="B1100" s="31" t="str">
        <x:v>Which jurisdiction does this LOE follows</x:v>
      </x:c>
      <x:c r="C1100" s="31" t="str">
        <x:v>Other Question</x:v>
      </x:c>
      <x:c r="D1100" s="69" t="n">
        <x:f>COUNTIF('All Questions'!$G$5:$G$1725,A1100)</x:f>
        <x:v>1</x:v>
      </x:c>
      <x:c r="E1100" s="31" t="str">
        <x:v>Deutsche</x:v>
      </x:c>
      <x:c r="F1100" s="31" t="str">
        <x:v>IBD / GCM</x:v>
      </x:c>
      <x:c r="G1100" s="31" t="str">
        <x:v>Which jurisdiction does this LOE follows?</x:v>
      </x:c>
    </x:row>
    <x:row r="1101" ht="34" customHeight="1">
      <x:c r="A1101" s="30" t="str">
        <x:v>CL1097</x:v>
      </x:c>
      <x:c r="B1101" s="31" t="str">
        <x:v>Which method gives you highest valuation and why</x:v>
      </x:c>
      <x:c r="C1101" s="31" t="str">
        <x:v>Valuation</x:v>
      </x:c>
      <x:c r="D1101" s="69" t="n">
        <x:f>COUNTIF('All Questions'!$G$5:$G$1725,A1101)</x:f>
        <x:v>1</x:v>
      </x:c>
      <x:c r="E1101" s="31" t="str">
        <x:v>MS IBD</x:v>
      </x:c>
      <x:c r="F1101" s="31" t="str">
        <x:v>IBD / GCM</x:v>
      </x:c>
      <x:c r="G1101" s="31" t="str">
        <x:v>Which method gives you highest valuation and why?</x:v>
      </x:c>
    </x:row>
    <x:row r="1102" ht="34" customHeight="1">
      <x:c r="A1102" s="30" t="str">
        <x:v>CL1098</x:v>
      </x:c>
      <x:c r="B1102" s="31" t="str">
        <x:v>Which one of the external factor do you think is the most important？ why</x:v>
      </x:c>
      <x:c r="C1102" s="31" t="str">
        <x:v>Accounting &amp; Financial Statements</x:v>
      </x:c>
      <x:c r="D1102" s="69" t="n">
        <x:f>COUNTIF('All Questions'!$G$5:$G$1725,A1102)</x:f>
        <x:v>1</x:v>
      </x:c>
      <x:c r="E1102" s="31" t="str">
        <x:v>Mckinsey</x:v>
      </x:c>
      <x:c r="F1102" s="31" t="str">
        <x:v>Consulting</x:v>
      </x:c>
      <x:c r="G1102" s="31" t="str">
        <x:v>which one of the external factor do you think is the most important？ why</x:v>
      </x:c>
    </x:row>
    <x:row r="1103" ht="34" customHeight="1">
      <x:c r="A1103" s="30" t="str">
        <x:v>CL1099</x:v>
      </x:c>
      <x:c r="B1103" s="31" t="str">
        <x:v>Which one will produce more return: Preferred shares vs corporate bond, senior bond vs junior bond</x:v>
      </x:c>
      <x:c r="C1103" s="31" t="str">
        <x:v>Private Equity &amp; LBO</x:v>
      </x:c>
      <x:c r="D1103" s="69" t="n">
        <x:f>COUNTIF('All Questions'!$G$5:$G$1725,A1103)</x:f>
        <x:v>1</x:v>
      </x:c>
      <x:c r="E1103" s="31" t="str">
        <x:v>Bofa IBD</x:v>
      </x:c>
      <x:c r="F1103" s="31" t="str">
        <x:v>IBD / GCM</x:v>
      </x:c>
      <x:c r="G1103" s="31" t="str">
        <x:v>Which one will produce more return: Preferred shares vs corporate bond, senior bond vs junior bond</x:v>
      </x:c>
    </x:row>
    <x:row r="1104" ht="34" customHeight="1">
      <x:c r="A1104" s="30" t="str">
        <x:v>CL1100</x:v>
      </x:c>
      <x:c r="B1104" s="31" t="str">
        <x:v>Which position do i play</x:v>
      </x:c>
      <x:c r="C1104" s="31" t="str">
        <x:v>Other Question</x:v>
      </x:c>
      <x:c r="D1104" s="69" t="n">
        <x:f>COUNTIF('All Questions'!$G$5:$G$1725,A1104)</x:f>
        <x:v>1</x:v>
      </x:c>
      <x:c r="E1104" s="31" t="str">
        <x:v>JPM</x:v>
      </x:c>
      <x:c r="F1104" s="31" t="str">
        <x:v>IBD / GCM</x:v>
      </x:c>
      <x:c r="G1104" s="31" t="str">
        <x:v>which position do i play</x:v>
      </x:c>
    </x:row>
    <x:row r="1105" ht="34" customHeight="1">
      <x:c r="A1105" s="30" t="str">
        <x:v>CL1101</x:v>
      </x:c>
      <x:c r="B1105" s="31" t="str">
        <x:v>Which sector would you recommend investing? (globally)</x:v>
      </x:c>
      <x:c r="C1105" s="31" t="str">
        <x:v>Company, Industry &amp; Deals</x:v>
      </x:c>
      <x:c r="D1105" s="69" t="n">
        <x:f>COUNTIF('All Questions'!$G$5:$G$1725,A1105)</x:f>
        <x:v>1</x:v>
      </x:c>
      <x:c r="E1105" s="31" t="str">
        <x:v>UBS IBD</x:v>
      </x:c>
      <x:c r="F1105" s="31" t="str">
        <x:v>IBD / GCM</x:v>
      </x:c>
      <x:c r="G1105" s="31" t="str">
        <x:v>Which sector would you recommend investing? (globally)</x:v>
      </x:c>
    </x:row>
    <x:row r="1106" ht="34" customHeight="1">
      <x:c r="A1106" s="30" t="str">
        <x:v>CL1102</x:v>
      </x:c>
      <x:c r="B1106" s="31" t="str">
        <x:v>Which sectors are undervalued right now</x:v>
      </x:c>
      <x:c r="C1106" s="31" t="str">
        <x:v>Company, Industry &amp; Deals</x:v>
      </x:c>
      <x:c r="D1106" s="69" t="n">
        <x:f>COUNTIF('All Questions'!$G$5:$G$1725,A1106)</x:f>
        <x:v>1</x:v>
      </x:c>
      <x:c r="E1106" s="31" t="str">
        <x:v>Citi PB</x:v>
      </x:c>
      <x:c r="F1106" s="31" t="str">
        <x:v>PWM / AM</x:v>
      </x:c>
      <x:c r="G1106" s="31" t="str">
        <x:v>which sectors are undervalued right now?</x:v>
      </x:c>
    </x:row>
    <x:row r="1107" ht="34" customHeight="1">
      <x:c r="A1107" s="30" t="str">
        <x:v>CL1103</x:v>
      </x:c>
      <x:c r="B1107" s="31" t="str">
        <x:v>Which subject do you like the most</x:v>
      </x:c>
      <x:c r="C1107" s="31" t="str">
        <x:v>Other Question</x:v>
      </x:c>
      <x:c r="D1107" s="69" t="n">
        <x:f>COUNTIF('All Questions'!$G$5:$G$1725,A1107)</x:f>
        <x:v>1</x:v>
      </x:c>
      <x:c r="E1107" s="31" t="str">
        <x:v>HSBC (GM)</x:v>
      </x:c>
      <x:c r="F1107" s="31" t="str">
        <x:v>Sales &amp; Trading</x:v>
      </x:c>
      <x:c r="G1107" s="31" t="str">
        <x:v>which subject do you like the most</x:v>
      </x:c>
    </x:row>
    <x:row r="1108" ht="34" customHeight="1">
      <x:c r="A1108" s="30" t="str">
        <x:v>CL1104</x:v>
      </x:c>
      <x:c r="B1108" s="31" t="str">
        <x:v>Which team in barclays</x:v>
      </x:c>
      <x:c r="C1108" s="31" t="str">
        <x:v>Behavioral &amp; Situational</x:v>
      </x:c>
      <x:c r="D1108" s="69" t="n">
        <x:f>COUNTIF('All Questions'!$G$5:$G$1725,A1108)</x:f>
        <x:v>1</x:v>
      </x:c>
      <x:c r="E1108" s="31" t="str">
        <x:v>Barclays</x:v>
      </x:c>
      <x:c r="F1108" s="31" t="str">
        <x:v>IBD / GCM</x:v>
      </x:c>
      <x:c r="G1108" s="31" t="str">
        <x:v>which team in barclays</x:v>
      </x:c>
    </x:row>
    <x:row r="1109" ht="34" customHeight="1">
      <x:c r="A1109" s="30" t="str">
        <x:v>CL1105</x:v>
      </x:c>
      <x:c r="B1109" s="31" t="str">
        <x:v>Which team would you prefer</x:v>
      </x:c>
      <x:c r="C1109" s="31" t="str">
        <x:v>Fit &amp; Motivation</x:v>
      </x:c>
      <x:c r="D1109" s="69" t="n">
        <x:f>COUNTIF('All Questions'!$G$5:$G$1725,A1109)</x:f>
        <x:v>1</x:v>
      </x:c>
      <x:c r="E1109" s="31" t="str">
        <x:v>MS GCM</x:v>
      </x:c>
      <x:c r="F1109" s="31" t="str">
        <x:v>IBD / GCM</x:v>
      </x:c>
      <x:c r="G1109" s="31" t="str">
        <x:v>Which team would you prefer</x:v>
      </x:c>
    </x:row>
    <x:row r="1110" ht="34" customHeight="1">
      <x:c r="A1110" s="30" t="str">
        <x:v>CL1106</x:v>
      </x:c>
      <x:c r="B1110" s="31" t="str">
        <x:v>Who did you report to at Xiaomi</x:v>
      </x:c>
      <x:c r="C1110" s="31" t="str">
        <x:v>Resume &amp; Experience</x:v>
      </x:c>
      <x:c r="D1110" s="69" t="n">
        <x:f>COUNTIF('All Questions'!$G$5:$G$1725,A1110)</x:f>
        <x:v>1</x:v>
      </x:c>
      <x:c r="E1110" s="31" t="str">
        <x:v>Deutsche</x:v>
      </x:c>
      <x:c r="F1110" s="31" t="str">
        <x:v>IBD / GCM</x:v>
      </x:c>
      <x:c r="G1110" s="31" t="str">
        <x:v>who did you report to at Xiaomi</x:v>
      </x:c>
    </x:row>
    <x:row r="1111" ht="34" customHeight="1">
      <x:c r="A1111" s="30" t="str">
        <x:v>CL1107</x:v>
      </x:c>
      <x:c r="B1111" s="31" t="str">
        <x:v>Who i talked to in MS before, who was my first round interviewer</x:v>
      </x:c>
      <x:c r="C1111" s="31" t="str">
        <x:v>Other Question</x:v>
      </x:c>
      <x:c r="D1111" s="69" t="n">
        <x:f>COUNTIF('All Questions'!$G$5:$G$1725,A1111)</x:f>
        <x:v>1</x:v>
      </x:c>
      <x:c r="E1111" s="31" t="str">
        <x:v>MS IBD</x:v>
      </x:c>
      <x:c r="F1111" s="31" t="str">
        <x:v>IBD / GCM</x:v>
      </x:c>
      <x:c r="G1111" s="31" t="str">
        <x:v>Who i talked to in MS before, who was my first round interviewer</x:v>
      </x:c>
    </x:row>
    <x:row r="1112" ht="34" customHeight="1">
      <x:c r="A1112" s="30" t="str">
        <x:v>CL1108</x:v>
      </x:c>
      <x:c r="B1112" s="31" t="str">
        <x:v>Who is the new CEO of HSBC and what risks do you recommend this person to look at</x:v>
      </x:c>
      <x:c r="C1112" s="31" t="str">
        <x:v>Accounting &amp; Financial Statements</x:v>
      </x:c>
      <x:c r="D1112" s="69" t="n">
        <x:f>COUNTIF('All Questions'!$G$5:$G$1725,A1112)</x:f>
        <x:v>1</x:v>
      </x:c>
      <x:c r="E1112" s="31" t="str">
        <x:v>HSBC (GM)</x:v>
      </x:c>
      <x:c r="F1112" s="31" t="str">
        <x:v>Sales &amp; Trading</x:v>
      </x:c>
      <x:c r="G1112" s="31" t="str">
        <x:v>who is the new CEO of HSBC and what risks do you recommend this person to look at</x:v>
      </x:c>
    </x:row>
    <x:row r="1113" ht="34" customHeight="1">
      <x:c r="A1113" s="30" t="str">
        <x:v>CL1109</x:v>
      </x:c>
      <x:c r="B1113" s="31" t="str">
        <x:v>Who is your first round interviewer? (I kinda mentioned my first round several times...)</x:v>
      </x:c>
      <x:c r="C1113" s="31" t="str">
        <x:v>Accounting &amp; Financial Statements</x:v>
      </x:c>
      <x:c r="D1113" s="69" t="n">
        <x:f>COUNTIF('All Questions'!$G$5:$G$1725,A1113)</x:f>
        <x:v>1</x:v>
      </x:c>
      <x:c r="E1113" s="31" t="str">
        <x:v>Deutsche</x:v>
      </x:c>
      <x:c r="F1113" s="31" t="str">
        <x:v>IBD / GCM</x:v>
      </x:c>
      <x:c r="G1113" s="31" t="str">
        <x:v>Who is your first round interviewer? (I kinda mentioned my first round several times...)</x:v>
      </x:c>
    </x:row>
    <x:row r="1114" ht="34" customHeight="1">
      <x:c r="A1114" s="30" t="str">
        <x:v>CL1110</x:v>
      </x:c>
      <x:c r="B1114" s="31" t="str">
        <x:v>Who were on the Nomura DCM Team</x:v>
      </x:c>
      <x:c r="C1114" s="31" t="str">
        <x:v>Capital Markets &amp; Financing</x:v>
      </x:c>
      <x:c r="D1114" s="69" t="n">
        <x:f>COUNTIF('All Questions'!$G$5:$G$1725,A1114)</x:f>
        <x:v>1</x:v>
      </x:c>
      <x:c r="E1114" s="31" t="str">
        <x:v>GS DCMECM</x:v>
      </x:c>
      <x:c r="F1114" s="31" t="str">
        <x:v>IBD / GCM</x:v>
      </x:c>
      <x:c r="G1114" s="31" t="str">
        <x:v>Who were on the Nomura DCM Team</x:v>
      </x:c>
    </x:row>
    <x:row r="1115" ht="34" customHeight="1">
      <x:c r="A1115" s="30" t="str">
        <x:v>CL1111</x:v>
      </x:c>
      <x:c r="B1115" s="31" t="str">
        <x:v>Why after hkex and equity research you wanna do ibd</x:v>
      </x:c>
      <x:c r="C1115" s="31" t="str">
        <x:v>Fit &amp; Motivation</x:v>
      </x:c>
      <x:c r="D1115" s="69" t="n">
        <x:f>COUNTIF('All Questions'!$G$5:$G$1725,A1115)</x:f>
        <x:v>1</x:v>
      </x:c>
      <x:c r="E1115" s="31" t="str">
        <x:v>Barclays</x:v>
      </x:c>
      <x:c r="F1115" s="31" t="str">
        <x:v>IBD / GCM</x:v>
      </x:c>
      <x:c r="G1115" s="31" t="str">
        <x:v>Why after hkex and equity research you wanna do ibd</x:v>
      </x:c>
    </x:row>
    <x:row r="1116" ht="34" customHeight="1">
      <x:c r="A1116" s="30" t="str">
        <x:v>CL1112</x:v>
      </x:c>
      <x:c r="B1116" s="31" t="str">
        <x:v>Why afterwards HKEX and Equity research</x:v>
      </x:c>
      <x:c r="C1116" s="31" t="str">
        <x:v>Fit &amp; Motivation</x:v>
      </x:c>
      <x:c r="D1116" s="69" t="n">
        <x:f>COUNTIF('All Questions'!$G$5:$G$1725,A1116)</x:f>
        <x:v>1</x:v>
      </x:c>
      <x:c r="E1116" s="31" t="str">
        <x:v>UBS IBD</x:v>
      </x:c>
      <x:c r="F1116" s="31" t="str">
        <x:v>IBD / GCM</x:v>
      </x:c>
      <x:c r="G1116" s="31" t="str">
        <x:v>Why afterwards HKEX and Equity research?</x:v>
      </x:c>
    </x:row>
    <x:row r="1117" ht="34" customHeight="1">
      <x:c r="A1117" s="30" t="str">
        <x:v>CL1113</x:v>
      </x:c>
      <x:c r="B1117" s="31" t="str">
        <x:v>Why are there huge cut in tech and bank jobs, but unemployment data is still very low</x:v>
      </x:c>
      <x:c r="C1117" s="31" t="str">
        <x:v>Fit &amp; Motivation</x:v>
      </x:c>
      <x:c r="D1117" s="69" t="n">
        <x:f>COUNTIF('All Questions'!$G$5:$G$1725,A1117)</x:f>
        <x:v>1</x:v>
      </x:c>
      <x:c r="E1117" s="31" t="str">
        <x:v>MS GCM</x:v>
      </x:c>
      <x:c r="F1117" s="31" t="str">
        <x:v>IBD / GCM</x:v>
      </x:c>
      <x:c r="G1117" s="31" t="str">
        <x:v>Why are there huge cut in tech and bank jobs, but unemployment data is still very low</x:v>
      </x:c>
    </x:row>
    <x:row r="1118" ht="34" customHeight="1">
      <x:c r="A1118" s="30" t="str">
        <x:v>CL1114</x:v>
      </x:c>
      <x:c r="B1118" s="31" t="str">
        <x:v>Why are you interested in primary markets compared to secondary markets</x:v>
      </x:c>
      <x:c r="C1118" s="31" t="str">
        <x:v>Fit &amp; Motivation</x:v>
      </x:c>
      <x:c r="D1118" s="69" t="n">
        <x:f>COUNTIF('All Questions'!$G$5:$G$1725,A1118)</x:f>
        <x:v>1</x:v>
      </x:c>
      <x:c r="E1118" s="31" t="str">
        <x:v>MSPEA</x:v>
      </x:c>
      <x:c r="F1118" s="31" t="str">
        <x:v>PE / VC / Other</x:v>
      </x:c>
      <x:c r="G1118" s="31" t="str">
        <x:v>Why are you interested in primary markets compared to secondary markets</x:v>
      </x:c>
    </x:row>
    <x:row r="1119" ht="34" customHeight="1">
      <x:c r="A1119" s="30" t="str">
        <x:v>CL1115</x:v>
      </x:c>
      <x:c r="B1119" s="31" t="str">
        <x:v>Why art history</x:v>
      </x:c>
      <x:c r="C1119" s="31" t="str">
        <x:v>Fit &amp; Motivation</x:v>
      </x:c>
      <x:c r="D1119" s="69" t="n">
        <x:f>COUNTIF('All Questions'!$G$5:$G$1725,A1119)</x:f>
        <x:v>1</x:v>
      </x:c>
      <x:c r="E1119" s="31" t="str">
        <x:v>Nomura</x:v>
      </x:c>
      <x:c r="F1119" s="31" t="str">
        <x:v>IBD / GCM</x:v>
      </x:c>
      <x:c r="G1119" s="31" t="str">
        <x:v>Why art history?</x:v>
      </x:c>
    </x:row>
    <x:row r="1120" ht="34" customHeight="1">
      <x:c r="A1120" s="30" t="str">
        <x:v>CL1116</x:v>
      </x:c>
      <x:c r="B1120" s="31" t="str">
        <x:v>Why come to HK for University</x:v>
      </x:c>
      <x:c r="C1120" s="31" t="str">
        <x:v>Fit &amp; Motivation</x:v>
      </x:c>
      <x:c r="D1120" s="69" t="n">
        <x:f>COUNTIF('All Questions'!$G$5:$G$1725,A1120)</x:f>
        <x:v>1</x:v>
      </x:c>
      <x:c r="E1120" s="31" t="str">
        <x:v>BofA (GM)</x:v>
      </x:c>
      <x:c r="F1120" s="31" t="str">
        <x:v>Sales &amp; Trading</x:v>
      </x:c>
      <x:c r="G1120" s="31" t="str">
        <x:v>Why come to HK for University?</x:v>
      </x:c>
    </x:row>
    <x:row r="1121" ht="34" customHeight="1">
      <x:c r="A1121" s="30" t="str">
        <x:v>CL1117</x:v>
      </x:c>
      <x:c r="B1121" s="31" t="str">
        <x:v>Why consulting?</x:v>
      </x:c>
      <x:c r="C1121" s="31" t="str">
        <x:v>Fit &amp; Motivation</x:v>
      </x:c>
      <x:c r="D1121" s="69" t="n">
        <x:f>COUNTIF('All Questions'!$G$5:$G$1725,A1121)</x:f>
        <x:v>1</x:v>
      </x:c>
      <x:c r="E1121" s="31" t="str">
        <x:v>Mckinsey</x:v>
      </x:c>
      <x:c r="F1121" s="31" t="str">
        <x:v>Consulting</x:v>
      </x:c>
      <x:c r="G1121" s="31" t="str">
        <x:v>Why consulting not IBD</x:v>
      </x:c>
    </x:row>
    <x:row r="1122" ht="34" customHeight="1">
      <x:c r="A1122" s="30" t="str">
        <x:v>CL1118</x:v>
      </x:c>
      <x:c r="B1122" s="31" t="str">
        <x:v>Why did you apply to Bofa IBD, why not stay in equity research and HKEX</x:v>
      </x:c>
      <x:c r="C1122" s="31" t="str">
        <x:v>Fit &amp; Motivation</x:v>
      </x:c>
      <x:c r="D1122" s="69" t="n">
        <x:f>COUNTIF('All Questions'!$G$5:$G$1725,A1122)</x:f>
        <x:v>1</x:v>
      </x:c>
      <x:c r="E1122" s="31" t="str">
        <x:v>Bofa IBD</x:v>
      </x:c>
      <x:c r="F1122" s="31" t="str">
        <x:v>IBD / GCM</x:v>
      </x:c>
      <x:c r="G1122" s="31" t="str">
        <x:v>Why did you apply to Bofa IBD, why not stay in equity research and HKEX?</x:v>
      </x:c>
    </x:row>
    <x:row r="1123" ht="34" customHeight="1">
      <x:c r="A1123" s="30" t="str">
        <x:v>CL1119</x:v>
      </x:c>
      <x:c r="B1123" s="31" t="str">
        <x:v>Why did you do HKEX</x:v>
      </x:c>
      <x:c r="C1123" s="31" t="str">
        <x:v>Fit &amp; Motivation</x:v>
      </x:c>
      <x:c r="D1123" s="69" t="n">
        <x:f>COUNTIF('All Questions'!$G$5:$G$1725,A1123)</x:f>
        <x:v>1</x:v>
      </x:c>
      <x:c r="E1123" s="31" t="str">
        <x:v>Bofa IBD</x:v>
      </x:c>
      <x:c r="F1123" s="31" t="str">
        <x:v>IBD / GCM</x:v>
      </x:c>
      <x:c r="G1123" s="31" t="str">
        <x:v>Why did you do HKEX?</x:v>
      </x:c>
    </x:row>
    <x:row r="1124" ht="34" customHeight="1">
      <x:c r="A1124" s="30" t="str">
        <x:v>CL1120</x:v>
      </x:c>
      <x:c r="B1124" s="31" t="str">
        <x:v>Why did you go back to gz? (in chinese)</x:v>
      </x:c>
      <x:c r="C1124" s="31" t="str">
        <x:v>Fit &amp; Motivation</x:v>
      </x:c>
      <x:c r="D1124" s="69" t="n">
        <x:f>COUNTIF('All Questions'!$G$5:$G$1725,A1124)</x:f>
        <x:v>1</x:v>
      </x:c>
      <x:c r="E1124" s="31" t="str">
        <x:v>Barclays</x:v>
      </x:c>
      <x:c r="F1124" s="31" t="str">
        <x:v>IBD / GCM</x:v>
      </x:c>
      <x:c r="G1124" s="31" t="str">
        <x:v>why did you go back to gz? (in chinese)</x:v>
      </x:c>
    </x:row>
    <x:row r="1125" ht="34" customHeight="1">
      <x:c r="A1125" s="30" t="str">
        <x:v>CL1121</x:v>
      </x:c>
      <x:c r="B1125" s="31" t="str">
        <x:v>Why did you only do a 5-year projection model but not a 10-year one</x:v>
      </x:c>
      <x:c r="C1125" s="31" t="str">
        <x:v>Fit &amp; Motivation</x:v>
      </x:c>
      <x:c r="D1125" s="69" t="n">
        <x:f>COUNTIF('All Questions'!$G$5:$G$1725,A1125)</x:f>
        <x:v>1</x:v>
      </x:c>
      <x:c r="E1125" s="31" t="str">
        <x:v>HSBC</x:v>
      </x:c>
      <x:c r="F1125" s="31" t="str">
        <x:v>IBD / GCM</x:v>
      </x:c>
      <x:c r="G1125" s="31" t="str">
        <x:v>why did you only do a 5-year projection model but not a 10-year one</x:v>
      </x:c>
    </x:row>
    <x:row r="1126" ht="34" customHeight="1">
      <x:c r="A1126" s="30" t="str">
        <x:v>CL1122</x:v>
      </x:c>
      <x:c r="B1126" s="31" t="str">
        <x:v>Why did you use overall breast cancer market share and not the specific treatment</x:v>
      </x:c>
      <x:c r="C1126" s="31" t="str">
        <x:v>Fit &amp; Motivation</x:v>
      </x:c>
      <x:c r="D1126" s="69" t="n">
        <x:f>COUNTIF('All Questions'!$G$5:$G$1725,A1126)</x:f>
        <x:v>1</x:v>
      </x:c>
      <x:c r="E1126" s="31" t="str">
        <x:v>Barclays</x:v>
      </x:c>
      <x:c r="F1126" s="31" t="str">
        <x:v>IBD / GCM</x:v>
      </x:c>
      <x:c r="G1126" s="31" t="str">
        <x:v>why did you use overall breast cancer market share and not the specific treatment</x:v>
      </x:c>
    </x:row>
    <x:row r="1127" ht="34" customHeight="1">
      <x:c r="A1127" s="30" t="str">
        <x:v>CL1123</x:v>
      </x:c>
      <x:c r="B1127" s="31" t="str">
        <x:v>Why didn't you get return from UBS</x:v>
      </x:c>
      <x:c r="C1127" s="31" t="str">
        <x:v>Fit &amp; Motivation</x:v>
      </x:c>
      <x:c r="D1127" s="69" t="n">
        <x:f>COUNTIF('All Questions'!$G$5:$G$1725,A1127)</x:f>
        <x:v>1</x:v>
      </x:c>
      <x:c r="E1127" s="31" t="str">
        <x:v>Fountainvest</x:v>
      </x:c>
      <x:c r="F1127" s="31" t="str">
        <x:v>PE / VC / Other</x:v>
      </x:c>
      <x:c r="G1127" s="31" t="str">
        <x:v>Why didn't you get return from UBS?</x:v>
      </x:c>
    </x:row>
    <x:row r="1128" ht="34" customHeight="1">
      <x:c r="A1128" s="30" t="str">
        <x:v>CL1124</x:v>
      </x:c>
      <x:c r="B1128" s="31" t="str">
        <x:v>Why do companies want to do M&amp;A</x:v>
      </x:c>
      <x:c r="C1128" s="31" t="str">
        <x:v>Fit &amp; Motivation</x:v>
      </x:c>
      <x:c r="D1128" s="69" t="n">
        <x:f>COUNTIF('All Questions'!$G$5:$G$1725,A1128)</x:f>
        <x:v>1</x:v>
      </x:c>
      <x:c r="E1128" s="31" t="str">
        <x:v>MS IBD</x:v>
      </x:c>
      <x:c r="F1128" s="31" t="str">
        <x:v>IBD / GCM</x:v>
      </x:c>
      <x:c r="G1128" s="31" t="str">
        <x:v>why do companies want to do M&amp;A</x:v>
      </x:c>
    </x:row>
    <x:row r="1129" ht="34" customHeight="1">
      <x:c r="A1129" s="30" t="str">
        <x:v>CL1125</x:v>
      </x:c>
      <x:c r="B1129" s="31" t="str">
        <x:v>Why do IBD now given bad economy? (grilled for around 5 minutes with a lot of follow-ups)</x:v>
      </x:c>
      <x:c r="C1129" s="31" t="str">
        <x:v>Fit &amp; Motivation</x:v>
      </x:c>
      <x:c r="D1129" s="69" t="n">
        <x:f>COUNTIF('All Questions'!$G$5:$G$1725,A1129)</x:f>
        <x:v>1</x:v>
      </x:c>
      <x:c r="E1129" s="31" t="str">
        <x:v>Deutsche</x:v>
      </x:c>
      <x:c r="F1129" s="31" t="str">
        <x:v>IBD / GCM</x:v>
      </x:c>
      <x:c r="G1129" s="31" t="str">
        <x:v>Why do IBD now given bad economy? (grilled for around 5 minutes with a lot of follow-ups)</x:v>
      </x:c>
    </x:row>
    <x:row r="1130" ht="34" customHeight="1">
      <x:c r="A1130" s="30" t="str">
        <x:v>CL1126</x:v>
      </x:c>
      <x:c r="B1130" s="31" t="str">
        <x:v>Why do u need to include preferred stock in enterprise value</x:v>
      </x:c>
      <x:c r="C1130" s="31" t="str">
        <x:v>Fit &amp; Motivation</x:v>
      </x:c>
      <x:c r="D1130" s="69" t="n">
        <x:f>COUNTIF('All Questions'!$G$5:$G$1725,A1130)</x:f>
        <x:v>1</x:v>
      </x:c>
      <x:c r="E1130" s="31" t="str">
        <x:v>HSBC</x:v>
      </x:c>
      <x:c r="F1130" s="31" t="str">
        <x:v>IBD / GCM</x:v>
      </x:c>
      <x:c r="G1130" s="31" t="str">
        <x:v>why do u need to include preferred stock in enterprise value</x:v>
      </x:c>
    </x:row>
    <x:row r="1131" ht="34" customHeight="1">
      <x:c r="A1131" s="30" t="str">
        <x:v>CL1127</x:v>
      </x:c>
      <x:c r="B1131" s="31" t="str">
        <x:v>Why do you put PE in the lifestyle bucket which is supposed to be more conservative</x:v>
      </x:c>
      <x:c r="C1131" s="31" t="str">
        <x:v>Fit &amp; Motivation</x:v>
      </x:c>
      <x:c r="D1131" s="69" t="n">
        <x:f>COUNTIF('All Questions'!$G$5:$G$1725,A1131)</x:f>
        <x:v>1</x:v>
      </x:c>
      <x:c r="E1131" s="31" t="str">
        <x:v>JPM PB</x:v>
      </x:c>
      <x:c r="F1131" s="31" t="str">
        <x:v>PWM / AM</x:v>
      </x:c>
      <x:c r="G1131" s="31" t="str">
        <x:v>Why do you put PE in the lifestyle bucket which is supposed to be more conservative?</x:v>
      </x:c>
    </x:row>
    <x:row r="1132" ht="52" customHeight="1">
      <x:c r="A1132" s="30" t="str">
        <x:v>CL1128</x:v>
      </x:c>
      <x:c r="B1132" s="31" t="str">
        <x:v>Why do you specifically want to join in AM given that you've got lots of other internship experiences before</x:v>
      </x:c>
      <x:c r="C1132" s="31" t="str">
        <x:v>Fit &amp; Motivation</x:v>
      </x:c>
      <x:c r="D1132" s="69" t="n">
        <x:f>COUNTIF('All Questions'!$G$5:$G$1725,A1132)</x:f>
        <x:v>1</x:v>
      </x:c>
      <x:c r="E1132" s="31" t="str">
        <x:v>JPM AM</x:v>
      </x:c>
      <x:c r="F1132" s="31" t="str">
        <x:v>PWM / AM</x:v>
      </x:c>
      <x:c r="G1132" s="31" t="str">
        <x:v>Why do you specifically want to join in AM given that you've got lots of other internship experiences before?</x:v>
      </x:c>
    </x:row>
    <x:row r="1133" ht="34" customHeight="1">
      <x:c r="A1133" s="30" t="str">
        <x:v>CL1129</x:v>
      </x:c>
      <x:c r="B1133" s="31" t="str">
        <x:v>Why do you think it is a resonable price</x:v>
      </x:c>
      <x:c r="C1133" s="31" t="str">
        <x:v>Fit &amp; Motivation</x:v>
      </x:c>
      <x:c r="D1133" s="69" t="n">
        <x:f>COUNTIF('All Questions'!$G$5:$G$1725,A1133)</x:f>
        <x:v>1</x:v>
      </x:c>
      <x:c r="E1133" s="31" t="str">
        <x:v>Bofa IBD</x:v>
      </x:c>
      <x:c r="F1133" s="31" t="str">
        <x:v>IBD / GCM</x:v>
      </x:c>
      <x:c r="G1133" s="31" t="str">
        <x:v>Why do you think it is a resonable price?</x:v>
      </x:c>
    </x:row>
    <x:row r="1134" ht="34" customHeight="1">
      <x:c r="A1134" s="30" t="str">
        <x:v>CL1130</x:v>
      </x:c>
      <x:c r="B1134" s="31" t="str">
        <x:v>Why do you think the company is undervalued</x:v>
      </x:c>
      <x:c r="C1134" s="31" t="str">
        <x:v>Fit &amp; Motivation</x:v>
      </x:c>
      <x:c r="D1134" s="69" t="n">
        <x:f>COUNTIF('All Questions'!$G$5:$G$1725,A1134)</x:f>
        <x:v>1</x:v>
      </x:c>
      <x:c r="E1134" s="31" t="str">
        <x:v>UBS IBD</x:v>
      </x:c>
      <x:c r="F1134" s="31" t="str">
        <x:v>IBD / GCM</x:v>
      </x:c>
      <x:c r="G1134" s="31" t="str">
        <x:v>Why do you think the company is undervalued</x:v>
      </x:c>
    </x:row>
    <x:row r="1135" ht="34" customHeight="1">
      <x:c r="A1135" s="30" t="str">
        <x:v>CL1131</x:v>
      </x:c>
      <x:c r="B1135" s="31" t="str">
        <x:v>Why do you think your previous exp will help you at Barclays</x:v>
      </x:c>
      <x:c r="C1135" s="31" t="str">
        <x:v>Fit &amp; Motivation</x:v>
      </x:c>
      <x:c r="D1135" s="69" t="n">
        <x:f>COUNTIF('All Questions'!$G$5:$G$1725,A1135)</x:f>
        <x:v>1</x:v>
      </x:c>
      <x:c r="E1135" s="31" t="str">
        <x:v>Barclays</x:v>
      </x:c>
      <x:c r="F1135" s="31" t="str">
        <x:v>IBD / GCM</x:v>
      </x:c>
      <x:c r="G1135" s="31" t="str">
        <x:v>Why do you think your previous exp will help you at Barclays?</x:v>
      </x:c>
    </x:row>
    <x:row r="1136" ht="34" customHeight="1">
      <x:c r="A1136" s="30" t="str">
        <x:v>CL1132</x:v>
      </x:c>
      <x:c r="B1136" s="31" t="str">
        <x:v>Why doing college in Hong Kong</x:v>
      </x:c>
      <x:c r="C1136" s="31" t="str">
        <x:v>Fit &amp; Motivation</x:v>
      </x:c>
      <x:c r="D1136" s="69" t="n">
        <x:f>COUNTIF('All Questions'!$G$5:$G$1725,A1136)</x:f>
        <x:v>1</x:v>
      </x:c>
      <x:c r="E1136" s="31" t="str">
        <x:v>MS IBD</x:v>
      </x:c>
      <x:c r="F1136" s="31" t="str">
        <x:v>IBD / GCM</x:v>
      </x:c>
      <x:c r="G1136" s="31" t="str">
        <x:v>Why doing college in Hong Kong</x:v>
      </x:c>
    </x:row>
    <x:row r="1137" ht="34" customHeight="1">
      <x:c r="A1137" s="30" t="str">
        <x:v>CL1133</x:v>
      </x:c>
      <x:c r="B1137" s="31" t="str">
        <x:v>Why don't you mention anything related to leverage in the proposal? What's your ideas</x:v>
      </x:c>
      <x:c r="C1137" s="31" t="str">
        <x:v>Fit &amp; Motivation</x:v>
      </x:c>
      <x:c r="D1137" s="69" t="n">
        <x:f>COUNTIF('All Questions'!$G$5:$G$1725,A1137)</x:f>
        <x:v>1</x:v>
      </x:c>
      <x:c r="E1137" s="31" t="str">
        <x:v>JPM PB</x:v>
      </x:c>
      <x:c r="F1137" s="31" t="str">
        <x:v>PWM / AM</x:v>
      </x:c>
      <x:c r="G1137" s="31" t="str">
        <x:v>Why don't you mention anything related to leverage in the proposal? What's your ideas?</x:v>
      </x:c>
    </x:row>
    <x:row r="1138" ht="34" customHeight="1">
      <x:c r="A1138" s="30" t="str">
        <x:v>CL1134</x:v>
      </x:c>
      <x:c r="B1138" s="31" t="str">
        <x:v>Why HK</x:v>
      </x:c>
      <x:c r="C1138" s="31" t="str">
        <x:v>Fit &amp; Motivation</x:v>
      </x:c>
      <x:c r="D1138" s="69" t="n">
        <x:f>COUNTIF('All Questions'!$G$5:$G$1725,A1138)</x:f>
        <x:v>1</x:v>
      </x:c>
      <x:c r="E1138" s="31" t="str">
        <x:v>MS GCM</x:v>
      </x:c>
      <x:c r="F1138" s="31" t="str">
        <x:v>IBD / GCM</x:v>
      </x:c>
      <x:c r="G1138" s="31" t="str">
        <x:v>why HK</x:v>
      </x:c>
    </x:row>
    <x:row r="1139" ht="34" customHeight="1">
      <x:c r="A1139" s="30" t="str">
        <x:v>CL1135</x:v>
      </x:c>
      <x:c r="B1139" s="31" t="str">
        <x:v>Why HK (He knows I am from SH so specifically Why HK but not SH)</x:v>
      </x:c>
      <x:c r="C1139" s="31" t="str">
        <x:v>Fit &amp; Motivation</x:v>
      </x:c>
      <x:c r="D1139" s="69" t="n">
        <x:f>COUNTIF('All Questions'!$G$5:$G$1725,A1139)</x:f>
        <x:v>1</x:v>
      </x:c>
      <x:c r="E1139" s="31" t="str">
        <x:v>Deutsche</x:v>
      </x:c>
      <x:c r="F1139" s="31" t="str">
        <x:v>IBD / GCM</x:v>
      </x:c>
      <x:c r="G1139" s="31" t="str">
        <x:v>Why HK (He knows I am from SH so specifically Why HK but not SH)</x:v>
      </x:c>
    </x:row>
    <x:row r="1140" ht="34" customHeight="1">
      <x:c r="A1140" s="30" t="str">
        <x:v>CL1136</x:v>
      </x:c>
      <x:c r="B1140" s="31" t="str">
        <x:v>Why hk not Yunnan</x:v>
      </x:c>
      <x:c r="C1140" s="31" t="str">
        <x:v>Fit &amp; Motivation</x:v>
      </x:c>
      <x:c r="D1140" s="69" t="n">
        <x:f>COUNTIF('All Questions'!$G$5:$G$1725,A1140)</x:f>
        <x:v>1</x:v>
      </x:c>
      <x:c r="E1140" s="31" t="str">
        <x:v>MS GCM</x:v>
      </x:c>
      <x:c r="F1140" s="31" t="str">
        <x:v>IBD / GCM</x:v>
      </x:c>
      <x:c r="G1140" s="31" t="str">
        <x:v>why hk not Yunnan;</x:v>
      </x:c>
    </x:row>
    <x:row r="1141" ht="34" customHeight="1">
      <x:c r="A1141" s="30" t="str">
        <x:v>CL1137</x:v>
      </x:c>
      <x:c r="B1141" s="31" t="str">
        <x:v>Why HK, why MS, how do you see the market down the road</x:v>
      </x:c>
      <x:c r="C1141" s="31" t="str">
        <x:v>Fit &amp; Motivation</x:v>
      </x:c>
      <x:c r="D1141" s="69" t="n">
        <x:f>COUNTIF('All Questions'!$G$5:$G$1725,A1141)</x:f>
        <x:v>1</x:v>
      </x:c>
      <x:c r="E1141" s="31" t="str">
        <x:v>MS IBD</x:v>
      </x:c>
      <x:c r="F1141" s="31" t="str">
        <x:v>IBD / GCM</x:v>
      </x:c>
      <x:c r="G1141" s="31" t="str">
        <x:v>Why HK, why MS, how do you see the market down the road</x:v>
      </x:c>
    </x:row>
    <x:row r="1142" ht="34" customHeight="1">
      <x:c r="A1142" s="30" t="str">
        <x:v>CL1138</x:v>
      </x:c>
      <x:c r="B1142" s="31" t="str">
        <x:v>Why Hong Kong</x:v>
      </x:c>
      <x:c r="C1142" s="31" t="str">
        <x:v>Fit &amp; Motivation</x:v>
      </x:c>
      <x:c r="D1142" s="69" t="n">
        <x:f>COUNTIF('All Questions'!$G$5:$G$1725,A1142)</x:f>
        <x:v>1</x:v>
      </x:c>
      <x:c r="E1142" s="31" t="str">
        <x:v>Deutsche</x:v>
      </x:c>
      <x:c r="F1142" s="31" t="str">
        <x:v>IBD / GCM</x:v>
      </x:c>
      <x:c r="G1142" s="31" t="str">
        <x:v>Why Hong Kong</x:v>
      </x:c>
    </x:row>
    <x:row r="1143" ht="34" customHeight="1">
      <x:c r="A1143" s="30" t="str">
        <x:v>CL1139</x:v>
      </x:c>
      <x:c r="B1143" s="31" t="str">
        <x:v>Why i'm interested in GCM</x:v>
      </x:c>
      <x:c r="C1143" s="31" t="str">
        <x:v>Fit &amp; Motivation</x:v>
      </x:c>
      <x:c r="D1143" s="69" t="n">
        <x:f>COUNTIF('All Questions'!$G$5:$G$1725,A1143)</x:f>
        <x:v>1</x:v>
      </x:c>
      <x:c r="E1143" s="31" t="str">
        <x:v>Bofa GCM</x:v>
      </x:c>
      <x:c r="F1143" s="31" t="str">
        <x:v>IBD / GCM</x:v>
      </x:c>
      <x:c r="G1143" s="31" t="str">
        <x:v>why i'm interested in GCM</x:v>
      </x:c>
    </x:row>
    <x:row r="1144" ht="34" customHeight="1">
      <x:c r="A1144" s="30" t="str">
        <x:v>CL1140</x:v>
      </x:c>
      <x:c r="B1144" s="31" t="str">
        <x:v>Why IB</x:v>
      </x:c>
      <x:c r="C1144" s="31" t="str">
        <x:v>Fit &amp; Motivation</x:v>
      </x:c>
      <x:c r="D1144" s="69" t="n">
        <x:f>COUNTIF('All Questions'!$G$5:$G$1725,A1144)</x:f>
        <x:v>1</x:v>
      </x:c>
      <x:c r="E1144" s="31" t="str">
        <x:v>Nomura</x:v>
      </x:c>
      <x:c r="F1144" s="31" t="str">
        <x:v>IBD / GCM</x:v>
      </x:c>
      <x:c r="G1144" s="31" t="str">
        <x:v>Why IB</x:v>
      </x:c>
    </x:row>
    <x:row r="1145" ht="34" customHeight="1">
      <x:c r="A1145" s="30" t="str">
        <x:v>CL1141</x:v>
      </x:c>
      <x:c r="B1145" s="31" t="str">
        <x:v>Why interested in debt</x:v>
      </x:c>
      <x:c r="C1145" s="31" t="str">
        <x:v>Fit &amp; Motivation</x:v>
      </x:c>
      <x:c r="D1145" s="69" t="n">
        <x:f>COUNTIF('All Questions'!$G$5:$G$1725,A1145)</x:f>
        <x:v>1</x:v>
      </x:c>
      <x:c r="E1145" s="31" t="str">
        <x:v>Houlihan Lokey</x:v>
      </x:c>
      <x:c r="F1145" s="31" t="str">
        <x:v>IBD / GCM</x:v>
      </x:c>
      <x:c r="G1145" s="31" t="str">
        <x:v>Why interested in debt?</x:v>
      </x:c>
    </x:row>
    <x:row r="1146" ht="34" customHeight="1">
      <x:c r="A1146" s="30" t="str">
        <x:v>CL1142</x:v>
      </x:c>
      <x:c r="B1146" s="31" t="str">
        <x:v>Why interested in nomura and ibd</x:v>
      </x:c>
      <x:c r="C1146" s="31" t="str">
        <x:v>Fit &amp; Motivation</x:v>
      </x:c>
      <x:c r="D1146" s="69" t="n">
        <x:f>COUNTIF('All Questions'!$G$5:$G$1725,A1146)</x:f>
        <x:v>1</x:v>
      </x:c>
      <x:c r="E1146" s="31" t="str">
        <x:v>Nomura</x:v>
      </x:c>
      <x:c r="F1146" s="31" t="str">
        <x:v>IBD / GCM</x:v>
      </x:c>
      <x:c r="G1146" s="31" t="str">
        <x:v>why interested in nomura and ibd</x:v>
      </x:c>
    </x:row>
    <x:row r="1147" ht="34" customHeight="1">
      <x:c r="A1147" s="30" t="str">
        <x:v>CL1143</x:v>
      </x:c>
      <x:c r="B1147" s="31" t="str">
        <x:v>Why is debt cheaper</x:v>
      </x:c>
      <x:c r="C1147" s="31" t="str">
        <x:v>Fit &amp; Motivation</x:v>
      </x:c>
      <x:c r="D1147" s="69" t="n">
        <x:f>COUNTIF('All Questions'!$G$5:$G$1725,A1147)</x:f>
        <x:v>1</x:v>
      </x:c>
      <x:c r="E1147" s="31" t="str">
        <x:v>HSBC</x:v>
      </x:c>
      <x:c r="F1147" s="31" t="str">
        <x:v>IBD / GCM</x:v>
      </x:c>
      <x:c r="G1147" s="31" t="str">
        <x:v>Why is debt cheaper</x:v>
      </x:c>
    </x:row>
    <x:row r="1148" ht="34" customHeight="1">
      <x:c r="A1148" s="30" t="str">
        <x:v>CL1144</x:v>
      </x:c>
      <x:c r="B1148" s="31" t="str">
        <x:v>Why is gold safe heaven asset and what are assets can be considered safe heaven</x:v>
      </x:c>
      <x:c r="C1148" s="31" t="str">
        <x:v>Fit &amp; Motivation</x:v>
      </x:c>
      <x:c r="D1148" s="69" t="n">
        <x:f>COUNTIF('All Questions'!$G$5:$G$1725,A1148)</x:f>
        <x:v>1</x:v>
      </x:c>
      <x:c r="E1148" s="31" t="str">
        <x:v>HSBC (GM)</x:v>
      </x:c>
      <x:c r="F1148" s="31" t="str">
        <x:v>Sales &amp; Trading</x:v>
      </x:c>
      <x:c r="G1148" s="31" t="str">
        <x:v>why is gold safe heaven asset and what are assets can be considered safe heaven</x:v>
      </x:c>
    </x:row>
    <x:row r="1149" ht="34" customHeight="1">
      <x:c r="A1149" s="30" t="str">
        <x:v>CL1145</x:v>
      </x:c>
      <x:c r="B1149" s="31" t="str">
        <x:v>Why is it a good time for them, and why this opportunity</x:v>
      </x:c>
      <x:c r="C1149" s="31" t="str">
        <x:v>Fit &amp; Motivation</x:v>
      </x:c>
      <x:c r="D1149" s="69" t="n">
        <x:f>COUNTIF('All Questions'!$G$5:$G$1725,A1149)</x:f>
        <x:v>1</x:v>
      </x:c>
      <x:c r="E1149" s="31" t="str">
        <x:v>Citi</x:v>
      </x:c>
      <x:c r="F1149" s="31" t="str">
        <x:v>IBD / GCM</x:v>
      </x:c>
      <x:c r="G1149" s="31" t="str">
        <x:v>Why is it a good time for them, and why this opportunity?</x:v>
      </x:c>
    </x:row>
    <x:row r="1150" ht="34" customHeight="1">
      <x:c r="A1150" s="30" t="str">
        <x:v>CL1146</x:v>
      </x:c>
      <x:c r="B1150" s="31" t="str">
        <x:v>Why is it cheaper than industry average</x:v>
      </x:c>
      <x:c r="C1150" s="31" t="str">
        <x:v>Fit &amp; Motivation</x:v>
      </x:c>
      <x:c r="D1150" s="69" t="n">
        <x:f>COUNTIF('All Questions'!$G$5:$G$1725,A1150)</x:f>
        <x:v>1</x:v>
      </x:c>
      <x:c r="E1150" s="31" t="str">
        <x:v>Deutsche</x:v>
      </x:c>
      <x:c r="F1150" s="31" t="str">
        <x:v>IBD / GCM</x:v>
      </x:c>
      <x:c r="G1150" s="31" t="str">
        <x:v>Why is it cheaper than industry average?</x:v>
      </x:c>
    </x:row>
    <x:row r="1151" ht="34" customHeight="1">
      <x:c r="A1151" s="30" t="str">
        <x:v>CL1147</x:v>
      </x:c>
      <x:c r="B1151" s="31" t="str">
        <x:v>Why is minority interest included</x:v>
      </x:c>
      <x:c r="C1151" s="31" t="str">
        <x:v>Fit &amp; Motivation</x:v>
      </x:c>
      <x:c r="D1151" s="69" t="n">
        <x:f>COUNTIF('All Questions'!$G$5:$G$1725,A1151)</x:f>
        <x:v>1</x:v>
      </x:c>
      <x:c r="E1151" s="31" t="str">
        <x:v>MS IBD</x:v>
      </x:c>
      <x:c r="F1151" s="31" t="str">
        <x:v>IBD / GCM</x:v>
      </x:c>
      <x:c r="G1151" s="31" t="str">
        <x:v>Why is minority interest included?</x:v>
      </x:c>
    </x:row>
    <x:row r="1152" ht="34" customHeight="1">
      <x:c r="A1152" s="30" t="str">
        <x:v>CL1148</x:v>
      </x:c>
      <x:c r="B1152" s="31" t="str">
        <x:v>Why is my top preference being m&amp;a and industry coverage</x:v>
      </x:c>
      <x:c r="C1152" s="31" t="str">
        <x:v>Fit &amp; Motivation</x:v>
      </x:c>
      <x:c r="D1152" s="69" t="n">
        <x:f>COUNTIF('All Questions'!$G$5:$G$1725,A1152)</x:f>
        <x:v>1</x:v>
      </x:c>
      <x:c r="E1152" s="31" t="str">
        <x:v>JPM</x:v>
      </x:c>
      <x:c r="F1152" s="31" t="str">
        <x:v>IBD / GCM</x:v>
      </x:c>
      <x:c r="G1152" s="31" t="str">
        <x:v>why is my top preference being m&amp;a and industry coverage</x:v>
      </x:c>
    </x:row>
    <x:row r="1153" ht="34" customHeight="1">
      <x:c r="A1153" s="30" t="str">
        <x:v>CL1149</x:v>
      </x:c>
      <x:c r="B1153" s="31" t="str">
        <x:v>Why is the brand's USP, revenue break</x:v>
      </x:c>
      <x:c r="C1153" s="31" t="str">
        <x:v>Fit &amp; Motivation</x:v>
      </x:c>
      <x:c r="D1153" s="69" t="n">
        <x:f>COUNTIF('All Questions'!$G$5:$G$1725,A1153)</x:f>
        <x:v>1</x:v>
      </x:c>
      <x:c r="E1153" s="31" t="str">
        <x:v>BlackRock</x:v>
      </x:c>
      <x:c r="F1153" s="31" t="str">
        <x:v>PWM / AM</x:v>
      </x:c>
      <x:c r="G1153" s="31" t="str">
        <x:v>why is the brand's USP, revenue break</x:v>
      </x:c>
    </x:row>
    <x:row r="1154" ht="34" customHeight="1">
      <x:c r="A1154" s="30" t="str">
        <x:v>CL1150</x:v>
      </x:c>
      <x:c r="B1154" s="31" t="str">
        <x:v>Why M&amp;A for upstream companies, do you have any precedent transactions on it</x:v>
      </x:c>
      <x:c r="C1154" s="31" t="str">
        <x:v>Fit &amp; Motivation</x:v>
      </x:c>
      <x:c r="D1154" s="69" t="n">
        <x:f>COUNTIF('All Questions'!$G$5:$G$1725,A1154)</x:f>
        <x:v>1</x:v>
      </x:c>
      <x:c r="E1154" s="31" t="str">
        <x:v>Citi</x:v>
      </x:c>
      <x:c r="F1154" s="31" t="str">
        <x:v>IBD / GCM</x:v>
      </x:c>
      <x:c r="G1154" s="31" t="str">
        <x:v>Why M&amp;A for upstream companies, do you have any precedent transactions on it?</x:v>
      </x:c>
    </x:row>
    <x:row r="1155" ht="34" customHeight="1">
      <x:c r="A1155" s="30" t="str">
        <x:v>CL1151</x:v>
      </x:c>
      <x:c r="B1155" s="31" t="str">
        <x:v>Why need to lever and unlever beta</x:v>
      </x:c>
      <x:c r="C1155" s="31" t="str">
        <x:v>Fit &amp; Motivation</x:v>
      </x:c>
      <x:c r="D1155" s="69" t="n">
        <x:f>COUNTIF('All Questions'!$G$5:$G$1725,A1155)</x:f>
        <x:v>1</x:v>
      </x:c>
      <x:c r="E1155" s="31" t="str">
        <x:v>Barclays</x:v>
      </x:c>
      <x:c r="F1155" s="31" t="str">
        <x:v>IBD / GCM</x:v>
      </x:c>
      <x:c r="G1155" s="31" t="str">
        <x:v>why need to lever and unlever beta</x:v>
      </x:c>
    </x:row>
    <x:row r="1156" ht="34" customHeight="1">
      <x:c r="A1156" s="30" t="str">
        <x:v>CL1152</x:v>
      </x:c>
      <x:c r="B1156" s="31" t="str">
        <x:v>Why no return</x:v>
      </x:c>
      <x:c r="C1156" s="31" t="str">
        <x:v>Fit &amp; Motivation</x:v>
      </x:c>
      <x:c r="D1156" s="69" t="n">
        <x:f>COUNTIF('All Questions'!$G$5:$G$1725,A1156)</x:f>
        <x:v>1</x:v>
      </x:c>
      <x:c r="E1156" s="31" t="str">
        <x:v>Bofa GCM</x:v>
      </x:c>
      <x:c r="F1156" s="31" t="str">
        <x:v>IBD / GCM</x:v>
      </x:c>
      <x:c r="G1156" s="31" t="str">
        <x:v>Why no return</x:v>
      </x:c>
    </x:row>
    <x:row r="1157" ht="34" customHeight="1">
      <x:c r="A1157" s="30" t="str">
        <x:v>CL1153</x:v>
      </x:c>
      <x:c r="B1157" s="31" t="str">
        <x:v>Why no return from UBS</x:v>
      </x:c>
      <x:c r="C1157" s="31" t="str">
        <x:v>Fit &amp; Motivation</x:v>
      </x:c>
      <x:c r="D1157" s="69" t="n">
        <x:f>COUNTIF('All Questions'!$G$5:$G$1725,A1157)</x:f>
        <x:v>1</x:v>
      </x:c>
      <x:c r="E1157" s="31" t="str">
        <x:v>Warburg Pincus</x:v>
      </x:c>
      <x:c r="F1157" s="31" t="str">
        <x:v>PE / VC / Other</x:v>
      </x:c>
      <x:c r="G1157" s="31" t="str">
        <x:v>Why no return from UBS?</x:v>
      </x:c>
    </x:row>
    <x:row r="1158" ht="34" customHeight="1">
      <x:c r="A1158" s="30" t="str">
        <x:v>CL1154</x:v>
      </x:c>
      <x:c r="B1158" s="31" t="str">
        <x:v>Why no return? Did you seek feedback from people you worked with</x:v>
      </x:c>
      <x:c r="C1158" s="31" t="str">
        <x:v>Fit &amp; Motivation</x:v>
      </x:c>
      <x:c r="D1158" s="69" t="n">
        <x:f>COUNTIF('All Questions'!$G$5:$G$1725,A1158)</x:f>
        <x:v>1</x:v>
      </x:c>
      <x:c r="E1158" s="31" t="str">
        <x:v>Bofa IBD</x:v>
      </x:c>
      <x:c r="F1158" s="31" t="str">
        <x:v>IBD / GCM</x:v>
      </x:c>
      <x:c r="G1158" s="31" t="str">
        <x:v>Why no return? Did you seek feedback from people you worked with?</x:v>
      </x:c>
    </x:row>
    <x:row r="1159" ht="52" customHeight="1">
      <x:c r="A1159" s="30" t="str">
        <x:v>CL1155</x:v>
      </x:c>
      <x:c r="B1159" s="31" t="str">
        <x:v>Why no return? What was the feedback you got? What specific techncial skills you lack? What project was it</x:v>
      </x:c>
      <x:c r="C1159" s="31" t="str">
        <x:v>Fit &amp; Motivation</x:v>
      </x:c>
      <x:c r="D1159" s="69" t="n">
        <x:f>COUNTIF('All Questions'!$G$5:$G$1725,A1159)</x:f>
        <x:v>1</x:v>
      </x:c>
      <x:c r="E1159" s="31" t="str">
        <x:v>Bofa IBD</x:v>
      </x:c>
      <x:c r="F1159" s="31" t="str">
        <x:v>IBD / GCM</x:v>
      </x:c>
      <x:c r="G1159" s="31" t="str">
        <x:v>Why no return? What was the feedback you got? What specific techncial skills you lack? What project was it</x:v>
      </x:c>
    </x:row>
    <x:row r="1160" ht="34" customHeight="1">
      <x:c r="A1160" s="30" t="str">
        <x:v>CL1156</x:v>
      </x:c>
      <x:c r="B1160" s="31" t="str">
        <x:v>Why not coporate but consulting</x:v>
      </x:c>
      <x:c r="C1160" s="31" t="str">
        <x:v>Fit &amp; Motivation</x:v>
      </x:c>
      <x:c r="D1160" s="69" t="n">
        <x:f>COUNTIF('All Questions'!$G$5:$G$1725,A1160)</x:f>
        <x:v>1</x:v>
      </x:c>
      <x:c r="E1160" s="31" t="str">
        <x:v>Mckinsey</x:v>
      </x:c>
      <x:c r="F1160" s="31" t="str">
        <x:v>Consulting</x:v>
      </x:c>
      <x:c r="G1160" s="31" t="str">
        <x:v>why not coporate but consulting</x:v>
      </x:c>
    </x:row>
    <x:row r="1161" ht="34" customHeight="1">
      <x:c r="A1161" s="30" t="str">
        <x:v>CL1157</x:v>
      </x:c>
      <x:c r="B1161" s="31" t="str">
        <x:v>Why not law but ibd</x:v>
      </x:c>
      <x:c r="C1161" s="31" t="str">
        <x:v>Fit &amp; Motivation</x:v>
      </x:c>
      <x:c r="D1161" s="69" t="n">
        <x:f>COUNTIF('All Questions'!$G$5:$G$1725,A1161)</x:f>
        <x:v>1</x:v>
      </x:c>
      <x:c r="E1161" s="31" t="str">
        <x:v>JPM</x:v>
      </x:c>
      <x:c r="F1161" s="31" t="str">
        <x:v>IBD / GCM</x:v>
      </x:c>
      <x:c r="G1161" s="31" t="str">
        <x:v>why not law but ibd</x:v>
      </x:c>
    </x:row>
    <x:row r="1162" ht="34" customHeight="1">
      <x:c r="A1162" s="30" t="str">
        <x:v>CL1158</x:v>
      </x:c>
      <x:c r="B1162" s="31" t="str">
        <x:v>⁠Why not PB, regulatory work or consulting since you did those internships before</x:v>
      </x:c>
      <x:c r="C1162" s="31" t="str">
        <x:v>Fit &amp; Motivation</x:v>
      </x:c>
      <x:c r="D1162" s="69" t="n">
        <x:f>COUNTIF('All Questions'!$G$5:$G$1725,A1162)</x:f>
        <x:v>1</x:v>
      </x:c>
      <x:c r="E1162" s="31" t="str">
        <x:v>MS IBD</x:v>
      </x:c>
      <x:c r="F1162" s="31" t="str">
        <x:v>IBD / GCM</x:v>
      </x:c>
      <x:c r="G1162" s="31" t="str">
        <x:v>⁠Why not PB, regulatory work or consulting since you did those internships before</x:v>
      </x:c>
    </x:row>
    <x:row r="1163" ht="34" customHeight="1">
      <x:c r="A1163" s="30" t="str">
        <x:v>CL1159</x:v>
      </x:c>
      <x:c r="B1163" s="31" t="str">
        <x:v>Why pitch Ctrip but not Meituan since they're all China consumption sector</x:v>
      </x:c>
      <x:c r="C1163" s="31" t="str">
        <x:v>Fit &amp; Motivation</x:v>
      </x:c>
      <x:c r="D1163" s="69" t="n">
        <x:f>COUNTIF('All Questions'!$G$5:$G$1725,A1163)</x:f>
        <x:v>1</x:v>
      </x:c>
      <x:c r="E1163" s="31" t="str">
        <x:v>MS IED</x:v>
      </x:c>
      <x:c r="F1163" s="31" t="str">
        <x:v>Sales &amp; Trading</x:v>
      </x:c>
      <x:c r="G1163" s="31" t="str">
        <x:v>why pitch Ctrip but not Meituan since they're all China consumption sector</x:v>
      </x:c>
    </x:row>
    <x:row r="1164" ht="34" customHeight="1">
      <x:c r="A1164" s="30" t="str">
        <x:v>CL1160</x:v>
      </x:c>
      <x:c r="B1164" s="31" t="str">
        <x:v>Why restructuring</x:v>
      </x:c>
      <x:c r="C1164" s="31" t="str">
        <x:v>Fit &amp; Motivation</x:v>
      </x:c>
      <x:c r="D1164" s="69" t="n">
        <x:f>COUNTIF('All Questions'!$G$5:$G$1725,A1164)</x:f>
        <x:v>1</x:v>
      </x:c>
      <x:c r="E1164" s="31" t="str">
        <x:v>Houlihan Lokey</x:v>
      </x:c>
      <x:c r="F1164" s="31" t="str">
        <x:v>IBD / GCM</x:v>
      </x:c>
      <x:c r="G1164" s="31" t="str">
        <x:v>Why restructuring?</x:v>
      </x:c>
    </x:row>
    <x:row r="1165" ht="34" customHeight="1">
      <x:c r="A1165" s="30" t="str">
        <x:v>CL1161</x:v>
      </x:c>
      <x:c r="B1165" s="31" t="str">
        <x:v>Why restructuring but not bulge bracket ibd</x:v>
      </x:c>
      <x:c r="C1165" s="31" t="str">
        <x:v>Fit &amp; Motivation</x:v>
      </x:c>
      <x:c r="D1165" s="69" t="n">
        <x:f>COUNTIF('All Questions'!$G$5:$G$1725,A1165)</x:f>
        <x:v>1</x:v>
      </x:c>
      <x:c r="E1165" s="31" t="str">
        <x:v>Houlihan Lokey</x:v>
      </x:c>
      <x:c r="F1165" s="31" t="str">
        <x:v>IBD / GCM</x:v>
      </x:c>
      <x:c r="G1165" s="31" t="str">
        <x:v>Why restructuring but not bulge bracket ibd?</x:v>
      </x:c>
    </x:row>
    <x:row r="1166" ht="34" customHeight="1">
      <x:c r="A1166" s="30" t="str">
        <x:v>CL1162</x:v>
      </x:c>
      <x:c r="B1166" s="31" t="str">
        <x:v>Why restructuring? Are you sure you want to do this</x:v>
      </x:c>
      <x:c r="C1166" s="31" t="str">
        <x:v>Fit &amp; Motivation</x:v>
      </x:c>
      <x:c r="D1166" s="69" t="n">
        <x:f>COUNTIF('All Questions'!$G$5:$G$1725,A1166)</x:f>
        <x:v>1</x:v>
      </x:c>
      <x:c r="E1166" s="31" t="str">
        <x:v>Houlihan Lokey</x:v>
      </x:c>
      <x:c r="F1166" s="31" t="str">
        <x:v>IBD / GCM</x:v>
      </x:c>
      <x:c r="G1166" s="31" t="str">
        <x:v>Why restructuring? Are you sure you want to do this?</x:v>
      </x:c>
    </x:row>
    <x:row r="1167" ht="34" customHeight="1">
      <x:c r="A1167" s="30" t="str">
        <x:v>CL1163</x:v>
      </x:c>
      <x:c r="B1167" s="31" t="str">
        <x:v>Why RM</x:v>
      </x:c>
      <x:c r="C1167" s="31" t="str">
        <x:v>Fit &amp; Motivation</x:v>
      </x:c>
      <x:c r="D1167" s="69" t="n">
        <x:f>COUNTIF('All Questions'!$G$5:$G$1725,A1167)</x:f>
        <x:v>1</x:v>
      </x:c>
      <x:c r="E1167" s="31" t="str">
        <x:v>HSBC PB</x:v>
      </x:c>
      <x:c r="F1167" s="31" t="str">
        <x:v>PWM / AM</x:v>
      </x:c>
      <x:c r="G1167" s="31" t="str">
        <x:v>why RM</x:v>
      </x:c>
    </x:row>
    <x:row r="1168" ht="34" customHeight="1">
      <x:c r="A1168" s="30" t="str">
        <x:v>CL1164</x:v>
      </x:c>
      <x:c r="B1168" s="31" t="str">
        <x:v>Why sell-side but not buy-side</x:v>
      </x:c>
      <x:c r="C1168" s="31" t="str">
        <x:v>Fit &amp; Motivation</x:v>
      </x:c>
      <x:c r="D1168" s="69" t="n">
        <x:f>COUNTIF('All Questions'!$G$5:$G$1725,A1168)</x:f>
        <x:v>1</x:v>
      </x:c>
      <x:c r="E1168" s="31" t="str">
        <x:v>MS IBD</x:v>
      </x:c>
      <x:c r="F1168" s="31" t="str">
        <x:v>IBD / GCM</x:v>
      </x:c>
      <x:c r="G1168" s="31" t="str">
        <x:v>Why sell-side but not buy-side</x:v>
      </x:c>
    </x:row>
    <x:row r="1169" ht="34" customHeight="1">
      <x:c r="A1169" s="30" t="str">
        <x:v>CL1165</x:v>
      </x:c>
      <x:c r="B1169" s="31" t="str">
        <x:v>Why start your career in Hong Kong and not US/EU</x:v>
      </x:c>
      <x:c r="C1169" s="31" t="str">
        <x:v>Fit &amp; Motivation</x:v>
      </x:c>
      <x:c r="D1169" s="69" t="n">
        <x:f>COUNTIF('All Questions'!$G$5:$G$1725,A1169)</x:f>
        <x:v>1</x:v>
      </x:c>
      <x:c r="E1169" s="31" t="str">
        <x:v>Barclays</x:v>
      </x:c>
      <x:c r="F1169" s="31" t="str">
        <x:v>IBD / GCM</x:v>
      </x:c>
      <x:c r="G1169" s="31" t="str">
        <x:v>Why start your career in Hong Kong and not US/EU?</x:v>
      </x:c>
    </x:row>
    <x:row r="1170" ht="34" customHeight="1">
      <x:c r="A1170" s="30" t="str">
        <x:v>CL1166</x:v>
      </x:c>
      <x:c r="B1170" s="31" t="str">
        <x:v>Why these multiples</x:v>
      </x:c>
      <x:c r="C1170" s="31" t="str">
        <x:v>Fit &amp; Motivation</x:v>
      </x:c>
      <x:c r="D1170" s="69" t="n">
        <x:f>COUNTIF('All Questions'!$G$5:$G$1725,A1170)</x:f>
        <x:v>1</x:v>
      </x:c>
      <x:c r="E1170" s="31" t="str">
        <x:v>Moelis</x:v>
      </x:c>
      <x:c r="F1170" s="31" t="str">
        <x:v>IBD / GCM</x:v>
      </x:c>
      <x:c r="G1170" s="31" t="str">
        <x:v>Why these multiples?</x:v>
      </x:c>
    </x:row>
    <x:row r="1171" ht="34" customHeight="1">
      <x:c r="A1171" s="30" t="str">
        <x:v>CL1167</x:v>
      </x:c>
      <x:c r="B1171" s="31" t="str">
        <x:v>Why Trading roles</x:v>
      </x:c>
      <x:c r="C1171" s="31" t="str">
        <x:v>Fit &amp; Motivation</x:v>
      </x:c>
      <x:c r="D1171" s="69" t="n">
        <x:f>COUNTIF('All Questions'!$G$5:$G$1725,A1171)</x:f>
        <x:v>1</x:v>
      </x:c>
      <x:c r="E1171" s="31" t="str">
        <x:v>Barclays GM</x:v>
      </x:c>
      <x:c r="F1171" s="31" t="str">
        <x:v>Sales &amp; Trading</x:v>
      </x:c>
      <x:c r="G1171" s="31" t="str">
        <x:v>Why Trading roles?</x:v>
      </x:c>
    </x:row>
    <x:row r="1172" ht="34" customHeight="1">
      <x:c r="A1172" s="30" t="str">
        <x:v>CL1168</x:v>
      </x:c>
      <x:c r="B1172" s="31" t="str">
        <x:v>Why use EV/EBITDA</x:v>
      </x:c>
      <x:c r="C1172" s="31" t="str">
        <x:v>Fit &amp; Motivation</x:v>
      </x:c>
      <x:c r="D1172" s="69" t="n">
        <x:f>COUNTIF('All Questions'!$G$5:$G$1725,A1172)</x:f>
        <x:v>1</x:v>
      </x:c>
      <x:c r="E1172" s="31" t="str">
        <x:v>Bofa IBD</x:v>
      </x:c>
      <x:c r="F1172" s="31" t="str">
        <x:v>IBD / GCM</x:v>
      </x:c>
      <x:c r="G1172" s="31" t="str">
        <x:v>Why use EV/EBITDA</x:v>
      </x:c>
    </x:row>
    <x:row r="1173" ht="34" customHeight="1">
      <x:c r="A1173" s="30" t="str">
        <x:v>CL1169</x:v>
      </x:c>
      <x:c r="B1173" s="31" t="str">
        <x:v>Why use EV/EBITDA as the exit multiple metrics and trading comparables</x:v>
      </x:c>
      <x:c r="C1173" s="31" t="str">
        <x:v>Fit &amp; Motivation</x:v>
      </x:c>
      <x:c r="D1173" s="69" t="n">
        <x:f>COUNTIF('All Questions'!$G$5:$G$1725,A1173)</x:f>
        <x:v>1</x:v>
      </x:c>
      <x:c r="E1173" s="31" t="str">
        <x:v>Bofa IBD</x:v>
      </x:c>
      <x:c r="F1173" s="31" t="str">
        <x:v>IBD / GCM</x:v>
      </x:c>
      <x:c r="G1173" s="31" t="str">
        <x:v>Why use EV/EBITDA as the exit multiple metrics and trading comparables?</x:v>
      </x:c>
    </x:row>
    <x:row r="1174" ht="34" customHeight="1">
      <x:c r="A1174" s="30" t="str">
        <x:v>CL1170</x:v>
      </x:c>
      <x:c r="B1174" s="31" t="str">
        <x:v>Why use EV/EBITDA instead of PE multiple? (he was looking for NI vs EBITDA reasoning)</x:v>
      </x:c>
      <x:c r="C1174" s="31" t="str">
        <x:v>Fit &amp; Motivation</x:v>
      </x:c>
      <x:c r="D1174" s="69" t="n">
        <x:f>COUNTIF('All Questions'!$G$5:$G$1725,A1174)</x:f>
        <x:v>1</x:v>
      </x:c>
      <x:c r="E1174" s="31" t="str">
        <x:v>Bofa IBD</x:v>
      </x:c>
      <x:c r="F1174" s="31" t="str">
        <x:v>IBD / GCM</x:v>
      </x:c>
      <x:c r="G1174" s="31" t="str">
        <x:v>Why use EV/EBITDA instead of PE multiple? (he was looking for NI vs EBITDA reasoning)</x:v>
      </x:c>
    </x:row>
    <x:row r="1175" ht="34" customHeight="1">
      <x:c r="A1175" s="30" t="str">
        <x:v>CL1171</x:v>
      </x:c>
      <x:c r="B1175" s="31" t="str">
        <x:v>Why use the EV/Rev not EBITDA</x:v>
      </x:c>
      <x:c r="C1175" s="31" t="str">
        <x:v>Fit &amp; Motivation</x:v>
      </x:c>
      <x:c r="D1175" s="69" t="n">
        <x:f>COUNTIF('All Questions'!$G$5:$G$1725,A1175)</x:f>
        <x:v>1</x:v>
      </x:c>
      <x:c r="E1175" s="31" t="str">
        <x:v>Lazard</x:v>
      </x:c>
      <x:c r="F1175" s="31" t="str">
        <x:v>IBD / GCM</x:v>
      </x:c>
      <x:c r="G1175" s="31" t="str">
        <x:v>Why use the EV/Rev not EBITDA</x:v>
      </x:c>
    </x:row>
    <x:row r="1176" ht="34" customHeight="1">
      <x:c r="A1176" s="30" t="str">
        <x:v>CL1172</x:v>
      </x:c>
      <x:c r="B1176" s="31" t="str">
        <x:v>Why use this competition to know more about ESG</x:v>
      </x:c>
      <x:c r="C1176" s="31" t="str">
        <x:v>Fit &amp; Motivation</x:v>
      </x:c>
      <x:c r="D1176" s="69" t="n">
        <x:f>COUNTIF('All Questions'!$G$5:$G$1725,A1176)</x:f>
        <x:v>1</x:v>
      </x:c>
      <x:c r="E1176" s="31" t="str">
        <x:v>UBS IBD</x:v>
      </x:c>
      <x:c r="F1176" s="31" t="str">
        <x:v>IBD / GCM</x:v>
      </x:c>
      <x:c r="G1176" s="31" t="str">
        <x:v>Why use this competition to know more about ESG?</x:v>
      </x:c>
    </x:row>
    <x:row r="1177" ht="34" customHeight="1">
      <x:c r="A1177" s="30" t="str">
        <x:v>CL1173</x:v>
      </x:c>
      <x:c r="B1177" s="31" t="str">
        <x:v>Why want to work here</x:v>
      </x:c>
      <x:c r="C1177" s="31" t="str">
        <x:v>Fit &amp; Motivation</x:v>
      </x:c>
      <x:c r="D1177" s="69" t="n">
        <x:f>COUNTIF('All Questions'!$G$5:$G$1725,A1177)</x:f>
        <x:v>1</x:v>
      </x:c>
      <x:c r="E1177" s="31" t="str">
        <x:v>Neuberger Berman</x:v>
      </x:c>
      <x:c r="F1177" s="31" t="str">
        <x:v>PWM / AM</x:v>
      </x:c>
      <x:c r="G1177" s="31" t="str">
        <x:v>Why want to work here</x:v>
      </x:c>
    </x:row>
    <x:row r="1178" ht="34" customHeight="1">
      <x:c r="A1178" s="30" t="str">
        <x:v>CL1174</x:v>
      </x:c>
      <x:c r="B1178" s="31" t="str">
        <x:v>Why we can use book value since book value differs a lot from market value</x:v>
      </x:c>
      <x:c r="C1178" s="31" t="str">
        <x:v>Fit &amp; Motivation</x:v>
      </x:c>
      <x:c r="D1178" s="69" t="n">
        <x:f>COUNTIF('All Questions'!$G$5:$G$1725,A1178)</x:f>
        <x:v>1</x:v>
      </x:c>
      <x:c r="E1178" s="31" t="str">
        <x:v>Lazard</x:v>
      </x:c>
      <x:c r="F1178" s="31" t="str">
        <x:v>IBD / GCM</x:v>
      </x:c>
      <x:c r="G1178" s="31" t="str">
        <x:v>Why we can use book value since book value differs a lot from market value?</x:v>
      </x:c>
    </x:row>
    <x:row r="1179" ht="34" customHeight="1">
      <x:c r="A1179" s="30" t="str">
        <x:v>CL1175</x:v>
      </x:c>
      <x:c r="B1179" s="31" t="str">
        <x:v>Why would a company do M&amp;A from a strategic/financial aspect</x:v>
      </x:c>
      <x:c r="C1179" s="31" t="str">
        <x:v>Fit &amp; Motivation</x:v>
      </x:c>
      <x:c r="D1179" s="69" t="n">
        <x:f>COUNTIF('All Questions'!$G$5:$G$1725,A1179)</x:f>
        <x:v>1</x:v>
      </x:c>
      <x:c r="E1179" s="31" t="str">
        <x:v>Citi</x:v>
      </x:c>
      <x:c r="F1179" s="31" t="str">
        <x:v>IBD / GCM</x:v>
      </x:c>
      <x:c r="G1179" s="31" t="str">
        <x:v>Why would a company do M&amp;A from a strategic/financial aspect?</x:v>
      </x:c>
    </x:row>
    <x:row r="1180" ht="34" customHeight="1">
      <x:c r="A1180" s="30" t="str">
        <x:v>CL1176</x:v>
      </x:c>
      <x:c r="B1180" s="31" t="str">
        <x:v>Why would a company take on more leverage in a buyout, how does its affect cash flows, IRR, MOIC</x:v>
      </x:c>
      <x:c r="C1180" s="31" t="str">
        <x:v>Fit &amp; Motivation</x:v>
      </x:c>
      <x:c r="D1180" s="69" t="n">
        <x:f>COUNTIF('All Questions'!$G$5:$G$1725,A1180)</x:f>
        <x:v>1</x:v>
      </x:c>
      <x:c r="E1180" s="31" t="str">
        <x:v>Barclays</x:v>
      </x:c>
      <x:c r="F1180" s="31" t="str">
        <x:v>IBD / GCM</x:v>
      </x:c>
      <x:c r="G1180" s="31" t="str">
        <x:v>why would a company take on more leverage in a buyout, how does its affect cash flows, IRR, MOIC</x:v>
      </x:c>
    </x:row>
    <x:row r="1181" ht="34" customHeight="1">
      <x:c r="A1181" s="30" t="str">
        <x:v>CL1177</x:v>
      </x:c>
      <x:c r="B1181" s="31" t="str">
        <x:v>Why would people like to do an LBO</x:v>
      </x:c>
      <x:c r="C1181" s="31" t="str">
        <x:v>Fit &amp; Motivation</x:v>
      </x:c>
      <x:c r="D1181" s="69" t="n">
        <x:f>COUNTIF('All Questions'!$G$5:$G$1725,A1181)</x:f>
        <x:v>1</x:v>
      </x:c>
      <x:c r="E1181" s="31" t="str">
        <x:v>Deutsche</x:v>
      </x:c>
      <x:c r="F1181" s="31" t="str">
        <x:v>IBD / GCM</x:v>
      </x:c>
      <x:c r="G1181" s="31" t="str">
        <x:v>Why would people like to do an LBO?</x:v>
      </x:c>
    </x:row>
    <x:row r="1182" ht="52" customHeight="1">
      <x:c r="A1182" s="30" t="str">
        <x:v>CL1178</x:v>
      </x:c>
      <x:c r="B1182" s="31" t="str">
        <x:v>Why would you include country risk? Doesn't risk free rate include it already? (fk me why did I say that)</x:v>
      </x:c>
      <x:c r="C1182" s="31" t="str">
        <x:v>Fit &amp; Motivation</x:v>
      </x:c>
      <x:c r="D1182" s="69" t="n">
        <x:f>COUNTIF('All Questions'!$G$5:$G$1725,A1182)</x:f>
        <x:v>1</x:v>
      </x:c>
      <x:c r="E1182" s="31" t="str">
        <x:v>Bofa IBD</x:v>
      </x:c>
      <x:c r="F1182" s="31" t="str">
        <x:v>IBD / GCM</x:v>
      </x:c>
      <x:c r="G1182" s="31" t="str">
        <x:v>Why would you include country risk? Doesn't risk free rate include it already? (fk me why did I say that)</x:v>
      </x:c>
    </x:row>
    <x:row r="1183" ht="34" customHeight="1">
      <x:c r="A1183" s="30" t="str">
        <x:v>CL1179</x:v>
      </x:c>
      <x:c r="B1183" s="31" t="str">
        <x:v>Why you</x:v>
      </x:c>
      <x:c r="C1183" s="31" t="str">
        <x:v>Fit &amp; Motivation</x:v>
      </x:c>
      <x:c r="D1183" s="69" t="n">
        <x:f>COUNTIF('All Questions'!$G$5:$G$1725,A1183)</x:f>
        <x:v>1</x:v>
      </x:c>
      <x:c r="E1183" s="31" t="str">
        <x:v>GS DCMECM</x:v>
      </x:c>
      <x:c r="F1183" s="31" t="str">
        <x:v>IBD / GCM</x:v>
      </x:c>
      <x:c r="G1183" s="31" t="str">
        <x:v>Why you</x:v>
      </x:c>
    </x:row>
    <x:row r="1184" ht="34" customHeight="1">
      <x:c r="A1184" s="30" t="str">
        <x:v>CL1180</x:v>
      </x:c>
      <x:c r="B1184" s="31" t="str">
        <x:v>Why you choose healthcare team</x:v>
      </x:c>
      <x:c r="C1184" s="31" t="str">
        <x:v>Fit &amp; Motivation</x:v>
      </x:c>
      <x:c r="D1184" s="69" t="n">
        <x:f>COUNTIF('All Questions'!$G$5:$G$1725,A1184)</x:f>
        <x:v>1</x:v>
      </x:c>
      <x:c r="E1184" s="31" t="str">
        <x:v>Barclays</x:v>
      </x:c>
      <x:c r="F1184" s="31" t="str">
        <x:v>IBD / GCM</x:v>
      </x:c>
      <x:c r="G1184" s="31" t="str">
        <x:v>Why you choose healthcare team;</x:v>
      </x:c>
    </x:row>
    <x:row r="1185" ht="52" customHeight="1">
      <x:c r="A1185" s="30" t="str">
        <x:v>CL1181</x:v>
      </x:c>
      <x:c r="B1185" s="31" t="str">
        <x:v>Why you picked these competitors? One of these competitor main business isn't just B2B, why choose? Did you adjust EBITDA for that</x:v>
      </x:c>
      <x:c r="C1185" s="31" t="str">
        <x:v>Fit &amp; Motivation</x:v>
      </x:c>
      <x:c r="D1185" s="69" t="n">
        <x:f>COUNTIF('All Questions'!$G$5:$G$1725,A1185)</x:f>
        <x:v>1</x:v>
      </x:c>
      <x:c r="E1185" s="31" t="str">
        <x:v>Bofa IBD</x:v>
      </x:c>
      <x:c r="F1185" s="31" t="str">
        <x:v>IBD / GCM</x:v>
      </x:c>
      <x:c r="G1185" s="31" t="str">
        <x:v>Why you picked these competitors? One of these competitor main business isn't just B2B, why choose? Did you adjust EBITDA for that?</x:v>
      </x:c>
    </x:row>
    <x:row r="1186" ht="34" customHeight="1">
      <x:c r="A1186" s="30" t="str">
        <x:v>CL1182</x:v>
      </x:c>
      <x:c r="B1186" s="31" t="str">
        <x:v>Will Fed look at nonfarm payroll data vs unemployment rate to decide for interest rate</x:v>
      </x:c>
      <x:c r="C1186" s="31" t="str">
        <x:v>Markets &amp; Macro</x:v>
      </x:c>
      <x:c r="D1186" s="69" t="n">
        <x:f>COUNTIF('All Questions'!$G$5:$G$1725,A1186)</x:f>
        <x:v>1</x:v>
      </x:c>
      <x:c r="E1186" s="31" t="str">
        <x:v>MS GCM</x:v>
      </x:c>
      <x:c r="F1186" s="31" t="str">
        <x:v>IBD / GCM</x:v>
      </x:c>
      <x:c r="G1186" s="31" t="str">
        <x:v>Will Fed look at nonfarm payroll data vs unemployment rate to decide for interest rate</x:v>
      </x:c>
    </x:row>
    <x:row r="1187" ht="34" customHeight="1">
      <x:c r="A1187" s="30" t="str">
        <x:v>CL1183</x:v>
      </x:c>
      <x:c r="B1187" s="31" t="str">
        <x:v>Will Weng 12/9</x:v>
      </x:c>
      <x:c r="C1187" s="31" t="str">
        <x:v>Other Question</x:v>
      </x:c>
      <x:c r="D1187" s="69" t="n">
        <x:f>COUNTIF('All Questions'!$G$5:$G$1725,A1187)</x:f>
        <x:v>1</x:v>
      </x:c>
      <x:c r="E1187" s="31" t="str">
        <x:v>Fountainvest</x:v>
      </x:c>
      <x:c r="F1187" s="31" t="str">
        <x:v>PE / VC / Other</x:v>
      </x:c>
      <x:c r="G1187" s="31" t="str">
        <x:v>Will Weng 12/9</x:v>
      </x:c>
    </x:row>
    <x:row r="1188" ht="34" customHeight="1">
      <x:c r="A1188" s="30" t="str">
        <x:v>CL1184</x:v>
      </x:c>
      <x:c r="B1188" s="31" t="str">
        <x:v>Will you use 5y or other terms rate</x:v>
      </x:c>
      <x:c r="C1188" s="31" t="str">
        <x:v>Other Question</x:v>
      </x:c>
      <x:c r="D1188" s="69" t="n">
        <x:f>COUNTIF('All Questions'!$G$5:$G$1725,A1188)</x:f>
        <x:v>1</x:v>
      </x:c>
      <x:c r="E1188" s="31" t="str">
        <x:v>MS IBD</x:v>
      </x:c>
      <x:c r="F1188" s="31" t="str">
        <x:v>IBD / GCM</x:v>
      </x:c>
      <x:c r="G1188" s="31" t="str">
        <x:v>Will you use 5y or other terms rate</x:v>
      </x:c>
    </x:row>
    <x:row r="1189" ht="34" customHeight="1">
      <x:c r="A1189" s="30" t="str">
        <x:v>CL1185</x:v>
      </x:c>
      <x:c r="B1189" s="31" t="str">
        <x:v>With Benson from International Syndicated team</x:v>
      </x:c>
      <x:c r="C1189" s="31" t="str">
        <x:v>Capital Markets &amp; Financing</x:v>
      </x:c>
      <x:c r="D1189" s="69" t="n">
        <x:f>COUNTIF('All Questions'!$G$5:$G$1725,A1189)</x:f>
        <x:v>1</x:v>
      </x:c>
      <x:c r="E1189" s="31" t="str">
        <x:v>Nomura</x:v>
      </x:c>
      <x:c r="F1189" s="31" t="str">
        <x:v>IBD / GCM</x:v>
      </x:c>
      <x:c r="G1189" s="31" t="str">
        <x:v>with Benson from International Syndicated team</x:v>
      </x:c>
    </x:row>
    <x:row r="1190" ht="34" customHeight="1">
      <x:c r="A1190" s="30" t="str">
        <x:v>CL1186</x:v>
      </x:c>
      <x:c r="B1190" s="31" t="str">
        <x:v>With Cathy Burbridge, from PT Team, Asso</x:v>
      </x:c>
      <x:c r="C1190" s="31" t="str">
        <x:v>Behavioral &amp; Situational</x:v>
      </x:c>
      <x:c r="D1190" s="69" t="n">
        <x:f>COUNTIF('All Questions'!$G$5:$G$1725,A1190)</x:f>
        <x:v>1</x:v>
      </x:c>
      <x:c r="E1190" s="31" t="str">
        <x:v>Barclays GM</x:v>
      </x:c>
      <x:c r="F1190" s="31" t="str">
        <x:v>Sales &amp; Trading</x:v>
      </x:c>
      <x:c r="G1190" s="31" t="str">
        <x:v>With Cathy Burbridge, from PT Team, Asso?</x:v>
      </x:c>
    </x:row>
    <x:row r="1191" ht="34" customHeight="1">
      <x:c r="A1191" s="30" t="str">
        <x:v>CL1187</x:v>
      </x:c>
      <x:c r="B1191" s="31" t="str">
        <x:v>With Para Zhao, Leveraged Finance, VP/D</x:v>
      </x:c>
      <x:c r="C1191" s="31" t="str">
        <x:v>Capital Markets &amp; Financing</x:v>
      </x:c>
      <x:c r="D1191" s="69" t="n">
        <x:f>COUNTIF('All Questions'!$G$5:$G$1725,A1191)</x:f>
        <x:v>1</x:v>
      </x:c>
      <x:c r="E1191" s="31" t="str">
        <x:v>MS GCM</x:v>
      </x:c>
      <x:c r="F1191" s="31" t="str">
        <x:v>IBD / GCM</x:v>
      </x:c>
      <x:c r="G1191" s="31" t="str">
        <x:v>With Para Zhao, Leveraged Finance, VP/D?</x:v>
      </x:c>
    </x:row>
    <x:row r="1192" ht="34" customHeight="1">
      <x:c r="A1192" s="30" t="str">
        <x:v>CL1188</x:v>
      </x:c>
      <x:c r="B1192" s="31" t="str">
        <x:v>Within the advisor, do you want to be banker or investor</x:v>
      </x:c>
      <x:c r="C1192" s="31" t="str">
        <x:v>Other Question</x:v>
      </x:c>
      <x:c r="D1192" s="69" t="n">
        <x:f>COUNTIF('All Questions'!$G$5:$G$1725,A1192)</x:f>
        <x:v>1</x:v>
      </x:c>
      <x:c r="E1192" s="31" t="str">
        <x:v>JPM PB</x:v>
      </x:c>
      <x:c r="F1192" s="31" t="str">
        <x:v>PWM / AM</x:v>
      </x:c>
      <x:c r="G1192" s="31" t="str">
        <x:v>Within the advisor, do you want to be banker or investor?</x:v>
      </x:c>
    </x:row>
    <x:row r="1193" ht="34" customHeight="1">
      <x:c r="A1193" s="30" t="str">
        <x:v>CL1189</x:v>
      </x:c>
      <x:c r="B1193" s="31" t="str">
        <x:v>Working capital condition and CCC</x:v>
      </x:c>
      <x:c r="C1193" s="31" t="str">
        <x:v>Accounting &amp; Financial Statements</x:v>
      </x:c>
      <x:c r="D1193" s="69" t="n">
        <x:f>COUNTIF('All Questions'!$G$5:$G$1725,A1193)</x:f>
        <x:v>1</x:v>
      </x:c>
      <x:c r="E1193" s="31" t="str">
        <x:v>Deutsche</x:v>
      </x:c>
      <x:c r="F1193" s="31" t="str">
        <x:v>IBD / GCM</x:v>
      </x:c>
      <x:c r="G1193" s="31" t="str">
        <x:v>Working capital condition and CCC?</x:v>
      </x:c>
    </x:row>
    <x:row r="1194" ht="34" customHeight="1">
      <x:c r="A1194" s="30" t="str">
        <x:v>CL1190</x:v>
      </x:c>
      <x:c r="B1194" s="31" t="str">
        <x:v>Workplace scenario Q?? dont remember if she did</x:v>
      </x:c>
      <x:c r="C1194" s="31" t="str">
        <x:v>Other Question</x:v>
      </x:c>
      <x:c r="D1194" s="69" t="n">
        <x:f>COUNTIF('All Questions'!$G$5:$G$1725,A1194)</x:f>
        <x:v>1</x:v>
      </x:c>
      <x:c r="E1194" s="31" t="str">
        <x:v>HSBC</x:v>
      </x:c>
      <x:c r="F1194" s="31" t="str">
        <x:v>IBD / GCM</x:v>
      </x:c>
      <x:c r="G1194" s="31" t="str">
        <x:v>workplace scenario Q?? dont remember if she did</x:v>
      </x:c>
    </x:row>
    <x:row r="1195" ht="52" customHeight="1">
      <x:c r="A1195" s="30" t="str">
        <x:v>CL1191</x:v>
      </x:c>
      <x:c r="B1195" s="31" t="str">
        <x:v>Workplace scenario: you're currently working on one task, your manager asks you to help another, what will you do</x:v>
      </x:c>
      <x:c r="C1195" s="31" t="str">
        <x:v>Other Question</x:v>
      </x:c>
      <x:c r="D1195" s="69" t="n">
        <x:f>COUNTIF('All Questions'!$G$5:$G$1725,A1195)</x:f>
        <x:v>1</x:v>
      </x:c>
      <x:c r="E1195" s="31" t="str">
        <x:v>BlackRock</x:v>
      </x:c>
      <x:c r="F1195" s="31" t="str">
        <x:v>PWM / AM</x:v>
      </x:c>
      <x:c r="G1195" s="31" t="str">
        <x:v>workplace scenario: you're currently working on one task, your manager asks you to help another, what will you do?</x:v>
      </x:c>
    </x:row>
    <x:row r="1196" ht="34" customHeight="1">
      <x:c r="A1196" s="30" t="str">
        <x:v>CL1192</x:v>
      </x:c>
      <x:c r="B1196" s="31" t="str">
        <x:v>Would lendor look at upside case</x:v>
      </x:c>
      <x:c r="C1196" s="31" t="str">
        <x:v>Other Question</x:v>
      </x:c>
      <x:c r="D1196" s="69" t="n">
        <x:f>COUNTIF('All Questions'!$G$5:$G$1725,A1196)</x:f>
        <x:v>1</x:v>
      </x:c>
      <x:c r="E1196" s="31" t="str">
        <x:v>GS DCMECM</x:v>
      </x:c>
      <x:c r="F1196" s="31" t="str">
        <x:v>IBD / GCM</x:v>
      </x:c>
      <x:c r="G1196" s="31" t="str">
        <x:v>Would lendor look at upside case</x:v>
      </x:c>
    </x:row>
    <x:row r="1197" ht="34" customHeight="1">
      <x:c r="A1197" s="30" t="str">
        <x:v>CL1193</x:v>
      </x:c>
      <x:c r="B1197" s="31" t="str">
        <x:v>Would u consider urself as a risk taker</x:v>
      </x:c>
      <x:c r="C1197" s="31" t="str">
        <x:v>Other Question</x:v>
      </x:c>
      <x:c r="D1197" s="69" t="n">
        <x:f>COUNTIF('All Questions'!$G$5:$G$1725,A1197)</x:f>
        <x:v>1</x:v>
      </x:c>
      <x:c r="E1197" s="31" t="str">
        <x:v>BlackRock</x:v>
      </x:c>
      <x:c r="F1197" s="31" t="str">
        <x:v>PWM / AM</x:v>
      </x:c>
      <x:c r="G1197" s="31" t="str">
        <x:v>would u consider urself as a risk taker</x:v>
      </x:c>
    </x:row>
    <x:row r="1198" ht="34" customHeight="1">
      <x:c r="A1198" s="30" t="str">
        <x:v>CL1194</x:v>
      </x:c>
      <x:c r="B1198" s="31" t="str">
        <x:v>Would you advise the 2nd Gen Clients to buy crypto/digital assets</x:v>
      </x:c>
      <x:c r="C1198" s="31" t="str">
        <x:v>Other Question</x:v>
      </x:c>
      <x:c r="D1198" s="69" t="n">
        <x:f>COUNTIF('All Questions'!$G$5:$G$1725,A1198)</x:f>
        <x:v>1</x:v>
      </x:c>
      <x:c r="E1198" s="31" t="str">
        <x:v>GS PWM</x:v>
      </x:c>
      <x:c r="F1198" s="31" t="str">
        <x:v>PWM / AM</x:v>
      </x:c>
      <x:c r="G1198" s="31" t="str">
        <x:v>Would you advise the 2nd Gen Clients to buy crypto/digital assets?</x:v>
      </x:c>
    </x:row>
    <x:row r="1199" ht="34" customHeight="1">
      <x:c r="A1199" s="30" t="str">
        <x:v>CL1195</x:v>
      </x:c>
      <x:c r="B1199" s="31" t="str">
        <x:v>Would you include long term debt in net working capital and why</x:v>
      </x:c>
      <x:c r="C1199" s="31" t="str">
        <x:v>Accounting &amp; Financial Statements</x:v>
      </x:c>
      <x:c r="D1199" s="69" t="n">
        <x:f>COUNTIF('All Questions'!$G$5:$G$1725,A1199)</x:f>
        <x:v>1</x:v>
      </x:c>
      <x:c r="E1199" s="31" t="str">
        <x:v>Bofa IBD</x:v>
      </x:c>
      <x:c r="F1199" s="31" t="str">
        <x:v>IBD / GCM</x:v>
      </x:c>
      <x:c r="G1199" s="31" t="str">
        <x:v>Would you include long term debt in net working capital and why?</x:v>
      </x:c>
    </x:row>
    <x:row r="1200" ht="52" customHeight="1">
      <x:c r="A1200" s="30" t="str">
        <x:v>CL1196</x:v>
      </x:c>
      <x:c r="B1200" s="31" t="str">
        <x:v>Would you rather receive 10 thousand upfront today, or 100 dollars per year for the rest of your life</x:v>
      </x:c>
      <x:c r="C1200" s="31" t="str">
        <x:v>Other Question</x:v>
      </x:c>
      <x:c r="D1200" s="69" t="n">
        <x:f>COUNTIF('All Questions'!$G$5:$G$1725,A1200)</x:f>
        <x:v>1</x:v>
      </x:c>
      <x:c r="E1200" s="31" t="str">
        <x:v>MS IBD</x:v>
      </x:c>
      <x:c r="F1200" s="31" t="str">
        <x:v>IBD / GCM</x:v>
      </x:c>
      <x:c r="G1200" s="31" t="str">
        <x:v>Would you rather receive 10 thousand upfront today, or 100 dollars per year for the rest of your life</x:v>
      </x:c>
    </x:row>
    <x:row r="1201" ht="34" customHeight="1">
      <x:c r="A1201" s="30" t="str">
        <x:v>CL1197</x:v>
      </x:c>
      <x:c r="B1201" s="31" t="str">
        <x:v>Would you use dcf for loss making company, how else would you value it</x:v>
      </x:c>
      <x:c r="C1201" s="31" t="str">
        <x:v>Valuation</x:v>
      </x:c>
      <x:c r="D1201" s="69" t="n">
        <x:f>COUNTIF('All Questions'!$G$5:$G$1725,A1201)</x:f>
        <x:v>1</x:v>
      </x:c>
      <x:c r="E1201" s="31" t="str">
        <x:v>Bofa IBD</x:v>
      </x:c>
      <x:c r="F1201" s="31" t="str">
        <x:v>IBD / GCM</x:v>
      </x:c>
      <x:c r="G1201" s="31" t="str">
        <x:v>Would you use dcf for loss making company, how else would you value it</x:v>
      </x:c>
    </x:row>
    <x:row r="1202" ht="34" customHeight="1">
      <x:c r="A1202" s="30" t="str">
        <x:v>CL1198</x:v>
      </x:c>
      <x:c r="B1202" s="31" t="str">
        <x:v>Would you want to work in the mainland</x:v>
      </x:c>
      <x:c r="C1202" s="31" t="str">
        <x:v>Other Question</x:v>
      </x:c>
      <x:c r="D1202" s="69" t="n">
        <x:f>COUNTIF('All Questions'!$G$5:$G$1725,A1202)</x:f>
        <x:v>1</x:v>
      </x:c>
      <x:c r="E1202" s="31" t="str">
        <x:v>Nomura</x:v>
      </x:c>
      <x:c r="F1202" s="31" t="str">
        <x:v>IBD / GCM</x:v>
      </x:c>
      <x:c r="G1202" s="31" t="str">
        <x:v>would you want to work in the mainland</x:v>
      </x:c>
    </x:row>
    <x:row r="1203" ht="34" customHeight="1">
      <x:c r="A1203" s="30" t="str">
        <x:v>CL1199</x:v>
      </x:c>
      <x:c r="B1203" s="31" t="str">
        <x:v>You also worked on trading comps in ur 2nd deal, how do you choose the peers</x:v>
      </x:c>
      <x:c r="C1203" s="31" t="str">
        <x:v>Valuation</x:v>
      </x:c>
      <x:c r="D1203" s="69" t="n">
        <x:f>COUNTIF('All Questions'!$G$5:$G$1725,A1203)</x:f>
        <x:v>1</x:v>
      </x:c>
      <x:c r="E1203" s="31" t="str">
        <x:v>MS IBD</x:v>
      </x:c>
      <x:c r="F1203" s="31" t="str">
        <x:v>IBD / GCM</x:v>
      </x:c>
      <x:c r="G1203" s="31" t="str">
        <x:v>You also worked on trading comps in ur 2nd deal, how do you choose the peers ?</x:v>
      </x:c>
    </x:row>
    <x:row r="1204" ht="76" customHeight="1">
      <x:c r="A1204" s="30" t="str">
        <x:v>CL1200</x:v>
      </x:c>
      <x:c r="B1204" s="31" t="str">
        <x:v>You are paying 50% cash and 50% debt for a house, the rental income can just offset the debt payment every month so your cash flow is zeroed, you sell the house five years later, is your IRR positive, negative or zero</x:v>
      </x:c>
      <x:c r="C1204" s="31" t="str">
        <x:v>Accounting &amp; Financial Statements</x:v>
      </x:c>
      <x:c r="D1204" s="69" t="n">
        <x:f>COUNTIF('All Questions'!$G$5:$G$1725,A1204)</x:f>
        <x:v>1</x:v>
      </x:c>
      <x:c r="E1204" s="31" t="str">
        <x:v>Deutsche</x:v>
      </x:c>
      <x:c r="F1204" s="31" t="str">
        <x:v>IBD / GCM</x:v>
      </x:c>
      <x:c r="G1204" s="31" t="str">
        <x:v>You are paying 50% cash and 50% debt for a house, the rental income can just offset the debt payment every month so your cash flow is zeroed, you sell the house five years later, is your IRR positive, negative or zero?</x:v>
      </x:c>
    </x:row>
    <x:row r="1205" ht="34" customHeight="1">
      <x:c r="A1205" s="30" t="str">
        <x:v>CL1201</x:v>
      </x:c>
      <x:c r="B1205" s="31" t="str">
        <x:v>You have an IRR of 12%, bank is offering you Mezzaine of 13% PIK interest, will you take it</x:v>
      </x:c>
      <x:c r="C1205" s="31" t="str">
        <x:v>Accounting &amp; Financial Statements</x:v>
      </x:c>
      <x:c r="D1205" s="69" t="n">
        <x:f>COUNTIF('All Questions'!$G$5:$G$1725,A1205)</x:f>
        <x:v>1</x:v>
      </x:c>
      <x:c r="E1205" s="31" t="str">
        <x:v>Deutsche</x:v>
      </x:c>
      <x:c r="F1205" s="31" t="str">
        <x:v>IBD / GCM</x:v>
      </x:c>
      <x:c r="G1205" s="31" t="str">
        <x:v>You have an IRR of 12%, bank is offering you Mezzaine of 13% PIK interest, will you take it?</x:v>
      </x:c>
    </x:row>
    <x:row r="1206" ht="34" customHeight="1">
      <x:c r="A1206" s="30" t="str">
        <x:v>CL1202</x:v>
      </x:c>
      <x:c r="B1206" s="31" t="str">
        <x:v>You have lots of intern experience and how do you manage to do that</x:v>
      </x:c>
      <x:c r="C1206" s="31" t="str">
        <x:v>Resume &amp; Experience</x:v>
      </x:c>
      <x:c r="D1206" s="69" t="n">
        <x:f>COUNTIF('All Questions'!$G$5:$G$1725,A1206)</x:f>
        <x:v>1</x:v>
      </x:c>
      <x:c r="E1206" s="31" t="str">
        <x:v>JPM PB</x:v>
      </x:c>
      <x:c r="F1206" s="31" t="str">
        <x:v>PWM / AM</x:v>
      </x:c>
      <x:c r="G1206" s="31" t="str">
        <x:v>You have lots of intern experience and how do you manage to do that?</x:v>
      </x:c>
    </x:row>
    <x:row r="1207" ht="34" customHeight="1">
      <x:c r="A1207" s="30" t="str">
        <x:v>CL1203</x:v>
      </x:c>
      <x:c r="B1207" s="31" t="str">
        <x:v>You in Lazard right now? I didn’t see it on your CV, when does it lasts</x:v>
      </x:c>
      <x:c r="C1207" s="31" t="str">
        <x:v>Resume &amp; Experience</x:v>
      </x:c>
      <x:c r="D1207" s="69" t="n">
        <x:f>COUNTIF('All Questions'!$G$5:$G$1725,A1207)</x:f>
        <x:v>1</x:v>
      </x:c>
      <x:c r="E1207" s="31" t="str">
        <x:v>Deutsche</x:v>
      </x:c>
      <x:c r="F1207" s="31" t="str">
        <x:v>IBD / GCM</x:v>
      </x:c>
      <x:c r="G1207" s="31" t="str">
        <x:v>You in Lazard right now? I didn’t see it on your CV, when does it lasts</x:v>
      </x:c>
    </x:row>
    <x:row r="1208" ht="76" customHeight="1">
      <x:c r="A1208" s="30" t="str">
        <x:v>CL1204</x:v>
      </x:c>
      <x:c r="B1208" s="31" t="str">
        <x:v>You know there’s only two companies in China for mining EPC right - I said I’m talking about Australian and Canadian target. He said he think he knows which company I’m talking about</x:v>
      </x:c>
      <x:c r="C1208" s="31" t="str">
        <x:v>Company, Industry &amp; Deals</x:v>
      </x:c>
      <x:c r="D1208" s="69" t="n">
        <x:f>COUNTIF('All Questions'!$G$5:$G$1725,A1208)</x:f>
        <x:v>1</x:v>
      </x:c>
      <x:c r="E1208" s="31" t="str">
        <x:v>Deutsche</x:v>
      </x:c>
      <x:c r="F1208" s="31" t="str">
        <x:v>IBD / GCM</x:v>
      </x:c>
      <x:c r="G1208" s="31" t="str">
        <x:v>You know there’s only two companies in China for mining EPC right - I said I’m talking about Australian and Canadian target. He said he think he knows which company I’m talking about</x:v>
      </x:c>
    </x:row>
    <x:row r="1209" ht="34" customHeight="1">
      <x:c r="A1209" s="30" t="str">
        <x:v>CL1205</x:v>
      </x:c>
      <x:c r="B1209" s="31" t="str">
        <x:v>You mention market skills, could you please share some news about Chinese markets</x:v>
      </x:c>
      <x:c r="C1209" s="31" t="str">
        <x:v>Markets &amp; Macro</x:v>
      </x:c>
      <x:c r="D1209" s="69" t="n">
        <x:f>COUNTIF('All Questions'!$G$5:$G$1725,A1209)</x:f>
        <x:v>1</x:v>
      </x:c>
      <x:c r="E1209" s="31" t="str">
        <x:v>MS GCM</x:v>
      </x:c>
      <x:c r="F1209" s="31" t="str">
        <x:v>IBD / GCM</x:v>
      </x:c>
      <x:c r="G1209" s="31" t="str">
        <x:v>you mention market skills, could you please share some news about Chinese markets?</x:v>
      </x:c>
    </x:row>
    <x:row r="1210" ht="100" customHeight="1">
      <x:c r="A1210" s="30" t="str">
        <x:v>CL1206</x:v>
      </x:c>
      <x:c r="B1210"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C1210" s="31" t="str">
        <x:v>Accounting &amp; Financial Statements</x:v>
      </x:c>
      <x:c r="D1210" s="69" t="n">
        <x:f>COUNTIF('All Questions'!$G$5:$G$1725,A1210)</x:f>
        <x:v>1</x:v>
      </x:c>
      <x:c r="E1210" s="31" t="str">
        <x:v>Deutsche</x:v>
      </x:c>
      <x:c r="F1210" s="31" t="str">
        <x:v>IBD / GCM</x:v>
      </x:c>
      <x:c r="G1210"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x:v>
      </x:c>
    </x:row>
    <x:row r="1211" ht="52" customHeight="1">
      <x:c r="A1211" s="30" t="str">
        <x:v>CL1207</x:v>
      </x:c>
      <x:c r="B1211" s="31" t="str">
        <x:v>You mentioned several key product lines/models that the company is providing. Which one has the highest margin and we should pay extra attention on</x:v>
      </x:c>
      <x:c r="C1211" s="31" t="str">
        <x:v>Accounting &amp; Financial Statements</x:v>
      </x:c>
      <x:c r="D1211" s="69" t="n">
        <x:f>COUNTIF('All Questions'!$G$5:$G$1725,A1211)</x:f>
        <x:v>1</x:v>
      </x:c>
      <x:c r="E1211" s="31" t="str">
        <x:v>MS IED</x:v>
      </x:c>
      <x:c r="F1211" s="31" t="str">
        <x:v>Sales &amp; Trading</x:v>
      </x:c>
      <x:c r="G1211" s="31" t="str">
        <x:v>You mentioned several key product lines/models that the company is providing. Which one has the highest margin and we should pay extra attention on?</x:v>
      </x:c>
    </x:row>
    <x:row r="1212" ht="52" customHeight="1">
      <x:c r="A1212" s="30" t="str">
        <x:v>CL1208</x:v>
      </x:c>
      <x:c r="B1212" s="31" t="str">
        <x:v>You said bond prices are still facing some uncertanties, arent they already priced in in the current yield</x:v>
      </x:c>
      <x:c r="C1212" s="31" t="str">
        <x:v>Capital Markets &amp; Financing</x:v>
      </x:c>
      <x:c r="D1212" s="69" t="n">
        <x:f>COUNTIF('All Questions'!$G$5:$G$1725,A1212)</x:f>
        <x:v>1</x:v>
      </x:c>
      <x:c r="E1212" s="31" t="str">
        <x:v>GS DCMECM</x:v>
      </x:c>
      <x:c r="F1212" s="31" t="str">
        <x:v>IBD / GCM</x:v>
      </x:c>
      <x:c r="G1212" s="31" t="str">
        <x:v>You said bond prices are still facing some uncertanties, arent they already priced in in the current yield?</x:v>
      </x:c>
    </x:row>
    <x:row r="1213" ht="34" customHeight="1">
      <x:c r="A1213" s="30" t="str">
        <x:v>CL1209</x:v>
      </x:c>
      <x:c r="B1213" s="31" t="str">
        <x:v>You said you're passionate about SnT so where is this passion come from</x:v>
      </x:c>
      <x:c r="C1213" s="31" t="str">
        <x:v>Accounting &amp; Financial Statements</x:v>
      </x:c>
      <x:c r="D1213" s="69" t="n">
        <x:f>COUNTIF('All Questions'!$G$5:$G$1725,A1213)</x:f>
        <x:v>1</x:v>
      </x:c>
      <x:c r="E1213" s="31" t="str">
        <x:v>BofA (GM)</x:v>
      </x:c>
      <x:c r="F1213" s="31" t="str">
        <x:v>Sales &amp; Trading</x:v>
      </x:c>
      <x:c r="G1213" s="31" t="str">
        <x:v>You said you're passionate about SnT so where is this passion come from?</x:v>
      </x:c>
    </x:row>
    <x:row r="1214" ht="52" customHeight="1">
      <x:c r="A1214" s="30" t="str">
        <x:v>CL1210</x:v>
      </x:c>
      <x:c r="B1214" s="31" t="str">
        <x:v>You worked at BNP and ING Bank, what do you think about the hours of banking? How do you find them different from Jefferies</x:v>
      </x:c>
      <x:c r="C1214" s="31" t="str">
        <x:v>Other Question</x:v>
      </x:c>
      <x:c r="D1214" s="69" t="n">
        <x:f>COUNTIF('All Questions'!$G$5:$G$1725,A1214)</x:f>
        <x:v>1</x:v>
      </x:c>
      <x:c r="E1214" s="31" t="str">
        <x:v>Jefferies</x:v>
      </x:c>
      <x:c r="F1214" s="31" t="str">
        <x:v>IBD / GCM</x:v>
      </x:c>
      <x:c r="G1214" s="31" t="str">
        <x:v>You worked at BNP and ING Bank, what do you think about the hours of banking? How do you find them different from Jefferies?</x:v>
      </x:c>
    </x:row>
    <x:row r="1215" ht="52" customHeight="1">
      <x:c r="A1215" s="30" t="str">
        <x:v>CL1211</x:v>
      </x:c>
      <x:c r="B1215" s="31" t="str">
        <x:v>You're majoring in AMPB, what things that you learnt from your program do you think can be brought to your internship here</x:v>
      </x:c>
      <x:c r="C1215" s="31" t="str">
        <x:v>Resume &amp; Experience</x:v>
      </x:c>
      <x:c r="D1215" s="69" t="n">
        <x:f>COUNTIF('All Questions'!$G$5:$G$1725,A1215)</x:f>
        <x:v>1</x:v>
      </x:c>
      <x:c r="E1215" s="31" t="str">
        <x:v>BlackRock</x:v>
      </x:c>
      <x:c r="F1215" s="31" t="str">
        <x:v>PWM / AM</x:v>
      </x:c>
      <x:c r="G1215" s="31" t="str">
        <x:v>You're majoring in AMPB, what things that you learnt from your program do you think can be brought to your internship here?</x:v>
      </x:c>
    </x:row>
    <x:row r="1216" ht="76" customHeight="1">
      <x:c r="A1216" s="30" t="str">
        <x:v>CL1212</x:v>
      </x:c>
      <x:c r="B1216" s="31" t="str">
        <x:v>You're meeting with the chairman of the firm. What info to gather and questions to ask that will enable you to assess whether this firm is a feasible take-over target (I mentioned financial feasibility then he asked me to expand)</x:v>
      </x:c>
      <x:c r="C1216" s="31" t="str">
        <x:v>Accounting &amp; Financial Statements</x:v>
      </x:c>
      <x:c r="D1216" s="69" t="n">
        <x:f>COUNTIF('All Questions'!$G$5:$G$1725,A1216)</x:f>
        <x:v>1</x:v>
      </x:c>
      <x:c r="E1216" s="31" t="str">
        <x:v>Nomura</x:v>
      </x:c>
      <x:c r="F1216" s="31" t="str">
        <x:v>IBD / GCM</x:v>
      </x:c>
      <x:c r="G1216" s="31" t="str">
        <x:v>You're meeting with the chairman of the firm. What info to gather and questions to ask that will enable you to assess whether this firm is a feasible take-over target (I mentioned financial feasibility then he asked me to expand)</x:v>
      </x:c>
    </x:row>
    <x:row r="1217" ht="52" customHeight="1">
      <x:c r="A1217" s="30" t="str">
        <x:v>CL1213</x:v>
      </x:c>
      <x:c r="B1217" s="31" t="str">
        <x:v>Your client is a pe, it wants to sell a pets portfolio company, help it sell, 3 submitted offers showing interest, how to choose the buyer</x:v>
      </x:c>
      <x:c r="C1217" s="31" t="str">
        <x:v>Accounting &amp; Financial Statements</x:v>
      </x:c>
      <x:c r="D1217" s="69" t="n">
        <x:f>COUNTIF('All Questions'!$G$5:$G$1725,A1217)</x:f>
        <x:v>1</x:v>
      </x:c>
      <x:c r="E1217" s="31" t="str">
        <x:v>Lazard</x:v>
      </x:c>
      <x:c r="F1217" s="31" t="str">
        <x:v>IBD / GCM</x:v>
      </x:c>
      <x:c r="G1217" s="31" t="str">
        <x:v>Your client is a pe, it wants to sell a pets portfolio company, help it sell, 3 submitted offers showing interest, how to choose the buyer</x:v>
      </x:c>
    </x:row>
    <x:row r="1218" ht="34" customHeight="1">
      <x:c r="A1218" s="30" t="str">
        <x:v>CL1214</x:v>
      </x:c>
      <x:c r="B1218" s="31" t="str">
        <x:v>Your experience in HKEX and what do you usually look at</x:v>
      </x:c>
      <x:c r="C1218" s="31" t="str">
        <x:v>Resume &amp; Experience</x:v>
      </x:c>
      <x:c r="D1218" s="69" t="n">
        <x:f>COUNTIF('All Questions'!$G$5:$G$1725,A1218)</x:f>
        <x:v>1</x:v>
      </x:c>
      <x:c r="E1218" s="31" t="str">
        <x:v>Barclays</x:v>
      </x:c>
      <x:c r="F1218" s="31" t="str">
        <x:v>IBD / GCM</x:v>
      </x:c>
      <x:c r="G1218" s="31" t="str">
        <x:v>Your experience in HKEX and what do you usually look at</x:v>
      </x:c>
    </x:row>
    <x:row r="1219" ht="34" customHeight="1">
      <x:c r="A1219" s="30" t="str">
        <x:v>CL1215</x:v>
      </x:c>
      <x:c r="B1219" s="31" t="str">
        <x:v>一些当场反馈：回答问题应该要把结论说在前面，因为client时间很宝贵，不太有时间听故事；不知道的不需要装作知道，市场问题不必回答出来，但是不能给client错误信息</x:v>
      </x:c>
      <x:c r="C1219" s="31" t="str">
        <x:v>Other Question</x:v>
      </x:c>
      <x:c r="D1219" s="69" t="n">
        <x:f>COUNTIF('All Questions'!$G$5:$G$1725,A1219)</x:f>
        <x:v>1</x:v>
      </x:c>
      <x:c r="E1219" s="31" t="str">
        <x:v>JPM PB</x:v>
      </x:c>
      <x:c r="F1219" s="31" t="str">
        <x:v>PWM / AM</x:v>
      </x:c>
      <x:c r="G1219" s="31" t="str">
        <x:v>一些当场反馈：回答问题应该要把结论说在前面，因为client时间很宝贵，不太有时间听故事；不知道的不需要装作知道，市场问题不必回答出来，但是不能给client错误信息</x:v>
      </x:c>
    </x:row>
    <x:row r="1220" ht="34" customHeight="1">
      <x:c r="A1220" s="30" t="str">
        <x:v>CL1216</x:v>
      </x:c>
      <x:c r="B1220" s="31" t="str">
        <x:v>一般如果要做company profile 比如說事工業製造行業企業 profile要包括什麼</x:v>
      </x:c>
      <x:c r="C1220" s="31" t="str">
        <x:v>Company, Industry &amp; Deals</x:v>
      </x:c>
      <x:c r="D1220" s="69" t="n">
        <x:f>COUNTIF('All Questions'!$G$5:$G$1725,A1220)</x:f>
        <x:v>1</x:v>
      </x:c>
      <x:c r="E1220" s="31" t="str">
        <x:v>Lazard</x:v>
      </x:c>
      <x:c r="F1220" s="31" t="str">
        <x:v>IBD / GCM</x:v>
      </x:c>
      <x:c r="G1220" s="31" t="str">
        <x:v>一般如果要做company profile 比如說事工業製造行業企業 profile要包括什麼</x:v>
      </x:c>
    </x:row>
    <x:row r="1221" ht="52" customHeight="1">
      <x:c r="A1221" s="30" t="str">
        <x:v>CL1217</x:v>
      </x:c>
      <x:c r="B1221" s="31" t="str">
        <x:v>中文回答：you mentioned swap facility, why central bank doesn’t give cash, but use swap (我没回答出来，请教他，他说是货币基础的问题)</x:v>
      </x:c>
      <x:c r="C1221" s="31" t="str">
        <x:v>Fit &amp; Motivation</x:v>
      </x:c>
      <x:c r="D1221" s="69" t="n">
        <x:f>COUNTIF('All Questions'!$G$5:$G$1725,A1221)</x:f>
        <x:v>1</x:v>
      </x:c>
      <x:c r="E1221" s="31" t="str">
        <x:v>MS GCM</x:v>
      </x:c>
      <x:c r="F1221" s="31" t="str">
        <x:v>IBD / GCM</x:v>
      </x:c>
      <x:c r="G1221" s="31" t="str">
        <x:v>中文回答：you mentioned swap facility, why central bank doesn’t give cash, but use swap (我没回答出来，请教他，他说是货币基础的问题)</x:v>
      </x:c>
    </x:row>
    <x:row r="1222" ht="34" customHeight="1">
      <x:c r="A1222" s="30" t="str">
        <x:v>CL1218</x:v>
      </x:c>
      <x:c r="B1222" s="31" t="str">
        <x:v>为什么AM而不是PB？为什么Institutional</x:v>
      </x:c>
      <x:c r="C1222" s="31" t="str">
        <x:v>Other Question</x:v>
      </x:c>
      <x:c r="D1222" s="69" t="n">
        <x:f>COUNTIF('All Questions'!$G$5:$G$1725,A1222)</x:f>
        <x:v>1</x:v>
      </x:c>
      <x:c r="E1222" s="31" t="str">
        <x:v>JPM AM</x:v>
      </x:c>
      <x:c r="F1222" s="31" t="str">
        <x:v>PWM / AM</x:v>
      </x:c>
      <x:c r="G1222" s="31" t="str">
        <x:v>为什么AM而不是PB？为什么Institutional？</x:v>
      </x:c>
    </x:row>
    <x:row r="1223" ht="34" customHeight="1">
      <x:c r="A1223" s="30" t="str">
        <x:v>CL1219</x:v>
      </x:c>
      <x:c r="B1223" s="31" t="str">
        <x:v>为什么VC，为什么MW</x:v>
      </x:c>
      <x:c r="C1223" s="31" t="str">
        <x:v>Other Question</x:v>
      </x:c>
      <x:c r="D1223" s="69" t="n">
        <x:f>COUNTIF('All Questions'!$G$5:$G$1725,A1223)</x:f>
        <x:v>1</x:v>
      </x:c>
      <x:c r="E1223" s="31" t="str">
        <x:v>Mindworks Capital</x:v>
      </x:c>
      <x:c r="F1223" s="31" t="str">
        <x:v>PE / VC / Other</x:v>
      </x:c>
      <x:c r="G1223" s="31" t="str">
        <x:v>为什么VC，为什么MW</x:v>
      </x:c>
    </x:row>
    <x:row r="1224" ht="34" customHeight="1">
      <x:c r="A1224" s="30" t="str">
        <x:v>CL1220</x:v>
      </x:c>
      <x:c r="B1224" s="31" t="str">
        <x:v>为什么不做投资做投行</x:v>
      </x:c>
      <x:c r="C1224" s="31" t="str">
        <x:v>Other Question</x:v>
      </x:c>
      <x:c r="D1224" s="69" t="n">
        <x:f>COUNTIF('All Questions'!$G$5:$G$1725,A1224)</x:f>
        <x:v>1</x:v>
      </x:c>
      <x:c r="E1224" s="31" t="str">
        <x:v>Deutsche</x:v>
      </x:c>
      <x:c r="F1224" s="31" t="str">
        <x:v>IBD / GCM</x:v>
      </x:c>
      <x:c r="G1224" s="31" t="str">
        <x:v>为什么不做投资做投行</x:v>
      </x:c>
    </x:row>
    <x:row r="1225" ht="34" customHeight="1">
      <x:c r="A1225" s="30" t="str">
        <x:v>CL1221</x:v>
      </x:c>
      <x:c r="B1225" s="31" t="str">
        <x:v>为什么会有“印度溢价”</x:v>
      </x:c>
      <x:c r="C1225" s="31" t="str">
        <x:v>Other Question</x:v>
      </x:c>
      <x:c r="D1225" s="69" t="n">
        <x:f>COUNTIF('All Questions'!$G$5:$G$1725,A1225)</x:f>
        <x:v>1</x:v>
      </x:c>
      <x:c r="E1225" s="31" t="str">
        <x:v>Deutsche</x:v>
      </x:c>
      <x:c r="F1225" s="31" t="str">
        <x:v>IBD / GCM</x:v>
      </x:c>
      <x:c r="G1225" s="31" t="str">
        <x:v>为什么会有“印度溢价”？</x:v>
      </x:c>
    </x:row>
    <x:row r="1226" ht="34" customHeight="1">
      <x:c r="A1226" s="30" t="str">
        <x:v>CL1222</x:v>
      </x:c>
      <x:c r="B1226" s="31" t="str">
        <x:v>为什么做咨询</x:v>
      </x:c>
      <x:c r="C1226" s="31" t="str">
        <x:v>Consulting &amp; Case</x:v>
      </x:c>
      <x:c r="D1226" s="69" t="n">
        <x:f>COUNTIF('All Questions'!$G$5:$G$1725,A1226)</x:f>
        <x:v>1</x:v>
      </x:c>
      <x:c r="E1226" s="31" t="str">
        <x:v>BCG</x:v>
      </x:c>
      <x:c r="F1226" s="31" t="str">
        <x:v>Consulting</x:v>
      </x:c>
      <x:c r="G1226" s="31" t="str">
        <x:v>为什么做咨询</x:v>
      </x:c>
    </x:row>
    <x:row r="1227" ht="34" customHeight="1">
      <x:c r="A1227" s="30" t="str">
        <x:v>CL1223</x:v>
      </x:c>
      <x:c r="B1227" s="31" t="str">
        <x:v>为什么用碳酸锂？最近价钱如何</x:v>
      </x:c>
      <x:c r="C1227" s="31" t="str">
        <x:v>Other Question</x:v>
      </x:c>
      <x:c r="D1227" s="69" t="n">
        <x:f>COUNTIF('All Questions'!$G$5:$G$1725,A1227)</x:f>
        <x:v>1</x:v>
      </x:c>
      <x:c r="E1227" s="31" t="str">
        <x:v>MSPEA</x:v>
      </x:c>
      <x:c r="F1227" s="31" t="str">
        <x:v>PE / VC / Other</x:v>
      </x:c>
      <x:c r="G1227" s="31" t="str">
        <x:v>为什么用碳酸锂？最近价钱如何？</x:v>
      </x:c>
    </x:row>
    <x:row r="1228" ht="34" customHeight="1">
      <x:c r="A1228" s="30" t="str">
        <x:v>CL1224</x:v>
      </x:c>
      <x:c r="B1228" s="31" t="str">
        <x:v>为什么转consulting</x:v>
      </x:c>
      <x:c r="C1228" s="31" t="str">
        <x:v>Consulting &amp; Case</x:v>
      </x:c>
      <x:c r="D1228" s="69" t="n">
        <x:f>COUNTIF('All Questions'!$G$5:$G$1725,A1228)</x:f>
        <x:v>1</x:v>
      </x:c>
      <x:c r="E1228" s="31" t="str">
        <x:v>Mckinsey</x:v>
      </x:c>
      <x:c r="F1228" s="31" t="str">
        <x:v>Consulting</x:v>
      </x:c>
      <x:c r="G1228" s="31" t="str">
        <x:v>为什么转consulting</x:v>
      </x:c>
    </x:row>
    <x:row r="1229" ht="34" customHeight="1">
      <x:c r="A1229" s="30" t="str">
        <x:v>CL1225</x:v>
      </x:c>
      <x:c r="B1229" s="31" t="str">
        <x:v>为什么高中读A Level大学选择HKU</x:v>
      </x:c>
      <x:c r="C1229" s="31" t="str">
        <x:v>Other Question</x:v>
      </x:c>
      <x:c r="D1229" s="69" t="n">
        <x:f>COUNTIF('All Questions'!$G$5:$G$1725,A1229)</x:f>
        <x:v>1</x:v>
      </x:c>
      <x:c r="E1229" s="31" t="str">
        <x:v>Nomura</x:v>
      </x:c>
      <x:c r="F1229" s="31" t="str">
        <x:v>IBD / GCM</x:v>
      </x:c>
      <x:c r="G1229" s="31" t="str">
        <x:v>为什么高中读A Level大学选择HKU</x:v>
      </x:c>
    </x:row>
    <x:row r="1230" ht="34" customHeight="1">
      <x:c r="A1230" s="30" t="str">
        <x:v>CL1226</x:v>
      </x:c>
      <x:c r="B1230" s="31" t="str">
        <x:v>你ER的實習會看oil&amp;gas嗎？聊聊你對oil的看法吧</x:v>
      </x:c>
      <x:c r="C1230" s="31" t="str">
        <x:v>Other Question</x:v>
      </x:c>
      <x:c r="D1230" s="69" t="n">
        <x:f>COUNTIF('All Questions'!$G$5:$G$1725,A1230)</x:f>
        <x:v>1</x:v>
      </x:c>
      <x:c r="E1230" s="31" t="str">
        <x:v>Bofa GCM</x:v>
      </x:c>
      <x:c r="F1230" s="31" t="str">
        <x:v>IBD / GCM</x:v>
      </x:c>
      <x:c r="G1230" s="31" t="str">
        <x:v>你ER的實習會看oil&amp;gas嗎？聊聊你對oil的看法吧</x:v>
      </x:c>
    </x:row>
    <x:row r="1231" ht="34" customHeight="1">
      <x:c r="A1231" s="30" t="str">
        <x:v>CL1227</x:v>
      </x:c>
      <x:c r="B1231" s="31" t="str">
        <x:v>你关注市场吗？昨天恒指跌了多少？S&amp;P 500收盘多少</x:v>
      </x:c>
      <x:c r="C1231" s="31" t="str">
        <x:v>Other Question</x:v>
      </x:c>
      <x:c r="D1231" s="69" t="n">
        <x:f>COUNTIF('All Questions'!$G$5:$G$1725,A1231)</x:f>
        <x:v>1</x:v>
      </x:c>
      <x:c r="E1231" s="31" t="str">
        <x:v>JPM PB</x:v>
      </x:c>
      <x:c r="F1231" s="31" t="str">
        <x:v>PWM / AM</x:v>
      </x:c>
      <x:c r="G1231" s="31" t="str">
        <x:v>你关注市场吗？昨天恒指跌了多少？S&amp;P 500收盘多少？</x:v>
      </x:c>
    </x:row>
    <x:row r="1232" ht="34" customHeight="1">
      <x:c r="A1232" s="30" t="str">
        <x:v>CL1228</x:v>
      </x:c>
      <x:c r="B1232" s="31" t="str">
        <x:v>你对未来自己的预期是怎么样的</x:v>
      </x:c>
      <x:c r="C1232" s="31" t="str">
        <x:v>Other Question</x:v>
      </x:c>
      <x:c r="D1232" s="69" t="n">
        <x:f>COUNTIF('All Questions'!$G$5:$G$1725,A1232)</x:f>
        <x:v>1</x:v>
      </x:c>
      <x:c r="E1232" s="31" t="str">
        <x:v>JPM PB</x:v>
      </x:c>
      <x:c r="F1232" s="31" t="str">
        <x:v>PWM / AM</x:v>
      </x:c>
      <x:c r="G1232" s="31" t="str">
        <x:v>你对未来自己的预期是怎么样的？</x:v>
      </x:c>
    </x:row>
    <x:row r="1233" ht="34" customHeight="1">
      <x:c r="A1233" s="30" t="str">
        <x:v>CL1229</x:v>
      </x:c>
      <x:c r="B1233" s="31" t="str">
        <x:v>你有特別想進的組嗎</x:v>
      </x:c>
      <x:c r="C1233" s="31" t="str">
        <x:v>Other Question</x:v>
      </x:c>
      <x:c r="D1233" s="69" t="n">
        <x:f>COUNTIF('All Questions'!$G$5:$G$1725,A1233)</x:f>
        <x:v>1</x:v>
      </x:c>
      <x:c r="E1233" s="31" t="str">
        <x:v>Deutsche</x:v>
      </x:c>
      <x:c r="F1233" s="31" t="str">
        <x:v>IBD / GCM</x:v>
      </x:c>
      <x:c r="G1233" s="31" t="str">
        <x:v>你有特別想進的組嗎？</x:v>
      </x:c>
    </x:row>
    <x:row r="1234" ht="34" customHeight="1">
      <x:c r="A1234" s="30" t="str">
        <x:v>CL1230</x:v>
      </x:c>
      <x:c r="B1234" s="31" t="str">
        <x:v>你觉得你的老板会怎么形容你？三个词</x:v>
      </x:c>
      <x:c r="C1234" s="31" t="str">
        <x:v>Behavioral &amp; Situational</x:v>
      </x:c>
      <x:c r="D1234" s="69" t="n">
        <x:f>COUNTIF('All Questions'!$G$5:$G$1725,A1234)</x:f>
        <x:v>1</x:v>
      </x:c>
      <x:c r="E1234" s="31" t="str">
        <x:v>Deutsche</x:v>
      </x:c>
      <x:c r="F1234" s="31" t="str">
        <x:v>IBD / GCM</x:v>
      </x:c>
      <x:c r="G1234" s="31" t="str">
        <x:v>你觉得你的老板会怎么形容你？三个词</x:v>
      </x:c>
    </x:row>
    <x:row r="1235" ht="34" customHeight="1">
      <x:c r="A1235" s="30" t="str">
        <x:v>CL1231</x:v>
      </x:c>
      <x:c r="B1235" s="31" t="str">
        <x:v>你覺得你的缺點是什麼</x:v>
      </x:c>
      <x:c r="C1235" s="31" t="str">
        <x:v>Other Question</x:v>
      </x:c>
      <x:c r="D1235" s="69" t="n">
        <x:f>COUNTIF('All Questions'!$G$5:$G$1725,A1235)</x:f>
        <x:v>1</x:v>
      </x:c>
      <x:c r="E1235" s="31" t="str">
        <x:v>Deutsche</x:v>
      </x:c>
      <x:c r="F1235" s="31" t="str">
        <x:v>IBD / GCM</x:v>
      </x:c>
      <x:c r="G1235" s="31" t="str">
        <x:v>你覺得你的缺點是什麼？</x:v>
      </x:c>
    </x:row>
    <x:row r="1236" ht="34" customHeight="1">
      <x:c r="A1236" s="30" t="str">
        <x:v>CL1232</x:v>
      </x:c>
      <x:c r="B1236" s="31" t="str">
        <x:v>假设你客户投了一家公司15%的股权，被投企业发了股息，你客户的FS会受到怎样的影响</x:v>
      </x:c>
      <x:c r="C1236" s="31" t="str">
        <x:v>Other Question</x:v>
      </x:c>
      <x:c r="D1236" s="69" t="n">
        <x:f>COUNTIF('All Questions'!$G$5:$G$1725,A1236)</x:f>
        <x:v>1</x:v>
      </x:c>
      <x:c r="E1236" s="31" t="str">
        <x:v>Nomura</x:v>
      </x:c>
      <x:c r="F1236" s="31" t="str">
        <x:v>IBD / GCM</x:v>
      </x:c>
      <x:c r="G1236" s="31" t="str">
        <x:v>假设你客户投了一家公司15%的股权，被投企业发了股息，你客户的FS会受到怎样的影响？</x:v>
      </x:c>
    </x:row>
    <x:row r="1237" ht="34" customHeight="1">
      <x:c r="A1237" s="30" t="str">
        <x:v>CL1233</x:v>
      </x:c>
      <x:c r="B1237" s="31" t="str">
        <x:v>最大的缺点是什么</x:v>
      </x:c>
      <x:c r="C1237" s="31" t="str">
        <x:v>Behavioral &amp; Situational</x:v>
      </x:c>
      <x:c r="D1237" s="69" t="n">
        <x:f>COUNTIF('All Questions'!$G$5:$G$1725,A1237)</x:f>
        <x:v>1</x:v>
      </x:c>
      <x:c r="E1237" s="31" t="str">
        <x:v>Deutsche</x:v>
      </x:c>
      <x:c r="F1237" s="31" t="str">
        <x:v>IBD / GCM</x:v>
      </x:c>
      <x:c r="G1237" s="31" t="str">
        <x:v>最大的缺点是什么？</x:v>
      </x:c>
    </x:row>
    <x:row r="1238" ht="34" customHeight="1">
      <x:c r="A1238" s="30" t="str">
        <x:v>CL1234</x:v>
      </x:c>
      <x:c r="B1238" s="31" t="str">
        <x:v>可以讲讲你生活中遇到的困难吗？不要学习/工作上的</x:v>
      </x:c>
      <x:c r="C1238" s="31" t="str">
        <x:v>Other Question</x:v>
      </x:c>
      <x:c r="D1238" s="69" t="n">
        <x:f>COUNTIF('All Questions'!$G$5:$G$1725,A1238)</x:f>
        <x:v>1</x:v>
      </x:c>
      <x:c r="E1238" s="31" t="str">
        <x:v>GS PWM</x:v>
      </x:c>
      <x:c r="F1238" s="31" t="str">
        <x:v>PWM / AM</x:v>
      </x:c>
      <x:c r="G1238" s="31" t="str">
        <x:v>可以讲讲你生活中遇到的困难吗？不要学习/工作上的</x:v>
      </x:c>
    </x:row>
    <x:row r="1239" ht="34" customHeight="1">
      <x:c r="A1239" s="30" t="str">
        <x:v>CL1235</x:v>
      </x:c>
      <x:c r="B1239" s="31" t="str">
        <x:v>国内国外公司</x:v>
      </x:c>
      <x:c r="C1239" s="31" t="str">
        <x:v>Other Question</x:v>
      </x:c>
      <x:c r="D1239" s="69" t="n">
        <x:f>COUNTIF('All Questions'!$G$5:$G$1725,A1239)</x:f>
        <x:v>1</x:v>
      </x:c>
      <x:c r="E1239" s="31" t="str">
        <x:v>MSPEA</x:v>
      </x:c>
      <x:c r="F1239" s="31" t="str">
        <x:v>PE / VC / Other</x:v>
      </x:c>
      <x:c r="G1239" s="31" t="str">
        <x:v>国内国外公司？</x:v>
      </x:c>
    </x:row>
    <x:row r="1240" ht="34" customHeight="1">
      <x:c r="A1240" s="30" t="str">
        <x:v>CL1236</x:v>
      </x:c>
      <x:c r="B1240" s="31" t="str">
        <x:v>如何看待AI对行业的影响</x:v>
      </x:c>
      <x:c r="C1240" s="31" t="str">
        <x:v>Other Question</x:v>
      </x:c>
      <x:c r="D1240" s="69" t="n">
        <x:f>COUNTIF('All Questions'!$G$5:$G$1725,A1240)</x:f>
        <x:v>1</x:v>
      </x:c>
      <x:c r="E1240" s="31" t="str">
        <x:v>Mindworks Capital</x:v>
      </x:c>
      <x:c r="F1240" s="31" t="str">
        <x:v>PE / VC / Other</x:v>
      </x:c>
      <x:c r="G1240" s="31" t="str">
        <x:v>如何看待AI对行业的影响</x:v>
      </x:c>
    </x:row>
    <x:row r="1241" ht="34" customHeight="1">
      <x:c r="A1241" s="30" t="str">
        <x:v>CL1237</x:v>
      </x:c>
      <x:c r="B1241" s="31" t="str">
        <x:v>如何看某个行业</x:v>
      </x:c>
      <x:c r="C1241" s="31" t="str">
        <x:v>Other Question</x:v>
      </x:c>
      <x:c r="D1241" s="69" t="n">
        <x:f>COUNTIF('All Questions'!$G$5:$G$1725,A1241)</x:f>
        <x:v>1</x:v>
      </x:c>
      <x:c r="E1241" s="31" t="str">
        <x:v>Mindworks Capital</x:v>
      </x:c>
      <x:c r="F1241" s="31" t="str">
        <x:v>PE / VC / Other</x:v>
      </x:c>
      <x:c r="G1241" s="31" t="str">
        <x:v>如何看某个行业</x:v>
      </x:c>
    </x:row>
    <x:row r="1242" ht="34" customHeight="1">
      <x:c r="A1242" s="30" t="str">
        <x:v>CL1238</x:v>
      </x:c>
      <x:c r="B1242" s="31" t="str">
        <x:v>如何进入过去的某个实习公司（我的是Bain）</x:v>
      </x:c>
      <x:c r="C1242" s="31" t="str">
        <x:v>Other Question</x:v>
      </x:c>
      <x:c r="D1242" s="69" t="n">
        <x:f>COUNTIF('All Questions'!$G$5:$G$1725,A1242)</x:f>
        <x:v>1</x:v>
      </x:c>
      <x:c r="E1242" s="31" t="str">
        <x:v>HSBC PB</x:v>
      </x:c>
      <x:c r="F1242" s="31" t="str">
        <x:v>PWM / AM</x:v>
      </x:c>
      <x:c r="G1242" s="31" t="str">
        <x:v>如何进入过去的某个实习公司（我的是Bain）</x:v>
      </x:c>
    </x:row>
    <x:row r="1243" ht="34" customHeight="1">
      <x:c r="A1243" s="30" t="str">
        <x:v>CL1239</x:v>
      </x:c>
      <x:c r="B1243" s="31" t="str">
        <x:v>如果你要為這家公司做DCF，怎麼做</x:v>
      </x:c>
      <x:c r="C1243" s="31" t="str">
        <x:v>Valuation</x:v>
      </x:c>
      <x:c r="D1243" s="69" t="n">
        <x:f>COUNTIF('All Questions'!$G$5:$G$1725,A1243)</x:f>
        <x:v>1</x:v>
      </x:c>
      <x:c r="E1243" s="31" t="str">
        <x:v>Deutsche</x:v>
      </x:c>
      <x:c r="F1243" s="31" t="str">
        <x:v>IBD / GCM</x:v>
      </x:c>
      <x:c r="G1243" s="31" t="str">
        <x:v>如果你要為這家公司做DCF，怎麼做</x:v>
      </x:c>
    </x:row>
    <x:row r="1244" ht="34" customHeight="1">
      <x:c r="A1244" s="30" t="str">
        <x:v>CL1240</x:v>
      </x:c>
      <x:c r="B1244" s="31" t="str">
        <x:v>怎么看待DB这种比较小的team size？和GS之类的大Team相比你认为你更喜欢哪一个</x:v>
      </x:c>
      <x:c r="C1244" s="31" t="str">
        <x:v>Behavioral &amp; Situational</x:v>
      </x:c>
      <x:c r="D1244" s="69" t="n">
        <x:f>COUNTIF('All Questions'!$G$5:$G$1725,A1244)</x:f>
        <x:v>1</x:v>
      </x:c>
      <x:c r="E1244" s="31" t="str">
        <x:v>Deutsche</x:v>
      </x:c>
      <x:c r="F1244" s="31" t="str">
        <x:v>IBD / GCM</x:v>
      </x:c>
      <x:c r="G1244" s="31" t="str">
        <x:v>怎么看待DB这种比较小的team size？和GS之类的大Team相比你认为你更喜欢哪一个</x:v>
      </x:c>
    </x:row>
    <x:row r="1245" ht="34" customHeight="1">
      <x:c r="A1245" s="30" t="str">
        <x:v>CL1241</x:v>
      </x:c>
      <x:c r="B1245" s="31" t="str">
        <x:v>怎么看待IBD的long Hours</x:v>
      </x:c>
      <x:c r="C1245" s="31" t="str">
        <x:v>Fit &amp; Motivation</x:v>
      </x:c>
      <x:c r="D1245" s="69" t="n">
        <x:f>COUNTIF('All Questions'!$G$5:$G$1725,A1245)</x:f>
        <x:v>1</x:v>
      </x:c>
      <x:c r="E1245" s="31" t="str">
        <x:v>Deutsche</x:v>
      </x:c>
      <x:c r="F1245" s="31" t="str">
        <x:v>IBD / GCM</x:v>
      </x:c>
      <x:c r="G1245" s="31" t="str">
        <x:v>怎么看待IBD的long Hours？</x:v>
      </x:c>
    </x:row>
    <x:row r="1246" ht="34" customHeight="1">
      <x:c r="A1246" s="30" t="str">
        <x:v>CL1242</x:v>
      </x:c>
      <x:c r="B1246" s="31" t="str">
        <x:v>怎么给这个印度IT公司做估值的，算便宜吗？EV和EBITDA是多少</x:v>
      </x:c>
      <x:c r="C1246" s="31" t="str">
        <x:v>Other Question</x:v>
      </x:c>
      <x:c r="D1246" s="69" t="n">
        <x:f>COUNTIF('All Questions'!$G$5:$G$1725,A1246)</x:f>
        <x:v>1</x:v>
      </x:c>
      <x:c r="E1246" s="31" t="str">
        <x:v>Deutsche</x:v>
      </x:c>
      <x:c r="F1246" s="31" t="str">
        <x:v>IBD / GCM</x:v>
      </x:c>
      <x:c r="G1246" s="31" t="str">
        <x:v>怎么给这个印度IT公司做估值的，算便宜吗？EV和EBITDA是多少</x:v>
      </x:c>
    </x:row>
    <x:row r="1247" ht="34" customHeight="1">
      <x:c r="A1247" s="30" t="str">
        <x:v>CL1243</x:v>
      </x:c>
      <x:c r="B1247" s="31" t="str">
        <x:v>怎麼用excel vba的</x:v>
      </x:c>
      <x:c r="C1247" s="31" t="str">
        <x:v>Other Technical</x:v>
      </x:c>
      <x:c r="D1247" s="69" t="n">
        <x:f>COUNTIF('All Questions'!$G$5:$G$1725,A1247)</x:f>
        <x:v>1</x:v>
      </x:c>
      <x:c r="E1247" s="31" t="str">
        <x:v>Bofa GCM</x:v>
      </x:c>
      <x:c r="F1247" s="31" t="str">
        <x:v>IBD / GCM</x:v>
      </x:c>
      <x:c r="G1247" s="31" t="str">
        <x:v>怎麼用excel vba的？</x:v>
      </x:c>
    </x:row>
    <x:row r="1248" ht="34" customHeight="1">
      <x:c r="A1248" s="30" t="str">
        <x:v>CL1244</x:v>
      </x:c>
      <x:c r="B1248" s="31" t="str">
        <x:v>拿到hk offer后更多的exposure在north-asia，主要的product是M&amp;A，IPO ECM相关的很少，你ok吗</x:v>
      </x:c>
      <x:c r="C1248" s="31" t="str">
        <x:v>Capital Markets &amp; Financing</x:v>
      </x:c>
      <x:c r="D1248" s="69" t="n">
        <x:f>COUNTIF('All Questions'!$G$5:$G$1725,A1248)</x:f>
        <x:v>1</x:v>
      </x:c>
      <x:c r="E1248" s="31" t="str">
        <x:v>Nomura</x:v>
      </x:c>
      <x:c r="F1248" s="31" t="str">
        <x:v>IBD / GCM</x:v>
      </x:c>
      <x:c r="G1248" s="31" t="str">
        <x:v>拿到hk offer后更多的exposure在north-asia，主要的product是M&amp;A，IPO ECM相关的很少，你ok吗？</x:v>
      </x:c>
    </x:row>
    <x:row r="1249" ht="34" customHeight="1">
      <x:c r="A1249" s="30" t="str">
        <x:v>CL1245</x:v>
      </x:c>
      <x:c r="B1249" s="31" t="str">
        <x:v>收入差距是因为</x:v>
      </x:c>
      <x:c r="C1249" s="31" t="str">
        <x:v>Other Question</x:v>
      </x:c>
      <x:c r="D1249" s="69" t="n">
        <x:f>COUNTIF('All Questions'!$G$5:$G$1725,A1249)</x:f>
        <x:v>1</x:v>
      </x:c>
      <x:c r="E1249" s="31" t="str">
        <x:v>MSPEA</x:v>
      </x:c>
      <x:c r="F1249" s="31" t="str">
        <x:v>PE / VC / Other</x:v>
      </x:c>
      <x:c r="G1249" s="31" t="str">
        <x:v>收入差距是因为？</x:v>
      </x:c>
    </x:row>
    <x:row r="1250" ht="34" customHeight="1">
      <x:c r="A1250" s="30" t="str">
        <x:v>CL1246</x:v>
      </x:c>
      <x:c r="B1250" s="31" t="str">
        <x:v>日本人口有1.2亿，理发店的总数量大约是？（估算逻辑+结果）</x:v>
      </x:c>
      <x:c r="C1250" s="31" t="str">
        <x:v>Other Question</x:v>
      </x:c>
      <x:c r="D1250" s="69" t="n">
        <x:f>COUNTIF('All Questions'!$G$5:$G$1725,A1250)</x:f>
        <x:v>1</x:v>
      </x:c>
      <x:c r="E1250" s="31" t="str">
        <x:v>Nomura</x:v>
      </x:c>
      <x:c r="F1250" s="31" t="str">
        <x:v>IBD / GCM</x:v>
      </x:c>
      <x:c r="G1250" s="31" t="str">
        <x:v>日本人口有1.2亿，理发店的总数量大约是？（估算逻辑+结果）</x:v>
      </x:c>
    </x:row>
    <x:row r="1251" ht="34" customHeight="1">
      <x:c r="A1251" s="30" t="str">
        <x:v>CL1247</x:v>
      </x:c>
      <x:c r="B1251" s="31" t="str">
        <x:v>是否了解摩根基金的历史</x:v>
      </x:c>
      <x:c r="C1251" s="31" t="str">
        <x:v>Other Question</x:v>
      </x:c>
      <x:c r="D1251" s="69" t="n">
        <x:f>COUNTIF('All Questions'!$G$5:$G$1725,A1251)</x:f>
        <x:v>1</x:v>
      </x:c>
      <x:c r="E1251" s="31" t="str">
        <x:v>JPM AM</x:v>
      </x:c>
      <x:c r="F1251" s="31" t="str">
        <x:v>PWM / AM</x:v>
      </x:c>
      <x:c r="G1251" s="31" t="str">
        <x:v>是否了解摩根基金的历史？</x:v>
      </x:c>
    </x:row>
    <x:row r="1252" ht="34" customHeight="1">
      <x:c r="A1252" s="30" t="str">
        <x:v>CL1248</x:v>
      </x:c>
      <x:c r="B1252" s="31" t="str">
        <x:v>有一個公司今年會花100capex 這個公司對financial statement什麼影響</x:v>
      </x:c>
      <x:c r="C1252" s="31" t="str">
        <x:v>Accounting &amp; Financial Statements</x:v>
      </x:c>
      <x:c r="D1252" s="69" t="n">
        <x:f>COUNTIF('All Questions'!$G$5:$G$1725,A1252)</x:f>
        <x:v>1</x:v>
      </x:c>
      <x:c r="E1252" s="31" t="str">
        <x:v>Lazard</x:v>
      </x:c>
      <x:c r="F1252" s="31" t="str">
        <x:v>IBD / GCM</x:v>
      </x:c>
      <x:c r="G1252" s="31" t="str">
        <x:v>有一個公司今年會花100capex 這個公司對financial statement什麼影響</x:v>
      </x:c>
    </x:row>
    <x:row r="1253" ht="34" customHeight="1">
      <x:c r="A1253" s="30" t="str">
        <x:v>CL1249</x:v>
      </x:c>
      <x:c r="B1253" s="31" t="str">
        <x:v>有什么其他玩家，公司的市占率多少？排名是什么 (in terms of revenue) ? 最大的公司收入多少，公司自己收入多少</x:v>
      </x:c>
      <x:c r="C1253" s="31" t="str">
        <x:v>Company, Industry &amp; Deals</x:v>
      </x:c>
      <x:c r="D1253" s="69" t="n">
        <x:f>COUNTIF('All Questions'!$G$5:$G$1725,A1253)</x:f>
        <x:v>1</x:v>
      </x:c>
      <x:c r="E1253" s="31" t="str">
        <x:v>MSPEA</x:v>
      </x:c>
      <x:c r="F1253" s="31" t="str">
        <x:v>PE / VC / Other</x:v>
      </x:c>
      <x:c r="G1253" s="31" t="str">
        <x:v>有什么其他玩家，公司的市占率多少？排名是什么 (in terms of revenue) ? 最大的公司收入多少，公司自己收入多少？</x:v>
      </x:c>
    </x:row>
    <x:row r="1254" ht="34" customHeight="1">
      <x:c r="A1254" s="30" t="str">
        <x:v>CL1250</x:v>
      </x:c>
      <x:c r="B1254" s="31" t="str">
        <x:v>有什么问题想问</x:v>
      </x:c>
      <x:c r="C1254" s="31" t="str">
        <x:v>Other Question</x:v>
      </x:c>
      <x:c r="D1254" s="69" t="n">
        <x:f>COUNTIF('All Questions'!$G$5:$G$1725,A1254)</x:f>
        <x:v>1</x:v>
      </x:c>
      <x:c r="E1254" s="31" t="str">
        <x:v>Nomura</x:v>
      </x:c>
      <x:c r="F1254" s="31" t="str">
        <x:v>IBD / GCM</x:v>
      </x:c>
      <x:c r="G1254" s="31" t="str">
        <x:v>有什么问题想问？</x:v>
      </x:c>
    </x:row>
    <x:row r="1255" ht="34" customHeight="1">
      <x:c r="A1255" s="30" t="str">
        <x:v>CL1251</x:v>
      </x:c>
      <x:c r="B1255" s="31" t="str">
        <x:v>油船公司有什么技术上的优势/方法？（I told him the diff is business model)</x:v>
      </x:c>
      <x:c r="C1255" s="31" t="str">
        <x:v>Accounting &amp; Financial Statements</x:v>
      </x:c>
      <x:c r="D1255" s="69" t="n">
        <x:f>COUNTIF('All Questions'!$G$5:$G$1725,A1255)</x:f>
        <x:v>1</x:v>
      </x:c>
      <x:c r="E1255" s="31" t="str">
        <x:v>MSPEA</x:v>
      </x:c>
      <x:c r="F1255" s="31" t="str">
        <x:v>PE / VC / Other</x:v>
      </x:c>
      <x:c r="G1255" s="31" t="str">
        <x:v>油船公司有什么技术上的优势/方法？（I told him the diff is business model)</x:v>
      </x:c>
    </x:row>
    <x:row r="1256" ht="34" customHeight="1">
      <x:c r="A1256" s="30" t="str">
        <x:v>CL1252</x:v>
      </x:c>
      <x:c r="B1256" s="31" t="str">
        <x:v>现在行业表现好吗？有什么变化</x:v>
      </x:c>
      <x:c r="C1256" s="31" t="str">
        <x:v>Other Question</x:v>
      </x:c>
      <x:c r="D1256" s="69" t="n">
        <x:f>COUNTIF('All Questions'!$G$5:$G$1725,A1256)</x:f>
        <x:v>1</x:v>
      </x:c>
      <x:c r="E1256" s="31" t="str">
        <x:v>MSPEA</x:v>
      </x:c>
      <x:c r="F1256" s="31" t="str">
        <x:v>PE / VC / Other</x:v>
      </x:c>
      <x:c r="G1256" s="31" t="str">
        <x:v>现在行业表现好吗？有什么变化？</x:v>
      </x:c>
    </x:row>
    <x:row r="1257" ht="34" customHeight="1">
      <x:c r="A1257" s="30" t="str">
        <x:v>CL1253</x:v>
      </x:c>
      <x:c r="B1257" s="31" t="str">
        <x:v>讲一下M&amp;A的整个流程（buyside/sellside）</x:v>
      </x:c>
      <x:c r="C1257" s="31" t="str">
        <x:v>M&amp;A</x:v>
      </x:c>
      <x:c r="D1257" s="69" t="n">
        <x:f>COUNTIF('All Questions'!$G$5:$G$1725,A1257)</x:f>
        <x:v>1</x:v>
      </x:c>
      <x:c r="E1257" s="31" t="str">
        <x:v>Nomura</x:v>
      </x:c>
      <x:c r="F1257" s="31" t="str">
        <x:v>IBD / GCM</x:v>
      </x:c>
      <x:c r="G1257" s="31" t="str">
        <x:v>讲一下M&amp;A的整个流程（buyside/sellside）</x:v>
      </x:c>
    </x:row>
    <x:row r="1258" ht="34" customHeight="1">
      <x:c r="A1258" s="30" t="str">
        <x:v>CL1254</x:v>
      </x:c>
      <x:c r="B1258" s="31" t="str">
        <x:v>讲一下最近一段实习经历</x:v>
      </x:c>
      <x:c r="C1258" s="31" t="str">
        <x:v>Consulting &amp; Case</x:v>
      </x:c>
      <x:c r="D1258" s="69" t="n">
        <x:f>COUNTIF('All Questions'!$G$5:$G$1725,A1258)</x:f>
        <x:v>1</x:v>
      </x:c>
      <x:c r="E1258" s="31" t="str">
        <x:v>Bain &amp; Company</x:v>
      </x:c>
      <x:c r="F1258" s="31" t="str">
        <x:v>Consulting</x:v>
      </x:c>
      <x:c r="G1258" s="31" t="str">
        <x:v>讲一下最近一段实习经历</x:v>
      </x:c>
    </x:row>
    <x:row r="1259" ht="34" customHeight="1">
      <x:c r="A1259" s="30" t="str">
        <x:v>CL1255</x:v>
      </x:c>
      <x:c r="B1259" s="31" t="str">
        <x:v>详细讲讲你的PA Investment - follow-up: 做投资决定的主要参考依据？调仓的频率</x:v>
      </x:c>
      <x:c r="C1259" s="31" t="str">
        <x:v>Other Question</x:v>
      </x:c>
      <x:c r="D1259" s="69" t="n">
        <x:f>COUNTIF('All Questions'!$G$5:$G$1725,A1259)</x:f>
        <x:v>1</x:v>
      </x:c>
      <x:c r="E1259" s="31" t="str">
        <x:v>GS PWM</x:v>
      </x:c>
      <x:c r="F1259" s="31" t="str">
        <x:v>PWM / AM</x:v>
      </x:c>
      <x:c r="G1259" s="31" t="str">
        <x:v>详细讲讲你的PA Investment - follow-up: 做投资决定的主要参考依据？调仓的频率？</x:v>
      </x:c>
    </x:row>
    <x:row r="1260" ht="34" customHeight="1">
      <x:c r="A1260" s="30" t="str">
        <x:v>CL1256</x:v>
      </x:c>
      <x:c r="B1260" s="31" t="str">
        <x:v>谁是你的role model</x:v>
      </x:c>
      <x:c r="C1260" s="31" t="str">
        <x:v>Other Technical</x:v>
      </x:c>
      <x:c r="D1260" s="69" t="n">
        <x:f>COUNTIF('All Questions'!$G$5:$G$1725,A1260)</x:f>
        <x:v>1</x:v>
      </x:c>
      <x:c r="E1260" s="31" t="str">
        <x:v>GS PWM</x:v>
      </x:c>
      <x:c r="F1260" s="31" t="str">
        <x:v>PWM / AM</x:v>
      </x:c>
      <x:c r="G1260" s="31" t="str">
        <x:v>谁是你的role model?</x:v>
      </x:c>
    </x:row>
    <x:row r="1261" ht="34" customHeight="1">
      <x:c r="A1261" s="30" t="str">
        <x:v>CL1257</x:v>
      </x:c>
      <x:c r="B1261" s="31" t="str">
        <x:v>那你覺得加盟店最大的挑戰是什麼</x:v>
      </x:c>
      <x:c r="C1261" s="31" t="str">
        <x:v>Other Question</x:v>
      </x:c>
      <x:c r="D1261" s="69" t="n">
        <x:f>COUNTIF('All Questions'!$G$5:$G$1725,A1261)</x:f>
        <x:v>1</x:v>
      </x:c>
      <x:c r="E1261" s="31" t="str">
        <x:v>Lazard</x:v>
      </x:c>
      <x:c r="F1261" s="31" t="str">
        <x:v>IBD / GCM</x:v>
      </x:c>
      <x:c r="G1261" s="31" t="str">
        <x:v>那你覺得加盟店最大的挑戰是什麼？</x:v>
      </x:c>
    </x:row>
    <x:row r="1262" ht="52" customHeight="1">
      <x:c r="A1262" s="30" t="str">
        <x:v>CL1258</x:v>
      </x:c>
      <x:c r="B1262" s="31" t="str">
        <x:v>雖然你想進M&amp;A，但我覺得妳會適合hk coverage team，你會願意嗎？(i said yes and also asked for permission to show my knowledge in hk ipo deal of DB since when she asked me m&amp;a i said a european deal...)</x:v>
      </x:c>
      <x:c r="C1262" s="31" t="str">
        <x:v>Behavioral &amp; Situational</x:v>
      </x:c>
      <x:c r="D1262" s="69" t="n">
        <x:f>COUNTIF('All Questions'!$G$5:$G$1725,A1262)</x:f>
        <x:v>1</x:v>
      </x:c>
      <x:c r="E1262" s="31" t="str">
        <x:v>Deutsche</x:v>
      </x:c>
      <x:c r="F1262" s="31" t="str">
        <x:v>IBD / GCM</x:v>
      </x:c>
      <x:c r="G1262" s="31" t="str">
        <x:v>雖然你想進M&amp;A，但我覺得妳會適合hk coverage team，你會願意嗎？(i said yes and also asked for permission to show my knowledge in hk ipo deal of DB since when she asked me m&amp;a i said a european deal...)</x:v>
      </x:c>
    </x:row>
  </x:sheetData>
  <x:mergeCells>
    <x:mergeCell ref="A1:G1"/>
    <x:mergeCell ref="A2:G2"/>
  </x:mergeCells>
  <x:conditionalFormatting sqref="D5:D1262">
    <x:cfRule type="cellIs" dxfId="9" priority="1" operator="greaterThan">
      <x:formula>1</x:formula>
    </x:cfRule>
  </x:conditionalFormatting>
  <x:pageMargins left="0.7" right="0.7" top="0.75" bottom="0.75" header="0.3" footer="0.3"/>
  <x:tableParts count="1">
    <x:tablePart xmlns:r="http://schemas.openxmlformats.org/officeDocument/2006/relationships" r:id="R1b78e3e6226a4e7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8" hidden="0" customWidth="1"/>
    <x:col min="4" max="4" width="65" hidden="0" customWidth="1"/>
    <x:col min="5" max="5" width="13" hidden="0" customWidth="1"/>
    <x:col min="6" max="6" width="50" hidden="0" customWidth="1"/>
  </x:cols>
  <x:sheetData>
    <x:row r="1" ht="34" customHeight="1">
      <x:c r="A1" s="3" t="str">
        <x:v>Interview Notes &amp; Source Audit</x:v>
      </x:c>
      <x:c r="B1" s="3"/>
      <x:c r="C1" s="3"/>
      <x:c r="D1" s="3"/>
      <x:c r="E1" s="3"/>
      <x:c r="F1" s="3"/>
    </x:row>
    <x:row r="2" ht="30" customHeight="1">
      <x:c r="A2" s="7" t="str">
        <x:v>Metadata, interview process notes, names and non-question entries retained for full traceability.</x:v>
      </x:c>
      <x:c r="B2" s="7"/>
      <x:c r="C2" s="7"/>
      <x:c r="D2" s="7"/>
      <x:c r="E2" s="7"/>
      <x:c r="F2" s="7"/>
    </x:row>
    <x:row r="4" ht="28" customHeight="1">
      <x:c r="A4" s="27" t="str">
        <x:v>Source Bank / Team</x:v>
      </x:c>
      <x:c r="B4" s="28" t="str">
        <x:v>Division</x:v>
      </x:c>
      <x:c r="C4" s="28" t="str">
        <x:v>Record Type</x:v>
      </x:c>
      <x:c r="D4" s="28" t="str">
        <x:v>Original Entry</x:v>
      </x:c>
      <x:c r="E4" s="28" t="str">
        <x:v>Source Cell</x:v>
      </x:c>
      <x:c r="F4" s="29" t="str">
        <x:v>Context</x:v>
      </x:c>
    </x:row>
    <x:row r="5" ht="30" customHeight="1">
      <x:c r="A5" s="30" t="str">
        <x:v>IBDGCM &gt;&gt;&gt;</x:v>
      </x:c>
      <x:c r="B5" s="30" t="str">
        <x:v>Separator / Other</x:v>
      </x:c>
      <x:c r="C5" s="30" t="str">
        <x:v>Metadata</x:v>
      </x:c>
      <x:c r="D5" s="31" t="str">
        <x:v>Strictly</x:v>
      </x:c>
      <x:c r="E5" s="31" t="str">
        <x:v>A1</x:v>
      </x:c>
      <x:c r="F5" s="31" t="str"/>
    </x:row>
    <x:row r="6" ht="30" customHeight="1">
      <x:c r="A6" s="30" t="str">
        <x:v>IBDGCM &gt;&gt;&gt;</x:v>
      </x:c>
      <x:c r="B6" s="30" t="str">
        <x:v>Separator / Other</x:v>
      </x:c>
      <x:c r="C6" s="30" t="str">
        <x:v>Interview Note</x:v>
      </x:c>
      <x:c r="D6" s="31" t="str">
        <x:v>Do</x:v>
      </x:c>
      <x:c r="E6" s="31" t="str">
        <x:v>C1</x:v>
      </x:c>
      <x:c r="F6" s="31" t="str"/>
    </x:row>
    <x:row r="7" ht="30" customHeight="1">
      <x:c r="A7" s="30" t="str">
        <x:v>IBDGCM &gt;&gt;&gt;</x:v>
      </x:c>
      <x:c r="B7" s="30" t="str">
        <x:v>Separator / Other</x:v>
      </x:c>
      <x:c r="C7" s="30" t="str">
        <x:v>Interview Note</x:v>
      </x:c>
      <x:c r="D7" s="31" t="str">
        <x:v>For</x:v>
      </x:c>
      <x:c r="E7" s="31" t="str">
        <x:v>A2</x:v>
      </x:c>
      <x:c r="F7" s="31" t="str">
        <x:v>Strictly</x:v>
      </x:c>
    </x:row>
    <x:row r="8" ht="30" customHeight="1">
      <x:c r="A8" s="30" t="str">
        <x:v>IBDGCM &gt;&gt;&gt;</x:v>
      </x:c>
      <x:c r="B8" s="30" t="str">
        <x:v>Separator / Other</x:v>
      </x:c>
      <x:c r="C8" s="30" t="str">
        <x:v>Interview Note</x:v>
      </x:c>
      <x:c r="D8" s="31" t="str">
        <x:v>Not</x:v>
      </x:c>
      <x:c r="E8" s="31" t="str">
        <x:v>C2</x:v>
      </x:c>
      <x:c r="F8" s="31" t="str">
        <x:v>Do</x:v>
      </x:c>
    </x:row>
    <x:row r="9" ht="30" customHeight="1">
      <x:c r="A9" s="30" t="str">
        <x:v>IBDGCM &gt;&gt;&gt;</x:v>
      </x:c>
      <x:c r="B9" s="30" t="str">
        <x:v>Separator / Other</x:v>
      </x:c>
      <x:c r="C9" s="30" t="str">
        <x:v>Interview Note</x:v>
      </x:c>
      <x:c r="D9" s="31" t="str">
        <x:v>Internal</x:v>
      </x:c>
      <x:c r="E9" s="31" t="str">
        <x:v>A3</x:v>
      </x:c>
      <x:c r="F9" s="31" t="str">
        <x:v>Strictly | For</x:v>
      </x:c>
    </x:row>
    <x:row r="10" ht="30" customHeight="1">
      <x:c r="A10" s="30" t="str">
        <x:v>IBDGCM &gt;&gt;&gt;</x:v>
      </x:c>
      <x:c r="B10" s="30" t="str">
        <x:v>Separator / Other</x:v>
      </x:c>
      <x:c r="C10" s="30" t="str">
        <x:v>Interview Note</x:v>
      </x:c>
      <x:c r="D10" s="31" t="str">
        <x:v>Share</x:v>
      </x:c>
      <x:c r="E10" s="31" t="str">
        <x:v>C3</x:v>
      </x:c>
      <x:c r="F10" s="31" t="str">
        <x:v>Do | Not</x:v>
      </x:c>
    </x:row>
    <x:row r="11" ht="30" customHeight="1">
      <x:c r="A11" s="30" t="str">
        <x:v>IBDGCM &gt;&gt;&gt;</x:v>
      </x:c>
      <x:c r="B11" s="30" t="str">
        <x:v>Separator / Other</x:v>
      </x:c>
      <x:c r="C11" s="30" t="str">
        <x:v>Interview Note</x:v>
      </x:c>
      <x:c r="D11" s="31" t="str">
        <x:v>Use</x:v>
      </x:c>
      <x:c r="E11" s="31" t="str">
        <x:v>A4</x:v>
      </x:c>
      <x:c r="F11" s="31" t="str">
        <x:v>Strictly | For | Internal</x:v>
      </x:c>
    </x:row>
    <x:row r="12" ht="30" customHeight="1">
      <x:c r="A12" s="30" t="str">
        <x:v>IBDGCM &gt;&gt;&gt;</x:v>
      </x:c>
      <x:c r="B12" s="30" t="str">
        <x:v>Separator / Other</x:v>
      </x:c>
      <x:c r="C12" s="30" t="str">
        <x:v>Interview Note</x:v>
      </x:c>
      <x:c r="D12" s="31" t="str">
        <x:v>with</x:v>
      </x:c>
      <x:c r="E12" s="31" t="str">
        <x:v>C4</x:v>
      </x:c>
      <x:c r="F12" s="31" t="str">
        <x:v>Do | Not | Share</x:v>
      </x:c>
    </x:row>
    <x:row r="13" ht="30" customHeight="1">
      <x:c r="A13" s="30" t="str">
        <x:v>IBDGCM &gt;&gt;&gt;</x:v>
      </x:c>
      <x:c r="B13" s="30" t="str">
        <x:v>Separator / Other</x:v>
      </x:c>
      <x:c r="C13" s="30" t="str">
        <x:v>Interview Note</x:v>
      </x:c>
      <x:c r="D13" s="31" t="str">
        <x:v>Only</x:v>
      </x:c>
      <x:c r="E13" s="31" t="str">
        <x:v>A5</x:v>
      </x:c>
      <x:c r="F13" s="31" t="str">
        <x:v>For | Internal | Use</x:v>
      </x:c>
    </x:row>
    <x:row r="14" ht="30" customHeight="1">
      <x:c r="A14" s="30" t="str">
        <x:v>IBDGCM &gt;&gt;&gt;</x:v>
      </x:c>
      <x:c r="B14" s="30" t="str">
        <x:v>Separator / Other</x:v>
      </x:c>
      <x:c r="C14" s="30" t="str">
        <x:v>Metadata</x:v>
      </x:c>
      <x:c r="D14" s="31" t="str">
        <x:v>Outsiders</x:v>
      </x:c>
      <x:c r="E14" s="31" t="str">
        <x:v>C5</x:v>
      </x:c>
      <x:c r="F14" s="31" t="str">
        <x:v>Not | Share | with</x:v>
      </x:c>
    </x:row>
    <x:row r="15" ht="30" customHeight="1">
      <x:c r="A15" s="30" t="str">
        <x:v>IBDGCM &gt;&gt;&gt;</x:v>
      </x:c>
      <x:c r="B15" s="30" t="str">
        <x:v>Separator / Other</x:v>
      </x:c>
      <x:c r="C15" s="30" t="str">
        <x:v>Metadata</x:v>
      </x:c>
      <x:c r="D15" s="31" t="str">
        <x:v>!!!</x:v>
      </x:c>
      <x:c r="E15" s="31" t="str">
        <x:v>A6</x:v>
      </x:c>
      <x:c r="F15" s="31" t="str">
        <x:v>Internal | Use | Only</x:v>
      </x:c>
    </x:row>
    <x:row r="16" ht="30" customHeight="1">
      <x:c r="A16" s="30" t="str">
        <x:v>IBDGCM &gt;&gt;&gt;</x:v>
      </x:c>
      <x:c r="B16" s="30" t="str">
        <x:v>Separator / Other</x:v>
      </x:c>
      <x:c r="C16" s="30" t="str">
        <x:v>Metadata</x:v>
      </x:c>
      <x:c r="D16" s="31" t="str">
        <x:v>!!!</x:v>
      </x:c>
      <x:c r="E16" s="31" t="str">
        <x:v>C6</x:v>
      </x:c>
      <x:c r="F16" s="31" t="str">
        <x:v>Share | with | Outsiders</x:v>
      </x:c>
    </x:row>
    <x:row r="17" ht="30" customHeight="1">
      <x:c r="A17" s="30" t="str">
        <x:v>MS IBD</x:v>
      </x:c>
      <x:c r="B17" s="30" t="str">
        <x:v>IBD / GCM</x:v>
      </x:c>
      <x:c r="C17" s="30" t="str">
        <x:v>Metadata</x:v>
      </x:c>
      <x:c r="D17" s="31" t="str">
        <x:v>2024 SA</x:v>
      </x:c>
      <x:c r="E17" s="31" t="str">
        <x:v>A1</x:v>
      </x:c>
      <x:c r="F17" s="31" t="str"/>
    </x:row>
    <x:row r="18" ht="30" customHeight="1">
      <x:c r="A18" s="30" t="str">
        <x:v>MS IBD</x:v>
      </x:c>
      <x:c r="B18" s="30" t="str">
        <x:v>IBD / GCM</x:v>
      </x:c>
      <x:c r="C18" s="30" t="str">
        <x:v>Metadata</x:v>
      </x:c>
      <x:c r="D18" s="31" t="str">
        <x:v>First Round</x:v>
      </x:c>
      <x:c r="E18" s="31" t="str">
        <x:v>A2</x:v>
      </x:c>
      <x:c r="F18" s="31" t="str">
        <x:v>2024 SA</x:v>
      </x:c>
    </x:row>
    <x:row r="19" ht="30" customHeight="1">
      <x:c r="A19" s="30" t="str">
        <x:v>MS IBD</x:v>
      </x:c>
      <x:c r="B19" s="30" t="str">
        <x:v>IBD / GCM</x:v>
      </x:c>
      <x:c r="C19" s="30" t="str">
        <x:v>Metadata</x:v>
      </x:c>
      <x:c r="D19" s="31" t="str">
        <x:v>Emily</x:v>
      </x:c>
      <x:c r="E19" s="31" t="str">
        <x:v>A3</x:v>
      </x:c>
      <x:c r="F19" s="31" t="str">
        <x:v>2024 SA | First Round</x:v>
      </x:c>
    </x:row>
    <x:row r="20" ht="30" customHeight="1">
      <x:c r="A20" s="30" t="str">
        <x:v>MS IBD</x:v>
      </x:c>
      <x:c r="B20" s="30" t="str">
        <x:v>IBD / GCM</x:v>
      </x:c>
      <x:c r="C20" s="30" t="str">
        <x:v>Metadata</x:v>
      </x:c>
      <x:c r="D20" s="31" t="str">
        <x:v>Technical questions</x:v>
      </x:c>
      <x:c r="E20" s="31" t="str">
        <x:v>A7</x:v>
      </x:c>
      <x:c r="F20" s="31" t="str">
        <x:v>Walk me through your resume and tell me about yourself | Why Morgan Stanley? | Tell me some deals MS has done</x:v>
      </x:c>
    </x:row>
    <x:row r="21" ht="62" customHeight="1">
      <x:c r="A21" s="30" t="str">
        <x:v>MS IBD</x:v>
      </x:c>
      <x:c r="B21" s="30" t="str">
        <x:v>IBD / GCM</x:v>
      </x:c>
      <x:c r="C21" s="30" t="str">
        <x:v>Interview Note</x:v>
      </x:c>
      <x:c r="D21" s="31" t="str">
        <x:v>Done, Q&amp;A for 15 mins-ish</x:v>
      </x:c>
      <x:c r="E21" s="31" t="str">
        <x:v>A16</x:v>
      </x:c>
      <x:c r="F21" s="31" t="str">
        <x:v>After 4 years, no residual value, straight-line depreciation for 10 years, tax rate 40%, 3 statement | Would you rather receive 10 thousand upfront today, or 100 dollars per year for the rest of your life | How would you project NWC? (ba...</x:v>
      </x:c>
    </x:row>
    <x:row r="22" ht="46" customHeight="1">
      <x:c r="A22" s="30" t="str">
        <x:v>MS IBD</x:v>
      </x:c>
      <x:c r="B22" s="30" t="str">
        <x:v>IBD / GCM</x:v>
      </x:c>
      <x:c r="C22" s="30" t="str">
        <x:v>Metadata</x:v>
      </x:c>
      <x:c r="D22" s="31" t="str">
        <x:v>First Round</x:v>
      </x:c>
      <x:c r="E22" s="31" t="str">
        <x:v>A19</x:v>
      </x:c>
      <x:c r="F22" s="31" t="str">
        <x:v>Would you rather receive 10 thousand upfront today, or 100 dollars per year for the rest of your life | How would you project NWC? (basically the accounts receivable turnover thing) | Done, Q&amp;A for 15 mins-ish</x:v>
      </x:c>
    </x:row>
    <x:row r="23" ht="30" customHeight="1">
      <x:c r="A23" s="30" t="str">
        <x:v>MS IBD</x:v>
      </x:c>
      <x:c r="B23" s="30" t="str">
        <x:v>IBD / GCM</x:v>
      </x:c>
      <x:c r="C23" s="30" t="str">
        <x:v>Metadata</x:v>
      </x:c>
      <x:c r="D23" s="31" t="str">
        <x:v>1st round 13/9 Daisy (Dennis Liu from Financial Sponsor Group)</x:v>
      </x:c>
      <x:c r="E23" s="31" t="str">
        <x:v>A20</x:v>
      </x:c>
      <x:c r="F23" s="31" t="str">
        <x:v>How would you project NWC? (basically the accounts receivable turnover thing) | Done, Q&amp;A for 15 mins-ish | First Round</x:v>
      </x:c>
    </x:row>
    <x:row r="24" ht="30" customHeight="1">
      <x:c r="A24" s="30" t="str">
        <x:v>MS IBD</x:v>
      </x:c>
      <x:c r="B24" s="30" t="str">
        <x:v>IBD / GCM</x:v>
      </x:c>
      <x:c r="C24" s="30" t="str">
        <x:v>Metadata</x:v>
      </x:c>
      <x:c r="D24" s="31" t="str">
        <x:v>1st round 8/9 Germaine (Ray Hu from Real Estate)</x:v>
      </x:c>
      <x:c r="E24" s="31" t="str">
        <x:v>C20</x:v>
      </x:c>
      <x:c r="F24" s="31" t="str"/>
    </x:row>
    <x:row r="25" ht="30" customHeight="1">
      <x:c r="A25" s="30" t="str">
        <x:v>MS IBD</x:v>
      </x:c>
      <x:c r="B25" s="30" t="str">
        <x:v>IBD / GCM</x:v>
      </x:c>
      <x:c r="C25" s="30" t="str">
        <x:v>Metadata</x:v>
      </x:c>
      <x:c r="D25" s="31" t="str">
        <x:v>1st round 4/9 Beata (Peter Law, VP from HK Coverage)</x:v>
      </x:c>
      <x:c r="E25" s="31" t="str">
        <x:v>E20</x:v>
      </x:c>
      <x:c r="F25" s="31" t="str"/>
    </x:row>
    <x:row r="26" ht="30" customHeight="1">
      <x:c r="A26" s="30" t="str">
        <x:v>MS IBD</x:v>
      </x:c>
      <x:c r="B26" s="30" t="str">
        <x:v>IBD / GCM</x:v>
      </x:c>
      <x:c r="C26" s="30" t="str">
        <x:v>Metadata</x:v>
      </x:c>
      <x:c r="D26" s="31" t="str">
        <x:v>1st round 2/10 Leo (Jason Tse, Asso from Financial Sponsor Group)</x:v>
      </x:c>
      <x:c r="E26" s="31" t="str">
        <x:v>F20</x:v>
      </x:c>
      <x:c r="F26" s="31" t="str"/>
    </x:row>
    <x:row r="27" ht="30" customHeight="1">
      <x:c r="A27" s="30" t="str">
        <x:v>MS IBD</x:v>
      </x:c>
      <x:c r="B27" s="30" t="str">
        <x:v>IBD / GCM</x:v>
      </x:c>
      <x:c r="C27" s="30" t="str">
        <x:v>Metadata</x:v>
      </x:c>
      <x:c r="D27" s="31" t="str">
        <x:v>1st round Emily 4/10 (Kelly Liu, Asso from TMT)</x:v>
      </x:c>
      <x:c r="E27" s="31" t="str">
        <x:v>G20</x:v>
      </x:c>
      <x:c r="F27" s="31" t="str"/>
    </x:row>
    <x:row r="28" ht="30" customHeight="1">
      <x:c r="A28" s="30" t="str">
        <x:v>MS IBD</x:v>
      </x:c>
      <x:c r="B28" s="30" t="str">
        <x:v>IBD / GCM</x:v>
      </x:c>
      <x:c r="C28" s="30" t="str">
        <x:v>Metadata</x:v>
      </x:c>
      <x:c r="D28" s="31" t="str">
        <x:v>1st round Jasmine 4/10 (Kelly Liu, Asso from TMT)</x:v>
      </x:c>
      <x:c r="E28" s="31" t="str">
        <x:v>H20</x:v>
      </x:c>
      <x:c r="F28" s="31" t="str"/>
    </x:row>
    <x:row r="29" ht="30" customHeight="1">
      <x:c r="A29" s="30" t="str">
        <x:v>MS IBD</x:v>
      </x:c>
      <x:c r="B29" s="30" t="str">
        <x:v>IBD / GCM</x:v>
      </x:c>
      <x:c r="C29" s="30" t="str">
        <x:v>Interview Note</x:v>
      </x:c>
      <x:c r="D29" s="31" t="str">
        <x:v>difference between securities in mainland China and ibd in Hong Kong</x:v>
      </x:c>
      <x:c r="E29" s="31" t="str">
        <x:v>A24</x:v>
      </x:c>
      <x:c r="F29" s="31" t="str">
        <x:v>Self-intro | Are u native mainland Chinese | Why doing college in Hong Kong</x:v>
      </x:c>
    </x:row>
    <x:row r="30" ht="46" customHeight="1">
      <x:c r="A30" s="30" t="str">
        <x:v>MS IBD</x:v>
      </x:c>
      <x:c r="B30" s="30" t="str">
        <x:v>IBD / GCM</x:v>
      </x:c>
      <x:c r="C30" s="30" t="str">
        <x:v>Interview Note</x:v>
      </x:c>
      <x:c r="D30" s="31" t="str">
        <x:v>things in balance sheet</x:v>
      </x:c>
      <x:c r="E30" s="31" t="str">
        <x:v>C25</x:v>
      </x:c>
      <x:c r="F30" s="31" t="str">
        <x:v>What did you do in Odysseus | AI semiconductor industry - overview, trends, opportunities, risks, competitor analysis, competitive edge | 3 financial statements</x:v>
      </x:c>
    </x:row>
    <x:row r="31" ht="46" customHeight="1">
      <x:c r="A31" s="30" t="str">
        <x:v>MS IBD</x:v>
      </x:c>
      <x:c r="B31" s="30" t="str">
        <x:v>IBD / GCM</x:v>
      </x:c>
      <x:c r="C31" s="30" t="str">
        <x:v>Interview Note</x:v>
      </x:c>
      <x:c r="D31" s="31" t="str">
        <x:v>One year later: depreciate $10, interest 10%, tax rate 40%</x:v>
      </x:c>
      <x:c r="E31" s="31" t="str">
        <x:v>F27</x:v>
      </x:c>
      <x:c r="F31" s="31" t="str">
        <x:v>Tell me about a company you researched on for 3 mins | Walk me through its IS | use debt to buy $100 machine, how 3 statements change?</x:v>
      </x:c>
    </x:row>
    <x:row r="32" ht="46" customHeight="1">
      <x:c r="A32" s="30" t="str">
        <x:v>MS IBD</x:v>
      </x:c>
      <x:c r="B32" s="30" t="str">
        <x:v>IBD / GCM</x:v>
      </x:c>
      <x:c r="C32" s="30" t="str">
        <x:v>Interview Note</x:v>
      </x:c>
      <x:c r="D32" s="31" t="str">
        <x:v>Q&amp;A</x:v>
      </x:c>
      <x:c r="E32" s="31" t="str">
        <x:v>F30</x:v>
      </x:c>
      <x:c r="F32" s="31" t="str">
        <x:v>One year later: depreciate $10, interest 10%, tax rate 40% | how 3 statements change? | How does increase in leverage affects wacc</x:v>
      </x:c>
    </x:row>
    <x:row r="33" ht="46" customHeight="1">
      <x:c r="A33" s="30" t="str">
        <x:v>MS IBD</x:v>
      </x:c>
      <x:c r="B33" s="30" t="str">
        <x:v>IBD / GCM</x:v>
      </x:c>
      <x:c r="C33" s="30" t="str">
        <x:v>Interview Note</x:v>
      </x:c>
      <x:c r="D33" s="31" t="str">
        <x:v>Q&amp;A ~10 mins</x:v>
      </x:c>
      <x:c r="E33" s="31" t="str">
        <x:v>G30</x:v>
      </x:c>
      <x:c r="F33" s="31" t="str">
        <x:v>100 CAPEX, impact on 3 statement | 10 D&amp;A, impact on 3 statement, 40% Tax rate | What are the differences of a day-to-day of working in IBD and ER? Which one do you like more?</x:v>
      </x:c>
    </x:row>
    <x:row r="34" ht="30" customHeight="1">
      <x:c r="A34" s="30" t="str">
        <x:v>MS IBD</x:v>
      </x:c>
      <x:c r="B34" s="30" t="str">
        <x:v>IBD / GCM</x:v>
      </x:c>
      <x:c r="C34" s="30" t="str">
        <x:v>Metadata</x:v>
      </x:c>
      <x:c r="D34" s="31" t="str">
        <x:v>20 mins</x:v>
      </x:c>
      <x:c r="E34" s="31" t="str">
        <x:v>F31</x:v>
      </x:c>
      <x:c r="F34" s="31" t="str">
        <x:v>how 3 statements change? | How does increase in leverage affects wacc | Q&amp;A</x:v>
      </x:c>
    </x:row>
    <x:row r="35" ht="46" customHeight="1">
      <x:c r="A35" s="30" t="str">
        <x:v>MS IBD</x:v>
      </x:c>
      <x:c r="B35" s="30" t="str">
        <x:v>IBD / GCM</x:v>
      </x:c>
      <x:c r="C35" s="30" t="str">
        <x:v>Metadata</x:v>
      </x:c>
      <x:c r="D35" s="31" t="str">
        <x:v>25 mins</x:v>
      </x:c>
      <x:c r="E35" s="31" t="str">
        <x:v>G31</x:v>
      </x:c>
      <x:c r="F35" s="31" t="str">
        <x:v>10 D&amp;A, impact on 3 statement, 40% Tax rate | What are the differences of a day-to-day of working in IBD and ER? Which one do you like more? | Q&amp;A ~10 mins</x:v>
      </x:c>
    </x:row>
    <x:row r="36" ht="30" customHeight="1">
      <x:c r="A36" s="30" t="str">
        <x:v>MS IBD</x:v>
      </x:c>
      <x:c r="B36" s="30" t="str">
        <x:v>IBD / GCM</x:v>
      </x:c>
      <x:c r="C36" s="30" t="str">
        <x:v>Interview Note</x:v>
      </x:c>
      <x:c r="D36" s="31" t="str">
        <x:v>PE vs Banking</x:v>
      </x:c>
      <x:c r="E36" s="31" t="str">
        <x:v>H32</x:v>
      </x:c>
      <x:c r="F36" s="31" t="str">
        <x:v>What is the equation for UFCF | 100 CAPEX, impact on 3 statement | 10 D&amp;A, impact on 3 statement, 40% Tax rate</x:v>
      </x:c>
    </x:row>
    <x:row r="37" ht="46" customHeight="1">
      <x:c r="A37" s="30" t="str">
        <x:v>MS IBD</x:v>
      </x:c>
      <x:c r="B37" s="30" t="str">
        <x:v>IBD / GCM</x:v>
      </x:c>
      <x:c r="C37" s="30" t="str">
        <x:v>Interview Note</x:v>
      </x:c>
      <x:c r="D37" s="31" t="str">
        <x:v>you have experiece in healthcare and Auto, which you prefer to work in</x:v>
      </x:c>
      <x:c r="E37" s="31" t="str">
        <x:v>A33</x:v>
      </x:c>
      <x:c r="F37" s="31" t="str">
        <x:v>How will an increase in debt affect enterprise value and equity value | get enterprise value from equity value | why do companies want to do M&amp;A</x:v>
      </x:c>
    </x:row>
    <x:row r="38" ht="30" customHeight="1">
      <x:c r="A38" s="30" t="str">
        <x:v>MS IBD</x:v>
      </x:c>
      <x:c r="B38" s="30" t="str">
        <x:v>IBD / GCM</x:v>
      </x:c>
      <x:c r="C38" s="30" t="str">
        <x:v>Interview Note</x:v>
      </x:c>
      <x:c r="D38" s="31" t="str">
        <x:v>two ways to calc terminal value</x:v>
      </x:c>
      <x:c r="E38" s="31" t="str">
        <x:v>C34</x:v>
      </x:c>
      <x:c r="F38" s="31" t="str">
        <x:v>⁠⁠so whats the US treasury yield now? | how to get market risk premium | ⁠⁠what is the normal market risk premium</x:v>
      </x:c>
    </x:row>
    <x:row r="39" ht="46" customHeight="1">
      <x:c r="A39" s="30" t="str">
        <x:v>MS IBD</x:v>
      </x:c>
      <x:c r="B39" s="30" t="str">
        <x:v>IBD / GCM</x:v>
      </x:c>
      <x:c r="C39" s="30" t="str">
        <x:v>Interview Note</x:v>
      </x:c>
      <x:c r="D39" s="31" t="str">
        <x:v>Q&amp;A</x:v>
      </x:c>
      <x:c r="E39" s="31" t="str">
        <x:v>E34</x:v>
      </x:c>
      <x:c r="F39" s="31" t="str">
        <x:v>Any IPO project experiences? Do you know anything about the HK IPO process? Like what documents to be submitted? | Any deal experiences? | What did you do / what role did you play in preparing the pitches?</x:v>
      </x:c>
    </x:row>
    <x:row r="40" ht="30" customHeight="1">
      <x:c r="A40" s="30" t="str">
        <x:v>MS IBD</x:v>
      </x:c>
      <x:c r="B40" s="30" t="str">
        <x:v>IBD / GCM</x:v>
      </x:c>
      <x:c r="C40" s="30" t="str">
        <x:v>Interview Note</x:v>
      </x:c>
      <x:c r="D40" s="31" t="str">
        <x:v>Q&amp;A ~5 mins</x:v>
      </x:c>
      <x:c r="E40" s="31" t="str">
        <x:v>H34</x:v>
      </x:c>
      <x:c r="F40" s="31" t="str">
        <x:v>10 D&amp;A, impact on 3 statement, 40% Tax rate | PE vs Banking | Did you get return from Nomura? What's the return rate?</x:v>
      </x:c>
    </x:row>
    <x:row r="41" ht="30" customHeight="1">
      <x:c r="A41" s="30" t="str">
        <x:v>MS IBD</x:v>
      </x:c>
      <x:c r="B41" s="30" t="str">
        <x:v>IBD / GCM</x:v>
      </x:c>
      <x:c r="C41" s="30" t="str">
        <x:v>Metadata</x:v>
      </x:c>
      <x:c r="D41" s="31" t="str">
        <x:v>15 mins for the questions</x:v>
      </x:c>
      <x:c r="E41" s="31" t="str">
        <x:v>E35</x:v>
      </x:c>
      <x:c r="F41" s="31" t="str">
        <x:v>Any deal experiences? | What did you do / what role did you play in preparing the pitches? | Q&amp;A</x:v>
      </x:c>
    </x:row>
    <x:row r="42" ht="46" customHeight="1">
      <x:c r="A42" s="30" t="str">
        <x:v>MS IBD</x:v>
      </x:c>
      <x:c r="B42" s="30" t="str">
        <x:v>IBD / GCM</x:v>
      </x:c>
      <x:c r="C42" s="30" t="str">
        <x:v>Interview Note</x:v>
      </x:c>
      <x:c r="D42" s="31" t="str">
        <x:v>so what is usual gdp growth rate or inflation rate</x:v>
      </x:c>
      <x:c r="E42" s="31" t="str">
        <x:v>C36</x:v>
      </x:c>
      <x:c r="F42" s="31" t="str">
        <x:v>⁠⁠what is the normal market risk premium | two ways to calc terminal value | how to get the perpetual growth rate in gordon growth method</x:v>
      </x:c>
    </x:row>
    <x:row r="43" ht="46" customHeight="1">
      <x:c r="A43" s="30" t="str">
        <x:v>MS IBD</x:v>
      </x:c>
      <x:c r="B43" s="30" t="str">
        <x:v>IBD / GCM</x:v>
      </x:c>
      <x:c r="C43" s="30" t="str">
        <x:v>Interview Note</x:v>
      </x:c>
      <x:c r="D43" s="31" t="str">
        <x:v>interesting thing about u not listed on CV</x:v>
      </x:c>
      <x:c r="E43" s="31" t="str">
        <x:v>A37</x:v>
      </x:c>
      <x:c r="F43" s="31" t="str">
        <x:v>Tell me some deals MS did | Which deal you are interested in and walk me through | Tell me about a time u explain a complex stuff to others</x:v>
      </x:c>
    </x:row>
    <x:row r="44" ht="46" customHeight="1">
      <x:c r="A44" s="30" t="str">
        <x:v>MS IBD</x:v>
      </x:c>
      <x:c r="B44" s="30" t="str">
        <x:v>IBD / GCM</x:v>
      </x:c>
      <x:c r="C44" s="30" t="str">
        <x:v>Metadata</x:v>
      </x:c>
      <x:c r="D44" s="31" t="str">
        <x:v>question for me</x:v>
      </x:c>
      <x:c r="E44" s="31" t="str">
        <x:v>A38</x:v>
      </x:c>
      <x:c r="F44" s="31" t="str">
        <x:v>Which deal you are interested in and walk me through | Tell me about a time u explain a complex stuff to others | interesting thing about u not listed on CV</x:v>
      </x:c>
    </x:row>
    <x:row r="45" ht="30" customHeight="1">
      <x:c r="A45" s="30" t="str">
        <x:v>MS IBD</x:v>
      </x:c>
      <x:c r="B45" s="30" t="str">
        <x:v>IBD / GCM</x:v>
      </x:c>
      <x:c r="C45" s="30" t="str">
        <x:v>Metadata</x:v>
      </x:c>
      <x:c r="D45" s="31" t="str">
        <x:v>25min+5min chat in Mandarin</x:v>
      </x:c>
      <x:c r="E45" s="31" t="str">
        <x:v>A39</x:v>
      </x:c>
      <x:c r="F45" s="31" t="str">
        <x:v>Tell me about a time u explain a complex stuff to others | interesting thing about u not listed on CV | question for me</x:v>
      </x:c>
    </x:row>
    <x:row r="46" ht="30" customHeight="1">
      <x:c r="A46" s="30" t="str">
        <x:v>MS IBD</x:v>
      </x:c>
      <x:c r="B46" s="30" t="str">
        <x:v>IBD / GCM</x:v>
      </x:c>
      <x:c r="C46" s="30" t="str">
        <x:v>Metadata</x:v>
      </x:c>
      <x:c r="D46" s="31" t="str">
        <x:v>2025 SA</x:v>
      </x:c>
      <x:c r="E46" s="31" t="str">
        <x:v>A41</x:v>
      </x:c>
      <x:c r="F46" s="31" t="str">
        <x:v>interesting thing about u not listed on CV | question for me | 25min+5min chat in Mandarin</x:v>
      </x:c>
    </x:row>
    <x:row r="47" ht="30" customHeight="1">
      <x:c r="A47" s="30" t="str">
        <x:v>MS IBD</x:v>
      </x:c>
      <x:c r="B47" s="30" t="str">
        <x:v>IBD / GCM</x:v>
      </x:c>
      <x:c r="C47" s="30" t="str">
        <x:v>Interview Note</x:v>
      </x:c>
      <x:c r="D47" s="31" t="str">
        <x:v>Phone interview</x:v>
      </x:c>
      <x:c r="E47" s="31" t="str">
        <x:v>A42</x:v>
      </x:c>
      <x:c r="F47" s="31" t="str">
        <x:v>question for me | 25min+5min chat in Mandarin | 2025 SA</x:v>
      </x:c>
    </x:row>
    <x:row r="48" ht="30" customHeight="1">
      <x:c r="A48" s="30" t="str">
        <x:v>MS IBD</x:v>
      </x:c>
      <x:c r="B48" s="30" t="str">
        <x:v>IBD / GCM</x:v>
      </x:c>
      <x:c r="C48" s="30" t="str">
        <x:v>Interview Note</x:v>
      </x:c>
      <x:c r="D48" s="31" t="str">
        <x:v>Kari 9/9 (Jason Tse, Asso)</x:v>
      </x:c>
      <x:c r="E48" s="31" t="str">
        <x:v>A43</x:v>
      </x:c>
      <x:c r="F48" s="31" t="str">
        <x:v>25min+5min chat in Mandarin | 2025 SA | Phone interview</x:v>
      </x:c>
    </x:row>
    <x:row r="49" ht="30" customHeight="1">
      <x:c r="A49" s="30" t="str">
        <x:v>MS IBD</x:v>
      </x:c>
      <x:c r="B49" s="30" t="str">
        <x:v>IBD / GCM</x:v>
      </x:c>
      <x:c r="C49" s="30" t="str">
        <x:v>Interview Note</x:v>
      </x:c>
      <x:c r="D49" s="31" t="str">
        <x:v>Yourself</x:v>
      </x:c>
      <x:c r="E49" s="31" t="str">
        <x:v>A44</x:v>
      </x:c>
      <x:c r="F49" s="31" t="str">
        <x:v>2025 SA | Phone interview | Kari 9/9 (Jason Tse, Asso)</x:v>
      </x:c>
    </x:row>
    <x:row r="50" ht="30" customHeight="1">
      <x:c r="A50" s="30" t="str">
        <x:v>MS IBD</x:v>
      </x:c>
      <x:c r="B50" s="30" t="str">
        <x:v>IBD / GCM</x:v>
      </x:c>
      <x:c r="C50" s="30" t="str">
        <x:v>Interview Note</x:v>
      </x:c>
      <x:c r="D50" s="31" t="str">
        <x:v>Any question for me</x:v>
      </x:c>
      <x:c r="E50" s="31" t="str">
        <x:v>A53</x:v>
      </x:c>
      <x:c r="F50" s="31" t="str">
        <x:v>If add leverage, how does WACC change | Get FCFF from revenue | Get FCFE from FCFF</x:v>
      </x:c>
    </x:row>
    <x:row r="51" ht="30" customHeight="1">
      <x:c r="A51" s="30" t="str">
        <x:v>MS IBD</x:v>
      </x:c>
      <x:c r="B51" s="30" t="str">
        <x:v>IBD / GCM</x:v>
      </x:c>
      <x:c r="C51" s="30" t="str">
        <x:v>Interview Note</x:v>
      </x:c>
      <x:c r="D51" s="31" t="str">
        <x:v>10 - 19/10 Jasmine</x:v>
      </x:c>
      <x:c r="E51" s="31" t="str">
        <x:v>C55</x:v>
      </x:c>
      <x:c r="F51" s="31" t="str">
        <x:v>What is goodwill | What is goodwill impairment | Do you know deferred tax assets and liabilities?</x:v>
      </x:c>
    </x:row>
    <x:row r="52" ht="30" customHeight="1">
      <x:c r="A52" s="30" t="str">
        <x:v>MS IBD</x:v>
      </x:c>
      <x:c r="B52" s="30" t="str">
        <x:v>IBD / GCM</x:v>
      </x:c>
      <x:c r="C52" s="30" t="str">
        <x:v>Metadata</x:v>
      </x:c>
      <x:c r="D52" s="31" t="str">
        <x:v>SPD</x:v>
      </x:c>
      <x:c r="E52" s="31" t="str">
        <x:v>A56</x:v>
      </x:c>
      <x:c r="F52" s="31" t="str">
        <x:v>Get FCFF from revenue | Get FCFE from FCFF | Any question for me</x:v>
      </x:c>
    </x:row>
    <x:row r="53" ht="30" customHeight="1">
      <x:c r="A53" s="30" t="str">
        <x:v>MS IBD</x:v>
      </x:c>
      <x:c r="B53" s="30" t="str">
        <x:v>IBD / GCM</x:v>
      </x:c>
      <x:c r="C53" s="30" t="str">
        <x:v>Interview Note</x:v>
      </x:c>
      <x:c r="D53" s="31" t="str">
        <x:v>1 China Coverage ED</x:v>
      </x:c>
      <x:c r="E53" s="31" t="str">
        <x:v>C56</x:v>
      </x:c>
      <x:c r="F53" s="31" t="str">
        <x:v>What is goodwill impairment | Do you know deferred tax assets and liabilities? | 10 - 19/10 Jasmine</x:v>
      </x:c>
    </x:row>
    <x:row r="54" ht="30" customHeight="1">
      <x:c r="A54" s="30" t="str">
        <x:v>MS IBD</x:v>
      </x:c>
      <x:c r="B54" s="30" t="str">
        <x:v>IBD / GCM</x:v>
      </x:c>
      <x:c r="C54" s="30" t="str">
        <x:v>Interview Note</x:v>
      </x:c>
      <x:c r="D54" s="31" t="str">
        <x:v>9 Germaine</x:v>
      </x:c>
      <x:c r="E54" s="31" t="str">
        <x:v>A57</x:v>
      </x:c>
      <x:c r="F54" s="31" t="str">
        <x:v>Get FCFE from FCFF | Any question for me | SPD</x:v>
      </x:c>
    </x:row>
    <x:row r="55" ht="30" customHeight="1">
      <x:c r="A55" s="30" t="str">
        <x:v>MS IBD</x:v>
      </x:c>
      <x:c r="B55" s="30" t="str">
        <x:v>IBD / GCM</x:v>
      </x:c>
      <x:c r="C55" s="30" t="str">
        <x:v>Interview Note</x:v>
      </x:c>
      <x:c r="D55" s="31" t="str">
        <x:v>Real Estate MD</x:v>
      </x:c>
      <x:c r="E55" s="31" t="str">
        <x:v>A58</x:v>
      </x:c>
      <x:c r="F55" s="31" t="str">
        <x:v>Any question for me | SPD | 9 Germaine</x:v>
      </x:c>
    </x:row>
    <x:row r="56" ht="30" customHeight="1">
      <x:c r="A56" s="30" t="str">
        <x:v>MS IBD</x:v>
      </x:c>
      <x:c r="B56" s="30" t="str">
        <x:v>IBD / GCM</x:v>
      </x:c>
      <x:c r="C56" s="30" t="str">
        <x:v>Interview Note</x:v>
      </x:c>
      <x:c r="D56" s="31" t="str">
        <x:v>Talked for 5 mins about his background (e.g. he used to do law and then switched with MBA)</x:v>
      </x:c>
      <x:c r="E56" s="31" t="str">
        <x:v>A59</x:v>
      </x:c>
      <x:c r="F56" s="31" t="str">
        <x:v>SPD | 9 Germaine | Real Estate MD</x:v>
      </x:c>
    </x:row>
    <x:row r="57" ht="46" customHeight="1">
      <x:c r="A57" s="30" t="str">
        <x:v>MS IBD</x:v>
      </x:c>
      <x:c r="B57" s="30" t="str">
        <x:v>IBD / GCM</x:v>
      </x:c>
      <x:c r="C57" s="30" t="str">
        <x:v>Interview Note</x:v>
      </x:c>
      <x:c r="D57" s="31" t="str">
        <x:v>⁠Asked me to introduce myself - walk through resume, why IBD, why me, why MS, anything you know about MS recent deals using 5 minutes as well (super conversational)</x:v>
      </x:c>
      <x:c r="E57" s="31" t="str">
        <x:v>A60</x:v>
      </x:c>
      <x:c r="F57" s="31" t="str">
        <x:v>9 Germaine | Real Estate MD | Talked for 5 mins about his background (e.g. he used to do law and then switched with MBA)</x:v>
      </x:c>
    </x:row>
    <x:row r="58" ht="30" customHeight="1">
      <x:c r="A58" s="30" t="str">
        <x:v>MS IBD</x:v>
      </x:c>
      <x:c r="B58" s="30" t="str">
        <x:v>IBD / GCM</x:v>
      </x:c>
      <x:c r="C58" s="30" t="str">
        <x:v>Interview Note</x:v>
      </x:c>
      <x:c r="D58" s="31" t="str">
        <x:v>A deal I worked on before</x:v>
      </x:c>
      <x:c r="E58" s="31" t="str">
        <x:v>C60</x:v>
      </x:c>
      <x:c r="F58" s="31" t="str">
        <x:v>Self Intro | Things to consider for Debt investors vs Equity investors | How about for leveraged loans</x:v>
      </x:c>
    </x:row>
    <x:row r="59" ht="30" customHeight="1">
      <x:c r="A59" s="30" t="str">
        <x:v>MS IBD</x:v>
      </x:c>
      <x:c r="B59" s="30" t="str">
        <x:v>IBD / GCM</x:v>
      </x:c>
      <x:c r="C59" s="30" t="str">
        <x:v>Interview Note</x:v>
      </x:c>
      <x:c r="D59" s="31" t="str">
        <x:v>Starbucks revenue and costs projection</x:v>
      </x:c>
      <x:c r="E59" s="31" t="str">
        <x:v>C61</x:v>
      </x:c>
      <x:c r="F59" s="31" t="str">
        <x:v>Things to consider for Debt investors vs Equity investors | How about for leveraged loans | A deal I worked on before</x:v>
      </x:c>
    </x:row>
    <x:row r="60" ht="30" customHeight="1">
      <x:c r="A60" s="30" t="str">
        <x:v>MS IBD</x:v>
      </x:c>
      <x:c r="B60" s="30" t="str">
        <x:v>IBD / GCM</x:v>
      </x:c>
      <x:c r="C60" s="30" t="str">
        <x:v>Interview Note</x:v>
      </x:c>
      <x:c r="D60" s="31" t="str">
        <x:v>20x PE acquires 10x PE, accretive or dilutive</x:v>
      </x:c>
      <x:c r="E60" s="31" t="str">
        <x:v>C63</x:v>
      </x:c>
      <x:c r="F60" s="31" t="str">
        <x:v>A deal I worked on before | Starbucks revenue and costs projection | What are some impacts or catalysts for the store</x:v>
      </x:c>
    </x:row>
    <x:row r="61" ht="46" customHeight="1">
      <x:c r="A61" s="30" t="str">
        <x:v>MS IBD</x:v>
      </x:c>
      <x:c r="B61" s="30" t="str">
        <x:v>IBD / GCM</x:v>
      </x:c>
      <x:c r="C61" s="30" t="str">
        <x:v>Interview Note</x:v>
      </x:c>
      <x:c r="D61" s="31" t="str">
        <x:v>Rationale for cross-border M&amp;As</x:v>
      </x:c>
      <x:c r="E61" s="31" t="str">
        <x:v>C64</x:v>
      </x:c>
      <x:c r="F61" s="31" t="str">
        <x:v>Starbucks revenue and costs projection | What are some impacts or catalysts for the store | 20x PE acquires 10x PE, accretive or dilutive</x:v>
      </x:c>
    </x:row>
    <x:row r="62" ht="46" customHeight="1">
      <x:c r="A62" s="30" t="str">
        <x:v>MS IBD</x:v>
      </x:c>
      <x:c r="B62" s="30" t="str">
        <x:v>IBD / GCM</x:v>
      </x:c>
      <x:c r="C62" s="30" t="str">
        <x:v>Interview Note</x:v>
      </x:c>
      <x:c r="D62" s="31" t="str">
        <x:v>Recent news that affect banking, esp HK and China</x:v>
      </x:c>
      <x:c r="E62" s="31" t="str">
        <x:v>C65</x:v>
      </x:c>
      <x:c r="F62" s="31" t="str">
        <x:v>What are some impacts or catalysts for the store | 20x PE acquires 10x PE, accretive or dilutive | Rationale for cross-border M&amp;As</x:v>
      </x:c>
    </x:row>
    <x:row r="63" ht="46" customHeight="1">
      <x:c r="A63" s="30" t="str">
        <x:v>MS IBD</x:v>
      </x:c>
      <x:c r="B63" s="30" t="str">
        <x:v>IBD / GCM</x:v>
      </x:c>
      <x:c r="C63" s="30" t="str">
        <x:v>Interview Note</x:v>
      </x:c>
      <x:c r="D63" s="31" t="str">
        <x:v>⁠From revenue to profit, walk me through each major section</x:v>
      </x:c>
      <x:c r="E63" s="31" t="str">
        <x:v>A67</x:v>
      </x:c>
      <x:c r="F63" s="31" t="str">
        <x:v>Tell me your biggest strength and weakness | What's a time you faced challenges and how did you manage it | How to project monthly revenue for a starbucks in hku</x:v>
      </x:c>
    </x:row>
    <x:row r="64" ht="46" customHeight="1">
      <x:c r="A64" s="30" t="str">
        <x:v>MS IBD</x:v>
      </x:c>
      <x:c r="B64" s="30" t="str">
        <x:v>IBD / GCM</x:v>
      </x:c>
      <x:c r="C64" s="30" t="str">
        <x:v>Interview Note</x:v>
      </x:c>
      <x:c r="D64" s="31" t="str">
        <x:v>He said he is supposed to test my mandarin but don't have time so leave to next interviewer LOL</x:v>
      </x:c>
      <x:c r="E64" s="31" t="str">
        <x:v>A68</x:v>
      </x:c>
      <x:c r="F64" s="31" t="str">
        <x:v>What's a time you faced challenges and how did you manage it | How to project monthly revenue for a starbucks in hku | ⁠From revenue to profit, walk me through each major section</x:v>
      </x:c>
    </x:row>
    <x:row r="65" ht="46" customHeight="1">
      <x:c r="A65" s="30" t="str">
        <x:v>MS IBD</x:v>
      </x:c>
      <x:c r="B65" s="30" t="str">
        <x:v>IBD / GCM</x:v>
      </x:c>
      <x:c r="C65" s="30" t="str">
        <x:v>Interview Note</x:v>
      </x:c>
      <x:c r="D65" s="31" t="str">
        <x:v>M&amp;A VP</x:v>
      </x:c>
      <x:c r="E65" s="31" t="str">
        <x:v>A69</x:v>
      </x:c>
      <x:c r="F65" s="31" t="str">
        <x:v>How to project monthly revenue for a starbucks in hku | ⁠From revenue to profit, walk me through each major section | He said he is supposed to test my mandarin but don't have time so leave to next interviewer LOL</x:v>
      </x:c>
    </x:row>
    <x:row r="66" ht="46" customHeight="1">
      <x:c r="A66" s="30" t="str">
        <x:v>MS IBD</x:v>
      </x:c>
      <x:c r="B66" s="30" t="str">
        <x:v>IBD / GCM</x:v>
      </x:c>
      <x:c r="C66" s="30" t="str">
        <x:v>Metadata</x:v>
      </x:c>
      <x:c r="D66" s="31" t="str">
        <x:v>Questions</x:v>
      </x:c>
      <x:c r="E66" s="31" t="str">
        <x:v>C69</x:v>
      </x:c>
      <x:c r="F66" s="31" t="str">
        <x:v>What MS deals do I know | What's a time you faced challenges and how did you manage it | What's a time you faced conflicing interest and how did you manage it</x:v>
      </x:c>
    </x:row>
    <x:row r="67" ht="46" customHeight="1">
      <x:c r="A67" s="30" t="str">
        <x:v>MS IBD</x:v>
      </x:c>
      <x:c r="B67" s="30" t="str">
        <x:v>IBD / GCM</x:v>
      </x:c>
      <x:c r="C67" s="30" t="str">
        <x:v>Interview Note</x:v>
      </x:c>
      <x:c r="D67" s="31" t="str">
        <x:v>2 FIG ED</x:v>
      </x:c>
      <x:c r="E67" s="31" t="str">
        <x:v>C71</x:v>
      </x:c>
      <x:c r="F67" s="31" t="str">
        <x:v>What's a time you faced challenges and how did you manage it | What's a time you faced conflicing interest and how did you manage it | Questions</x:v>
      </x:c>
    </x:row>
    <x:row r="68" ht="30" customHeight="1">
      <x:c r="A68" s="30" t="str">
        <x:v>MS IBD</x:v>
      </x:c>
      <x:c r="B68" s="30" t="str">
        <x:v>IBD / GCM</x:v>
      </x:c>
      <x:c r="C68" s="30" t="str">
        <x:v>Interview Note</x:v>
      </x:c>
      <x:c r="D68" s="31" t="str">
        <x:v>Capital Markets vs IBD</x:v>
      </x:c>
      <x:c r="E68" s="31" t="str">
        <x:v>C73</x:v>
      </x:c>
      <x:c r="F68" s="31" t="str">
        <x:v>Questions | 2 FIG ED | Self intro</x:v>
      </x:c>
    </x:row>
    <x:row r="69" ht="30" customHeight="1">
      <x:c r="A69" s="30" t="str">
        <x:v>MS IBD</x:v>
      </x:c>
      <x:c r="B69" s="30" t="str">
        <x:v>IBD / GCM</x:v>
      </x:c>
      <x:c r="C69" s="30" t="str">
        <x:v>Interview Note</x:v>
      </x:c>
      <x:c r="D69" s="31" t="str">
        <x:v>Recent deals done by MS</x:v>
      </x:c>
      <x:c r="E69" s="31" t="str">
        <x:v>C75</x:v>
      </x:c>
      <x:c r="F69" s="31" t="str">
        <x:v>Self intro | Capital Markets vs IBD | Was I allocated or I chose Capital Market at Nomura</x:v>
      </x:c>
    </x:row>
    <x:row r="70" ht="62" customHeight="1">
      <x:c r="A70" s="30" t="str">
        <x:v>MS IBD</x:v>
      </x:c>
      <x:c r="B70" s="30" t="str">
        <x:v>IBD / GCM</x:v>
      </x:c>
      <x:c r="C70" s="30" t="str">
        <x:v>Interview Note</x:v>
      </x:c>
      <x:c r="D70" s="31" t="str">
        <x:v>Tech Director</x:v>
      </x:c>
      <x:c r="E70" s="31" t="str">
        <x:v>A77</x:v>
      </x:c>
      <x:c r="F70" s="31" t="str">
        <x:v>What is the difference in motivations for finding a strategic vs financial buyer | Can you speak mandarin? (she just asked and then checked the box on my evaluation and then didn't ask me to try speaking at all lol) | Around 7 minutes of...</x:v>
      </x:c>
    </x:row>
    <x:row r="71" ht="46" customHeight="1">
      <x:c r="A71" s="30" t="str">
        <x:v>MS IBD</x:v>
      </x:c>
      <x:c r="B71" s="30" t="str">
        <x:v>IBD / GCM</x:v>
      </x:c>
      <x:c r="C71" s="30" t="str">
        <x:v>Interview Note</x:v>
      </x:c>
      <x:c r="D71" s="31" t="str">
        <x:v>One project did at Nomura</x:v>
      </x:c>
      <x:c r="E71" s="31" t="str">
        <x:v>C77</x:v>
      </x:c>
      <x:c r="F71" s="31" t="str">
        <x:v>Was I allocated or I chose Capital Market at Nomura | Recent deals done by MS | Pick 2 deals of MS, talk about my views on why the deal would happen</x:v>
      </x:c>
    </x:row>
    <x:row r="72" ht="46" customHeight="1">
      <x:c r="A72" s="30" t="str">
        <x:v>MS IBD</x:v>
      </x:c>
      <x:c r="B72" s="30" t="str">
        <x:v>IBD / GCM</x:v>
      </x:c>
      <x:c r="C72" s="30" t="str">
        <x:v>Interview Note</x:v>
      </x:c>
      <x:c r="D72" s="31" t="str">
        <x:v>More specific details on the bond - tenor, coupon, structure, size, etc</x:v>
      </x:c>
      <x:c r="E72" s="31" t="str">
        <x:v>C78</x:v>
      </x:c>
      <x:c r="F72" s="31" t="str">
        <x:v>Recent deals done by MS | Pick 2 deals of MS, talk about my views on why the deal would happen | One project did at Nomura</x:v>
      </x:c>
    </x:row>
    <x:row r="73" ht="30" customHeight="1">
      <x:c r="A73" s="30" t="str">
        <x:v>MS IBD</x:v>
      </x:c>
      <x:c r="B73" s="30" t="str">
        <x:v>IBD / GCM</x:v>
      </x:c>
      <x:c r="C73" s="30" t="str">
        <x:v>Interview Note</x:v>
      </x:c>
      <x:c r="D73" s="31" t="str">
        <x:v>Since you worked at PwC, what is your view on their future given recent Ministry of Finance report</x:v>
      </x:c>
      <x:c r="E73" s="31" t="str">
        <x:v>A80</x:v>
      </x:c>
      <x:c r="F73" s="31" t="str">
        <x:v>Tech Director | Self Intro | What I did at SFC - as a regulator, how do they work with investment banks?</x:v>
      </x:c>
    </x:row>
    <x:row r="74" ht="46" customHeight="1">
      <x:c r="A74" s="30" t="str">
        <x:v>MS IBD</x:v>
      </x:c>
      <x:c r="B74" s="30" t="str">
        <x:v>IBD / GCM</x:v>
      </x:c>
      <x:c r="C74" s="30" t="str">
        <x:v>Interview Note</x:v>
      </x:c>
      <x:c r="D74" s="31" t="str">
        <x:v>Guesstimate since I did Bain: estimate number of taxis in HK</x:v>
      </x:c>
      <x:c r="E74" s="31" t="str">
        <x:v>A82</x:v>
      </x:c>
      <x:c r="F74" s="31" t="str">
        <x:v>What I did at SFC - as a regulator, how do they work with investment banks? | Since you worked at PwC, what is your view on their future given recent Ministry of Finance report | What I did at Bain</x:v>
      </x:c>
    </x:row>
    <x:row r="75" ht="46" customHeight="1">
      <x:c r="A75" s="30" t="str">
        <x:v>MS IBD</x:v>
      </x:c>
      <x:c r="B75" s="30" t="str">
        <x:v>IBD / GCM</x:v>
      </x:c>
      <x:c r="C75" s="30" t="str">
        <x:v>Interview Note</x:v>
      </x:c>
      <x:c r="D75" s="31" t="str">
        <x:v>Top three sector teams in MS and why</x:v>
      </x:c>
      <x:c r="E75" s="31" t="str">
        <x:v>A83</x:v>
      </x:c>
      <x:c r="F75" s="31" t="str">
        <x:v>Since you worked at PwC, what is your view on their future given recent Ministry of Finance report | What I did at Bain | Guesstimate since I did Bain: estimate number of taxis in HK</x:v>
      </x:c>
    </x:row>
    <x:row r="76" ht="30" customHeight="1">
      <x:c r="A76" s="30" t="str">
        <x:v>MS IBD</x:v>
      </x:c>
      <x:c r="B76" s="30" t="str">
        <x:v>IBD / GCM</x:v>
      </x:c>
      <x:c r="C76" s="30" t="str">
        <x:v>Interview Note</x:v>
      </x:c>
      <x:c r="D76" s="31" t="str">
        <x:v>3 M&amp;A VP</x:v>
      </x:c>
      <x:c r="E76" s="31" t="str">
        <x:v>C90</x:v>
      </x:c>
      <x:c r="F76" s="31" t="str">
        <x:v>When will cost of debt be higher | What is cost of equity | How good is your mandarin</x:v>
      </x:c>
    </x:row>
    <x:row r="77" ht="30" customHeight="1">
      <x:c r="A77" s="30" t="str">
        <x:v>MS IBD</x:v>
      </x:c>
      <x:c r="B77" s="30" t="str">
        <x:v>IBD / GCM</x:v>
      </x:c>
      <x:c r="C77" s="30" t="str">
        <x:v>Interview Note</x:v>
      </x:c>
      <x:c r="D77" s="31" t="str">
        <x:v>Revenue to profit for a coffee shop again hahaha</x:v>
      </x:c>
      <x:c r="E77" s="31" t="str">
        <x:v>C94</x:v>
      </x:c>
      <x:c r="F77" s="31" t="str">
        <x:v>Self Intro | What are the important qualities to be a good investment banker | Whats your one area of improvement</x:v>
      </x:c>
    </x:row>
    <x:row r="78" ht="30" customHeight="1">
      <x:c r="A78" s="30" t="str">
        <x:v>MS IBD</x:v>
      </x:c>
      <x:c r="B78" s="30" t="str">
        <x:v>IBD / GCM</x:v>
      </x:c>
      <x:c r="C78" s="30" t="str">
        <x:v>Interview Note</x:v>
      </x:c>
      <x:c r="D78" s="31" t="str">
        <x:v>Q&amp;A</x:v>
      </x:c>
      <x:c r="E78" s="31" t="str">
        <x:v>C104</x:v>
      </x:c>
      <x:c r="F78" s="31" t="str">
        <x:v>Why HK, why MS, how do you see the market down the road | Any team preference, why? | What industries am I interested in</x:v>
      </x:c>
    </x:row>
    <x:row r="79" ht="46" customHeight="1">
      <x:c r="A79" s="30" t="str">
        <x:v>MS IBD</x:v>
      </x:c>
      <x:c r="B79" s="30" t="str">
        <x:v>IBD / GCM</x:v>
      </x:c>
      <x:c r="C79" s="30" t="str">
        <x:v>Metadata</x:v>
      </x:c>
      <x:c r="D79" s="31" t="str">
        <x:v>2026 SA</x:v>
      </x:c>
      <x:c r="E79" s="31" t="str">
        <x:v>A106</x:v>
      </x:c>
      <x:c r="F79" s="31" t="str">
        <x:v>Guesstimate since I did Bain: estimate number of taxis in HK | Top three sector teams in MS and why | Do you plan on doing IBD for a long time? Or will you plan to switch careers like a lot of juniors?</x:v>
      </x:c>
    </x:row>
    <x:row r="80" ht="46" customHeight="1">
      <x:c r="A80" s="30" t="str">
        <x:v>MS IBD</x:v>
      </x:c>
      <x:c r="B80" s="30" t="str">
        <x:v>IBD / GCM</x:v>
      </x:c>
      <x:c r="C80" s="30" t="str">
        <x:v>Metadata</x:v>
      </x:c>
      <x:c r="D80" s="31" t="str">
        <x:v>First Round</x:v>
      </x:c>
      <x:c r="E80" s="31" t="str">
        <x:v>A107</x:v>
      </x:c>
      <x:c r="F80" s="31" t="str">
        <x:v>Top three sector teams in MS and why | Do you plan on doing IBD for a long time? Or will you plan to switch careers like a lot of juniors? | 2026 SA</x:v>
      </x:c>
    </x:row>
    <x:row r="81" ht="46" customHeight="1">
      <x:c r="A81" s="30" t="str">
        <x:v>MS IBD</x:v>
      </x:c>
      <x:c r="B81" s="30" t="str">
        <x:v>IBD / GCM</x:v>
      </x:c>
      <x:c r="C81" s="30" t="str">
        <x:v>Metadata</x:v>
      </x:c>
      <x:c r="D81" s="31" t="str">
        <x:v>1st round 8/10 Anna (Lingxuan Li from IBD)</x:v>
      </x:c>
      <x:c r="E81" s="31" t="str">
        <x:v>A108</x:v>
      </x:c>
      <x:c r="F81" s="31" t="str">
        <x:v>Do you plan on doing IBD for a long time? Or will you plan to switch careers like a lot of juniors? | 2026 SA | First Round</x:v>
      </x:c>
    </x:row>
    <x:row r="82" ht="30" customHeight="1">
      <x:c r="A82" s="30" t="str">
        <x:v>MS IBD</x:v>
      </x:c>
      <x:c r="B82" s="30" t="str">
        <x:v>IBD / GCM</x:v>
      </x:c>
      <x:c r="C82" s="30" t="str">
        <x:v>Metadata</x:v>
      </x:c>
      <x:c r="D82" s="31" t="str">
        <x:v>1st round 9/9 Kate (Sam Lee, Tech Asso)</x:v>
      </x:c>
      <x:c r="E82" s="31" t="str">
        <x:v>C108</x:v>
      </x:c>
      <x:c r="F82" s="31" t="str">
        <x:v>Any team preference, why? | What industries am I interested in | Q&amp;A</x:v>
      </x:c>
    </x:row>
    <x:row r="83" ht="62" customHeight="1">
      <x:c r="A83" s="30" t="str">
        <x:v>MS IBD</x:v>
      </x:c>
      <x:c r="B83" s="30" t="str">
        <x:v>IBD / GCM</x:v>
      </x:c>
      <x:c r="C83" s="30" t="str">
        <x:v>Interview Note</x:v>
      </x:c>
      <x:c r="D83" s="31" t="str">
        <x:v>Sorry I don't rmb other qs as was very conversational</x:v>
      </x:c>
      <x:c r="E83" s="31" t="str">
        <x:v>C110</x:v>
      </x:c>
      <x:c r="F83" s="31" t="str">
        <x:v>Q&amp;A | 1st round 9/9 Kate (Sam Lee, Tech Asso) | JD runs a 1P model, where a $100 sale is recorded as $100 of revenue, while Pinduoduo runs a 3P marketplace model, where only a small commission from a $100 transaction is recorded as reven...</x:v>
      </x:c>
    </x:row>
    <x:row r="84" ht="46" customHeight="1">
      <x:c r="A84" s="30" t="str">
        <x:v>MS IBD</x:v>
      </x:c>
      <x:c r="B84" s="30" t="str">
        <x:v>IBD / GCM</x:v>
      </x:c>
      <x:c r="C84" s="30" t="str">
        <x:v>Interview Note</x:v>
      </x:c>
      <x:c r="D84" s="31" t="str">
        <x:v>Q&amp;A in mandarin</x:v>
      </x:c>
      <x:c r="E84" s="31" t="str">
        <x:v>A122</x:v>
      </x:c>
      <x:c r="F84" s="31" t="str">
        <x:v>PE 25x acquires PE 15x, accretive or dilutive? Any assumptions? | Walk me through a LBO | Ways to boost the return of LBO investment</x:v>
      </x:c>
    </x:row>
    <x:row r="85" ht="30" customHeight="1">
      <x:c r="A85" s="30" t="str">
        <x:v>MS GCM</x:v>
      </x:c>
      <x:c r="B85" s="30" t="str">
        <x:v>IBD / GCM</x:v>
      </x:c>
      <x:c r="C85" s="30" t="str">
        <x:v>Metadata</x:v>
      </x:c>
      <x:c r="D85" s="31" t="str">
        <x:v>2024 SA</x:v>
      </x:c>
      <x:c r="E85" s="31" t="str">
        <x:v>A1</x:v>
      </x:c>
      <x:c r="F85" s="31" t="str"/>
    </x:row>
    <x:row r="86" ht="30" customHeight="1">
      <x:c r="A86" s="30" t="str">
        <x:v>MS GCM</x:v>
      </x:c>
      <x:c r="B86" s="30" t="str">
        <x:v>IBD / GCM</x:v>
      </x:c>
      <x:c r="C86" s="30" t="str">
        <x:v>Metadata</x:v>
      </x:c>
      <x:c r="D86" s="31" t="str">
        <x:v>First Round</x:v>
      </x:c>
      <x:c r="E86" s="31" t="str">
        <x:v>A2</x:v>
      </x:c>
      <x:c r="F86" s="31" t="str">
        <x:v>2024 SA</x:v>
      </x:c>
    </x:row>
    <x:row r="87" ht="30" customHeight="1">
      <x:c r="A87" s="30" t="str">
        <x:v>MS GCM</x:v>
      </x:c>
      <x:c r="B87" s="30" t="str">
        <x:v>IBD / GCM</x:v>
      </x:c>
      <x:c r="C87" s="30" t="str">
        <x:v>Interview Note</x:v>
      </x:c>
      <x:c r="D87" s="31" t="str">
        <x:v>19 MS GCM SPD Emily</x:v>
      </x:c>
      <x:c r="E87" s="31" t="str">
        <x:v>C2</x:v>
      </x:c>
      <x:c r="F87" s="31" t="str"/>
    </x:row>
    <x:row r="88" ht="30" customHeight="1">
      <x:c r="A88" s="30" t="str">
        <x:v>MS GCM</x:v>
      </x:c>
      <x:c r="B88" s="30" t="str">
        <x:v>IBD / GCM</x:v>
      </x:c>
      <x:c r="C88" s="30" t="str">
        <x:v>Metadata</x:v>
      </x:c>
      <x:c r="D88" s="31" t="str">
        <x:v>Emily</x:v>
      </x:c>
      <x:c r="E88" s="31" t="str">
        <x:v>A3</x:v>
      </x:c>
      <x:c r="F88" s="31" t="str">
        <x:v>2024 SA | First Round</x:v>
      </x:c>
    </x:row>
    <x:row r="89" ht="30" customHeight="1">
      <x:c r="A89" s="30" t="str">
        <x:v>MS GCM</x:v>
      </x:c>
      <x:c r="B89" s="30" t="str">
        <x:v>IBD / GCM</x:v>
      </x:c>
      <x:c r="C89" s="30" t="str">
        <x:v>Interview Note</x:v>
      </x:c>
      <x:c r="D89" s="31" t="str">
        <x:v>Dick Lee</x:v>
      </x:c>
      <x:c r="E89" s="31" t="str">
        <x:v>C3</x:v>
      </x:c>
      <x:c r="F89" s="31" t="str">
        <x:v>19 MS GCM SPD Emily</x:v>
      </x:c>
    </x:row>
    <x:row r="90" ht="30" customHeight="1">
      <x:c r="A90" s="30" t="str">
        <x:v>MS GCM</x:v>
      </x:c>
      <x:c r="B90" s="30" t="str">
        <x:v>IBD / GCM</x:v>
      </x:c>
      <x:c r="C90" s="30" t="str">
        <x:v>Metadata</x:v>
      </x:c>
      <x:c r="D90" s="31" t="str">
        <x:v>Follow up: target valuation, comparables valuation</x:v>
      </x:c>
      <x:c r="E90" s="31" t="str">
        <x:v>A6</x:v>
      </x:c>
      <x:c r="F90" s="31" t="str">
        <x:v>Emily | Tell me about yourself | Pitch me a stock</x:v>
      </x:c>
    </x:row>
    <x:row r="91" ht="30" customHeight="1">
      <x:c r="A91" s="30" t="str">
        <x:v>MS GCM</x:v>
      </x:c>
      <x:c r="B91" s="30" t="str">
        <x:v>IBD / GCM</x:v>
      </x:c>
      <x:c r="C91" s="30" t="str">
        <x:v>Interview Note</x:v>
      </x:c>
      <x:c r="D91" s="31" t="str">
        <x:v>中文: Why is there AH share premium (for SMEs)</x:v>
      </x:c>
      <x:c r="E91" s="31" t="str">
        <x:v>A7</x:v>
      </x:c>
      <x:c r="F91" s="31" t="str">
        <x:v>Tell me about yourself | Pitch me a stock | Follow up: target valuation, comparables valuation</x:v>
      </x:c>
    </x:row>
    <x:row r="92" ht="62" customHeight="1">
      <x:c r="A92" s="30" t="str">
        <x:v>MS GCM</x:v>
      </x:c>
      <x:c r="B92" s="30" t="str">
        <x:v>IBD / GCM</x:v>
      </x:c>
      <x:c r="C92" s="30" t="str">
        <x:v>Metadata</x:v>
      </x:c>
      <x:c r="D92" s="31" t="str">
        <x:v>Questions</x:v>
      </x:c>
      <x:c r="E92" s="31" t="str">
        <x:v>A12</x:v>
      </x:c>
      <x:c r="F92" s="31" t="str">
        <x:v>Will Fed look at nonfarm payroll data vs unemployment rate to decide for interest rate | Why are there huge cut in tech and bank jobs, but unemployment data is still very low | What would you do if your boss/team is demanding a deliverab...</x:v>
      </x:c>
    </x:row>
    <x:row r="93" ht="30" customHeight="1">
      <x:c r="A93" s="30" t="str">
        <x:v>MS GCM</x:v>
      </x:c>
      <x:c r="B93" s="30" t="str">
        <x:v>IBD / GCM</x:v>
      </x:c>
      <x:c r="C93" s="30" t="str">
        <x:v>Interview Note</x:v>
      </x:c>
      <x:c r="D93" s="31" t="str">
        <x:v>Fenix Wang</x:v>
      </x:c>
      <x:c r="E93" s="31" t="str">
        <x:v>C13</x:v>
      </x:c>
      <x:c r="F93" s="31" t="str">
        <x:v>Which team do you prefer | Tell me a story in your fencing experience | Markets outlook?</x:v>
      </x:c>
    </x:row>
    <x:row r="94" ht="46" customHeight="1">
      <x:c r="A94" s="30" t="str">
        <x:v>MS GCM</x:v>
      </x:c>
      <x:c r="B94" s="30" t="str">
        <x:v>IBD / GCM</x:v>
      </x:c>
      <x:c r="C94" s="30" t="str">
        <x:v>Metadata</x:v>
      </x:c>
      <x:c r="D94" s="31" t="str">
        <x:v>John Lee</x:v>
      </x:c>
      <x:c r="E94" s="31" t="str">
        <x:v>C25</x:v>
      </x:c>
      <x:c r="F94" s="31" t="str">
        <x:v>What is convertible bonds | How do you price the convertible bonds | What are some inputs in calculating the price of convertible bonds</x:v>
      </x:c>
    </x:row>
    <x:row r="95" ht="30" customHeight="1">
      <x:c r="A95" s="30" t="str">
        <x:v>MS GCM</x:v>
      </x:c>
      <x:c r="B95" s="30" t="str">
        <x:v>IBD / GCM</x:v>
      </x:c>
      <x:c r="C95" s="30" t="str">
        <x:v>Interview Note</x:v>
      </x:c>
      <x:c r="D95" s="31" t="str">
        <x:v>(say canto when I'm come in quite chill)</x:v>
      </x:c>
      <x:c r="E95" s="31" t="str">
        <x:v>C26</x:v>
      </x:c>
      <x:c r="F95" s="31" t="str">
        <x:v>How do you price the convertible bonds | What are some inputs in calculating the price of convertible bonds | John Lee</x:v>
      </x:c>
    </x:row>
    <x:row r="96" ht="30" customHeight="1">
      <x:c r="A96" s="30" t="str">
        <x:v>MS GCM</x:v>
      </x:c>
      <x:c r="B96" s="30" t="str">
        <x:v>IBD / GCM</x:v>
      </x:c>
      <x:c r="C96" s="30" t="str">
        <x:v>Interview Note</x:v>
      </x:c>
      <x:c r="D96" s="31" t="str">
        <x:v>Diff between IBD and GCM</x:v>
      </x:c>
      <x:c r="E96" s="31" t="str">
        <x:v>C28</x:v>
      </x:c>
      <x:c r="F96" s="31" t="str">
        <x:v>John Lee | (say canto when I'm come in quite chill) | Why GCM ?</x:v>
      </x:c>
    </x:row>
    <x:row r="97" ht="46" customHeight="1">
      <x:c r="A97" s="30" t="str">
        <x:v>MS GCM</x:v>
      </x:c>
      <x:c r="B97" s="30" t="str">
        <x:v>IBD / GCM</x:v>
      </x:c>
      <x:c r="C97" s="30" t="str">
        <x:v>Metadata</x:v>
      </x:c>
      <x:c r="D97" s="31" t="str">
        <x:v>2025 SA</x:v>
      </x:c>
      <x:c r="E97" s="31" t="str">
        <x:v>A38</x:v>
      </x:c>
      <x:c r="F97" s="31" t="str">
        <x:v>Why are there huge cut in tech and bank jobs, but unemployment data is still very low | What would you do if your boss/team is demanding a deliverable from you that you are unfamiliar with? | Questions</x:v>
      </x:c>
    </x:row>
    <x:row r="98" ht="46" customHeight="1">
      <x:c r="A98" s="30" t="str">
        <x:v>MS GCM</x:v>
      </x:c>
      <x:c r="B98" s="30" t="str">
        <x:v>IBD / GCM</x:v>
      </x:c>
      <x:c r="C98" s="30" t="str">
        <x:v>Metadata</x:v>
      </x:c>
      <x:c r="D98" s="31" t="str">
        <x:v>First Round</x:v>
      </x:c>
      <x:c r="E98" s="31" t="str">
        <x:v>A39</x:v>
      </x:c>
      <x:c r="F98" s="31" t="str">
        <x:v>What would you do if your boss/team is demanding a deliverable from you that you are unfamiliar with? | Questions | 2025 SA</x:v>
      </x:c>
    </x:row>
    <x:row r="99" ht="30" customHeight="1">
      <x:c r="A99" s="30" t="str">
        <x:v>MS GCM</x:v>
      </x:c>
      <x:c r="B99" s="30" t="str">
        <x:v>IBD / GCM</x:v>
      </x:c>
      <x:c r="C99" s="30" t="str">
        <x:v>Metadata</x:v>
      </x:c>
      <x:c r="D99" s="31" t="str">
        <x:v>Jasmine 10/10</x:v>
      </x:c>
      <x:c r="E99" s="31" t="str">
        <x:v>A40</x:v>
      </x:c>
      <x:c r="F99" s="31" t="str">
        <x:v>Questions | 2025 SA | First Round</x:v>
      </x:c>
    </x:row>
    <x:row r="100" ht="62" customHeight="1">
      <x:c r="A100" s="30" t="str">
        <x:v>MS GCM</x:v>
      </x:c>
      <x:c r="B100" s="30" t="str">
        <x:v>IBD / GCM</x:v>
      </x:c>
      <x:c r="C100" s="30" t="str">
        <x:v>Interview Note</x:v>
      </x:c>
      <x:c r="D100" s="31" t="str">
        <x:v>Kari 10/10 Kan GU, (no information on linkedIn)</x:v>
      </x:c>
      <x:c r="E100" s="31" t="str">
        <x:v>C40</x:v>
      </x:c>
      <x:c r="F100" s="31" t="str">
        <x:v>If you are Tencent CEO, what factors would you look into to decide raise debt or equity | If you are the investment bank, what factors would you look other than the above | Biggest growth for investment bank in Asia? ( he told me to look...</x:v>
      </x:c>
    </x:row>
    <x:row r="101" ht="30" customHeight="1">
      <x:c r="A101" s="30" t="str">
        <x:v>MS GCM</x:v>
      </x:c>
      <x:c r="B101" s="30" t="str">
        <x:v>IBD / GCM</x:v>
      </x:c>
      <x:c r="C101" s="30" t="str">
        <x:v>Interview Note</x:v>
      </x:c>
      <x:c r="D101" s="31" t="str">
        <x:v>Group Discussion:</x:v>
      </x:c>
      <x:c r="E101" s="31" t="str">
        <x:v>A41</x:v>
      </x:c>
      <x:c r="F101" s="31" t="str">
        <x:v>2025 SA | First Round | Jasmine 10/10</x:v>
      </x:c>
    </x:row>
    <x:row r="102" ht="62" customHeight="1">
      <x:c r="A102" s="30" t="str">
        <x:v>MS GCM</x:v>
      </x:c>
      <x:c r="B102" s="30" t="str">
        <x:v>IBD / GCM</x:v>
      </x:c>
      <x:c r="C102" s="30" t="str">
        <x:v>Interview Note</x:v>
      </x:c>
      <x:c r="D102" s="31" t="str">
        <x:v>Intro;</x:v>
      </x:c>
      <x:c r="E102" s="31" t="str">
        <x:v>C41</x:v>
      </x:c>
      <x:c r="F102" s="31" t="str">
        <x:v>If you are the investment bank, what factors would you look other than the above | Biggest growth for investment bank in Asia? ( he told me to look into australia and Korea, China is still strong don't get faked) | Kari 10/10 Kan GU, (no...</x:v>
      </x:c>
    </x:row>
    <x:row r="103" ht="46" customHeight="1">
      <x:c r="A103" s="30" t="str">
        <x:v>MS GCM</x:v>
      </x:c>
      <x:c r="B103" s="30" t="str">
        <x:v>IBD / GCM</x:v>
      </x:c>
      <x:c r="C103" s="30" t="str">
        <x:v>Interview Note</x:v>
      </x:c>
      <x:c r="D103" s="31" t="str">
        <x:v>1-to-1 (Selena, Equity Solutions)</x:v>
      </x:c>
      <x:c r="E103" s="31" t="str">
        <x:v>A44</x:v>
      </x:c>
      <x:c r="F103" s="31" t="str">
        <x:v>Jasmine 10/10 | Group Discussion: | Advise on bond issuance - terms (coupon rate, maturity) , market condition (assuming high-rate), steel industry</x:v>
      </x:c>
    </x:row>
    <x:row r="104" ht="30" customHeight="1">
      <x:c r="A104" s="30" t="str">
        <x:v>MS GCM</x:v>
      </x:c>
      <x:c r="B104" s="30" t="str">
        <x:v>IBD / GCM</x:v>
      </x:c>
      <x:c r="C104" s="30" t="str">
        <x:v>Interview Note</x:v>
      </x:c>
      <x:c r="D104" s="31" t="str">
        <x:v>MS core values</x:v>
      </x:c>
      <x:c r="E104" s="31" t="str">
        <x:v>A48</x:v>
      </x:c>
      <x:c r="F104" s="31" t="str">
        <x:v>Self Intro | Is Nomura a formal internship? (lmao) | Interest rate environment</x:v>
      </x:c>
    </x:row>
    <x:row r="105" ht="30" customHeight="1">
      <x:c r="A105" s="30" t="str">
        <x:v>MS GCM</x:v>
      </x:c>
      <x:c r="B105" s="30" t="str">
        <x:v>IBD / GCM</x:v>
      </x:c>
      <x:c r="C105" s="30" t="str">
        <x:v>Interview Note</x:v>
      </x:c>
      <x:c r="D105" s="31" t="str">
        <x:v>MS deals</x:v>
      </x:c>
      <x:c r="E105" s="31" t="str">
        <x:v>A49</x:v>
      </x:c>
      <x:c r="F105" s="31" t="str">
        <x:v>Is Nomura a formal internship? (lmao) | Interest rate environment | MS core values</x:v>
      </x:c>
    </x:row>
    <x:row r="106" ht="46" customHeight="1">
      <x:c r="A106" s="30" t="str">
        <x:v>MS GCM</x:v>
      </x:c>
      <x:c r="B106" s="30" t="str">
        <x:v>IBD / GCM</x:v>
      </x:c>
      <x:c r="C106" s="30" t="str">
        <x:v>Interview Note</x:v>
      </x:c>
      <x:c r="D106" s="31" t="str">
        <x:v>No time, No 反问</x:v>
      </x:c>
      <x:c r="E106" s="31" t="str">
        <x:v>C49</x:v>
      </x:c>
      <x:c r="F106" s="31" t="str">
        <x:v>you mention market skills, could you please share some news about Chinese markets? | what your perspectives in short-run &amp; long-run | 中文回答：you mentioned swap facility, why central bank doesn’t give cash, but use swap (我没回答出来，请教他，他说是货币基础的问题)</x:v>
      </x:c>
    </x:row>
    <x:row r="107" ht="46" customHeight="1">
      <x:c r="A107" s="30" t="str">
        <x:v>MS GCM</x:v>
      </x:c>
      <x:c r="B107" s="30" t="str">
        <x:v>IBD / GCM</x:v>
      </x:c>
      <x:c r="C107" s="30" t="str">
        <x:v>Metadata</x:v>
      </x:c>
      <x:c r="D107" s="31" t="str">
        <x:v>Super Day</x:v>
      </x:c>
      <x:c r="E107" s="31" t="str">
        <x:v>C53</x:v>
      </x:c>
      <x:c r="F107" s="31" t="str">
        <x:v>what your perspectives in short-run &amp; long-run | 中文回答：you mentioned swap facility, why central bank doesn’t give cash, but use swap (我没回答出来，请教他，他说是货币基础的问题) | No time, No 反问</x:v>
      </x:c>
    </x:row>
    <x:row r="108" ht="46" customHeight="1">
      <x:c r="A108" s="30" t="str">
        <x:v>MS GCM</x:v>
      </x:c>
      <x:c r="B108" s="30" t="str">
        <x:v>IBD / GCM</x:v>
      </x:c>
      <x:c r="C108" s="30" t="str">
        <x:v>Interview Note</x:v>
      </x:c>
      <x:c r="D108" s="31" t="str">
        <x:v>Kari 10/23</x:v>
      </x:c>
      <x:c r="E108" s="31" t="str">
        <x:v>C54</x:v>
      </x:c>
      <x:c r="F108" s="31" t="str">
        <x:v>中文回答：you mentioned swap facility, why central bank doesn’t give cash, but use swap (我没回答出来，请教他，他说是货币基础的问题) | No time, No 反问 | Super Day</x:v>
      </x:c>
    </x:row>
    <x:row r="109" ht="30" customHeight="1">
      <x:c r="A109" s="30" t="str">
        <x:v>MS GCM</x:v>
      </x:c>
      <x:c r="B109" s="30" t="str">
        <x:v>IBD / GCM</x:v>
      </x:c>
      <x:c r="C109" s="30" t="str">
        <x:v>Metadata</x:v>
      </x:c>
      <x:c r="D109" s="31" t="str">
        <x:v>interviewer 1, Sang Kim, male, hk, ED:</x:v>
      </x:c>
      <x:c r="E109" s="31" t="str">
        <x:v>C55</x:v>
      </x:c>
      <x:c r="F109" s="31" t="str">
        <x:v>No time, No 反问 | Super Day | Kari 10/23</x:v>
      </x:c>
    </x:row>
    <x:row r="110" ht="30" customHeight="1">
      <x:c r="A110" s="30" t="str">
        <x:v>MS GCM</x:v>
      </x:c>
      <x:c r="B110" s="30" t="str">
        <x:v>IBD / GCM</x:v>
      </x:c>
      <x:c r="C110" s="30" t="str">
        <x:v>Interview Note</x:v>
      </x:c>
      <x:c r="D110" s="31" t="str">
        <x:v>intro;</x:v>
      </x:c>
      <x:c r="E110" s="31" t="str">
        <x:v>C56</x:v>
      </x:c>
      <x:c r="F110" s="31" t="str">
        <x:v>Super Day | Kari 10/23 | interviewer 1, Sang Kim, male, hk, ED:</x:v>
      </x:c>
    </x:row>
    <x:row r="111" ht="30" customHeight="1">
      <x:c r="A111" s="30" t="str">
        <x:v>MS GCM</x:v>
      </x:c>
      <x:c r="B111" s="30" t="str">
        <x:v>IBD / GCM</x:v>
      </x:c>
      <x:c r="C111" s="30" t="str">
        <x:v>Interview Note</x:v>
      </x:c>
      <x:c r="D111" s="31" t="str">
        <x:v>healthcare industry, gimme a firm</x:v>
      </x:c>
      <x:c r="E111" s="31" t="str">
        <x:v>C60</x:v>
      </x:c>
      <x:c r="F111" s="31" t="str">
        <x:v>why gcm; | why MS; | why HK</x:v>
      </x:c>
    </x:row>
    <x:row r="112" ht="46" customHeight="1">
      <x:c r="A112" s="30" t="str">
        <x:v>MS GCM</x:v>
      </x:c>
      <x:c r="B112" s="30" t="str">
        <x:v>IBD / GCM</x:v>
      </x:c>
      <x:c r="C112" s="30" t="str">
        <x:v>Metadata</x:v>
      </x:c>
      <x:c r="D112" s="31" t="str">
        <x:v>interviewer 2, Eugene Say, male, Singapore, ED:</x:v>
      </x:c>
      <x:c r="E112" s="31" t="str">
        <x:v>C65</x:v>
      </x:c>
      <x:c r="F112" s="31" t="str">
        <x:v>how chinese drug company grow big globally? | how will a chinese company stand out compare to US companies | do you have some challenging time in your life? Share your story</x:v>
      </x:c>
    </x:row>
    <x:row r="113" ht="46" customHeight="1">
      <x:c r="A113" s="30" t="str">
        <x:v>MS GCM</x:v>
      </x:c>
      <x:c r="B113" s="30" t="str">
        <x:v>IBD / GCM</x:v>
      </x:c>
      <x:c r="C113" s="30" t="str">
        <x:v>Interview Note</x:v>
      </x:c>
      <x:c r="D113" s="31" t="str">
        <x:v>intro;</x:v>
      </x:c>
      <x:c r="E113" s="31" t="str">
        <x:v>C66</x:v>
      </x:c>
      <x:c r="F113" s="31" t="str">
        <x:v>how will a chinese company stand out compare to US companies | do you have some challenging time in your life? Share your story | interviewer 2, Eugene Say, male, Singapore, ED:</x:v>
      </x:c>
    </x:row>
    <x:row r="114" ht="30" customHeight="1">
      <x:c r="A114" s="30" t="str">
        <x:v>MS GCM</x:v>
      </x:c>
      <x:c r="B114" s="30" t="str">
        <x:v>IBD / GCM</x:v>
      </x:c>
      <x:c r="C114" s="30" t="str">
        <x:v>Interview Note</x:v>
      </x:c>
      <x:c r="D114" s="31" t="str">
        <x:v>Some comparable comps;</x:v>
      </x:c>
      <x:c r="E114" s="31" t="str">
        <x:v>C71</x:v>
      </x:c>
      <x:c r="F114" s="31" t="str">
        <x:v>why banking; | why hk not Yunnan; | Pitch me a stock;</x:v>
      </x:c>
    </x:row>
    <x:row r="115" ht="62" customHeight="1">
      <x:c r="A115" s="30" t="str">
        <x:v>MS GCM</x:v>
      </x:c>
      <x:c r="B115" s="30" t="str">
        <x:v>IBD / GCM</x:v>
      </x:c>
      <x:c r="C115" s="30" t="str">
        <x:v>Metadata</x:v>
      </x:c>
      <x:c r="D115" s="31" t="str">
        <x:v>反问；</x:v>
      </x:c>
      <x:c r="E115" s="31" t="str">
        <x:v>C74</x:v>
      </x:c>
      <x:c r="F115" s="31" t="str">
        <x:v>Some comparable comps; | what's the technical skills that make you stand out; | if you get offer from MS GCM, and you call your grandma back to Yunnan, your grandma said congratulations but what if GCM? What will you explain to your gran...</x:v>
      </x:c>
    </x:row>
    <x:row r="116" ht="46" customHeight="1">
      <x:c r="A116" s="30" t="str">
        <x:v>MS GCM</x:v>
      </x:c>
      <x:c r="B116" s="30" t="str">
        <x:v>IBD / GCM</x:v>
      </x:c>
      <x:c r="C116" s="30" t="str">
        <x:v>Metadata</x:v>
      </x:c>
      <x:c r="D116" s="31" t="str">
        <x:v>interviewer 3, Melody Wang, female, hk, vp:</x:v>
      </x:c>
      <x:c r="E116" s="31" t="str">
        <x:v>C76</x:v>
      </x:c>
      <x:c r="F116" s="31" t="str">
        <x:v>what's the technical skills that make you stand out; | if you get offer from MS GCM, and you call your grandma back to Yunnan, your grandma said congratulations but what if GCM? What will you explain to your grandma about your role | 反问；</x:v>
      </x:c>
    </x:row>
    <x:row r="117" ht="46" customHeight="1">
      <x:c r="A117" s="30" t="str">
        <x:v>MS GCM</x:v>
      </x:c>
      <x:c r="B117" s="30" t="str">
        <x:v>IBD / GCM</x:v>
      </x:c>
      <x:c r="C117" s="30" t="str">
        <x:v>Interview Note</x:v>
      </x:c>
      <x:c r="D117" s="31" t="str">
        <x:v>intro</x:v>
      </x:c>
      <x:c r="E117" s="31" t="str">
        <x:v>C77</x:v>
      </x:c>
      <x:c r="F117" s="31" t="str">
        <x:v>if you get offer from MS GCM, and you call your grandma back to Yunnan, your grandma said congratulations but what if GCM? What will you explain to your grandma about your role | 反问； | interviewer 3, Melody Wang, female, hk, vp:</x:v>
      </x:c>
    </x:row>
    <x:row r="118" ht="30" customHeight="1">
      <x:c r="A118" s="30" t="str">
        <x:v>MS GCM</x:v>
      </x:c>
      <x:c r="B118" s="30" t="str">
        <x:v>IBD / GCM</x:v>
      </x:c>
      <x:c r="C118" s="30" t="str">
        <x:v>Interview Note</x:v>
      </x:c>
      <x:c r="D118" s="31" t="str">
        <x:v>highlights, risks</x:v>
      </x:c>
      <x:c r="E118" s="31" t="str">
        <x:v>C81</x:v>
      </x:c>
      <x:c r="F118" s="31" t="str">
        <x:v>why GCM | how a deal couldn't get listed, factors? | a firm/deal you worked on that you think is interesting;</x:v>
      </x:c>
    </x:row>
    <x:row r="119" ht="30" customHeight="1">
      <x:c r="A119" s="30" t="str">
        <x:v>MS GCM</x:v>
      </x:c>
      <x:c r="B119" s="30" t="str">
        <x:v>IBD / GCM</x:v>
      </x:c>
      <x:c r="C119" s="30" t="str">
        <x:v>Interview Note</x:v>
      </x:c>
      <x:c r="D119" s="31" t="str">
        <x:v>(i said xhs): how do you think of xhs's potential trend</x:v>
      </x:c>
      <x:c r="E119" s="31" t="str">
        <x:v>C84</x:v>
      </x:c>
      <x:c r="F119" s="31" t="str">
        <x:v>highlights, risks | name 5 listed Chinese TMT comps; | name 3 Chinese unicorns</x:v>
      </x:c>
    </x:row>
    <x:row r="120" ht="30" customHeight="1">
      <x:c r="A120" s="30" t="str">
        <x:v>MS GCM</x:v>
      </x:c>
      <x:c r="B120" s="30" t="str">
        <x:v>IBD / GCM</x:v>
      </x:c>
      <x:c r="C120" s="30" t="str">
        <x:v>Interview Note</x:v>
      </x:c>
      <x:c r="D120" s="31" t="str">
        <x:v>If NI is negative, what other method you could use;</x:v>
      </x:c>
      <x:c r="E120" s="31" t="str">
        <x:v>C87</x:v>
      </x:c>
      <x:c r="F120" s="31" t="str">
        <x:v>(i said xhs): how do you think of xhs's potential trend | Do valuation of xhs; | Are you sure NI is positive?</x:v>
      </x:c>
    </x:row>
    <x:row r="121" ht="30" customHeight="1">
      <x:c r="A121" s="30" t="str">
        <x:v>MS GCM</x:v>
      </x:c>
      <x:c r="B121" s="30" t="str">
        <x:v>IBD / GCM</x:v>
      </x:c>
      <x:c r="C121" s="30" t="str">
        <x:v>Metadata</x:v>
      </x:c>
      <x:c r="D121" s="31" t="str">
        <x:v>反问</x:v>
      </x:c>
      <x:c r="E121" s="31" t="str">
        <x:v>C88</x:v>
      </x:c>
      <x:c r="F121" s="31" t="str">
        <x:v>Do valuation of xhs; | Are you sure NI is positive? | If NI is negative, what other method you could use;</x:v>
      </x:c>
    </x:row>
    <x:row r="122" ht="30" customHeight="1">
      <x:c r="A122" s="30" t="str">
        <x:v>MS GCM</x:v>
      </x:c>
      <x:c r="B122" s="30" t="str">
        <x:v>IBD / GCM</x:v>
      </x:c>
      <x:c r="C122" s="30" t="str">
        <x:v>Metadata</x:v>
      </x:c>
      <x:c r="D122" s="31" t="str">
        <x:v>2026 SA</x:v>
      </x:c>
      <x:c r="E122" s="31" t="str">
        <x:v>A91</x:v>
      </x:c>
      <x:c r="F122" s="31" t="str">
        <x:v>MS deals | Equity vs Debt (from both company and investor's perspectives) | Hobbies</x:v>
      </x:c>
    </x:row>
    <x:row r="123" ht="30" customHeight="1">
      <x:c r="A123" s="30" t="str">
        <x:v>MS GCM</x:v>
      </x:c>
      <x:c r="B123" s="30" t="str">
        <x:v>IBD / GCM</x:v>
      </x:c>
      <x:c r="C123" s="30" t="str">
        <x:v>Metadata</x:v>
      </x:c>
      <x:c r="D123" s="31" t="str">
        <x:v>First Round</x:v>
      </x:c>
      <x:c r="E123" s="31" t="str">
        <x:v>A92</x:v>
      </x:c>
      <x:c r="F123" s="31" t="str">
        <x:v>Equity vs Debt (from both company and investor's perspectives) | Hobbies | 2026 SA</x:v>
      </x:c>
    </x:row>
    <x:row r="124" ht="30" customHeight="1">
      <x:c r="A124" s="30" t="str">
        <x:v>MS GCM</x:v>
      </x:c>
      <x:c r="B124" s="30" t="str">
        <x:v>IBD / GCM</x:v>
      </x:c>
      <x:c r="C124" s="30" t="str">
        <x:v>Metadata</x:v>
      </x:c>
      <x:c r="D124" s="31" t="str">
        <x:v>John</x:v>
      </x:c>
      <x:c r="E124" s="31" t="str">
        <x:v>A93</x:v>
      </x:c>
      <x:c r="F124" s="31" t="str">
        <x:v>Hobbies | 2026 SA | First Round</x:v>
      </x:c>
    </x:row>
    <x:row r="125" ht="30" customHeight="1">
      <x:c r="A125" s="30" t="str">
        <x:v>MS GCM</x:v>
      </x:c>
      <x:c r="B125" s="30" t="str">
        <x:v>IBD / GCM</x:v>
      </x:c>
      <x:c r="C125" s="30" t="str">
        <x:v>Metadata</x:v>
      </x:c>
      <x:c r="D125" s="31" t="str">
        <x:v>Veronica</x:v>
      </x:c>
      <x:c r="E125" s="31" t="str">
        <x:v>C93</x:v>
      </x:c>
      <x:c r="F125" s="31" t="str">
        <x:v>Are you sure NI is positive? | If NI is negative, what other method you could use; | 反问</x:v>
      </x:c>
    </x:row>
    <x:row r="126" ht="30" customHeight="1">
      <x:c r="A126" s="30" t="str">
        <x:v>MS GCM</x:v>
      </x:c>
      <x:c r="B126" s="30" t="str">
        <x:v>IBD / GCM</x:v>
      </x:c>
      <x:c r="C126" s="30" t="str">
        <x:v>Interview Note</x:v>
      </x:c>
      <x:c r="D126" s="31" t="str">
        <x:v>CASE STUDY (5mins read+15mins discussion+20mins pre and Q&amp;A)</x:v>
      </x:c>
      <x:c r="E126" s="31" t="str">
        <x:v>D93</x:v>
      </x:c>
      <x:c r="F126" s="31" t="str"/>
    </x:row>
    <x:row r="127" ht="30" customHeight="1">
      <x:c r="A127" s="30" t="str">
        <x:v>MS GCM</x:v>
      </x:c>
      <x:c r="B127" s="30" t="str">
        <x:v>IBD / GCM</x:v>
      </x:c>
      <x:c r="C127" s="30" t="str">
        <x:v>Metadata</x:v>
      </x:c>
      <x:c r="D127" s="31" t="str">
        <x:v>Interviewer: Dick Lee (he is very chill)</x:v>
      </x:c>
      <x:c r="E127" s="31" t="str">
        <x:v>C94</x:v>
      </x:c>
      <x:c r="F127" s="31" t="str">
        <x:v>If NI is negative, what other method you could use; | 反问 | Veronica</x:v>
      </x:c>
    </x:row>
    <x:row r="128" ht="30" customHeight="1">
      <x:c r="A128" s="30" t="str">
        <x:v>MS GCM</x:v>
      </x:c>
      <x:c r="B128" s="30" t="str">
        <x:v>IBD / GCM</x:v>
      </x:c>
      <x:c r="C128" s="30" t="str">
        <x:v>Interview Note</x:v>
      </x:c>
      <x:c r="D128" s="31" t="str">
        <x:v>(size, pricing, dilution minization)</x:v>
      </x:c>
      <x:c r="E128" s="31" t="str">
        <x:v>D95</x:v>
      </x:c>
      <x:c r="F128" s="31" t="str">
        <x:v>CASE STUDY (5mins read+15mins discussion+20mins pre and Q&amp;A) | ABOUT AN EQUITY SEASONED OFFERING SOLUTION TO A COMPANY</x:v>
      </x:c>
    </x:row>
    <x:row r="129" ht="46" customHeight="1">
      <x:c r="A129" s="30" t="str">
        <x:v>MS GCM</x:v>
      </x:c>
      <x:c r="B129" s="30" t="str">
        <x:v>IBD / GCM</x:v>
      </x:c>
      <x:c r="C129" s="30" t="str">
        <x:v>Interview Note</x:v>
      </x:c>
      <x:c r="D129" s="31" t="str">
        <x:v>转为普通话 谈谈MS最近的deal</x:v>
      </x:c>
      <x:c r="E129" s="31" t="str">
        <x:v>A99</x:v>
      </x:c>
      <x:c r="F129" s="31" t="str">
        <x:v>Why GCM not GM? | Raising capital through equity or debt, usually what are the pros and cons? | Situational Q: asked about financing solution for a company that I followed during my ER intern</x:v>
      </x:c>
    </x:row>
    <x:row r="130" ht="30" customHeight="1">
      <x:c r="A130" s="30" t="str">
        <x:v>MS GCM</x:v>
      </x:c>
      <x:c r="B130" s="30" t="str">
        <x:v>IBD / GCM</x:v>
      </x:c>
      <x:c r="C130" s="30" t="str">
        <x:v>Interview Note</x:v>
      </x:c>
      <x:c r="D130" s="31" t="str">
        <x:v>Case comp experience</x:v>
      </x:c>
      <x:c r="E130" s="31" t="str">
        <x:v>C99</x:v>
      </x:c>
      <x:c r="F130" s="31" t="str">
        <x:v>why GCM instead of IBD/PE | Tell me about the product teams under GCM. Their functions? | Preference for team?</x:v>
      </x:c>
    </x:row>
    <x:row r="131" ht="46" customHeight="1">
      <x:c r="A131" s="30" t="str">
        <x:v>MS GCM</x:v>
      </x:c>
      <x:c r="B131" s="30" t="str">
        <x:v>IBD / GCM</x:v>
      </x:c>
      <x:c r="C131" s="30" t="str">
        <x:v>Interview Note</x:v>
      </x:c>
      <x:c r="D131" s="31" t="str">
        <x:v>你最感兴趣的那个可以详细讲讲吗</x:v>
      </x:c>
      <x:c r="E131" s="31" t="str">
        <x:v>A100</x:v>
      </x:c>
      <x:c r="F131" s="31" t="str">
        <x:v>Raising capital through equity or debt, usually what are the pros and cons? | Situational Q: asked about financing solution for a company that I followed during my ER intern | 转为普通话 谈谈MS最近的deal</x:v>
      </x:c>
    </x:row>
    <x:row r="132" ht="30" customHeight="1">
      <x:c r="A132" s="30" t="str">
        <x:v>MS GCM</x:v>
      </x:c>
      <x:c r="B132" s="30" t="str">
        <x:v>IBD / GCM</x:v>
      </x:c>
      <x:c r="C132" s="30" t="str">
        <x:v>Interview Note</x:v>
      </x:c>
      <x:c r="D132" s="31" t="str">
        <x:v>HSBC vs MS</x:v>
      </x:c>
      <x:c r="E132" s="31" t="str">
        <x:v>C100</x:v>
      </x:c>
      <x:c r="F132" s="31" t="str">
        <x:v>Tell me about the product teams under GCM. Their functions? | Preference for team? | Case comp experience</x:v>
      </x:c>
    </x:row>
    <x:row r="133" ht="46" customHeight="1">
      <x:c r="A133" s="30" t="str">
        <x:v>MS GCM</x:v>
      </x:c>
      <x:c r="B133" s="30" t="str">
        <x:v>IBD / GCM</x:v>
      </x:c>
      <x:c r="C133" s="30" t="str">
        <x:v>Metadata</x:v>
      </x:c>
      <x:c r="D133" s="31" t="str">
        <x:v>反问</x:v>
      </x:c>
      <x:c r="E133" s="31" t="str">
        <x:v>A101</x:v>
      </x:c>
      <x:c r="F133" s="31" t="str">
        <x:v>Situational Q: asked about financing solution for a company that I followed during my ER intern | 转为普通话 谈谈MS最近的deal | 你最感兴趣的那个可以详细讲讲吗</x:v>
      </x:c>
    </x:row>
    <x:row r="134" ht="30" customHeight="1">
      <x:c r="A134" s="30" t="str">
        <x:v>MS GCM</x:v>
      </x:c>
      <x:c r="B134" s="30" t="str">
        <x:v>IBD / GCM</x:v>
      </x:c>
      <x:c r="C134" s="30" t="str">
        <x:v>Interview Note</x:v>
      </x:c>
      <x:c r="D134" s="31" t="str">
        <x:v>CV questions</x:v>
      </x:c>
      <x:c r="E134" s="31" t="str">
        <x:v>C101</x:v>
      </x:c>
      <x:c r="F134" s="31" t="str">
        <x:v>Preference for team? | Case comp experience | HSBC vs MS</x:v>
      </x:c>
    </x:row>
    <x:row r="135" ht="30" customHeight="1">
      <x:c r="A135" s="30" t="str">
        <x:v>MS GCM</x:v>
      </x:c>
      <x:c r="B135" s="30" t="str">
        <x:v>IBD / GCM</x:v>
      </x:c>
      <x:c r="C135" s="30" t="str">
        <x:v>Interview Note</x:v>
      </x:c>
      <x:c r="D135" s="31" t="str">
        <x:v>Q&amp;A</x:v>
      </x:c>
      <x:c r="E135" s="31" t="str">
        <x:v>C106</x:v>
      </x:c>
      <x:c r="F135" s="31" t="str">
        <x:v>Walk thru a deal by MS | whats the biggest IPO in hk this year | views on interest rate</x:v>
      </x:c>
    </x:row>
    <x:row r="136" ht="30" customHeight="1">
      <x:c r="A136" s="30" t="str">
        <x:v>MS GCM</x:v>
      </x:c>
      <x:c r="B136" s="30" t="str">
        <x:v>IBD / GCM</x:v>
      </x:c>
      <x:c r="C136" s="30" t="str">
        <x:v>Metadata</x:v>
      </x:c>
      <x:c r="D136" s="31" t="str">
        <x:v>Super Day</x:v>
      </x:c>
      <x:c r="E136" s="31" t="str">
        <x:v>A108</x:v>
      </x:c>
      <x:c r="F136" s="31" t="str">
        <x:v>转为普通话 谈谈MS最近的deal | 你最感兴趣的那个可以详细讲讲吗 | 反问</x:v>
      </x:c>
    </x:row>
    <x:row r="137" ht="30" customHeight="1">
      <x:c r="A137" s="30" t="str">
        <x:v>MS GCM</x:v>
      </x:c>
      <x:c r="B137" s="30" t="str">
        <x:v>IBD / GCM</x:v>
      </x:c>
      <x:c r="C137" s="30" t="str">
        <x:v>Metadata</x:v>
      </x:c>
      <x:c r="D137" s="31" t="str">
        <x:v>John</x:v>
      </x:c>
      <x:c r="E137" s="31" t="str">
        <x:v>A109</x:v>
      </x:c>
      <x:c r="F137" s="31" t="str">
        <x:v>你最感兴趣的那个可以详细讲讲吗 | 反问 | Super Day</x:v>
      </x:c>
    </x:row>
    <x:row r="138" ht="30" customHeight="1">
      <x:c r="A138" s="30" t="str">
        <x:v>MS GCM</x:v>
      </x:c>
      <x:c r="B138" s="30" t="str">
        <x:v>IBD / GCM</x:v>
      </x:c>
      <x:c r="C138" s="30" t="str">
        <x:v>Metadata</x:v>
      </x:c>
      <x:c r="D138" s="31" t="str">
        <x:v>Veronica</x:v>
      </x:c>
      <x:c r="E138" s="31" t="str">
        <x:v>C109</x:v>
      </x:c>
      <x:c r="F138" s="31" t="str">
        <x:v>whats the biggest IPO in hk this year | views on interest rate | Q&amp;A</x:v>
      </x:c>
    </x:row>
    <x:row r="139" ht="30" customHeight="1">
      <x:c r="A139" s="30" t="str">
        <x:v>MS GCM</x:v>
      </x:c>
      <x:c r="B139" s="30" t="str">
        <x:v>IBD / GCM</x:v>
      </x:c>
      <x:c r="C139" s="30" t="str">
        <x:v>Metadata</x:v>
      </x:c>
      <x:c r="D139" s="31" t="str">
        <x:v>Interviewer 1: Melody Wang (ED, ECM) she is very scary</x:v>
      </x:c>
      <x:c r="E139" s="31" t="str">
        <x:v>C110</x:v>
      </x:c>
      <x:c r="F139" s="31" t="str">
        <x:v>views on interest rate | Q&amp;A | Veronica</x:v>
      </x:c>
    </x:row>
    <x:row r="140" ht="30" customHeight="1">
      <x:c r="A140" s="30" t="str">
        <x:v>MS GCM</x:v>
      </x:c>
      <x:c r="B140" s="30" t="str">
        <x:v>IBD / GCM</x:v>
      </x:c>
      <x:c r="C140" s="30" t="str">
        <x:v>Interview Note</x:v>
      </x:c>
      <x:c r="D140" s="31" t="str">
        <x:v>Mostly very common behavioral ones. Chill and easy to handle</x:v>
      </x:c>
      <x:c r="E140" s="31" t="str">
        <x:v>A111</x:v>
      </x:c>
      <x:c r="F140" s="31" t="str">
        <x:v>Super Day | John | Danny Lam, HR? COO?</x:v>
      </x:c>
    </x:row>
    <x:row r="141" ht="46" customHeight="1">
      <x:c r="A141" s="30" t="str">
        <x:v>MS GCM</x:v>
      </x:c>
      <x:c r="B141" s="30" t="str">
        <x:v>IBD / GCM</x:v>
      </x:c>
      <x:c r="C141" s="30" t="str">
        <x:v>Metadata</x:v>
      </x:c>
      <x:c r="D141" s="31" t="str">
        <x:v>反问</x:v>
      </x:c>
      <x:c r="E141" s="31" t="str">
        <x:v>A115</x:v>
      </x:c>
      <x:c r="F141" s="31" t="str">
        <x:v>Why GCM not GM? | What's your hours on the trading floor? - Banking side has long hours, be prepared. | Tell me about a deal done by MS</x:v>
      </x:c>
    </x:row>
    <x:row r="142" ht="46" customHeight="1">
      <x:c r="A142" s="30" t="str">
        <x:v>MS GCM</x:v>
      </x:c>
      <x:c r="B142" s="30" t="str">
        <x:v>IBD / GCM</x:v>
      </x:c>
      <x:c r="C142" s="30" t="str">
        <x:v>Interview Note</x:v>
      </x:c>
      <x:c r="D142" s="31" t="str">
        <x:v>Amber Xi, ED in ECM</x:v>
      </x:c>
      <x:c r="E142" s="31" t="str">
        <x:v>A117</x:v>
      </x:c>
      <x:c r="F142" s="31" t="str">
        <x:v>What's your hours on the trading floor? - Banking side has long hours, be prepared. | Tell me about a deal done by MS | 反问</x:v>
      </x:c>
    </x:row>
    <x:row r="143" ht="30" customHeight="1">
      <x:c r="A143" s="30" t="str">
        <x:v>MS GCM</x:v>
      </x:c>
      <x:c r="B143" s="30" t="str">
        <x:v>IBD / GCM</x:v>
      </x:c>
      <x:c r="C143" s="30" t="str">
        <x:v>Metadata</x:v>
      </x:c>
      <x:c r="D143" s="31" t="str">
        <x:v>反问</x:v>
      </x:c>
      <x:c r="E143" s="31" t="str">
        <x:v>A123</x:v>
      </x:c>
      <x:c r="F143" s="31" t="str">
        <x:v>What are the pros and cons of raising capital through equity/debt? | Tell me about a deal done by MS | Why GCM?</x:v>
      </x:c>
    </x:row>
    <x:row r="144" ht="46" customHeight="1">
      <x:c r="A144" s="30" t="str">
        <x:v>MS GCM</x:v>
      </x:c>
      <x:c r="B144" s="30" t="str">
        <x:v>IBD / GCM</x:v>
      </x:c>
      <x:c r="C144" s="30" t="str">
        <x:v>Interview Note</x:v>
      </x:c>
      <x:c r="D144" s="31" t="str">
        <x:v>No Q&amp;A</x:v>
      </x:c>
      <x:c r="E144" s="31" t="str">
        <x:v>C124</x:v>
      </x:c>
      <x:c r="F144" s="31" t="str">
        <x:v>explain different multiples and their applications | some other follow-up questions on my previous stock pitch | how to find comps for a hypothetical case</x:v>
      </x:c>
    </x:row>
    <x:row r="145" ht="30" customHeight="1">
      <x:c r="A145" s="30" t="str">
        <x:v>MS GCM</x:v>
      </x:c>
      <x:c r="B145" s="30" t="str">
        <x:v>IBD / GCM</x:v>
      </x:c>
      <x:c r="C145" s="30" t="str">
        <x:v>Metadata</x:v>
      </x:c>
      <x:c r="D145" s="31" t="str">
        <x:v>Interviewer 2: Nicki Zhong (ED, ECM) she is chiller</x:v>
      </x:c>
      <x:c r="E145" s="31" t="str">
        <x:v>C127</x:v>
      </x:c>
      <x:c r="F145" s="31" t="str">
        <x:v>some other follow-up questions on my previous stock pitch | how to find comps for a hypothetical case | No Q&amp;A</x:v>
      </x:c>
    </x:row>
    <x:row r="146" ht="30" customHeight="1">
      <x:c r="A146" s="30" t="str">
        <x:v>MS GCM</x:v>
      </x:c>
      <x:c r="B146" s="30" t="str">
        <x:v>IBD / GCM</x:v>
      </x:c>
      <x:c r="C146" s="30" t="str">
        <x:v>Interview Note</x:v>
      </x:c>
      <x:c r="D146" s="31" t="str">
        <x:v>multitasking experience</x:v>
      </x:c>
      <x:c r="E146" s="31" t="str">
        <x:v>C130</x:v>
      </x:c>
      <x:c r="F146" s="31" t="str">
        <x:v>Interviewer 2: Nicki Zhong (ED, ECM) she is chiller | self intro | why GCM, why not IBD/PE</x:v>
      </x:c>
    </x:row>
    <x:row r="147" ht="46" customHeight="1">
      <x:c r="A147" s="30" t="str">
        <x:v>MS GCM</x:v>
      </x:c>
      <x:c r="B147" s="30" t="str">
        <x:v>IBD / GCM</x:v>
      </x:c>
      <x:c r="C147" s="30" t="str">
        <x:v>Metadata</x:v>
      </x:c>
      <x:c r="D147" s="31" t="str">
        <x:v>Follow-up: Since you've mentioned, then what's the benefits of raising funds through convertibles?</x:v>
      </x:c>
      <x:c r="E147" s="31" t="str">
        <x:v>A131</x:v>
      </x:c>
      <x:c r="F147" s="31" t="str">
        <x:v>Which team do you prefer | I am doing convertibles - any ideas or have been following any updates in this field? | (i said honestly no, but i do know that the convertible market in Asia in on a upward trend cuz it has lots of benefits)</x:v>
      </x:c>
    </x:row>
    <x:row r="148" ht="30" customHeight="1">
      <x:c r="A148" s="30" t="str">
        <x:v>MS GCM</x:v>
      </x:c>
      <x:c r="B148" s="30" t="str">
        <x:v>IBD / GCM</x:v>
      </x:c>
      <x:c r="C148" s="30" t="str">
        <x:v>Interview Note</x:v>
      </x:c>
      <x:c r="D148" s="31" t="str">
        <x:v>leadership style + what's my leadership style in the case study earlier</x:v>
      </x:c>
      <x:c r="E148" s="31" t="str">
        <x:v>C131</x:v>
      </x:c>
      <x:c r="F148" s="31" t="str">
        <x:v>self intro | why GCM, why not IBD/PE | multitasking experience</x:v>
      </x:c>
    </x:row>
    <x:row r="149" ht="62" customHeight="1">
      <x:c r="A149" s="30" t="str">
        <x:v>MS GCM</x:v>
      </x:c>
      <x:c r="B149" s="30" t="str">
        <x:v>IBD / GCM</x:v>
      </x:c>
      <x:c r="C149" s="30" t="str">
        <x:v>Metadata</x:v>
      </x:c>
      <x:c r="D149" s="31" t="str">
        <x:v>反问</x:v>
      </x:c>
      <x:c r="E149" s="31" t="str">
        <x:v>A132</x:v>
      </x:c>
      <x:c r="F149" s="31" t="str">
        <x:v>I am doing convertibles - any ideas or have been following any updates in this field? | (i said honestly no, but i do know that the convertible market in Asia in on a upward trend cuz it has lots of benefits) | Follow-up: Since you've me...</x:v>
      </x:c>
    </x:row>
    <x:row r="150" ht="62" customHeight="1">
      <x:c r="A150" s="30" t="str">
        <x:v>MS GCM</x:v>
      </x:c>
      <x:c r="B150" s="30" t="str">
        <x:v>IBD / GCM</x:v>
      </x:c>
      <x:c r="C150" s="30" t="str">
        <x:v>Interview Note</x:v>
      </x:c>
      <x:c r="D150" s="31" t="str">
        <x:v>Q&amp;A</x:v>
      </x:c>
      <x:c r="E150" s="31" t="str">
        <x:v>C137</x:v>
      </x:c>
      <x:c r="F150" s="31" t="str">
        <x:v>how to find comps | The stock I pitched wants to do an IPO. However, investors are only willing to pay a price much lower than what the issuer expects. How would you convince the investors? | Now investors raise their pricing, but the is...</x:v>
      </x:c>
    </x:row>
    <x:row r="151" ht="62" customHeight="1">
      <x:c r="A151" s="30" t="str">
        <x:v>MS GCM</x:v>
      </x:c>
      <x:c r="B151" s="30" t="str">
        <x:v>IBD / GCM</x:v>
      </x:c>
      <x:c r="C151" s="30" t="str">
        <x:v>Metadata</x:v>
      </x:c>
      <x:c r="D151" s="31" t="str">
        <x:v>Interviewer 3: Michael Leong (serious guy)</x:v>
      </x:c>
      <x:c r="E151" s="31" t="str">
        <x:v>C139</x:v>
      </x:c>
      <x:c r="F151" s="31" t="str">
        <x:v>The stock I pitched wants to do an IPO. However, investors are only willing to pay a price much lower than what the issuer expects. How would you convince the investors? | Now investors raise their pricing, but the issuers' expectations ...</x:v>
      </x:c>
    </x:row>
    <x:row r="152" ht="30" customHeight="1">
      <x:c r="A152" s="30" t="str">
        <x:v>MS GCM</x:v>
      </x:c>
      <x:c r="B152" s="30" t="str">
        <x:v>IBD / GCM</x:v>
      </x:c>
      <x:c r="C152" s="30" t="str">
        <x:v>Interview Note</x:v>
      </x:c>
      <x:c r="D152" s="31" t="str">
        <x:v>Financial modelling with follow up questions</x:v>
      </x:c>
      <x:c r="E152" s="31" t="str">
        <x:v>C141</x:v>
      </x:c>
      <x:c r="F152" s="31" t="str">
        <x:v>Q&amp;A | Interviewer 3: Michael Leong (serious guy) | self intro</x:v>
      </x:c>
    </x:row>
    <x:row r="153" ht="30" customHeight="1">
      <x:c r="A153" s="30" t="str">
        <x:v>MS GCM</x:v>
      </x:c>
      <x:c r="B153" s="30" t="str">
        <x:v>IBD / GCM</x:v>
      </x:c>
      <x:c r="C153" s="30" t="str">
        <x:v>Interview Note</x:v>
      </x:c>
      <x:c r="D153" s="31" t="str">
        <x:v>you mentioned many ratios, explain them one by one and the formula for the ratios</x:v>
      </x:c>
      <x:c r="E153" s="31" t="str">
        <x:v>C143</x:v>
      </x:c>
      <x:c r="F153" s="31" t="str">
        <x:v>self intro | Financial modelling with follow up questions | how do you assess the performance of a company</x:v>
      </x:c>
    </x:row>
    <x:row r="154" ht="30" customHeight="1">
      <x:c r="A154" s="30" t="str">
        <x:v>MS GCM</x:v>
      </x:c>
      <x:c r="B154" s="30" t="str">
        <x:v>IBD / GCM</x:v>
      </x:c>
      <x:c r="C154" s="30" t="str">
        <x:v>Interview Note</x:v>
      </x:c>
      <x:c r="D154" s="31" t="str">
        <x:v>CV based questions</x:v>
      </x:c>
      <x:c r="E154" s="31" t="str">
        <x:v>C148</x:v>
      </x:c>
      <x:c r="F154" s="31" t="str">
        <x:v>WACC calculation | how to find beta | market grill (forgot the question, prob about interest rate)</x:v>
      </x:c>
    </x:row>
    <x:row r="155" ht="46" customHeight="1">
      <x:c r="A155" s="30" t="str">
        <x:v>MS GCM</x:v>
      </x:c>
      <x:c r="B155" s="30" t="str">
        <x:v>IBD / GCM</x:v>
      </x:c>
      <x:c r="C155" s="30" t="str">
        <x:v>Interview Note</x:v>
      </x:c>
      <x:c r="D155" s="31" t="str">
        <x:v>Q&amp;A</x:v>
      </x:c>
      <x:c r="E155" s="31" t="str">
        <x:v>C150</x:v>
      </x:c>
      <x:c r="F155" s="31" t="str">
        <x:v>market grill (forgot the question, prob about interest rate) | CV based questions | the world is inflationary or deflationary right now?</x:v>
      </x:c>
    </x:row>
    <x:row r="156" ht="30" customHeight="1">
      <x:c r="A156" s="30" t="str">
        <x:v>MS GCM</x:v>
      </x:c>
      <x:c r="B156" s="30" t="str">
        <x:v>IBD / GCM</x:v>
      </x:c>
      <x:c r="C156" s="30" t="str">
        <x:v>Interview Note</x:v>
      </x:c>
      <x:c r="D156" s="31" t="str">
        <x:v>(he asked me some other questions but i dont rmb)</x:v>
      </x:c>
      <x:c r="E156" s="31" t="str">
        <x:v>C151</x:v>
      </x:c>
      <x:c r="F156" s="31" t="str">
        <x:v>CV based questions | the world is inflationary or deflationary right now? | Q&amp;A</x:v>
      </x:c>
    </x:row>
    <x:row r="157" ht="30" customHeight="1">
      <x:c r="A157" s="30" t="str">
        <x:v>UBS IBD</x:v>
      </x:c>
      <x:c r="B157" s="30" t="str">
        <x:v>IBD / GCM</x:v>
      </x:c>
      <x:c r="C157" s="30" t="str">
        <x:v>Metadata</x:v>
      </x:c>
      <x:c r="D157" s="31" t="str">
        <x:v>2024 SA</x:v>
      </x:c>
      <x:c r="E157" s="31" t="str">
        <x:v>A1</x:v>
      </x:c>
      <x:c r="F157" s="31" t="str"/>
    </x:row>
    <x:row r="158" ht="30" customHeight="1">
      <x:c r="A158" s="30" t="str">
        <x:v>UBS IBD</x:v>
      </x:c>
      <x:c r="B158" s="30" t="str">
        <x:v>IBD / GCM</x:v>
      </x:c>
      <x:c r="C158" s="30" t="str">
        <x:v>Metadata</x:v>
      </x:c>
      <x:c r="D158" s="31" t="str">
        <x:v>1st round</x:v>
      </x:c>
      <x:c r="E158" s="31" t="str">
        <x:v>A2</x:v>
      </x:c>
      <x:c r="F158" s="31" t="str">
        <x:v>2024 SA</x:v>
      </x:c>
    </x:row>
    <x:row r="159" ht="30" customHeight="1">
      <x:c r="A159" s="30" t="str">
        <x:v>UBS IBD</x:v>
      </x:c>
      <x:c r="B159" s="30" t="str">
        <x:v>IBD / GCM</x:v>
      </x:c>
      <x:c r="C159" s="30" t="str">
        <x:v>Interview Note</x:v>
      </x:c>
      <x:c r="D159" s="31" t="str">
        <x:v>19 UBS SPD Emily</x:v>
      </x:c>
      <x:c r="E159" s="31" t="str">
        <x:v>D2</x:v>
      </x:c>
      <x:c r="F159" s="31" t="str"/>
    </x:row>
    <x:row r="160" ht="30" customHeight="1">
      <x:c r="A160" s="30" t="str">
        <x:v>UBS IBD</x:v>
      </x:c>
      <x:c r="B160" s="30" t="str">
        <x:v>IBD / GCM</x:v>
      </x:c>
      <x:c r="C160" s="30" t="str">
        <x:v>Interview Note</x:v>
      </x:c>
      <x:c r="D160" s="31" t="str">
        <x:v>24 Emily Call with Emily and Horce</x:v>
      </x:c>
      <x:c r="E160" s="31" t="str">
        <x:v>G2</x:v>
      </x:c>
      <x:c r="F160" s="31" t="str"/>
    </x:row>
    <x:row r="161" ht="30" customHeight="1">
      <x:c r="A161" s="30" t="str">
        <x:v>UBS IBD</x:v>
      </x:c>
      <x:c r="B161" s="30" t="str">
        <x:v>IBD / GCM</x:v>
      </x:c>
      <x:c r="C161" s="30" t="str">
        <x:v>Interview Note</x:v>
      </x:c>
      <x:c r="D161" s="31" t="str">
        <x:v>28 Phone Interview (Beata) with Flora Lin</x:v>
      </x:c>
      <x:c r="E161" s="31" t="str">
        <x:v>K2</x:v>
      </x:c>
      <x:c r="F161" s="31" t="str"/>
    </x:row>
    <x:row r="162" ht="30" customHeight="1">
      <x:c r="A162" s="30" t="str">
        <x:v>UBS IBD</x:v>
      </x:c>
      <x:c r="B162" s="30" t="str">
        <x:v>IBD / GCM</x:v>
      </x:c>
      <x:c r="C162" s="30" t="str">
        <x:v>Metadata</x:v>
      </x:c>
      <x:c r="D162" s="31" t="str">
        <x:v>Emily - Anqi Xu</x:v>
      </x:c>
      <x:c r="E162" s="31" t="str">
        <x:v>A3</x:v>
      </x:c>
      <x:c r="F162" s="31" t="str">
        <x:v>2024 SA | 1st round</x:v>
      </x:c>
    </x:row>
    <x:row r="163" ht="30" customHeight="1">
      <x:c r="A163" s="30" t="str">
        <x:v>UBS IBD</x:v>
      </x:c>
      <x:c r="B163" s="30" t="str">
        <x:v>IBD / GCM</x:v>
      </x:c>
      <x:c r="C163" s="30" t="str">
        <x:v>Interview Note</x:v>
      </x:c>
      <x:c r="D163" s="31" t="str">
        <x:v>Technical</x:v>
      </x:c>
      <x:c r="E163" s="31" t="str">
        <x:v>D3</x:v>
      </x:c>
      <x:c r="F163" s="31" t="str">
        <x:v>19 UBS SPD Emily</x:v>
      </x:c>
    </x:row>
    <x:row r="164" ht="30" customHeight="1">
      <x:c r="A164" s="30" t="str">
        <x:v>UBS IBD</x:v>
      </x:c>
      <x:c r="B164" s="30" t="str">
        <x:v>IBD / GCM</x:v>
      </x:c>
      <x:c r="C164" s="30" t="str">
        <x:v>Interview Note</x:v>
      </x:c>
      <x:c r="D164" s="31" t="str">
        <x:v>Self Into</x:v>
      </x:c>
      <x:c r="E164" s="31" t="str">
        <x:v>G3</x:v>
      </x:c>
      <x:c r="F164" s="31" t="str">
        <x:v>24 Emily Call with Emily and Horce</x:v>
      </x:c>
    </x:row>
    <x:row r="165" ht="30" customHeight="1">
      <x:c r="A165" s="30" t="str">
        <x:v>UBS IBD</x:v>
      </x:c>
      <x:c r="B165" s="30" t="str">
        <x:v>IBD / GCM</x:v>
      </x:c>
      <x:c r="C165" s="30" t="str">
        <x:v>Interview Note</x:v>
      </x:c>
      <x:c r="D165" s="31" t="str">
        <x:v>Mandarin:</x:v>
      </x:c>
      <x:c r="E165" s="31" t="str">
        <x:v>G5</x:v>
      </x:c>
      <x:c r="F165" s="31" t="str">
        <x:v>24 Emily Call with Emily and Horce | Self Into | Why UBS</x:v>
      </x:c>
    </x:row>
    <x:row r="166" ht="30" customHeight="1">
      <x:c r="A166" s="30" t="str">
        <x:v>UBS IBD</x:v>
      </x:c>
      <x:c r="B166" s="30" t="str">
        <x:v>IBD / GCM</x:v>
      </x:c>
      <x:c r="C166" s="30" t="str">
        <x:v>Interview Note</x:v>
      </x:c>
      <x:c r="D166" s="31" t="str">
        <x:v>Outlook of investment banking segment</x:v>
      </x:c>
      <x:c r="E166" s="31" t="str">
        <x:v>G6</x:v>
      </x:c>
      <x:c r="F166" s="31" t="str">
        <x:v>Self Into | Why UBS | Mandarin:</x:v>
      </x:c>
    </x:row>
    <x:row r="167" ht="30" customHeight="1">
      <x:c r="A167" s="30" t="str">
        <x:v>UBS IBD</x:v>
      </x:c>
      <x:c r="B167" s="30" t="str">
        <x:v>IBD / GCM</x:v>
      </x:c>
      <x:c r="C167" s="30" t="str">
        <x:v>Interview Note</x:v>
      </x:c>
      <x:c r="D167" s="31" t="str">
        <x:v>Back to Eng:</x:v>
      </x:c>
      <x:c r="E167" s="31" t="str">
        <x:v>G8</x:v>
      </x:c>
      <x:c r="F167" s="31" t="str">
        <x:v>Mandarin: | Outlook of investment banking segment | Any sectors with opportunities?</x:v>
      </x:c>
    </x:row>
    <x:row r="168" ht="30" customHeight="1">
      <x:c r="A168" s="30" t="str">
        <x:v>UBS IBD</x:v>
      </x:c>
      <x:c r="B168" s="30" t="str">
        <x:v>IBD / GCM</x:v>
      </x:c>
      <x:c r="C168" s="30" t="str">
        <x:v>Interview Note</x:v>
      </x:c>
      <x:c r="D168" s="31" t="str">
        <x:v>Any competing offers</x:v>
      </x:c>
      <x:c r="E168" s="31" t="str">
        <x:v>G9</x:v>
      </x:c>
      <x:c r="F168" s="31" t="str">
        <x:v>Outlook of investment banking segment | Any sectors with opportunities? | Back to Eng:</x:v>
      </x:c>
    </x:row>
    <x:row r="169" ht="62" customHeight="1">
      <x:c r="A169" s="30" t="str">
        <x:v>UBS IBD</x:v>
      </x:c>
      <x:c r="B169" s="30" t="str">
        <x:v>IBD / GCM</x:v>
      </x:c>
      <x:c r="C169" s="30" t="str">
        <x:v>Interview Note</x:v>
      </x:c>
      <x:c r="D169" s="31" t="str">
        <x:v>You have done two case comps but seems like that you were interested in marketing why</x:v>
      </x:c>
      <x:c r="E169" s="31" t="str">
        <x:v>K11</x:v>
      </x:c>
      <x:c r="F169" s="31" t="str">
        <x:v>e.g., how did you do comps, how did you select the comparables, how did you find WACC in DCF, how did you find beta in WACC, what assumptions did you make in projections | Give me an example showing that you're detail oriented | What did...</x:v>
      </x:c>
    </x:row>
    <x:row r="170" ht="46" customHeight="1">
      <x:c r="A170" s="30" t="str">
        <x:v>UBS IBD</x:v>
      </x:c>
      <x:c r="B170" s="30" t="str">
        <x:v>IBD / GCM</x:v>
      </x:c>
      <x:c r="C170" s="30" t="str">
        <x:v>Metadata</x:v>
      </x:c>
      <x:c r="D170" s="31" t="str">
        <x:v>Behavioural</x:v>
      </x:c>
      <x:c r="E170" s="31" t="str">
        <x:v>D12</x:v>
      </x:c>
      <x:c r="F170" s="31" t="str">
        <x:v>How do you find cost of debt? | Shouldn't you use interest expense / debt? | Accounting question: Revenue 100, impact on 3 statement, make your own assumptuons</x:v>
      </x:c>
    </x:row>
    <x:row r="171" ht="46" customHeight="1">
      <x:c r="A171" s="30" t="str">
        <x:v>UBS IBD</x:v>
      </x:c>
      <x:c r="B171" s="30" t="str">
        <x:v>IBD / GCM</x:v>
      </x:c>
      <x:c r="C171" s="30" t="str">
        <x:v>Interview Note</x:v>
      </x:c>
      <x:c r="D171" s="31" t="str">
        <x:v>(i said sthsth and also said the skills were transferrable)</x:v>
      </x:c>
      <x:c r="E171" s="31" t="str">
        <x:v>K12</x:v>
      </x:c>
      <x:c r="F171" s="31" t="str">
        <x:v>Give me an example showing that you're detail oriented | What did you do in HKUIBC | You have done two case comps but seems like that you were interested in marketing why</x:v>
      </x:c>
    </x:row>
    <x:row r="172" ht="62" customHeight="1">
      <x:c r="A172" s="30" t="str">
        <x:v>UBS IBD</x:v>
      </x:c>
      <x:c r="B172" s="30" t="str">
        <x:v>IBD / GCM</x:v>
      </x:c>
      <x:c r="C172" s="30" t="str">
        <x:v>Interview Note</x:v>
      </x:c>
      <x:c r="D172" s="31" t="str">
        <x:v>Most fun experience in Epee fencing</x:v>
      </x:c>
      <x:c r="E172" s="31" t="str">
        <x:v>A13</x:v>
      </x:c>
      <x:c r="F172" s="31" t="str">
        <x:v>Walk me through industry in energy storage and what you did in stock pitch and investment thesis | Walk me through industry in electroplating equipment and what you did in stock pitch and investment thesis | How did you do revenue and co...</x:v>
      </x:c>
    </x:row>
    <x:row r="173" ht="46" customHeight="1">
      <x:c r="A173" s="30" t="str">
        <x:v>UBS IBD</x:v>
      </x:c>
      <x:c r="B173" s="30" t="str">
        <x:v>IBD / GCM</x:v>
      </x:c>
      <x:c r="C173" s="30" t="str">
        <x:v>Metadata</x:v>
      </x:c>
      <x:c r="D173" s="31" t="str">
        <x:v>Regan</x:v>
      </x:c>
      <x:c r="E173" s="31" t="str">
        <x:v>A15</x:v>
      </x:c>
      <x:c r="F173" s="31" t="str">
        <x:v>How did you do revenue and cost breakdown for it? | Most fun experience in Epee fencing | Tell me a time you worked with a team</x:v>
      </x:c>
    </x:row>
    <x:row r="174" ht="30" customHeight="1">
      <x:c r="A174" s="30" t="str">
        <x:v>UBS IBD</x:v>
      </x:c>
      <x:c r="B174" s="30" t="str">
        <x:v>IBD / GCM</x:v>
      </x:c>
      <x:c r="C174" s="30" t="str">
        <x:v>Interview Note</x:v>
      </x:c>
      <x:c r="D174" s="31" t="str">
        <x:v>Sustainable as in good for your growth (clarified)</x:v>
      </x:c>
      <x:c r="E174" s="31" t="str">
        <x:v>D15</x:v>
      </x:c>
      <x:c r="F174" s="31" t="str">
        <x:v>Behavioural | Self Intro | Tell me a time you made a sustainable decision?</x:v>
      </x:c>
    </x:row>
    <x:row r="175" ht="46" customHeight="1">
      <x:c r="A175" s="30" t="str">
        <x:v>UBS IBD</x:v>
      </x:c>
      <x:c r="B175" s="30" t="str">
        <x:v>IBD / GCM</x:v>
      </x:c>
      <x:c r="C175" s="30" t="str">
        <x:v>Interview Note</x:v>
      </x:c>
      <x:c r="D175" s="31" t="str">
        <x:v>Asked about Instagram Effects Creation (~Interests)</x:v>
      </x:c>
      <x:c r="E175" s="31" t="str">
        <x:v>K15</x:v>
      </x:c>
      <x:c r="F175" s="31" t="str">
        <x:v>(i said sthsth and also said the skills were transferrable) | What skills do you think are applicable to IBD | What team do you wanna do if you join us</x:v>
      </x:c>
    </x:row>
    <x:row r="176" ht="30" customHeight="1">
      <x:c r="A176" s="30" t="str">
        <x:v>UBS IBD</x:v>
      </x:c>
      <x:c r="B176" s="30" t="str">
        <x:v>IBD / GCM</x:v>
      </x:c>
      <x:c r="C176" s="30" t="str">
        <x:v>Interview Note</x:v>
      </x:c>
      <x:c r="D176" s="31" t="str">
        <x:v>ubs kayee kam</x:v>
      </x:c>
      <x:c r="E176" s="31" t="str">
        <x:v>A16</x:v>
      </x:c>
      <x:c r="F176" s="31" t="str">
        <x:v>Most fun experience in Epee fencing | Tell me a time you worked with a team | Regan</x:v>
      </x:c>
    </x:row>
    <x:row r="177" ht="46" customHeight="1">
      <x:c r="A177" s="30" t="str">
        <x:v>UBS IBD</x:v>
      </x:c>
      <x:c r="B177" s="30" t="str">
        <x:v>IBD / GCM</x:v>
      </x:c>
      <x:c r="C177" s="30" t="str">
        <x:v>Interview Note</x:v>
      </x:c>
      <x:c r="D177" s="31" t="str">
        <x:v>Q&amp;A</x:v>
      </x:c>
      <x:c r="E177" s="31" t="str">
        <x:v>K16</x:v>
      </x:c>
      <x:c r="F177" s="31" t="str">
        <x:v>What skills do you think are applicable to IBD | What team do you wanna do if you join us | Asked about Instagram Effects Creation (~Interests)</x:v>
      </x:c>
    </x:row>
    <x:row r="178" ht="46" customHeight="1">
      <x:c r="A178" s="30" t="str">
        <x:v>UBS IBD</x:v>
      </x:c>
      <x:c r="B178" s="30" t="str">
        <x:v>IBD / GCM</x:v>
      </x:c>
      <x:c r="C178" s="30" t="str">
        <x:v>Interview Note</x:v>
      </x:c>
      <x:c r="D178" s="31" t="str">
        <x:v>Gold innovative award for BOCHK, what is the comp about</x:v>
      </x:c>
      <x:c r="E178" s="31" t="str">
        <x:v>D18</x:v>
      </x:c>
      <x:c r="F178" s="31" t="str">
        <x:v>Sustainable as in good for your growth (clarified) | Tell me a time you had to make a decision with risks | Tell me a time you faced challenges</x:v>
      </x:c>
    </x:row>
    <x:row r="179" ht="30" customHeight="1">
      <x:c r="A179" s="30" t="str">
        <x:v>UBS IBD</x:v>
      </x:c>
      <x:c r="B179" s="30" t="str">
        <x:v>IBD / GCM</x:v>
      </x:c>
      <x:c r="C179" s="30" t="str">
        <x:v>Interview Note</x:v>
      </x:c>
      <x:c r="D179" s="31" t="str">
        <x:v>Best feedback vs worst feedback u received</x:v>
      </x:c>
      <x:c r="E179" s="31" t="str">
        <x:v>A24</x:v>
      </x:c>
      <x:c r="F179" s="31" t="str">
        <x:v>How many years did you project it | Tell me about a recent piece of news in Chinese | Why IBD not PE</x:v>
      </x:c>
    </x:row>
    <x:row r="180" ht="46" customHeight="1">
      <x:c r="A180" s="30" t="str">
        <x:v>UBS IBD</x:v>
      </x:c>
      <x:c r="B180" s="30" t="str">
        <x:v>IBD / GCM</x:v>
      </x:c>
      <x:c r="C180" s="30" t="str">
        <x:v>Interview Note</x:v>
      </x:c>
      <x:c r="D180" s="31" t="str">
        <x:v>Case study</x:v>
      </x:c>
      <x:c r="E180" s="31" t="str">
        <x:v>D24</x:v>
      </x:c>
      <x:c r="F180" s="31" t="str">
        <x:v>Tell me a time you created an innovative approach to solve a problem | Tell me a time you had to to face conflciting and high pressure deadline? How do you deal with it? | What if there are like 4 MDs reaching out to you, what would you do?</x:v>
      </x:c>
    </x:row>
    <x:row r="181" ht="30" customHeight="1">
      <x:c r="A181" s="30" t="str">
        <x:v>UBS IBD</x:v>
      </x:c>
      <x:c r="B181" s="30" t="str">
        <x:v>IBD / GCM</x:v>
      </x:c>
      <x:c r="C181" s="30" t="str">
        <x:v>Metadata</x:v>
      </x:c>
      <x:c r="D181" s="31" t="str">
        <x:v>Any questions</x:v>
      </x:c>
      <x:c r="E181" s="31" t="str">
        <x:v>A25</x:v>
      </x:c>
      <x:c r="F181" s="31" t="str">
        <x:v>Tell me about a recent piece of news in Chinese | Why IBD not PE | Best feedback vs worst feedback u received</x:v>
      </x:c>
    </x:row>
    <x:row r="182" ht="46" customHeight="1">
      <x:c r="A182" s="30" t="str">
        <x:v>UBS IBD</x:v>
      </x:c>
      <x:c r="B182" s="30" t="str">
        <x:v>IBD / GCM</x:v>
      </x:c>
      <x:c r="C182" s="30" t="str">
        <x:v>Interview Note</x:v>
      </x:c>
      <x:c r="D182" s="31" t="str">
        <x:v>(I fucked up really badly so he is just asking wtf r u doing lol and guiding me to solve it)</x:v>
      </x:c>
      <x:c r="E182" s="31" t="str">
        <x:v>D25</x:v>
      </x:c>
      <x:c r="F182" s="31" t="str">
        <x:v>Tell me a time you had to to face conflciting and high pressure deadline? How do you deal with it? | What if there are like 4 MDs reaching out to you, what would you do? | Case study</x:v>
      </x:c>
    </x:row>
    <x:row r="183" ht="30" customHeight="1">
      <x:c r="A183" s="30" t="str">
        <x:v>UBS IBD</x:v>
      </x:c>
      <x:c r="B183" s="30" t="str">
        <x:v>IBD / GCM</x:v>
      </x:c>
      <x:c r="C183" s="30" t="str">
        <x:v>Interview Note</x:v>
      </x:c>
      <x:c r="D183" s="31" t="str">
        <x:v>if ubs and barclays both gave you an offer, which would you choose</x:v>
      </x:c>
      <x:c r="E183" s="31" t="str">
        <x:v>A26</x:v>
      </x:c>
      <x:c r="F183" s="31" t="str">
        <x:v>Why IBD not PE | Best feedback vs worst feedback u received | Any questions</x:v>
      </x:c>
    </x:row>
    <x:row r="184" ht="30" customHeight="1">
      <x:c r="A184" s="30" t="str">
        <x:v>UBS IBD</x:v>
      </x:c>
      <x:c r="B184" s="30" t="str">
        <x:v>IBD / GCM</x:v>
      </x:c>
      <x:c r="C184" s="30" t="str">
        <x:v>Metadata</x:v>
      </x:c>
      <x:c r="D184" s="31" t="str">
        <x:v>2025 SA</x:v>
      </x:c>
      <x:c r="E184" s="31" t="str">
        <x:v>A31</x:v>
      </x:c>
      <x:c r="F184" s="31" t="str">
        <x:v>Any questions | if ubs and barclays both gave you an offer, which would you choose | why ubs</x:v>
      </x:c>
    </x:row>
    <x:row r="185" ht="30" customHeight="1">
      <x:c r="A185" s="30" t="str">
        <x:v>UBS IBD</x:v>
      </x:c>
      <x:c r="B185" s="30" t="str">
        <x:v>IBD / GCM</x:v>
      </x:c>
      <x:c r="C185" s="30" t="str">
        <x:v>Metadata</x:v>
      </x:c>
      <x:c r="D185" s="31" t="str">
        <x:v>1st round</x:v>
      </x:c>
      <x:c r="E185" s="31" t="str">
        <x:v>A32</x:v>
      </x:c>
      <x:c r="F185" s="31" t="str">
        <x:v>if ubs and barclays both gave you an offer, which would you choose | why ubs | 2025 SA</x:v>
      </x:c>
    </x:row>
    <x:row r="186" ht="30" customHeight="1">
      <x:c r="A186" s="30" t="str">
        <x:v>UBS IBD</x:v>
      </x:c>
      <x:c r="B186" s="30" t="str">
        <x:v>IBD / GCM</x:v>
      </x:c>
      <x:c r="C186" s="30" t="str">
        <x:v>Interview Note</x:v>
      </x:c>
      <x:c r="D186" s="31" t="str">
        <x:v>9 Germaine (webinar with 2 rounds of group discussions)</x:v>
      </x:c>
      <x:c r="E186" s="31" t="str">
        <x:v>A33</x:v>
      </x:c>
      <x:c r="F186" s="31" t="str">
        <x:v>why ubs | 2025 SA | 1st round</x:v>
      </x:c>
    </x:row>
    <x:row r="187" ht="62" customHeight="1">
      <x:c r="A187" s="30" t="str">
        <x:v>UBS IBD</x:v>
      </x:c>
      <x:c r="B187" s="30" t="str">
        <x:v>IBD / GCM</x:v>
      </x:c>
      <x:c r="C187" s="30" t="str">
        <x:v>Metadata</x:v>
      </x:c>
      <x:c r="D187" s="31" t="str">
        <x:v>FOLLOW UP: how should hong kong position itself to differentiate itself from singapore? what financial products or sectors should it focus on?</x:v>
      </x:c>
      <x:c r="E187" s="31" t="str">
        <x:v>A35</x:v>
      </x:c>
      <x:c r="F187" s="31" t="str">
        <x:v>1st round | 9 Germaine (webinar with 2 rounds of group discussions) | considering the continued growth in ASEAN as opposed to the stagnant developments of the Greater China markets, do you think Singapore will overtake HK as an internati...</x:v>
      </x:c>
    </x:row>
    <x:row r="188" ht="62" customHeight="1">
      <x:c r="A188" s="30" t="str">
        <x:v>UBS IBD</x:v>
      </x:c>
      <x:c r="B188" s="30" t="str">
        <x:v>IBD / GCM</x:v>
      </x:c>
      <x:c r="C188" s="30" t="str">
        <x:v>Metadata</x:v>
      </x:c>
      <x:c r="D188" s="31" t="str">
        <x:v>SPD</x:v>
      </x:c>
      <x:c r="E188" s="31" t="str">
        <x:v>A41</x:v>
      </x:c>
      <x:c r="F188" s="31" t="str">
        <x:v>in anticipation of macro and geopolitical uncertainties such as outcome of US presidential election, what do you think is the key for investment banks to stay relevant and competitive? | in light of continued challenging developments of ...</x:v>
      </x:c>
    </x:row>
    <x:row r="189" ht="62" customHeight="1">
      <x:c r="A189" s="30" t="str">
        <x:v>UBS IBD</x:v>
      </x:c>
      <x:c r="B189" s="30" t="str">
        <x:v>IBD / GCM</x:v>
      </x:c>
      <x:c r="C189" s="30" t="str">
        <x:v>Interview Note</x:v>
      </x:c>
      <x:c r="D189" s="31" t="str">
        <x:v>9 Germaine</x:v>
      </x:c>
      <x:c r="E189" s="31" t="str">
        <x:v>A42</x:v>
      </x:c>
      <x:c r="F189" s="31" t="str">
        <x:v>in light of continued challenging developments of china real estate space, what do you think is the medium term impact on the overall chinese economy and ultimately financial markets and companies valuation | how would you compare the ou...</x:v>
      </x:c>
    </x:row>
    <x:row r="190" ht="30" customHeight="1">
      <x:c r="A190" s="30" t="str">
        <x:v>UBS IBD</x:v>
      </x:c>
      <x:c r="B190" s="30" t="str">
        <x:v>IBD / GCM</x:v>
      </x:c>
      <x:c r="C190" s="30" t="str">
        <x:v>Interview Note</x:v>
      </x:c>
      <x:c r="D190" s="31" t="str">
        <x:v>Case Study (Sam Luk, HK Coverage Director)</x:v>
      </x:c>
      <x:c r="E190" s="31" t="str">
        <x:v>A43</x:v>
      </x:c>
      <x:c r="F190" s="31" t="str">
        <x:v>how would you compare the outlook of starting your career in investment banking vs. PE/VC companies? | SPD | 9 Germaine</x:v>
      </x:c>
    </x:row>
    <x:row r="191" ht="46" customHeight="1">
      <x:c r="A191" s="30" t="str">
        <x:v>UBS IBD</x:v>
      </x:c>
      <x:c r="B191" s="30" t="str">
        <x:v>IBD / GCM</x:v>
      </x:c>
      <x:c r="C191" s="30" t="str">
        <x:v>Interview Note</x:v>
      </x:c>
      <x:c r="D191" s="31" t="str">
        <x:v>Commercial (idk she just said her name is Catherine lol)</x:v>
      </x:c>
      <x:c r="E191" s="31" t="str">
        <x:v>A45</x:v>
      </x:c>
      <x:c r="F191" s="31" t="str">
        <x:v>9 Germaine | Case Study (Sam Luk, HK Coverage Director) | I don't have the case with me as I did it in person but it was about xiabuxiabu (hotpot) being privatised by a PE firm and do basic valuation to see if the offer price was reasonable</x:v>
      </x:c>
    </x:row>
    <x:row r="192" ht="46" customHeight="1">
      <x:c r="A192" s="30" t="str">
        <x:v>UBS IBD</x:v>
      </x:c>
      <x:c r="B192" s="30" t="str">
        <x:v>IBD / GCM</x:v>
      </x:c>
      <x:c r="C192" s="30" t="str">
        <x:v>Interview Note</x:v>
      </x:c>
      <x:c r="D192" s="31" t="str">
        <x:v>Industry pitch for Chinese market</x:v>
      </x:c>
      <x:c r="E192" s="31" t="str">
        <x:v>A50</x:v>
      </x:c>
      <x:c r="F192" s="31" t="str">
        <x:v>What new policies did China just implement? (rate cuts, lower rrr etc) | Do you think it's going to be effective? Why would this round of policy stimulus be different? | China Real Estate - why is tackling this important?</x:v>
      </x:c>
    </x:row>
    <x:row r="193" ht="62" customHeight="1">
      <x:c r="A193" s="30" t="str">
        <x:v>UBS IBD</x:v>
      </x:c>
      <x:c r="B193" s="30" t="str">
        <x:v>IBD / GCM</x:v>
      </x:c>
      <x:c r="C193" s="30" t="str">
        <x:v>Interview Note</x:v>
      </x:c>
      <x:c r="D193" s="31" t="str">
        <x:v>Competency (Stephanie Cho, M&amp;A Director)</x:v>
      </x:c>
      <x:c r="E193" s="31" t="str">
        <x:v>A56</x:v>
      </x:c>
      <x:c r="F193" s="31" t="str">
        <x:v>What is special about Nike? (I mentioned Nike) | Nike and Starbucks both just changed CEOs and their stock price rose, what do you think is the reason behind? (it's like their new CEOs are all F&amp;B veterans whereas their old ones came fro...</x:v>
      </x:c>
    </x:row>
    <x:row r="194" ht="46" customHeight="1">
      <x:c r="A194" s="30" t="str">
        <x:v>UBS IBD</x:v>
      </x:c>
      <x:c r="B194" s="30" t="str">
        <x:v>IBD / GCM</x:v>
      </x:c>
      <x:c r="C194" s="30" t="str">
        <x:v>Metadata</x:v>
      </x:c>
      <x:c r="D194" s="31" t="str">
        <x:v>2026 SA</x:v>
      </x:c>
      <x:c r="E194" s="31" t="str">
        <x:v>A64</x:v>
      </x:c>
      <x:c r="F194" s="31" t="str">
        <x:v>PwC ESG Challenge - why this case competition? do you care a lot about ESG? | Why use this competition to know more about ESG? | Tell me about a time where you faced challenges and how you overcame it</x:v>
      </x:c>
    </x:row>
    <x:row r="195" ht="46" customHeight="1">
      <x:c r="A195" s="30" t="str">
        <x:v>UBS IBD</x:v>
      </x:c>
      <x:c r="B195" s="30" t="str">
        <x:v>IBD / GCM</x:v>
      </x:c>
      <x:c r="C195" s="30" t="str">
        <x:v>Metadata</x:v>
      </x:c>
      <x:c r="D195" s="31" t="str">
        <x:v>1st round</x:v>
      </x:c>
      <x:c r="E195" s="31" t="str">
        <x:v>A65</x:v>
      </x:c>
      <x:c r="F195" s="31" t="str">
        <x:v>Why use this competition to know more about ESG? | Tell me about a time where you faced challenges and how you overcame it | 2026 SA</x:v>
      </x:c>
    </x:row>
    <x:row r="196" ht="30" customHeight="1">
      <x:c r="A196" s="30" t="str">
        <x:v>UBS IBD</x:v>
      </x:c>
      <x:c r="B196" s="30" t="str">
        <x:v>IBD / GCM</x:v>
      </x:c>
      <x:c r="C196" s="30" t="str">
        <x:v>Interview Note</x:v>
      </x:c>
      <x:c r="D196" s="31" t="str">
        <x:v>10/18 Kate (webinar with 2 rounds of group discussions)</x:v>
      </x:c>
      <x:c r="E196" s="31" t="str">
        <x:v>A66</x:v>
      </x:c>
      <x:c r="F196" s="31" t="str">
        <x:v>Tell me about a time where you faced challenges and how you overcame it | 2026 SA | 1st round</x:v>
      </x:c>
    </x:row>
    <x:row r="197" ht="62" customHeight="1">
      <x:c r="A197" s="30" t="str">
        <x:v>UBS IBD</x:v>
      </x:c>
      <x:c r="B197" s="30" t="str">
        <x:v>IBD / GCM</x:v>
      </x:c>
      <x:c r="C197" s="30" t="str">
        <x:v>Metadata</x:v>
      </x:c>
      <x:c r="D197" s="31" t="str">
        <x:v>SPD</x:v>
      </x:c>
      <x:c r="E197" s="31" t="str">
        <x:v>A76</x:v>
      </x:c>
      <x:c r="F197" s="31" t="str">
        <x:v>How would you compare the outlook of starting your career in investment banking v.s. PE/VC? | In current market, what is current valuation level of different asset classes? Which one do you prefer to invest? | What’s your view on digital...</x:v>
      </x:c>
    </x:row>
    <x:row r="198" ht="62" customHeight="1">
      <x:c r="A198" s="30" t="str">
        <x:v>UBS IBD</x:v>
      </x:c>
      <x:c r="B198" s="30" t="str">
        <x:v>IBD / GCM</x:v>
      </x:c>
      <x:c r="C198" s="30" t="str">
        <x:v>Interview Note</x:v>
      </x:c>
      <x:c r="D198" s="31" t="str">
        <x:v>11/06 Kate</x:v>
      </x:c>
      <x:c r="E198" s="31" t="str">
        <x:v>A77</x:v>
      </x:c>
      <x:c r="F198" s="31" t="str">
        <x:v>In current market, what is current valuation level of different asset classes? Which one do you prefer to invest? | What’s your view on digital assets development? If you’re the management team member, what’s your policy in terms of digi...</x:v>
      </x:c>
    </x:row>
    <x:row r="199" ht="46" customHeight="1">
      <x:c r="A199" s="30" t="str">
        <x:v>UBS IBD</x:v>
      </x:c>
      <x:c r="B199" s="30" t="str">
        <x:v>IBD / GCM</x:v>
      </x:c>
      <x:c r="C199" s="30" t="str">
        <x:v>Interview Note</x:v>
      </x:c>
      <x:c r="D199" s="31" t="str">
        <x:v>Case Study (M&amp;A Director) - 30 mins prep time, can refer to the case here UBS_26 Summer.pdf</x:v>
      </x:c>
      <x:c r="E199" s="31" t="str">
        <x:v>A78</x:v>
      </x:c>
      <x:c r="F199" s="31" t="str">
        <x:v>What’s your view on digital assets development? If you’re the management team member, what’s your policy in terms of digital assets? | SPD | 11/06 Kate</x:v>
      </x:c>
    </x:row>
    <x:row r="200" ht="30" customHeight="1">
      <x:c r="A200" s="30" t="str">
        <x:v>UBS IBD</x:v>
      </x:c>
      <x:c r="B200" s="30" t="str">
        <x:v>IBD / GCM</x:v>
      </x:c>
      <x:c r="C200" s="30" t="str">
        <x:v>Interview Note</x:v>
      </x:c>
      <x:c r="D200" s="31" t="str">
        <x:v>Asked me to present directly</x:v>
      </x:c>
      <x:c r="E200" s="31" t="str">
        <x:v>A79</x:v>
      </x:c>
      <x:c r="F200" s="31" t="str">
        <x:v>SPD | 11/06 Kate | Case Study (M&amp;A Director) - 30 mins prep time, can refer to the case here UBS_26 Summer.pdf</x:v>
      </x:c>
    </x:row>
    <x:row r="201" ht="46" customHeight="1">
      <x:c r="A201" s="30" t="str">
        <x:v>UBS IBD</x:v>
      </x:c>
      <x:c r="B201" s="30" t="str">
        <x:v>IBD / GCM</x:v>
      </x:c>
      <x:c r="C201" s="30" t="str">
        <x:v>Interview Note</x:v>
      </x:c>
      <x:c r="D201" s="31" t="str">
        <x:v>Interrupted my intro → asked my target price, % premium, and how I arrived at it</x:v>
      </x:c>
      <x:c r="E201" s="31" t="str">
        <x:v>A80</x:v>
      </x:c>
      <x:c r="F201" s="31" t="str">
        <x:v>11/06 Kate | Case Study (M&amp;A Director) - 30 mins prep time, can refer to the case here UBS_26 Summer.pdf | Asked me to present directly</x:v>
      </x:c>
    </x:row>
    <x:row r="202" ht="62" customHeight="1">
      <x:c r="A202" s="30" t="str">
        <x:v>UBS IBD</x:v>
      </x:c>
      <x:c r="B202" s="30" t="str">
        <x:v>IBD / GCM</x:v>
      </x:c>
      <x:c r="C202" s="30" t="str">
        <x:v>Interview Note</x:v>
      </x:c>
      <x:c r="D202" s="31" t="str">
        <x:v>As she disliked the last one I also mentioned spin-off and set up JV.</x:v>
      </x:c>
      <x:c r="E202" s="31" t="str">
        <x:v>A85</x:v>
      </x:c>
      <x:c r="F202" s="31" t="str">
        <x:v>How I justify using 75th percentile and what may be the reasons that its current trading price is low | How I would build a DCF for this company, how to make the model dynamic (mainly the revenue build-up), and other key inputs needed | ...</x:v>
      </x:c>
    </x:row>
    <x:row r="203" ht="62" customHeight="1">
      <x:c r="A203" s="30" t="str">
        <x:v>UBS IBD</x:v>
      </x:c>
      <x:c r="B203" s="30" t="str">
        <x:v>IBD / GCM</x:v>
      </x:c>
      <x:c r="C203" s="30" t="str">
        <x:v>Interview Note</x:v>
      </x:c>
      <x:c r="D203" s="31" t="str">
        <x:v>The intention difference between Tesla acquiring a controlling stake vs acquiring 100 percent</x:v>
      </x:c>
      <x:c r="E203" s="31" t="str">
        <x:v>A87</x:v>
      </x:c>
      <x:c r="F203" s="31" t="str">
        <x:v>Earn-out discussion → asked if the company keeps majority or minority. I said minority - she pushed back, saying it makes no sense for management to stay passive. I said incentives align via milestone gains and retention, but she strongl...</x:v>
      </x:c>
    </x:row>
    <x:row r="204" ht="62" customHeight="1">
      <x:c r="A204" s="30" t="str">
        <x:v>UBS IBD</x:v>
      </x:c>
      <x:c r="B204" s="30" t="str">
        <x:v>IBD / GCM</x:v>
      </x:c>
      <x:c r="C204" s="30" t="str">
        <x:v>Interview Note</x:v>
      </x:c>
      <x:c r="D204" s="31" t="str">
        <x:v>Normal 1v1 with ECM Head</x:v>
      </x:c>
      <x:c r="E204" s="31" t="str">
        <x:v>A93</x:v>
      </x:c>
      <x:c r="F204" s="31" t="str">
        <x:v>Investment accounting: 10 percent vs 60 percent, differences in 3 statements, and net income impact | Convertible bond: strike price 50, should they convert, how it affects the 3 statements, net debt increases or decreases | Macro: how t...</x:v>
      </x:c>
    </x:row>
    <x:row r="205" ht="30" customHeight="1">
      <x:c r="A205" s="30" t="str">
        <x:v>UBS IBD</x:v>
      </x:c>
      <x:c r="B205" s="30" t="str">
        <x:v>IBD / GCM</x:v>
      </x:c>
      <x:c r="C205" s="30" t="str">
        <x:v>Interview Note</x:v>
      </x:c>
      <x:c r="D205" s="31" t="str">
        <x:v>Chat around how's Lazard, how's the hours like and biggest challenge there, what do I learn there that kind of stuff</x:v>
      </x:c>
      <x:c r="E205" s="31" t="str">
        <x:v>A96</x:v>
      </x:c>
      <x:c r="F205" s="31" t="str">
        <x:v>Normal 1v1 with ECM Head | Self-intro | Explain my major (my major title is Asset Management) and why I'm not doing this</x:v>
      </x:c>
    </x:row>
    <x:row r="206" ht="46" customHeight="1">
      <x:c r="A206" s="30" t="str">
        <x:v>UBS IBD</x:v>
      </x:c>
      <x:c r="B206" s="30" t="str">
        <x:v>IBD / GCM</x:v>
      </x:c>
      <x:c r="C206" s="30" t="str">
        <x:v>Interview Note</x:v>
      </x:c>
      <x:c r="D206" s="31" t="str">
        <x:v>Most interesting thing in IBD</x:v>
      </x:c>
      <x:c r="E206" s="31" t="str">
        <x:v>A97</x:v>
      </x:c>
      <x:c r="F206" s="31" t="str">
        <x:v>Self-intro | Explain my major (my major title is Asset Management) and why I'm not doing this | Chat around how's Lazard, how's the hours like and biggest challenge there, what do I learn there that kind of stuff</x:v>
      </x:c>
    </x:row>
    <x:row r="207" ht="46" customHeight="1">
      <x:c r="A207" s="30" t="str">
        <x:v>UBS IBD</x:v>
      </x:c>
      <x:c r="B207" s="30" t="str">
        <x:v>IBD / GCM</x:v>
      </x:c>
      <x:c r="C207" s="30" t="str">
        <x:v>Metadata</x:v>
      </x:c>
      <x:c r="D207" s="31" t="str">
        <x:v>Followup as I mentioned weak China market fundamental - elaborate on China real estate market and inflation (asked the figures as well)</x:v>
      </x:c>
      <x:c r="E207" s="31" t="str">
        <x:v>A102</x:v>
      </x:c>
      <x:c r="F207" s="31" t="str">
        <x:v>Tell me the current state of the world | As for last question I all talked about M&amp;A stuff so he asked me to talk about the IPO market as well | How do you see the equity market</x:v>
      </x:c>
    </x:row>
    <x:row r="208" ht="62" customHeight="1">
      <x:c r="A208" s="30" t="str">
        <x:v>UBS IBD</x:v>
      </x:c>
      <x:c r="B208" s="30" t="str">
        <x:v>IBD / GCM</x:v>
      </x:c>
      <x:c r="C208" s="30" t="str">
        <x:v>Interview Note</x:v>
      </x:c>
      <x:c r="D208" s="31" t="str">
        <x:v>Long HK equity or US equity</x:v>
      </x:c>
      <x:c r="E208" s="31" t="str">
        <x:v>A103</x:v>
      </x:c>
      <x:c r="F208" s="31" t="str">
        <x:v>As for last question I all talked about M&amp;A stuff so he asked me to talk about the IPO market as well | How do you see the equity market | Followup as I mentioned weak China market fundamental - elaborate on China real estate market and ...</x:v>
      </x:c>
    </x:row>
    <x:row r="209" ht="62" customHeight="1">
      <x:c r="A209" s="30" t="str">
        <x:v>UBS IBD</x:v>
      </x:c>
      <x:c r="B209" s="30" t="str">
        <x:v>IBD / GCM</x:v>
      </x:c>
      <x:c r="C209" s="30" t="str">
        <x:v>Interview Note</x:v>
      </x:c>
      <x:c r="D209" s="31" t="str">
        <x:v>Ask back</x:v>
      </x:c>
      <x:c r="E209" s="31" t="str">
        <x:v>A105</x:v>
      </x:c>
      <x:c r="F209" s="31" t="str">
        <x:v>Followup as I mentioned weak China market fundamental - elaborate on China real estate market and inflation (asked the figures as well) | Long HK equity or US equity | Asked about 我CV最底部的一個社團經驗 問我當時比亞迪的DCF build了啥 還有我target price跟driver之...</x:v>
      </x:c>
    </x:row>
    <x:row r="210" ht="30" customHeight="1">
      <x:c r="A210" s="30" t="str">
        <x:v>Deutsche</x:v>
      </x:c>
      <x:c r="B210" s="30" t="str">
        <x:v>IBD / GCM</x:v>
      </x:c>
      <x:c r="C210" s="30" t="str">
        <x:v>Metadata</x:v>
      </x:c>
      <x:c r="D210" s="31" t="str">
        <x:v>2025 SA</x:v>
      </x:c>
      <x:c r="E210" s="31" t="str">
        <x:v>A1</x:v>
      </x:c>
      <x:c r="F210" s="31" t="str"/>
    </x:row>
    <x:row r="211" ht="30" customHeight="1">
      <x:c r="A211" s="30" t="str">
        <x:v>Deutsche</x:v>
      </x:c>
      <x:c r="B211" s="30" t="str">
        <x:v>IBD / GCM</x:v>
      </x:c>
      <x:c r="C211" s="30" t="str">
        <x:v>Metadata</x:v>
      </x:c>
      <x:c r="D211" s="31" t="str">
        <x:v>1st round</x:v>
      </x:c>
      <x:c r="E211" s="31" t="str">
        <x:v>A2</x:v>
      </x:c>
      <x:c r="F211" s="31" t="str">
        <x:v>2025 SA</x:v>
      </x:c>
    </x:row>
    <x:row r="212" ht="30" customHeight="1">
      <x:c r="A212" s="30" t="str">
        <x:v>Deutsche</x:v>
      </x:c>
      <x:c r="B212" s="30" t="str">
        <x:v>IBD / GCM</x:v>
      </x:c>
      <x:c r="C212" s="30" t="str">
        <x:v>Interview Note</x:v>
      </x:c>
      <x:c r="D212" s="31" t="str">
        <x:v>Germaine 21/9</x:v>
      </x:c>
      <x:c r="E212" s="31" t="str">
        <x:v>A3</x:v>
      </x:c>
      <x:c r="F212" s="31" t="str">
        <x:v>2025 SA | 1st round</x:v>
      </x:c>
    </x:row>
    <x:row r="213" ht="30" customHeight="1">
      <x:c r="A213" s="30" t="str">
        <x:v>Deutsche</x:v>
      </x:c>
      <x:c r="B213" s="30" t="str">
        <x:v>IBD / GCM</x:v>
      </x:c>
      <x:c r="C213" s="30" t="str">
        <x:v>Interview Note</x:v>
      </x:c>
      <x:c r="D213" s="31" t="str">
        <x:v>Kang Lee (Asso from Tech)</x:v>
      </x:c>
      <x:c r="E213" s="31" t="str">
        <x:v>A4</x:v>
      </x:c>
      <x:c r="F213" s="31" t="str">
        <x:v>2025 SA | 1st round | Germaine 21/9</x:v>
      </x:c>
    </x:row>
    <x:row r="214" ht="30" customHeight="1">
      <x:c r="A214" s="30" t="str">
        <x:v>Deutsche</x:v>
      </x:c>
      <x:c r="B214" s="30" t="str">
        <x:v>IBD / GCM</x:v>
      </x:c>
      <x:c r="C214" s="30" t="str">
        <x:v>Interview Note</x:v>
      </x:c>
      <x:c r="D214" s="31" t="str">
        <x:v>Celia (Asso from Strategic Equity)</x:v>
      </x:c>
      <x:c r="E214" s="31" t="str">
        <x:v>C4</x:v>
      </x:c>
      <x:c r="F214" s="31" t="str"/>
    </x:row>
    <x:row r="215" ht="30" customHeight="1">
      <x:c r="A215" s="30" t="str">
        <x:v>Deutsche</x:v>
      </x:c>
      <x:c r="B215" s="30" t="str">
        <x:v>IBD / GCM</x:v>
      </x:c>
      <x:c r="C215" s="30" t="str">
        <x:v>Interview Note</x:v>
      </x:c>
      <x:c r="D215" s="31" t="str">
        <x:v>Hugo Shi (Vice President from M&amp;A)</x:v>
      </x:c>
      <x:c r="E215" s="31" t="str">
        <x:v>E4</x:v>
      </x:c>
      <x:c r="F215" s="31" t="str"/>
    </x:row>
    <x:row r="216" ht="46" customHeight="1">
      <x:c r="A216" s="30" t="str">
        <x:v>Deutsche</x:v>
      </x:c>
      <x:c r="B216" s="30" t="str">
        <x:v>IBD / GCM</x:v>
      </x:c>
      <x:c r="C216" s="30" t="str">
        <x:v>Interview Note</x:v>
      </x:c>
      <x:c r="D216" s="31" t="str">
        <x:v>(grilled for around 5 minutes with a lot of follow-ups)</x:v>
      </x:c>
      <x:c r="E216" s="31" t="str">
        <x:v>C8#2</x:v>
      </x:c>
      <x:c r="F216" s="31" t="str">
        <x:v>What do you do in HKUIBC? Any mentors from DB? | Why do IBD now given bad economy? (grilled for around 5 minutes with a lot of follow-ups) | What's your view on China, and in these times how can IBs survive?</x:v>
      </x:c>
    </x:row>
    <x:row r="217" ht="30" customHeight="1">
      <x:c r="A217" s="30" t="str">
        <x:v>Deutsche</x:v>
      </x:c>
      <x:c r="B217" s="30" t="str">
        <x:v>IBD / GCM</x:v>
      </x:c>
      <x:c r="C217" s="30" t="str">
        <x:v>Interview Note</x:v>
      </x:c>
      <x:c r="D217" s="31" t="str">
        <x:v>Two w</x:v>
      </x:c>
      <x:c r="E217" s="31" t="str">
        <x:v>A9</x:v>
      </x:c>
      <x:c r="F217" s="31" t="str">
        <x:v>Odysseus projects - valuation work, multiples used? | How to get from Equity Value to EV? | Walk me through DCF</x:v>
      </x:c>
    </x:row>
    <x:row r="218" ht="46" customHeight="1">
      <x:c r="A218" s="30" t="str">
        <x:v>Deutsche</x:v>
      </x:c>
      <x:c r="B218" s="30" t="str">
        <x:v>IBD / GCM</x:v>
      </x:c>
      <x:c r="C218" s="30" t="str">
        <x:v>Interview Note</x:v>
      </x:c>
      <x:c r="D218" s="31" t="str">
        <x:v>Two ways of calculating terminal value</x:v>
      </x:c>
      <x:c r="E218" s="31" t="str">
        <x:v>A13</x:v>
      </x:c>
      <x:c r="F218" s="31" t="str">
        <x:v>Effect of this investment on the 3 statements? | If the JV/associate issues 100mm dividends to all shareholders, what's the effect on the 3 statements? | Walk me through DCF</x:v>
      </x:c>
    </x:row>
    <x:row r="219" ht="46" customHeight="1">
      <x:c r="A219" s="30" t="str">
        <x:v>Deutsche</x:v>
      </x:c>
      <x:c r="B219" s="30" t="str">
        <x:v>IBD / GCM</x:v>
      </x:c>
      <x:c r="C219" s="30" t="str">
        <x:v>Interview Note</x:v>
      </x:c>
      <x:c r="D219" s="31" t="str">
        <x:v>For gordon growth method, you assume normal perpetual growth - but what if during final year there's unexpected changes in business, i.e. depreciation amount is only half of the asset value (need to prolong the final year)</x:v>
      </x:c>
      <x:c r="E219" s="31" t="str">
        <x:v>A14</x:v>
      </x:c>
      <x:c r="F219" s="31" t="str">
        <x:v>If the JV/associate issues 100mm dividends to all shareholders, what's the effect on the 3 statements? | Walk me through DCF | Two ways of calculating terminal value</x:v>
      </x:c>
    </x:row>
    <x:row r="220" ht="62" customHeight="1">
      <x:c r="A220" s="30" t="str">
        <x:v>Deutsche</x:v>
      </x:c>
      <x:c r="B220" s="30" t="str">
        <x:v>IBD / GCM</x:v>
      </x:c>
      <x:c r="C220" s="30" t="str">
        <x:v>Metadata</x:v>
      </x:c>
      <x:c r="D220" s="31" t="str">
        <x:v>SPD</x:v>
      </x:c>
      <x:c r="E220" s="31" t="str">
        <x:v>A18</x:v>
      </x:c>
      <x:c r="F220" s="31" t="str">
        <x:v>For gordon growth method, you assume normal perpetual growth - but what if during final year there's unexpected changes in business, i.e. depreciation amount is only half of the asset value (need to prolong the final year) | Difference b...</x:v>
      </x:c>
    </x:row>
    <x:row r="221" ht="46" customHeight="1">
      <x:c r="A221" s="30" t="str">
        <x:v>Deutsche</x:v>
      </x:c>
      <x:c r="B221" s="30" t="str">
        <x:v>IBD / GCM</x:v>
      </x:c>
      <x:c r="C221" s="30" t="str">
        <x:v>Interview Note</x:v>
      </x:c>
      <x:c r="D221" s="31" t="str">
        <x:v>Germaine 22/9</x:v>
      </x:c>
      <x:c r="E221" s="31" t="str">
        <x:v>A19</x:v>
      </x:c>
      <x:c r="F221" s="31" t="str">
        <x:v>Difference between different valuation multiples - P/E, EV/EBITDA, EV/EBIT | Assume I'm comparing two companies - one of them has a lot of D&amp;A while another doesn't - should I use EV/EBITDA or EV/EBIT? | SPD</x:v>
      </x:c>
    </x:row>
    <x:row r="222" ht="46" customHeight="1">
      <x:c r="A222" s="30" t="str">
        <x:v>Deutsche</x:v>
      </x:c>
      <x:c r="B222" s="30" t="str">
        <x:v>IBD / GCM</x:v>
      </x:c>
      <x:c r="C222" s="30" t="str">
        <x:v>Interview Note</x:v>
      </x:c>
      <x:c r="D222" s="31" t="str">
        <x:v>Andy Chau (Director from Strategic Equity)</x:v>
      </x:c>
      <x:c r="E222" s="31" t="str">
        <x:v>A20</x:v>
      </x:c>
      <x:c r="F222" s="31" t="str">
        <x:v>Assume I'm comparing two companies - one of them has a lot of D&amp;A while another doesn't - should I use EV/EBITDA or EV/EBIT? | SPD | Germaine 22/9</x:v>
      </x:c>
    </x:row>
    <x:row r="223" ht="46" customHeight="1">
      <x:c r="A223" s="30" t="str">
        <x:v>Deutsche</x:v>
      </x:c>
      <x:c r="B223" s="30" t="str">
        <x:v>IBD / GCM</x:v>
      </x:c>
      <x:c r="C223" s="30" t="str">
        <x:v>Interview Note</x:v>
      </x:c>
      <x:c r="D223" s="31" t="str">
        <x:v>Grace (VP from Consumer Retail)</x:v>
      </x:c>
      <x:c r="E223" s="31" t="str">
        <x:v>C20</x:v>
      </x:c>
      <x:c r="F223" s="31" t="str">
        <x:v>What's your view on China, and in these times how can IBs survive? | (grilled for around 5 minutes with a lot of follow-ups) | Stock Pitch - What's the market cap of the stock? What's the rationale?</x:v>
      </x:c>
    </x:row>
    <x:row r="224" ht="62" customHeight="1">
      <x:c r="A224" s="30" t="str">
        <x:v>Deutsche</x:v>
      </x:c>
      <x:c r="B224" s="30" t="str">
        <x:v>IBD / GCM</x:v>
      </x:c>
      <x:c r="C224" s="30" t="str">
        <x:v>Interview Note</x:v>
      </x:c>
      <x:c r="D224" s="31" t="str">
        <x:v>Phil Chen (VP)</x:v>
      </x:c>
      <x:c r="E224" s="31" t="str">
        <x:v>E20</x:v>
      </x:c>
      <x:c r="F224" s="31" t="str">
        <x:v>If I have a clothing manufacturer in Vietnam, how do I get the comparable companies? | So based on the criteria you just mentioned, which one is the most important? | You mentioned industry classification as most important criteria, so w...</x:v>
      </x:c>
    </x:row>
    <x:row r="225" ht="30" customHeight="1">
      <x:c r="A225" s="30" t="str">
        <x:v>Deutsche</x:v>
      </x:c>
      <x:c r="B225" s="30" t="str">
        <x:v>IBD / GCM</x:v>
      </x:c>
      <x:c r="C225" s="30" t="str">
        <x:v>Interview Note</x:v>
      </x:c>
      <x:c r="D225" s="31" t="str">
        <x:v>Nancy Feng (Director from FIG)</x:v>
      </x:c>
      <x:c r="E225" s="31" t="str">
        <x:v>G20</x:v>
      </x:c>
      <x:c r="F225" s="31" t="str"/>
    </x:row>
    <x:row r="226" ht="46" customHeight="1">
      <x:c r="A226" s="30" t="str">
        <x:v>Deutsche</x:v>
      </x:c>
      <x:c r="B226" s="30" t="str">
        <x:v>IBD / GCM</x:v>
      </x:c>
      <x:c r="C226" s="30" t="str">
        <x:v>Interview Note</x:v>
      </x:c>
      <x:c r="D226" s="31" t="str">
        <x:v>跟我說說你之前做過的M&amp;A transaction</x:v>
      </x:c>
      <x:c r="E226" s="31" t="str">
        <x:v>C22</x:v>
      </x:c>
      <x:c r="F226" s="31" t="str">
        <x:v>Stock Pitch - What's the market cap of the stock? What's the rationale? | Grace (VP from Consumer Retail) | Self introduction</x:v>
      </x:c>
    </x:row>
    <x:row r="227" ht="30" customHeight="1">
      <x:c r="A227" s="30" t="str">
        <x:v>Deutsche</x:v>
      </x:c>
      <x:c r="B227" s="30" t="str">
        <x:v>IBD / GCM</x:v>
      </x:c>
      <x:c r="C227" s="30" t="str">
        <x:v>Interview Note</x:v>
      </x:c>
      <x:c r="D227" s="31" t="str">
        <x:v>DB的一個M&amp;A Deal</x:v>
      </x:c>
      <x:c r="E227" s="31" t="str">
        <x:v>C25</x:v>
      </x:c>
      <x:c r="F227" s="31" t="str">
        <x:v>跟我說說你之前做過的M&amp;A transaction | Valuation Multiples of the Deal and how to get | 如果你要為這家公司做DCF，怎麼做</x:v>
      </x:c>
    </x:row>
    <x:row r="228" ht="46" customHeight="1">
      <x:c r="A228" s="30" t="str">
        <x:v>Deutsche</x:v>
      </x:c>
      <x:c r="B228" s="30" t="str">
        <x:v>IBD / GCM</x:v>
      </x:c>
      <x:c r="C228" s="30" t="str">
        <x:v>Interview Note</x:v>
      </x:c>
      <x:c r="D228" s="31" t="str">
        <x:v>Any post-IPO go to market strategy</x:v>
      </x:c>
      <x:c r="E228" s="31" t="str">
        <x:v>G25</x:v>
      </x:c>
      <x:c r="F228" s="31" t="str">
        <x:v>Why DB? | Walk me through one of your internship experiences | Valuation multiples - how did you get your comparable companies and what is your client's competitive edge?</x:v>
      </x:c>
    </x:row>
    <x:row r="229" ht="46" customHeight="1">
      <x:c r="A229" s="30" t="str">
        <x:v>Deutsche</x:v>
      </x:c>
      <x:c r="B229" s="30" t="str">
        <x:v>IBD / GCM</x:v>
      </x:c>
      <x:c r="C229" s="30" t="str">
        <x:v>Metadata</x:v>
      </x:c>
      <x:c r="D229" s="31" t="str">
        <x:v>2025 Graduate</x:v>
      </x:c>
      <x:c r="E229" s="31" t="str">
        <x:v>A31</x:v>
      </x:c>
      <x:c r="F229" s="31" t="str">
        <x:v>Most memorable internship experience? | Combining all your internship experience, what is the most important takeaway? | What team you want to be in?</x:v>
      </x:c>
    </x:row>
    <x:row r="230" ht="46" customHeight="1">
      <x:c r="A230" s="30" t="str">
        <x:v>Deutsche</x:v>
      </x:c>
      <x:c r="B230" s="30" t="str">
        <x:v>IBD / GCM</x:v>
      </x:c>
      <x:c r="C230" s="30" t="str">
        <x:v>Metadata</x:v>
      </x:c>
      <x:c r="D230" s="31" t="str">
        <x:v>1st round</x:v>
      </x:c>
      <x:c r="E230" s="31" t="str">
        <x:v>A32</x:v>
      </x:c>
      <x:c r="F230" s="31" t="str">
        <x:v>Combining all your internship experience, what is the most important takeaway? | What team you want to be in? | 2025 Graduate</x:v>
      </x:c>
    </x:row>
    <x:row r="231" ht="30" customHeight="1">
      <x:c r="A231" s="30" t="str">
        <x:v>Deutsche</x:v>
      </x:c>
      <x:c r="B231" s="30" t="str">
        <x:v>IBD / GCM</x:v>
      </x:c>
      <x:c r="C231" s="30" t="str">
        <x:v>Metadata</x:v>
      </x:c>
      <x:c r="D231" s="31" t="str">
        <x:v>Jasmine 5/10</x:v>
      </x:c>
      <x:c r="E231" s="31" t="str">
        <x:v>A33</x:v>
      </x:c>
      <x:c r="F231" s="31" t="str">
        <x:v>What team you want to be in? | 2025 Graduate | 1st round</x:v>
      </x:c>
    </x:row>
    <x:row r="232" ht="46" customHeight="1">
      <x:c r="A232" s="30" t="str">
        <x:v>Deutsche</x:v>
      </x:c>
      <x:c r="B232" s="30" t="str">
        <x:v>IBD / GCM</x:v>
      </x:c>
      <x:c r="C232" s="30" t="str">
        <x:v>Interview Note</x:v>
      </x:c>
      <x:c r="D232" s="31" t="str">
        <x:v>Jimmy 5/10</x:v>
      </x:c>
      <x:c r="E232" s="31" t="str">
        <x:v>C33</x:v>
      </x:c>
      <x:c r="F232" s="31" t="str">
        <x:v>雖然你想進M&amp;A，但我覺得妳會適合hk coverage team，你會願意嗎？(i said yes and also asked for permission to show my knowledge in hk ipo deal of DB since when she asked me m&amp;a i said a european deal...) | 你覺得你的缺點是什麼？ | PPT person or Excel person?</x:v>
      </x:c>
    </x:row>
    <x:row r="233" ht="30" customHeight="1">
      <x:c r="A233" s="30" t="str">
        <x:v>Deutsche</x:v>
      </x:c>
      <x:c r="B233" s="30" t="str">
        <x:v>IBD / GCM</x:v>
      </x:c>
      <x:c r="C233" s="30" t="str">
        <x:v>Interview Note</x:v>
      </x:c>
      <x:c r="D233" s="31" t="str">
        <x:v>1 (she’s on zoom and didnt open cam…)</x:v>
      </x:c>
      <x:c r="E233" s="31" t="str">
        <x:v>A34</x:v>
      </x:c>
      <x:c r="F233" s="31" t="str">
        <x:v>2025 Graduate | 1st round | Jasmine 5/10</x:v>
      </x:c>
    </x:row>
    <x:row r="234" ht="30" customHeight="1">
      <x:c r="A234" s="30" t="str">
        <x:v>Deutsche</x:v>
      </x:c>
      <x:c r="B234" s="30" t="str">
        <x:v>IBD / GCM</x:v>
      </x:c>
      <x:c r="C234" s="30" t="str">
        <x:v>Interview Note</x:v>
      </x:c>
      <x:c r="D234" s="31" t="str">
        <x:v>1 DCM</x:v>
      </x:c>
      <x:c r="E234" s="31" t="str">
        <x:v>C34</x:v>
      </x:c>
      <x:c r="F234" s="31" t="str">
        <x:v>你覺得你的缺點是什麼？ | PPT person or Excel person? | Jimmy 5/10</x:v>
      </x:c>
    </x:row>
    <x:row r="235" ht="46" customHeight="1">
      <x:c r="A235" s="30" t="str">
        <x:v>Deutsche</x:v>
      </x:c>
      <x:c r="B235" s="30" t="str">
        <x:v>IBD / GCM</x:v>
      </x:c>
      <x:c r="C235" s="30" t="str">
        <x:v>Interview Note</x:v>
      </x:c>
      <x:c r="D235" s="31" t="str">
        <x:v>2 M&amp;A and DIG</x:v>
      </x:c>
      <x:c r="E235" s="31" t="str">
        <x:v>A45</x:v>
      </x:c>
      <x:c r="F235" s="31" t="str">
        <x:v>how do you find beta beside public comps | whats the formulas for unlever and relever | how to find beta for a private company</x:v>
      </x:c>
    </x:row>
    <x:row r="236" ht="46" customHeight="1">
      <x:c r="A236" s="30" t="str">
        <x:v>Deutsche</x:v>
      </x:c>
      <x:c r="B236" s="30" t="str">
        <x:v>IBD / GCM</x:v>
      </x:c>
      <x:c r="C236" s="30" t="str">
        <x:v>Interview Note</x:v>
      </x:c>
      <x:c r="D236" s="31" t="str">
        <x:v>2 Healthcare</x:v>
      </x:c>
      <x:c r="E236" s="31" t="str">
        <x:v>C45</x:v>
      </x:c>
      <x:c r="F236" s="31" t="str">
        <x:v>How to forecast the growth of the SEA logistic company, P&amp;L breakdown | How do you like about HK? | Do you know anyone from DB and learned from them?</x:v>
      </x:c>
    </x:row>
    <x:row r="237" ht="30" customHeight="1">
      <x:c r="A237" s="30" t="str">
        <x:v>Deutsche</x:v>
      </x:c>
      <x:c r="B237" s="30" t="str">
        <x:v>IBD / GCM</x:v>
      </x:c>
      <x:c r="C237" s="30" t="str">
        <x:v>Interview Note</x:v>
      </x:c>
      <x:c r="D237" s="31" t="str">
        <x:v>No intro, directly grill deal and tech</x:v>
      </x:c>
      <x:c r="E237" s="31" t="str">
        <x:v>C46</x:v>
      </x:c>
      <x:c r="F237" s="31" t="str">
        <x:v>How do you like about HK? | Do you know anyone from DB and learned from them? | 2 Healthcare</x:v>
      </x:c>
    </x:row>
    <x:row r="238" ht="46" customHeight="1">
      <x:c r="A238" s="30" t="str">
        <x:v>Deutsche</x:v>
      </x:c>
      <x:c r="B238" s="30" t="str">
        <x:v>IBD / GCM</x:v>
      </x:c>
      <x:c r="C238" s="30" t="str">
        <x:v>Interview Note</x:v>
      </x:c>
      <x:c r="D238" s="31" t="str">
        <x:v>3 M&amp;A, from HKU</x:v>
      </x:c>
      <x:c r="E238" s="31" t="str">
        <x:v>C60</x:v>
      </x:c>
      <x:c r="F238" s="31" t="str">
        <x:v>3 statement tech without pen and paper | EV Equity bridge, where is Minority interest and why? Where is non-operating asset and why? (I fucked up this one) | Is lottery prize in FCFF and why?</x:v>
      </x:c>
    </x:row>
    <x:row r="239" ht="46" customHeight="1">
      <x:c r="A239" s="30" t="str">
        <x:v>Deutsche</x:v>
      </x:c>
      <x:c r="B239" s="30" t="str">
        <x:v>IBD / GCM</x:v>
      </x:c>
      <x:c r="C239" s="30" t="str">
        <x:v>Interview Note</x:v>
      </x:c>
      <x:c r="D239" s="31" t="str">
        <x:v>3 Debt syndicate (all behav)</x:v>
      </x:c>
      <x:c r="E239" s="31" t="str">
        <x:v>A61</x:v>
      </x:c>
      <x:c r="F239" s="31" t="str">
        <x:v>valuation now: EV / FY+1 EBITDA, for 2030 exit multiple, which year’s EV should you use | whats the purpose of LBO | if the IRR is 15%, the interest rate is 20%, should u borrow the debt</x:v>
      </x:c>
    </x:row>
    <x:row r="240" ht="46" customHeight="1">
      <x:c r="A240" s="30" t="str">
        <x:v>Deutsche</x:v>
      </x:c>
      <x:c r="B240" s="30" t="str">
        <x:v>IBD / GCM</x:v>
      </x:c>
      <x:c r="C240" s="30" t="str">
        <x:v>Metadata</x:v>
      </x:c>
      <x:c r="D240" s="31" t="str">
        <x:v>SPD</x:v>
      </x:c>
      <x:c r="E240" s="31" t="str">
        <x:v>A71</x:v>
      </x:c>
      <x:c r="F240" s="31" t="str">
        <x:v>Why DB, nomura vs DB, teamwork, which team, etc | Slghtly asked on my M&amp;A Case com experience -am i still following SenseTime (said no) | what are some financial services deutsche can provide to SenseTime? how about for Nomura?</x:v>
      </x:c>
    </x:row>
    <x:row r="241" ht="46" customHeight="1">
      <x:c r="A241" s="30" t="str">
        <x:v>Deutsche</x:v>
      </x:c>
      <x:c r="B241" s="30" t="str">
        <x:v>IBD / GCM</x:v>
      </x:c>
      <x:c r="C241" s="30" t="str">
        <x:v>Metadata</x:v>
      </x:c>
      <x:c r="D241" s="31" t="str">
        <x:v>Jasmine 6/10</x:v>
      </x:c>
      <x:c r="E241" s="31" t="str">
        <x:v>A72</x:v>
      </x:c>
      <x:c r="F241" s="31" t="str">
        <x:v>Slghtly asked on my M&amp;A Case com experience -am i still following SenseTime (said no) | what are some financial services deutsche can provide to SenseTime? how about for Nomura? | SPD</x:v>
      </x:c>
    </x:row>
    <x:row r="242" ht="46" customHeight="1">
      <x:c r="A242" s="30" t="str">
        <x:v>Deutsche</x:v>
      </x:c>
      <x:c r="B242" s="30" t="str">
        <x:v>IBD / GCM</x:v>
      </x:c>
      <x:c r="C242" s="30" t="str">
        <x:v>Interview Note</x:v>
      </x:c>
      <x:c r="D242" s="31" t="str">
        <x:v>Jimmy 6/10</x:v>
      </x:c>
      <x:c r="E242" s="31" t="str">
        <x:v>C72</x:v>
      </x:c>
      <x:c r="F242" s="31" t="str">
        <x:v>Tell me move about the logistic market, did you identify any trends or market dynamics? | 3 Investment thesis for the logistic/freight forwarding business | Business model: Asset light or Asset heavy?</x:v>
      </x:c>
    </x:row>
    <x:row r="243" ht="30" customHeight="1">
      <x:c r="A243" s="30" t="str">
        <x:v>Deutsche</x:v>
      </x:c>
      <x:c r="B243" s="30" t="str">
        <x:v>IBD / GCM</x:v>
      </x:c>
      <x:c r="C243" s="30" t="str">
        <x:v>Interview Note</x:v>
      </x:c>
      <x:c r="D243" s="31" t="str">
        <x:v>1 Industrial Wayne</x:v>
      </x:c>
      <x:c r="E243" s="31" t="str">
        <x:v>A73</x:v>
      </x:c>
      <x:c r="F243" s="31" t="str">
        <x:v>what are some financial services deutsche can provide to SenseTime? how about for Nomura? | SPD | Jasmine 6/10</x:v>
      </x:c>
    </x:row>
    <x:row r="244" ht="46" customHeight="1">
      <x:c r="A244" s="30" t="str">
        <x:v>Deutsche</x:v>
      </x:c>
      <x:c r="B244" s="30" t="str">
        <x:v>IBD / GCM</x:v>
      </x:c>
      <x:c r="C244" s="30" t="str">
        <x:v>Interview Note</x:v>
      </x:c>
      <x:c r="D244" s="31" t="str">
        <x:v>1 ECM Karen</x:v>
      </x:c>
      <x:c r="E244" s="31" t="str">
        <x:v>C73</x:v>
      </x:c>
      <x:c r="F244" s="31" t="str">
        <x:v>3 Investment thesis for the logistic/freight forwarding business | Business model: Asset light or Asset heavy? | Jimmy 6/10</x:v>
      </x:c>
    </x:row>
    <x:row r="245" ht="30" customHeight="1">
      <x:c r="A245" s="30" t="str">
        <x:v>Deutsche</x:v>
      </x:c>
      <x:c r="B245" s="30" t="str">
        <x:v>IBD / GCM</x:v>
      </x:c>
      <x:c r="C245" s="30" t="str">
        <x:v>Interview Note</x:v>
      </x:c>
      <x:c r="D245" s="31" t="str">
        <x:v>全程普通话，非常chill</x:v>
      </x:c>
      <x:c r="E245" s="31" t="str">
        <x:v>A74</x:v>
      </x:c>
      <x:c r="F245" s="31" t="str">
        <x:v>SPD | Jasmine 6/10 | 1 Industrial Wayne</x:v>
      </x:c>
    </x:row>
    <x:row r="246" ht="30" customHeight="1">
      <x:c r="A246" s="30" t="str">
        <x:v>Deutsche</x:v>
      </x:c>
      <x:c r="B246" s="30" t="str">
        <x:v>IBD / GCM</x:v>
      </x:c>
      <x:c r="C246" s="30" t="str">
        <x:v>Interview Note</x:v>
      </x:c>
      <x:c r="D246" s="31" t="str">
        <x:v>跟我讲一个之前项目里做的研究，描述行业规模增速，利润率，竞争格局，商业模式etc</x:v>
      </x:c>
      <x:c r="E246" s="31" t="str">
        <x:v>A76</x:v>
      </x:c>
      <x:c r="F246" s="31" t="str">
        <x:v>1 Industrial Wayne | 全程普通话，非常chill | 自我介绍</x:v>
      </x:c>
    </x:row>
    <x:row r="247" ht="30" customHeight="1">
      <x:c r="A247" s="30" t="str">
        <x:v>Deutsche</x:v>
      </x:c>
      <x:c r="B247" s="30" t="str">
        <x:v>IBD / GCM</x:v>
      </x:c>
      <x:c r="C247" s="30" t="str">
        <x:v>Interview Note</x:v>
      </x:c>
      <x:c r="D247" s="31" t="str">
        <x:v>有哪些可比公司</x:v>
      </x:c>
      <x:c r="E247" s="31" t="str">
        <x:v>A77</x:v>
      </x:c>
      <x:c r="F247" s="31" t="str">
        <x:v>全程普通话，非常chill | 自我介绍 | 跟我讲一个之前项目里做的研究，描述行业规模增速，利润率，竞争格局，商业模式etc</x:v>
      </x:c>
    </x:row>
    <x:row r="248" ht="46" customHeight="1">
      <x:c r="A248" s="30" t="str">
        <x:v>Deutsche</x:v>
      </x:c>
      <x:c r="B248" s="30" t="str">
        <x:v>IBD / GCM</x:v>
      </x:c>
      <x:c r="C248" s="30" t="str">
        <x:v>Interview Note</x:v>
      </x:c>
      <x:c r="D248" s="31" t="str">
        <x:v>Interesting thing about your self</x:v>
      </x:c>
      <x:c r="E248" s="31" t="str">
        <x:v>C77</x:v>
      </x:c>
      <x:c r="F248" s="31" t="str">
        <x:v>1 ECM Karen | Pitch me yourself, what is the advantage for someone with PE experience compared to someone with ib experience in doing IDB roles? | Experience of approaching difficult question and find a solution with positive outcome</x:v>
      </x:c>
    </x:row>
    <x:row r="249" ht="46" customHeight="1">
      <x:c r="A249" s="30" t="str">
        <x:v>Deutsche</x:v>
      </x:c>
      <x:c r="B249" s="30" t="str">
        <x:v>IBD / GCM</x:v>
      </x:c>
      <x:c r="C249" s="30" t="str">
        <x:v>Interview Note</x:v>
      </x:c>
      <x:c r="D249" s="31" t="str">
        <x:v>Rest quite conversational</x:v>
      </x:c>
      <x:c r="E249" s="31" t="str">
        <x:v>C79</x:v>
      </x:c>
      <x:c r="F249" s="31" t="str">
        <x:v>Experience of approaching difficult question and find a solution with positive outcome | Interesting thing about your self | How do you view the HK and China market for past two weeks</x:v>
      </x:c>
    </x:row>
    <x:row r="250" ht="30" customHeight="1">
      <x:c r="A250" s="30" t="str">
        <x:v>Deutsche</x:v>
      </x:c>
      <x:c r="B250" s="30" t="str">
        <x:v>IBD / GCM</x:v>
      </x:c>
      <x:c r="C250" s="30" t="str">
        <x:v>Interview Note</x:v>
      </x:c>
      <x:c r="D250" s="31" t="str">
        <x:v>兴趣爱好</x:v>
      </x:c>
      <x:c r="E250" s="31" t="str">
        <x:v>A80</x:v>
      </x:c>
      <x:c r="F250" s="31" t="str">
        <x:v>有哪些可比公司 | Why DB | Return？</x:v>
      </x:c>
    </x:row>
    <x:row r="251" ht="46" customHeight="1">
      <x:c r="A251" s="30" t="str">
        <x:v>Deutsche</x:v>
      </x:c>
      <x:c r="B251" s="30" t="str">
        <x:v>IBD / GCM</x:v>
      </x:c>
      <x:c r="C251" s="30" t="str">
        <x:v>Interview Note</x:v>
      </x:c>
      <x:c r="D251" s="31" t="str">
        <x:v>2 TMT Derek</x:v>
      </x:c>
      <x:c r="E251" s="31" t="str">
        <x:v>C81</x:v>
      </x:c>
      <x:c r="F251" s="31" t="str">
        <x:v>Interesting thing about your self | How do you view the HK and China market for past two weeks | Rest quite conversational</x:v>
      </x:c>
    </x:row>
    <x:row r="252" ht="30" customHeight="1">
      <x:c r="A252" s="30" t="str">
        <x:v>Deutsche</x:v>
      </x:c>
      <x:c r="B252" s="30" t="str">
        <x:v>IBD / GCM</x:v>
      </x:c>
      <x:c r="C252" s="30" t="str">
        <x:v>Interview Note</x:v>
      </x:c>
      <x:c r="D252" s="31" t="str">
        <x:v>2 M&amp;A David</x:v>
      </x:c>
      <x:c r="E252" s="31" t="str">
        <x:v>A82</x:v>
      </x:c>
      <x:c r="F252" s="31" t="str">
        <x:v>Why DB | Return？ | 兴趣爱好</x:v>
      </x:c>
    </x:row>
    <x:row r="253" ht="46" customHeight="1">
      <x:c r="A253" s="30" t="str">
        <x:v>Deutsche</x:v>
      </x:c>
      <x:c r="B253" s="30" t="str">
        <x:v>IBD / GCM</x:v>
      </x:c>
      <x:c r="C253" s="30" t="str">
        <x:v>Interview Note</x:v>
      </x:c>
      <x:c r="D253" s="31" t="str">
        <x:v>Another quality and story</x:v>
      </x:c>
      <x:c r="E253" s="31" t="str">
        <x:v>C85</x:v>
      </x:c>
      <x:c r="F253" s="31" t="str">
        <x:v>Self intro | Why IBD why not buyside | What do you think will be the quality required for IBD roles, any story to support you have this quality?</x:v>
      </x:c>
    </x:row>
    <x:row r="254" ht="46" customHeight="1">
      <x:c r="A254" s="30" t="str">
        <x:v>Deutsche</x:v>
      </x:c>
      <x:c r="B254" s="30" t="str">
        <x:v>IBD / GCM</x:v>
      </x:c>
      <x:c r="C254" s="30" t="str">
        <x:v>Interview Note</x:v>
      </x:c>
      <x:c r="D254" s="31" t="str">
        <x:v>Rest quite conversational</x:v>
      </x:c>
      <x:c r="E254" s="31" t="str">
        <x:v>C87</x:v>
      </x:c>
      <x:c r="F254" s="31" t="str">
        <x:v>What do you think will be the quality required for IBD roles, any story to support you have this quality? | Another quality and story | Why DB</x:v>
      </x:c>
    </x:row>
    <x:row r="255" ht="30" customHeight="1">
      <x:c r="A255" s="30" t="str">
        <x:v>Deutsche</x:v>
      </x:c>
      <x:c r="B255" s="30" t="str">
        <x:v>IBD / GCM</x:v>
      </x:c>
      <x:c r="C255" s="30" t="str">
        <x:v>Interview Note</x:v>
      </x:c>
      <x:c r="D255" s="31" t="str">
        <x:v>3 M&amp;A David</x:v>
      </x:c>
      <x:c r="E255" s="31" t="str">
        <x:v>C89</x:v>
      </x:c>
      <x:c r="F255" s="31" t="str">
        <x:v>Another quality and story | Why DB | Rest quite conversational</x:v>
      </x:c>
    </x:row>
    <x:row r="256" ht="46" customHeight="1">
      <x:c r="A256" s="30" t="str">
        <x:v>Deutsche</x:v>
      </x:c>
      <x:c r="B256" s="30" t="str">
        <x:v>IBD / GCM</x:v>
      </x:c>
      <x:c r="C256" s="30" t="str">
        <x:v>Interview Note</x:v>
      </x:c>
      <x:c r="D256" s="31" t="str">
        <x:v>3 TMT Derek</x:v>
      </x:c>
      <x:c r="E256" s="31" t="str">
        <x:v>A92</x:v>
      </x:c>
      <x:c r="F256" s="31" t="str">
        <x:v>Any hobbies? | Do you only like organising or leading, not like participating? | Do you like clubbing? You seem quiet (LMAO...)</x:v>
      </x:c>
    </x:row>
    <x:row r="257" ht="30" customHeight="1">
      <x:c r="A257" s="30" t="str">
        <x:v>Deutsche</x:v>
      </x:c>
      <x:c r="B257" s="30" t="str">
        <x:v>IBD / GCM</x:v>
      </x:c>
      <x:c r="C257" s="30" t="str">
        <x:v>Interview Note</x:v>
      </x:c>
      <x:c r="D257" s="31" t="str">
        <x:v>Sounds well-rehearsaled, tell me the real reason</x:v>
      </x:c>
      <x:c r="E257" s="31" t="str">
        <x:v>C92</x:v>
      </x:c>
      <x:c r="F257" s="31" t="str">
        <x:v>3 M&amp;A David | Why IBD | Return offer? Why?</x:v>
      </x:c>
    </x:row>
    <x:row r="258" ht="46" customHeight="1">
      <x:c r="A258" s="30" t="str">
        <x:v>Deutsche</x:v>
      </x:c>
      <x:c r="B258" s="30" t="str">
        <x:v>IBD / GCM</x:v>
      </x:c>
      <x:c r="C258" s="30" t="str">
        <x:v>Interview Note</x:v>
      </x:c>
      <x:c r="D258" s="31" t="str">
        <x:v>(dude spoke a bit of canto in the beg, but he 's a bit scary...)</x:v>
      </x:c>
      <x:c r="E258" s="31" t="str">
        <x:v>A93</x:v>
      </x:c>
      <x:c r="F258" s="31" t="str">
        <x:v>Do you only like organising or leading, not like participating? | Do you like clubbing? You seem quiet (LMAO...) | 3 TMT Derek</x:v>
      </x:c>
    </x:row>
    <x:row r="259" ht="46" customHeight="1">
      <x:c r="A259" s="30" t="str">
        <x:v>Deutsche</x:v>
      </x:c>
      <x:c r="B259" s="30" t="str">
        <x:v>IBD / GCM</x:v>
      </x:c>
      <x:c r="C259" s="30" t="str">
        <x:v>Interview Note</x:v>
      </x:c>
      <x:c r="D259" s="31" t="str">
        <x:v>4 Industrial Wayne</x:v>
      </x:c>
      <x:c r="E259" s="31" t="str">
        <x:v>C98</x:v>
      </x:c>
      <x:c r="F259" s="31" t="str">
        <x:v>If you are a strategic buyer, what's the answer? | If your are a financial sponsor, what's the answer? | In an LBO model, what item comes below EBITDA lines, why?</x:v>
      </x:c>
    </x:row>
    <x:row r="260" ht="46" customHeight="1">
      <x:c r="A260" s="30" t="str">
        <x:v>Deutsche</x:v>
      </x:c>
      <x:c r="B260" s="30" t="str">
        <x:v>IBD / GCM</x:v>
      </x:c>
      <x:c r="C260" s="30" t="str">
        <x:v>Interview Note</x:v>
      </x:c>
      <x:c r="D260" s="31" t="str">
        <x:v>... challenged my motivation and such....</x:v>
      </x:c>
      <x:c r="E260" s="31" t="str">
        <x:v>A99</x:v>
      </x:c>
      <x:c r="F260" s="31" t="str">
        <x:v>What do you think will be the quality required for IBD roles, any story to support you have this quality? | Return? | Anything you could have done better in your Nomura internship?</x:v>
      </x:c>
    </x:row>
    <x:row r="261" ht="30" customHeight="1">
      <x:c r="A261" s="30" t="str">
        <x:v>Deutsche</x:v>
      </x:c>
      <x:c r="B261" s="30" t="str">
        <x:v>IBD / GCM</x:v>
      </x:c>
      <x:c r="C261" s="30" t="str">
        <x:v>Interview Note</x:v>
      </x:c>
      <x:c r="D261" s="31" t="str">
        <x:v>4 ECM Karen</x:v>
      </x:c>
      <x:c r="E261" s="31" t="str">
        <x:v>A101</x:v>
      </x:c>
      <x:c r="F261" s="31" t="str">
        <x:v>Return? | Anything you could have done better in your Nomura internship? | ... challenged my motivation and such....</x:v>
      </x:c>
    </x:row>
    <x:row r="262" ht="30" customHeight="1">
      <x:c r="A262" s="30" t="str">
        <x:v>Deutsche</x:v>
      </x:c>
      <x:c r="B262" s="30" t="str">
        <x:v>IBD / GCM</x:v>
      </x:c>
      <x:c r="C262" s="30" t="str">
        <x:v>Interview Note</x:v>
      </x:c>
      <x:c r="D262" s="31" t="str">
        <x:v>跟我讲一个之前项目里做的研究，描述行业规模增速，利润率，竞争格局，商业模式etc</x:v>
      </x:c>
      <x:c r="E262" s="31" t="str">
        <x:v>C101</x:v>
      </x:c>
      <x:c r="F262" s="31" t="str">
        <x:v>4 Industrial Wayne | 自我介绍 | 为什么不做投资做投行</x:v>
      </x:c>
    </x:row>
    <x:row r="263" ht="30" customHeight="1">
      <x:c r="A263" s="30" t="str">
        <x:v>Deutsche</x:v>
      </x:c>
      <x:c r="B263" s="30" t="str">
        <x:v>IBD / GCM</x:v>
      </x:c>
      <x:c r="C263" s="30" t="str">
        <x:v>Interview Note</x:v>
      </x:c>
      <x:c r="D263" s="31" t="str">
        <x:v>(Mix of canto in between)</x:v>
      </x:c>
      <x:c r="E263" s="31" t="str">
        <x:v>A102</x:v>
      </x:c>
      <x:c r="F263" s="31" t="str">
        <x:v>Anything you could have done better in your Nomura internship? | ... challenged my motivation and such.... | 4 ECM Karen</x:v>
      </x:c>
    </x:row>
    <x:row r="264" ht="30" customHeight="1">
      <x:c r="A264" s="30" t="str">
        <x:v>Deutsche</x:v>
      </x:c>
      <x:c r="B264" s="30" t="str">
        <x:v>IBD / GCM</x:v>
      </x:c>
      <x:c r="C264" s="30" t="str">
        <x:v>Interview Note</x:v>
      </x:c>
      <x:c r="D264" s="31" t="str">
        <x:v>“有個friend好耐以前都係st john打hockey” blablabla around hockey for a bit</x:v>
      </x:c>
      <x:c r="E264" s="31" t="str">
        <x:v>A104</x:v>
      </x:c>
      <x:c r="F264" s="31" t="str">
        <x:v>4 ECM Karen | (Mix of canto in between) | Self intro</x:v>
      </x:c>
    </x:row>
    <x:row r="265" ht="30" customHeight="1">
      <x:c r="A265" s="30" t="str">
        <x:v>Deutsche</x:v>
      </x:c>
      <x:c r="B265" s="30" t="str">
        <x:v>IBD / GCM</x:v>
      </x:c>
      <x:c r="C265" s="30" t="str">
        <x:v>Interview Note</x:v>
      </x:c>
      <x:c r="D265" s="31" t="str">
        <x:v>这个印度IT公司的收费模式如何，有什么风险点</x:v>
      </x:c>
      <x:c r="E265" s="31" t="str">
        <x:v>C104</x:v>
      </x:c>
      <x:c r="F265" s="31" t="str">
        <x:v>跟我讲一个之前项目里做的研究，描述行业规模增速，利润率，竞争格局，商业模式etc | 怎么给这个印度IT公司做估值的，算便宜吗？EV和EBITDA是多少 | 为什么会有“印度溢价”？</x:v>
      </x:c>
    </x:row>
    <x:row r="266" ht="46" customHeight="1">
      <x:c r="A266" s="30" t="str">
        <x:v>Deutsche</x:v>
      </x:c>
      <x:c r="B266" s="30" t="str">
        <x:v>IBD / GCM</x:v>
      </x:c>
      <x:c r="C266" s="30" t="str">
        <x:v>Metadata</x:v>
      </x:c>
      <x:c r="D266" s="31" t="str">
        <x:v>2026 SA</x:v>
      </x:c>
      <x:c r="E266" s="31" t="str">
        <x:v>A109</x:v>
      </x:c>
      <x:c r="F266" s="31" t="str">
        <x:v>Tell me one project you did at Nomura, your role and why you picked it | Tell me a project thats more complicated, not just making slides (bruh......) | How do you view the HK and China market for past two weeks</x:v>
      </x:c>
    </x:row>
    <x:row r="267" ht="46" customHeight="1">
      <x:c r="A267" s="30" t="str">
        <x:v>Deutsche</x:v>
      </x:c>
      <x:c r="B267" s="30" t="str">
        <x:v>IBD / GCM</x:v>
      </x:c>
      <x:c r="C267" s="30" t="str">
        <x:v>Metadata</x:v>
      </x:c>
      <x:c r="D267" s="31" t="str">
        <x:v>First Round</x:v>
      </x:c>
      <x:c r="E267" s="31" t="str">
        <x:v>A110</x:v>
      </x:c>
      <x:c r="F267" s="31" t="str">
        <x:v>Tell me a project thats more complicated, not just making slides (bruh......) | How do you view the HK and China market for past two weeks | 2026 SA</x:v>
      </x:c>
    </x:row>
    <x:row r="268" ht="30" customHeight="1">
      <x:c r="A268" s="30" t="str">
        <x:v>Deutsche</x:v>
      </x:c>
      <x:c r="B268" s="30" t="str">
        <x:v>IBD / GCM</x:v>
      </x:c>
      <x:c r="C268" s="30" t="str">
        <x:v>Interview Note</x:v>
      </x:c>
      <x:c r="D268" s="31" t="str">
        <x:v>Francesca 2025/7/18</x:v>
      </x:c>
      <x:c r="E268" s="31" t="str">
        <x:v>A111</x:v>
      </x:c>
      <x:c r="F268" s="31" t="str">
        <x:v>How do you view the HK and China market for past two weeks | 2026 SA | First Round</x:v>
      </x:c>
    </x:row>
    <x:row r="269" ht="30" customHeight="1">
      <x:c r="A269" s="30" t="str">
        <x:v>Deutsche</x:v>
      </x:c>
      <x:c r="B269" s="30" t="str">
        <x:v>IBD / GCM</x:v>
      </x:c>
      <x:c r="C269" s="30" t="str">
        <x:v>Interview Note</x:v>
      </x:c>
      <x:c r="D269" s="31" t="str">
        <x:v>Forgot his name but (Asso HK coverage)</x:v>
      </x:c>
      <x:c r="E269" s="31" t="str">
        <x:v>A112</x:v>
      </x:c>
      <x:c r="F269" s="31" t="str">
        <x:v>2026 SA | First Round | Francesca 2025/7/18</x:v>
      </x:c>
    </x:row>
    <x:row r="270" ht="30" customHeight="1">
      <x:c r="A270" s="30" t="str">
        <x:v>Deutsche</x:v>
      </x:c>
      <x:c r="B270" s="30" t="str">
        <x:v>IBD / GCM</x:v>
      </x:c>
      <x:c r="C270" s="30" t="str">
        <x:v>Interview Note</x:v>
      </x:c>
      <x:c r="D270" s="31" t="str">
        <x:v>Kangli (Diverse Industry Team, Asso)</x:v>
      </x:c>
      <x:c r="E270" s="31" t="str">
        <x:v>C112</x:v>
      </x:c>
      <x:c r="F270" s="31" t="str">
        <x:v>为什么会有“印度溢价”？ | 这个印度IT公司的收费模式如何，有什么风险点 | Why DB</x:v>
      </x:c>
    </x:row>
    <x:row r="271" ht="30" customHeight="1">
      <x:c r="A271" s="30" t="str">
        <x:v>Deutsche</x:v>
      </x:c>
      <x:c r="B271" s="30" t="str">
        <x:v>IBD / GCM</x:v>
      </x:c>
      <x:c r="C271" s="30" t="str">
        <x:v>Metadata</x:v>
      </x:c>
      <x:c r="D271" s="31" t="str">
        <x:v>(Super Chill, after Self-intro all in Mandarin)</x:v>
      </x:c>
      <x:c r="E271" s="31" t="str">
        <x:v>A113</x:v>
      </x:c>
      <x:c r="F271" s="31" t="str">
        <x:v>First Round | Francesca 2025/7/18 | Forgot his name but (Asso HK coverage)</x:v>
      </x:c>
    </x:row>
    <x:row r="272" ht="46" customHeight="1">
      <x:c r="A272" s="30" t="str">
        <x:v>Deutsche</x:v>
      </x:c>
      <x:c r="B272" s="30" t="str">
        <x:v>IBD / GCM</x:v>
      </x:c>
      <x:c r="C272" s="30" t="str">
        <x:v>Interview Note</x:v>
      </x:c>
      <x:c r="D272" s="31" t="str">
        <x:v>FCF formula, levered to unlevered</x:v>
      </x:c>
      <x:c r="E272" s="31" t="str">
        <x:v>C116</x:v>
      </x:c>
      <x:c r="F272" s="31" t="str">
        <x:v>(After self-intro all in Mandarin) | Case I did in my internship (EBITDA, Revenue breakdown, post-valuation...) | pro-forma EV/EBITDA, PE change</x:v>
      </x:c>
    </x:row>
    <x:row r="273" ht="46" customHeight="1">
      <x:c r="A273" s="30" t="str">
        <x:v>Deutsche</x:v>
      </x:c>
      <x:c r="B273" s="30" t="str">
        <x:v>IBD / GCM</x:v>
      </x:c>
      <x:c r="C273" s="30" t="str">
        <x:v>Interview Note</x:v>
      </x:c>
      <x:c r="D273" s="31" t="str">
        <x:v>ask back</x:v>
      </x:c>
      <x:c r="E273" s="31" t="str">
        <x:v>C118</x:v>
      </x:c>
      <x:c r="F273" s="31" t="str">
        <x:v>pro-forma EV/EBITDA, PE change | FCF formula, levered to unlevered | A owns 30% of B, how does A's three statement changes after B issued $10 dividends?</x:v>
      </x:c>
    </x:row>
    <x:row r="274" ht="30" customHeight="1">
      <x:c r="A274" s="30" t="str">
        <x:v>Deutsche</x:v>
      </x:c>
      <x:c r="B274" s="30" t="str">
        <x:v>IBD / GCM</x:v>
      </x:c>
      <x:c r="C274" s="30" t="str">
        <x:v>Interview Note</x:v>
      </x:c>
      <x:c r="D274" s="31" t="str">
        <x:v>Regina 2025/07/18</x:v>
      </x:c>
      <x:c r="E274" s="31" t="str">
        <x:v>A121</x:v>
      </x:c>
      <x:c r="F274" s="31" t="str">
        <x:v>怎么看待DB这种比较小的team size？和GS之类的大Team相比你认为你更喜欢哪一个 | 你觉得你的老板会怎么形容你？三个词 | 最大的缺点是什么？</x:v>
      </x:c>
    </x:row>
    <x:row r="275" ht="30" customHeight="1">
      <x:c r="A275" s="30" t="str">
        <x:v>Deutsche</x:v>
      </x:c>
      <x:c r="B275" s="30" t="str">
        <x:v>IBD / GCM</x:v>
      </x:c>
      <x:c r="C275" s="30" t="str">
        <x:v>Interview Note</x:v>
      </x:c>
      <x:c r="D275" s="31" t="str">
        <x:v>Forgot his name but (Asso HK coverage)</x:v>
      </x:c>
      <x:c r="E275" s="31" t="str">
        <x:v>A122</x:v>
      </x:c>
      <x:c r="F275" s="31" t="str">
        <x:v>你觉得你的老板会怎么形容你？三个词 | 最大的缺点是什么？ | Regina 2025/07/18</x:v>
      </x:c>
    </x:row>
    <x:row r="276" ht="46" customHeight="1">
      <x:c r="A276" s="30" t="str">
        <x:v>Deutsche</x:v>
      </x:c>
      <x:c r="B276" s="30" t="str">
        <x:v>IBD / GCM</x:v>
      </x:c>
      <x:c r="C276" s="30" t="str">
        <x:v>Interview Note</x:v>
      </x:c>
      <x:c r="D276" s="31" t="str">
        <x:v>Kangli (Diverse Industry Team, Asso)</x:v>
      </x:c>
      <x:c r="E276" s="31" t="str">
        <x:v>C122</x:v>
      </x:c>
      <x:c r="F276" s="31" t="str">
        <x:v>FCF formula, levered to unlevered | A owns 30% of B, how does A's three statement changes after B issued $10 dividends? | ask back</x:v>
      </x:c>
    </x:row>
    <x:row r="277" ht="30" customHeight="1">
      <x:c r="A277" s="30" t="str">
        <x:v>Deutsche</x:v>
      </x:c>
      <x:c r="B277" s="30" t="str">
        <x:v>IBD / GCM</x:v>
      </x:c>
      <x:c r="C277" s="30" t="str">
        <x:v>Interview Note</x:v>
      </x:c>
      <x:c r="D277" s="31" t="str">
        <x:v>all English</x:v>
      </x:c>
      <x:c r="E277" s="31" t="str">
        <x:v>A123</x:v>
      </x:c>
      <x:c r="F277" s="31" t="str">
        <x:v>最大的缺点是什么？ | Regina 2025/07/18 | Forgot his name but (Asso HK coverage)</x:v>
      </x:c>
    </x:row>
    <x:row r="278" ht="46" customHeight="1">
      <x:c r="A278" s="30" t="str">
        <x:v>Deutsche</x:v>
      </x:c>
      <x:c r="B278" s="30" t="str">
        <x:v>IBD / GCM</x:v>
      </x:c>
      <x:c r="C278" s="30" t="str">
        <x:v>Interview Note</x:v>
      </x:c>
      <x:c r="D278" s="31" t="str">
        <x:v>all English</x:v>
      </x:c>
      <x:c r="E278" s="31" t="str">
        <x:v>C123</x:v>
      </x:c>
      <x:c r="F278" s="31" t="str">
        <x:v>A owns 30% of B, how does A's three statement changes after B issued $10 dividends? | ask back | Kangli (Diverse Industry Team, Asso)</x:v>
      </x:c>
    </x:row>
    <x:row r="279" ht="30" customHeight="1">
      <x:c r="A279" s="30" t="str">
        <x:v>Deutsche</x:v>
      </x:c>
      <x:c r="B279" s="30" t="str">
        <x:v>IBD / GCM</x:v>
      </x:c>
      <x:c r="C279" s="30" t="str">
        <x:v>Interview Note</x:v>
      </x:c>
      <x:c r="D279" s="31" t="str">
        <x:v>CV deepdive (past deals at each company)</x:v>
      </x:c>
      <x:c r="E279" s="31" t="str">
        <x:v>A124</x:v>
      </x:c>
      <x:c r="F279" s="31" t="str">
        <x:v>Regina 2025/07/18 | Forgot his name but (Asso HK coverage) | all English</x:v>
      </x:c>
    </x:row>
    <x:row r="280" ht="30" customHeight="1">
      <x:c r="A280" s="30" t="str">
        <x:v>Deutsche</x:v>
      </x:c>
      <x:c r="B280" s="30" t="str">
        <x:v>IBD / GCM</x:v>
      </x:c>
      <x:c r="C280" s="30" t="str">
        <x:v>Interview Note</x:v>
      </x:c>
      <x:c r="D280" s="31" t="str">
        <x:v>recent ECM deals</x:v>
      </x:c>
      <x:c r="E280" s="31" t="str">
        <x:v>C124</x:v>
      </x:c>
      <x:c r="F280" s="31" t="str">
        <x:v>ask back | Kangli (Diverse Industry Team, Asso) | all English</x:v>
      </x:c>
    </x:row>
    <x:row r="281" ht="30" customHeight="1">
      <x:c r="A281" s="30" t="str">
        <x:v>Deutsche</x:v>
      </x:c>
      <x:c r="B281" s="30" t="str">
        <x:v>IBD / GCM</x:v>
      </x:c>
      <x:c r="C281" s="30" t="str">
        <x:v>Interview Note</x:v>
      </x:c>
      <x:c r="D281" s="31" t="str">
        <x:v>again CV deepdive</x:v>
      </x:c>
      <x:c r="E281" s="31" t="str">
        <x:v>A126</x:v>
      </x:c>
      <x:c r="F281" s="31" t="str">
        <x:v>all English | CV deepdive (past deals at each company) | why DB</x:v>
      </x:c>
    </x:row>
    <x:row r="282" ht="30" customHeight="1">
      <x:c r="A282" s="30" t="str">
        <x:v>Deutsche</x:v>
      </x:c>
      <x:c r="B282" s="30" t="str">
        <x:v>IBD / GCM</x:v>
      </x:c>
      <x:c r="C282" s="30" t="str">
        <x:v>Metadata</x:v>
      </x:c>
      <x:c r="D282" s="31" t="str">
        <x:v>SPD</x:v>
      </x:c>
      <x:c r="E282" s="31" t="str">
        <x:v>A132</x:v>
      </x:c>
      <x:c r="F282" s="31" t="str">
        <x:v>CV deepdive (past deals at each company) | why DB | again CV deepdive</x:v>
      </x:c>
    </x:row>
    <x:row r="283" ht="30" customHeight="1">
      <x:c r="A283" s="30" t="str">
        <x:v>Deutsche</x:v>
      </x:c>
      <x:c r="B283" s="30" t="str">
        <x:v>IBD / GCM</x:v>
      </x:c>
      <x:c r="C283" s="30" t="str">
        <x:v>Interview Note</x:v>
      </x:c>
      <x:c r="D283" s="31" t="str">
        <x:v>Francesca 2025/07/25</x:v>
      </x:c>
      <x:c r="E283" s="31" t="str">
        <x:v>A133</x:v>
      </x:c>
      <x:c r="F283" s="31" t="str">
        <x:v>why DB | again CV deepdive | SPD</x:v>
      </x:c>
    </x:row>
    <x:row r="284" ht="30" customHeight="1">
      <x:c r="A284" s="30" t="str">
        <x:v>Deutsche</x:v>
      </x:c>
      <x:c r="B284" s="30" t="str">
        <x:v>IBD / GCM</x:v>
      </x:c>
      <x:c r="C284" s="30" t="str">
        <x:v>Interview Note</x:v>
      </x:c>
      <x:c r="D284" s="31" t="str">
        <x:v>Phil (M&amp;A, Senior VP)</x:v>
      </x:c>
      <x:c r="E284" s="31" t="str">
        <x:v>A134</x:v>
      </x:c>
      <x:c r="F284" s="31" t="str">
        <x:v>again CV deepdive | SPD | Francesca 2025/07/25</x:v>
      </x:c>
    </x:row>
    <x:row r="285" ht="30" customHeight="1">
      <x:c r="A285" s="30" t="str">
        <x:v>Deutsche</x:v>
      </x:c>
      <x:c r="B285" s="30" t="str">
        <x:v>IBD / GCM</x:v>
      </x:c>
      <x:c r="C285" s="30" t="str">
        <x:v>Interview Note</x:v>
      </x:c>
      <x:c r="D285" s="31" t="str">
        <x:v>Jackie (HK Coverage, VP)</x:v>
      </x:c>
      <x:c r="E285" s="31" t="str">
        <x:v>C134</x:v>
      </x:c>
      <x:c r="F285" s="31" t="str">
        <x:v>walk me through lbo | one specific LBO question (calculate equity value) | who did you report to at Xiaomi</x:v>
      </x:c>
    </x:row>
    <x:row r="286" ht="30" customHeight="1">
      <x:c r="A286" s="30" t="str">
        <x:v>Deutsche</x:v>
      </x:c>
      <x:c r="B286" s="30" t="str">
        <x:v>IBD / GCM</x:v>
      </x:c>
      <x:c r="C286" s="30" t="str">
        <x:v>Interview Note</x:v>
      </x:c>
      <x:c r="D286" s="31" t="str">
        <x:v>(Chill)</x:v>
      </x:c>
      <x:c r="E286" s="31" t="str">
        <x:v>A135</x:v>
      </x:c>
      <x:c r="F286" s="31" t="str">
        <x:v>SPD | Francesca 2025/07/25 | Phil (M&amp;A, Senior VP)</x:v>
      </x:c>
    </x:row>
    <x:row r="287" ht="30" customHeight="1">
      <x:c r="A287" s="30" t="str">
        <x:v>Deutsche</x:v>
      </x:c>
      <x:c r="B287" s="30" t="str">
        <x:v>IBD / GCM</x:v>
      </x:c>
      <x:c r="C287" s="30" t="str">
        <x:v>Interview Note</x:v>
      </x:c>
      <x:c r="D287" s="31" t="str">
        <x:v>(bro she's a bit scary she has very big eyes)</x:v>
      </x:c>
      <x:c r="E287" s="31" t="str">
        <x:v>C135</x:v>
      </x:c>
      <x:c r="F287" s="31" t="str">
        <x:v>one specific LBO question (calculate equity value) | who did you report to at Xiaomi | Jackie (HK Coverage, VP)</x:v>
      </x:c>
    </x:row>
    <x:row r="288" ht="62" customHeight="1">
      <x:c r="A288" s="30" t="str">
        <x:v>Deutsche</x:v>
      </x:c>
      <x:c r="B288" s="30" t="str">
        <x:v>IBD / GCM</x:v>
      </x:c>
      <x:c r="C288" s="30" t="str">
        <x:v>Interview Note</x:v>
      </x:c>
      <x:c r="D288" s="31" t="str">
        <x:v>Ask back</x:v>
      </x:c>
      <x:c r="E288" s="31" t="str">
        <x:v>C141</x:v>
      </x:c>
      <x:c r="F288" s="31" t="str">
        <x:v>Tell me about the robotics team (Sorry I mentioned that again when self-intro cos we just won a prize......I think if i fail its because of this...) | Brain teaser - no one from our batch answered it right, she gave very little time to t...</x:v>
      </x:c>
    </x:row>
    <x:row r="289" ht="46" customHeight="1">
      <x:c r="A289" s="30" t="str">
        <x:v>Deutsche</x:v>
      </x:c>
      <x:c r="B289" s="30" t="str">
        <x:v>IBD / GCM</x:v>
      </x:c>
      <x:c r="C289" s="30" t="str">
        <x:v>Metadata</x:v>
      </x:c>
      <x:c r="D289" s="31" t="str">
        <x:v>Kate 2025/09/18</x:v>
      </x:c>
      <x:c r="E289" s="31" t="str">
        <x:v>A145</x:v>
      </x:c>
      <x:c r="F289" s="31" t="str">
        <x:v>Why IBD? | Who is your first round interviewer? (I kinda mentioned my first round several times...) | Anything you would like to tell me thats not on your CV?</x:v>
      </x:c>
    </x:row>
    <x:row r="290" ht="46" customHeight="1">
      <x:c r="A290" s="30" t="str">
        <x:v>Deutsche</x:v>
      </x:c>
      <x:c r="B290" s="30" t="str">
        <x:v>IBD / GCM</x:v>
      </x:c>
      <x:c r="C290" s="30" t="str">
        <x:v>Interview Note</x:v>
      </x:c>
      <x:c r="D290" s="31" t="str">
        <x:v>I don't rmb name but TMT VP</x:v>
      </x:c>
      <x:c r="E290" s="31" t="str">
        <x:v>A146</x:v>
      </x:c>
      <x:c r="F290" s="31" t="str">
        <x:v>Who is your first round interviewer? (I kinda mentioned my first round several times...) | Anything you would like to tell me thats not on your CV? | Kate 2025/09/18</x:v>
      </x:c>
    </x:row>
    <x:row r="291" ht="30" customHeight="1">
      <x:c r="A291" s="30" t="str">
        <x:v>Deutsche</x:v>
      </x:c>
      <x:c r="B291" s="30" t="str">
        <x:v>IBD / GCM</x:v>
      </x:c>
      <x:c r="C291" s="30" t="str">
        <x:v>Interview Note</x:v>
      </x:c>
      <x:c r="D291" s="31" t="str">
        <x:v>I still don't rmb name but Natural Resource VP</x:v>
      </x:c>
      <x:c r="E291" s="31" t="str">
        <x:v>C146</x:v>
      </x:c>
      <x:c r="F291" s="31" t="str">
        <x:v>Brain teaser - no one from our batch answered it right, she gave very little time to think | Why IBD? | Ask back</x:v>
      </x:c>
    </x:row>
    <x:row r="292" ht="30" customHeight="1">
      <x:c r="A292" s="30" t="str">
        <x:v>Deutsche</x:v>
      </x:c>
      <x:c r="B292" s="30" t="str">
        <x:v>IBD / GCM</x:v>
      </x:c>
      <x:c r="C292" s="30" t="str">
        <x:v>Interview Note</x:v>
      </x:c>
      <x:c r="D292" s="31" t="str">
        <x:v>(Staring at his computer all time and very distracted)</x:v>
      </x:c>
      <x:c r="E292" s="31" t="str">
        <x:v>A147</x:v>
      </x:c>
      <x:c r="F292" s="31" t="str">
        <x:v>Anything you would like to tell me thats not on your CV? | Kate 2025/09/18 | I don't rmb name but TMT VP</x:v>
      </x:c>
    </x:row>
    <x:row r="293" ht="30" customHeight="1">
      <x:c r="A293" s="30" t="str">
        <x:v>Deutsche</x:v>
      </x:c>
      <x:c r="B293" s="30" t="str">
        <x:v>IBD / GCM</x:v>
      </x:c>
      <x:c r="C293" s="30" t="str">
        <x:v>Interview Note</x:v>
      </x:c>
      <x:c r="D293" s="31" t="str">
        <x:v>(Very direct and interuptive, very much stress test vibe)</x:v>
      </x:c>
      <x:c r="E293" s="31" t="str">
        <x:v>C147</x:v>
      </x:c>
      <x:c r="F293" s="31" t="str">
        <x:v>Why IBD? | Ask back | I still don't rmb name but Natural Resource VP</x:v>
      </x:c>
    </x:row>
    <x:row r="294" ht="46" customHeight="1">
      <x:c r="A294" s="30" t="str">
        <x:v>Deutsche</x:v>
      </x:c>
      <x:c r="B294" s="30" t="str">
        <x:v>IBD / GCM</x:v>
      </x:c>
      <x:c r="C294" s="30" t="str">
        <x:v>Interview Note</x:v>
      </x:c>
      <x:c r="D294" s="31" t="str">
        <x:v>Basically goes down my CV and grill every detail</x:v>
      </x:c>
      <x:c r="E294" s="31" t="str">
        <x:v>C149</x:v>
      </x:c>
      <x:c r="F294" s="31" t="str">
        <x:v>I still don't rmb name but Natural Resource VP | (Very direct and interuptive, very much stress test vibe) | Self introduction - pick some highlights in your CV to talk about</x:v>
      </x:c>
    </x:row>
    <x:row r="295" ht="46" customHeight="1">
      <x:c r="A295" s="30" t="str">
        <x:v>Deutsche</x:v>
      </x:c>
      <x:c r="B295" s="30" t="str">
        <x:v>IBD / GCM</x:v>
      </x:c>
      <x:c r="C295" s="30" t="str">
        <x:v>Interview Note</x:v>
      </x:c>
      <x:c r="D295" s="31" t="str">
        <x:v>Quickly went through my CV and asked some small clarification questions</x:v>
      </x:c>
      <x:c r="E295" s="31" t="str">
        <x:v>A150</x:v>
      </x:c>
      <x:c r="F295" s="31" t="str">
        <x:v>(Staring at his computer all time and very distracted) | Self introduction | You in Lazard right now? I didn’t see it on your CV, when does it lasts</x:v>
      </x:c>
    </x:row>
    <x:row r="296" ht="46" customHeight="1">
      <x:c r="A296" s="30" t="str">
        <x:v>Deutsche</x:v>
      </x:c>
      <x:c r="B296" s="30" t="str">
        <x:v>IBD / GCM</x:v>
      </x:c>
      <x:c r="C296" s="30" t="str">
        <x:v>Interview Note</x:v>
      </x:c>
      <x:c r="D296" s="31" t="str">
        <x:v>Project 1</x:v>
      </x:c>
      <x:c r="E296" s="31" t="str">
        <x:v>C151</x:v>
      </x:c>
      <x:c r="F296" s="31" t="str">
        <x:v>(Very direct and interuptive, very much stress test vibe) | Self introduction - pick some highlights in your CV to talk about | Basically goes down my CV and grill every detail</x:v>
      </x:c>
    </x:row>
    <x:row r="297" ht="30" customHeight="1">
      <x:c r="A297" s="30" t="str">
        <x:v>Deutsche</x:v>
      </x:c>
      <x:c r="B297" s="30" t="str">
        <x:v>IBD / GCM</x:v>
      </x:c>
      <x:c r="C297" s="30" t="str">
        <x:v>Interview Note</x:v>
      </x:c>
      <x:c r="D297" s="31" t="str">
        <x:v>Strength and weakness</x:v>
      </x:c>
      <x:c r="E297" s="31" t="str">
        <x:v>A156</x:v>
      </x:c>
      <x:c r="F297" s="31" t="str">
        <x:v>Why Hong Kong | Why investment banking | Tell me a challenge - what is your biggest takeaway</x:v>
      </x:c>
    </x:row>
    <x:row r="298" ht="30" customHeight="1">
      <x:c r="A298" s="30" t="str">
        <x:v>Deutsche</x:v>
      </x:c>
      <x:c r="B298" s="30" t="str">
        <x:v>IBD / GCM</x:v>
      </x:c>
      <x:c r="C298" s="30" t="str">
        <x:v>Interview Note</x:v>
      </x:c>
      <x:c r="D298" s="31" t="str">
        <x:v>Project 2</x:v>
      </x:c>
      <x:c r="E298" s="31" t="str">
        <x:v>C157</x:v>
      </x:c>
      <x:c r="F298" s="31" t="str">
        <x:v>What are the comps used (name some) | Did you take into account of A/H share premium | What is the P/B multiple used</x:v>
      </x:c>
    </x:row>
    <x:row r="299" ht="30" customHeight="1">
      <x:c r="A299" s="30" t="str">
        <x:v>Deutsche</x:v>
      </x:c>
      <x:c r="B299" s="30" t="str">
        <x:v>IBD / GCM</x:v>
      </x:c>
      <x:c r="C299" s="30" t="str">
        <x:v>Interview Note</x:v>
      </x:c>
      <x:c r="D299" s="31" t="str">
        <x:v>Ask back</x:v>
      </x:c>
      <x:c r="E299" s="31" t="str">
        <x:v>A160</x:v>
      </x:c>
      <x:c r="F299" s="31" t="str">
        <x:v>Tell me a time you noticed a mistake and what did you do | How do you split work | How to manage ddl conflict</x:v>
      </x:c>
    </x:row>
    <x:row r="300" ht="30" customHeight="1">
      <x:c r="A300" s="30" t="str">
        <x:v>Deutsche</x:v>
      </x:c>
      <x:c r="B300" s="30" t="str">
        <x:v>IBD / GCM</x:v>
      </x:c>
      <x:c r="C300" s="30" t="str">
        <x:v>Interview Note</x:v>
      </x:c>
      <x:c r="D300" s="31" t="str">
        <x:v>Preference for sector/product</x:v>
      </x:c>
      <x:c r="E300" s="31" t="str">
        <x:v>A161</x:v>
      </x:c>
      <x:c r="F300" s="31" t="str">
        <x:v>How do you split work | How to manage ddl conflict | Ask back</x:v>
      </x:c>
    </x:row>
    <x:row r="301" ht="30" customHeight="1">
      <x:c r="A301" s="30" t="str">
        <x:v>Deutsche</x:v>
      </x:c>
      <x:c r="B301" s="30" t="str">
        <x:v>IBD / GCM</x:v>
      </x:c>
      <x:c r="C301" s="30" t="str">
        <x:v>Interview Note</x:v>
      </x:c>
      <x:c r="D301" s="31" t="str">
        <x:v>Project 3</x:v>
      </x:c>
      <x:c r="E301" s="31" t="str">
        <x:v>C164</x:v>
      </x:c>
      <x:c r="F301" s="31" t="str">
        <x:v>Which jurisdiction does this LOE follows? | Tell me a investment highlight in CIM | Did you build a model for it</x:v>
      </x:c>
    </x:row>
    <x:row r="302" ht="30" customHeight="1">
      <x:c r="A302" s="30" t="str">
        <x:v>Deutsche</x:v>
      </x:c>
      <x:c r="B302" s="30" t="str">
        <x:v>IBD / GCM</x:v>
      </x:c>
      <x:c r="C302" s="30" t="str">
        <x:v>Interview Note</x:v>
      </x:c>
      <x:c r="D302" s="31" t="str">
        <x:v>Project 4</x:v>
      </x:c>
      <x:c r="E302" s="31" t="str">
        <x:v>C168</x:v>
      </x:c>
      <x:c r="F302" s="31" t="str">
        <x:v>Project 3 | This “Photovatics” means solar right? (I use this word in my CV) | What is the valuation of this target?</x:v>
      </x:c>
    </x:row>
    <x:row r="303" ht="62" customHeight="1">
      <x:c r="A303" s="30" t="str">
        <x:v>Deutsche</x:v>
      </x:c>
      <x:c r="B303" s="30" t="str">
        <x:v>IBD / GCM</x:v>
      </x:c>
      <x:c r="C303" s="30" t="str">
        <x:v>Interview Note</x:v>
      </x:c>
      <x:c r="D303" s="31" t="str">
        <x:v>Preference of sector</x:v>
      </x:c>
      <x:c r="E303" s="31" t="str">
        <x:v>C173</x:v>
      </x:c>
      <x:c r="F303" s="31" t="str">
        <x:v>What did you look at for this pitching (it was an industrial pitch) | I said mining EPC - Which mineral? | You know there’s only two companies in China for mining EPC right - I said I’m talking about Australian and Canadian target. He sa...</x:v>
      </x:c>
    </x:row>
    <x:row r="304" ht="46" customHeight="1">
      <x:c r="A304" s="30" t="str">
        <x:v>Deutsche</x:v>
      </x:c>
      <x:c r="B304" s="30" t="str">
        <x:v>IBD / GCM</x:v>
      </x:c>
      <x:c r="C304" s="30" t="str">
        <x:v>Interview Note</x:v>
      </x:c>
      <x:c r="D304" s="31" t="str">
        <x:v>Ask back</x:v>
      </x:c>
      <x:c r="E304" s="31" t="str">
        <x:v>C174</x:v>
      </x:c>
      <x:c r="F304" s="31" t="str">
        <x:v>I said mining EPC - Which mineral? | You know there’s only two companies in China for mining EPC right - I said I’m talking about Australian and Canadian target. He said he think he knows which company I’m talking about | Preference of s...</x:v>
      </x:c>
    </x:row>
    <x:row r="305" ht="30" customHeight="1">
      <x:c r="A305" s="30" t="str">
        <x:v>Citi</x:v>
      </x:c>
      <x:c r="B305" s="30" t="str">
        <x:v>IBD / GCM</x:v>
      </x:c>
      <x:c r="C305" s="30" t="str">
        <x:v>Metadata</x:v>
      </x:c>
      <x:c r="D305" s="31" t="str">
        <x:v>2024 SA</x:v>
      </x:c>
      <x:c r="E305" s="31" t="str">
        <x:v>A1</x:v>
      </x:c>
      <x:c r="F305" s="31" t="str"/>
    </x:row>
    <x:row r="306" ht="30" customHeight="1">
      <x:c r="A306" s="30" t="str">
        <x:v>Citi</x:v>
      </x:c>
      <x:c r="B306" s="30" t="str">
        <x:v>IBD / GCM</x:v>
      </x:c>
      <x:c r="C306" s="30" t="str">
        <x:v>Interview Note</x:v>
      </x:c>
      <x:c r="D306" s="31" t="str">
        <x:v>citi 1st round group technicals</x:v>
      </x:c>
      <x:c r="E306" s="31" t="str">
        <x:v>A2</x:v>
      </x:c>
      <x:c r="F306" s="31" t="str">
        <x:v>2024 SA</x:v>
      </x:c>
    </x:row>
    <x:row r="307" ht="30" customHeight="1">
      <x:c r="A307" s="30" t="str">
        <x:v>Citi</x:v>
      </x:c>
      <x:c r="B307" s="30" t="str">
        <x:v>IBD / GCM</x:v>
      </x:c>
      <x:c r="C307" s="30" t="str">
        <x:v>Interview Note</x:v>
      </x:c>
      <x:c r="D307" s="31" t="str">
        <x:v>31 Emily's Superday</x:v>
      </x:c>
      <x:c r="E307" s="31" t="str">
        <x:v>B2</x:v>
      </x:c>
      <x:c r="F307" s="31" t="str"/>
    </x:row>
    <x:row r="308" ht="30" customHeight="1">
      <x:c r="A308" s="30" t="str">
        <x:v>Citi</x:v>
      </x:c>
      <x:c r="B308" s="30" t="str">
        <x:v>IBD / GCM</x:v>
      </x:c>
      <x:c r="C308" s="30" t="str">
        <x:v>Interview Note</x:v>
      </x:c>
      <x:c r="D308" s="31" t="str">
        <x:v>1st Interviewer (Experience, Peter Lam)</x:v>
      </x:c>
      <x:c r="E308" s="31" t="str">
        <x:v>B3</x:v>
      </x:c>
      <x:c r="F308" s="31" t="str">
        <x:v>31 Emily's Superday</x:v>
      </x:c>
    </x:row>
    <x:row r="309" ht="46" customHeight="1">
      <x:c r="A309" s="30" t="str">
        <x:v>Citi</x:v>
      </x:c>
      <x:c r="B309" s="30" t="str">
        <x:v>IBD / GCM</x:v>
      </x:c>
      <x:c r="C309" s="30" t="str">
        <x:v>Interview Note</x:v>
      </x:c>
      <x:c r="D309" s="31" t="str">
        <x:v>2nd Interviewer (Leadership, Sam Sun)</x:v>
      </x:c>
      <x:c r="E309" s="31" t="str">
        <x:v>B12</x:v>
      </x:c>
      <x:c r="F309" s="31" t="str">
        <x:v>What opportunities this company can have (ECM, DCM, M&amp;A) | Why M&amp;A for upstream companies, do you have any precedent transactions on it? | Why is it a good time for them, and why this opportunity?</x:v>
      </x:c>
    </x:row>
    <x:row r="310" ht="46" customHeight="1">
      <x:c r="A310" s="30" t="str">
        <x:v>Citi</x:v>
      </x:c>
      <x:c r="B310" s="30" t="str">
        <x:v>IBD / GCM</x:v>
      </x:c>
      <x:c r="C310" s="30" t="str">
        <x:v>Metadata</x:v>
      </x:c>
      <x:c r="D310" s="31" t="str">
        <x:v>2025 SA</x:v>
      </x:c>
      <x:c r="E310" s="31" t="str">
        <x:v>A22</x:v>
      </x:c>
      <x:c r="F310" s="31" t="str">
        <x:v>what other additional things are in the equation and why (nols, dta etc) | if the company were to be acquired 100% by another company how much would it be (higher than ev bc control premium) | pitch me an industry</x:v>
      </x:c>
    </x:row>
    <x:row r="311" ht="46" customHeight="1">
      <x:c r="A311" s="30" t="str">
        <x:v>Citi</x:v>
      </x:c>
      <x:c r="B311" s="30" t="str">
        <x:v>IBD / GCM</x:v>
      </x:c>
      <x:c r="C311" s="30" t="str">
        <x:v>Interview Note</x:v>
      </x:c>
      <x:c r="D311" s="31" t="str">
        <x:v>IBD 1st Round Group Interview - Tech</x:v>
      </x:c>
      <x:c r="E311" s="31" t="str">
        <x:v>A23</x:v>
      </x:c>
      <x:c r="F311" s="31" t="str">
        <x:v>if the company were to be acquired 100% by another company how much would it be (higher than ev bc control premium) | pitch me an industry | 2025 SA</x:v>
      </x:c>
    </x:row>
    <x:row r="312" ht="30" customHeight="1">
      <x:c r="A312" s="30" t="str">
        <x:v>Citi</x:v>
      </x:c>
      <x:c r="B312" s="30" t="str">
        <x:v>IBD / GCM</x:v>
      </x:c>
      <x:c r="C312" s="30" t="str">
        <x:v>Metadata</x:v>
      </x:c>
      <x:c r="D312" s="31" t="str">
        <x:v>Beata</x:v>
      </x:c>
      <x:c r="E312" s="31" t="str">
        <x:v>A24</x:v>
      </x:c>
      <x:c r="F312" s="31" t="str">
        <x:v>pitch me an industry | 2025 SA | IBD 1st Round Group Interview - Tech</x:v>
      </x:c>
    </x:row>
    <x:row r="313" ht="30" customHeight="1">
      <x:c r="A313" s="30" t="str">
        <x:v>Citi</x:v>
      </x:c>
      <x:c r="B313" s="30" t="str">
        <x:v>IBD / GCM</x:v>
      </x:c>
      <x:c r="C313" s="30" t="str">
        <x:v>Interview Note</x:v>
      </x:c>
      <x:c r="D313" s="31" t="str">
        <x:v>搶答/Group Discussion</x:v>
      </x:c>
      <x:c r="E313" s="31" t="str">
        <x:v>A25</x:v>
      </x:c>
      <x:c r="F313" s="31" t="str">
        <x:v>2025 SA | IBD 1st Round Group Interview - Tech | Beata</x:v>
      </x:c>
    </x:row>
    <x:row r="314" ht="46" customHeight="1">
      <x:c r="A314" s="30" t="str">
        <x:v>Citi</x:v>
      </x:c>
      <x:c r="B314" s="30" t="str">
        <x:v>IBD / GCM</x:v>
      </x:c>
      <x:c r="C314" s="30" t="str">
        <x:v>Interview Note</x:v>
      </x:c>
      <x:c r="D314" s="31" t="str">
        <x:v>synergies during m&amp;a</x:v>
      </x:c>
      <x:c r="E314" s="31" t="str">
        <x:v>A28</x:v>
      </x:c>
      <x:c r="F314" s="31" t="str">
        <x:v>搶答/Group Discussion | what kind of companies will receive cash but not yet record it as revenue on the IS, and how would it affect the BS | When to use Gross Revenue vs Net Revenue</x:v>
      </x:c>
    </x:row>
    <x:row r="315" ht="46" customHeight="1">
      <x:c r="A315" s="30" t="str">
        <x:v>Citi</x:v>
      </x:c>
      <x:c r="B315" s="30" t="str">
        <x:v>IBD / GCM</x:v>
      </x:c>
      <x:c r="C315" s="30" t="str">
        <x:v>Metadata</x:v>
      </x:c>
      <x:c r="D315" s="31" t="str">
        <x:v>followup: someone mentioned that cost synergy is easier to quantify, when ur doing synergies evaluation, how would you quantify</x:v>
      </x:c>
      <x:c r="E315" s="31" t="str">
        <x:v>A29</x:v>
      </x:c>
      <x:c r="F315" s="31" t="str">
        <x:v>what kind of companies will receive cash but not yet record it as revenue on the IS, and how would it affect the BS | When to use Gross Revenue vs Net Revenue | synergies during m&amp;a</x:v>
      </x:c>
    </x:row>
    <x:row r="316" ht="62" customHeight="1">
      <x:c r="A316" s="30" t="str">
        <x:v>Citi</x:v>
      </x:c>
      <x:c r="B316" s="30" t="str">
        <x:v>IBD / GCM</x:v>
      </x:c>
      <x:c r="C316" s="30" t="str">
        <x:v>Metadata</x:v>
      </x:c>
      <x:c r="D316" s="31" t="str">
        <x:v>followup: someone mentioned about sources and uses, what are some typical items included</x:v>
      </x:c>
      <x:c r="E316" s="31" t="str">
        <x:v>A32</x:v>
      </x:c>
      <x:c r="F316" s="31" t="str">
        <x:v>followup: someone mentioned that cost synergy is easier to quantify, when ur doing synergies evaluation, how would you quantify | pros and cons of dcf, trading comps, precedent transactions, when do u prefer which | given that you have t...</x:v>
      </x:c>
    </x:row>
    <x:row r="317" ht="62" customHeight="1">
      <x:c r="A317" s="30" t="str">
        <x:v>Citi</x:v>
      </x:c>
      <x:c r="B317" s="30" t="str">
        <x:v>IBD / GCM</x:v>
      </x:c>
      <x:c r="C317" s="30" t="str">
        <x:v>Interview Note</x:v>
      </x:c>
      <x:c r="D317" s="31" t="str">
        <x:v>Corporate Banking 1st Round Group Interview - Tech</x:v>
      </x:c>
      <x:c r="E317" s="31" t="str">
        <x:v>A35</x:v>
      </x:c>
      <x:c r="F317" s="31" t="str">
        <x:v>given that you have the operating model already, ,and u dont need to do further assumptions, what steps would you take to convert this into an LBO model | followup: someone mentioned about sources and uses, what are some typical items in...</x:v>
      </x:c>
    </x:row>
    <x:row r="318" ht="46" customHeight="1">
      <x:c r="A318" s="30" t="str">
        <x:v>Citi</x:v>
      </x:c>
      <x:c r="B318" s="30" t="str">
        <x:v>IBD / GCM</x:v>
      </x:c>
      <x:c r="C318" s="30" t="str">
        <x:v>Metadata</x:v>
      </x:c>
      <x:c r="D318" s="31" t="str">
        <x:v>Beata</x:v>
      </x:c>
      <x:c r="E318" s="31" t="str">
        <x:v>A36</x:v>
      </x:c>
      <x:c r="F318" s="31" t="str">
        <x:v>followup: someone mentioned about sources and uses, what are some typical items included | what to include in a one-page company profile | Corporate Banking 1st Round Group Interview - Tech</x:v>
      </x:c>
    </x:row>
    <x:row r="319" ht="46" customHeight="1">
      <x:c r="A319" s="30" t="str">
        <x:v>Citi</x:v>
      </x:c>
      <x:c r="B319" s="30" t="str">
        <x:v>IBD / GCM</x:v>
      </x:c>
      <x:c r="C319" s="30" t="str">
        <x:v>Interview Note</x:v>
      </x:c>
      <x:c r="D319" s="31" t="str">
        <x:v>l Solvency and liquidity ratios</x:v>
      </x:c>
      <x:c r="E319" s="31" t="str">
        <x:v>A39</x:v>
      </x:c>
      <x:c r="F319" s="31" t="str">
        <x:v>Corporate Banking 1st Round Group Interview - Tech | Beata | What financial ratios will you take a look when you take a look at the leverage of a company?</x:v>
      </x:c>
    </x:row>
    <x:row r="320" ht="46" customHeight="1">
      <x:c r="A320" s="30" t="str">
        <x:v>Citi</x:v>
      </x:c>
      <x:c r="B320" s="30" t="str">
        <x:v>IBD / GCM</x:v>
      </x:c>
      <x:c r="C320" s="30" t="str">
        <x:v>Metadata</x:v>
      </x:c>
      <x:c r="D320" s="31" t="str">
        <x:v>2025</x:v>
      </x:c>
      <x:c r="E320" s="31" t="str">
        <x:v>A65</x:v>
      </x:c>
      <x:c r="F320" s="31" t="str">
        <x:v>What are the three valuation methodologies? | What’s the difference between valuing a private and public company? | Why would a company do M&amp;A from a strategic/financial aspect?</x:v>
      </x:c>
    </x:row>
    <x:row r="321" ht="46" customHeight="1">
      <x:c r="A321" s="30" t="str">
        <x:v>Citi</x:v>
      </x:c>
      <x:c r="B321" s="30" t="str">
        <x:v>IBD / GCM</x:v>
      </x:c>
      <x:c r="C321" s="30" t="str">
        <x:v>Interview Note</x:v>
      </x:c>
      <x:c r="D321" s="31" t="str">
        <x:v>IBD 1st Round Group Interview - Tech</x:v>
      </x:c>
      <x:c r="E321" s="31" t="str">
        <x:v>A66</x:v>
      </x:c>
      <x:c r="F321" s="31" t="str">
        <x:v>What’s the difference between valuing a private and public company? | Why would a company do M&amp;A from a strategic/financial aspect? | 2025</x:v>
      </x:c>
    </x:row>
    <x:row r="322" ht="30" customHeight="1">
      <x:c r="A322" s="30" t="str">
        <x:v>Citi</x:v>
      </x:c>
      <x:c r="B322" s="30" t="str">
        <x:v>IBD / GCM</x:v>
      </x:c>
      <x:c r="C322" s="30" t="str">
        <x:v>Interview Note</x:v>
      </x:c>
      <x:c r="D322" s="31" t="str">
        <x:v>1</x:v>
      </x:c>
      <x:c r="E322" s="31" t="str">
        <x:v>A67</x:v>
      </x:c>
      <x:c r="F322" s="31" t="str">
        <x:v>Why would a company do M&amp;A from a strategic/financial aspect? | 2025 | IBD 1st Round Group Interview - Tech</x:v>
      </x:c>
    </x:row>
    <x:row r="323" ht="30" customHeight="1">
      <x:c r="A323" s="30" t="str">
        <x:v>Citi</x:v>
      </x:c>
      <x:c r="B323" s="30" t="str">
        <x:v>IBD / GCM</x:v>
      </x:c>
      <x:c r="C323" s="30" t="str">
        <x:v>Interview Note</x:v>
      </x:c>
      <x:c r="D323" s="31" t="str">
        <x:v>Language test:</x:v>
      </x:c>
      <x:c r="E323" s="31" t="str">
        <x:v>A83</x:v>
      </x:c>
      <x:c r="F323" s="31" t="str">
        <x:v>2025 | IBD 1st Round Group Interview - Tech | 1</x:v>
      </x:c>
    </x:row>
    <x:row r="324" ht="30" customHeight="1">
      <x:c r="A324" s="30" t="str">
        <x:v>Citi</x:v>
      </x:c>
      <x:c r="B324" s="30" t="str">
        <x:v>IBD / GCM</x:v>
      </x:c>
      <x:c r="C324" s="30" t="str">
        <x:v>Interview Note</x:v>
      </x:c>
      <x:c r="D324" s="31" t="str">
        <x:v>English writing: write a short paragraph to cope with a situation that may happen in the workplace</x:v>
      </x:c>
      <x:c r="E324" s="31" t="str">
        <x:v>A84</x:v>
      </x:c>
      <x:c r="F324" s="31" t="str">
        <x:v>IBD 1st Round Group Interview - Tech | 1 | Language test:</x:v>
      </x:c>
    </x:row>
    <x:row r="325" ht="30" customHeight="1">
      <x:c r="A325" s="30" t="str">
        <x:v>Citi</x:v>
      </x:c>
      <x:c r="B325" s="30" t="str">
        <x:v>IBD / GCM</x:v>
      </x:c>
      <x:c r="C325" s="30" t="str">
        <x:v>Interview Note</x:v>
      </x:c>
      <x:c r="D325" s="31" t="str">
        <x:v>Chinese writing: translate a short English report into Chinese</x:v>
      </x:c>
      <x:c r="E325" s="31" t="str">
        <x:v>A85</x:v>
      </x:c>
      <x:c r="F325" s="31" t="str">
        <x:v>1 | Language test: | English writing: write a short paragraph to cope with a situation that may happen in the workplace</x:v>
      </x:c>
    </x:row>
    <x:row r="326" ht="46" customHeight="1">
      <x:c r="A326" s="30" t="str">
        <x:v>Citi</x:v>
      </x:c>
      <x:c r="B326" s="30" t="str">
        <x:v>IBD / GCM</x:v>
      </x:c>
      <x:c r="C326" s="30" t="str">
        <x:v>Metadata</x:v>
      </x:c>
      <x:c r="D326" s="31" t="str">
        <x:v>Technical questions:</x:v>
      </x:c>
      <x:c r="E326" s="31" t="str">
        <x:v>A86</x:v>
      </x:c>
      <x:c r="F326" s="31" t="str">
        <x:v>Language test: | English writing: write a short paragraph to cope with a situation that may happen in the workplace | Chinese writing: translate a short English report into Chinese</x:v>
      </x:c>
    </x:row>
    <x:row r="327" ht="46" customHeight="1">
      <x:c r="A327" s="30" t="str">
        <x:v>Citi</x:v>
      </x:c>
      <x:c r="B327" s="30" t="str">
        <x:v>IBD / GCM</x:v>
      </x:c>
      <x:c r="C327" s="30" t="str">
        <x:v>Interview Note</x:v>
      </x:c>
      <x:c r="D327" s="31" t="str">
        <x:v>Race to be the first to answer</x:v>
      </x:c>
      <x:c r="E327" s="31" t="str">
        <x:v>A87</x:v>
      </x:c>
      <x:c r="F327" s="31" t="str">
        <x:v>English writing: write a short paragraph to cope with a situation that may happen in the workplace | Chinese writing: translate a short English report into Chinese | Technical questions:</x:v>
      </x:c>
    </x:row>
    <x:row r="328" ht="30" customHeight="1">
      <x:c r="A328" s="30" t="str">
        <x:v>Citi</x:v>
      </x:c>
      <x:c r="B328" s="30" t="str">
        <x:v>IBD / GCM</x:v>
      </x:c>
      <x:c r="C328" s="30" t="str">
        <x:v>Metadata</x:v>
      </x:c>
      <x:c r="D328" s="31" t="str">
        <x:v>Questions range from easiest 3-statement questions to LBO model, widely covered but not so deep</x:v>
      </x:c>
      <x:c r="E328" s="31" t="str">
        <x:v>A88</x:v>
      </x:c>
      <x:c r="F328" s="31" t="str">
        <x:v>Chinese writing: translate a short English report into Chinese | Technical questions: | Race to be the first to answer</x:v>
      </x:c>
    </x:row>
    <x:row r="329" ht="62" customHeight="1">
      <x:c r="A329" s="30" t="str">
        <x:v>Citi</x:v>
      </x:c>
      <x:c r="B329" s="30" t="str">
        <x:v>IBD / GCM</x:v>
      </x:c>
      <x:c r="C329" s="30" t="str">
        <x:v>Metadata</x:v>
      </x:c>
      <x:c r="D329" s="31" t="str">
        <x:v>2nd round: individual interview</x:v>
      </x:c>
      <x:c r="E329" s="31" t="str">
        <x:v>A91</x:v>
      </x:c>
      <x:c r="F329" s="31" t="str">
        <x:v>Race to be the first to answer | Questions range from easiest 3-statement questions to LBO model, widely covered but not so deep | Don’t be aggressive, I personally answered 3 to 4 questions, and didn’t answer the most difficult LBO ques...</x:v>
      </x:c>
    </x:row>
    <x:row r="330" ht="46" customHeight="1">
      <x:c r="A330" s="30" t="str">
        <x:v>Citi</x:v>
      </x:c>
      <x:c r="B330" s="30" t="str">
        <x:v>IBD / GCM</x:v>
      </x:c>
      <x:c r="C330" s="30" t="str">
        <x:v>Interview Note</x:v>
      </x:c>
      <x:c r="D330" s="31" t="str">
        <x:v>Passion: why IBD, why CITI</x:v>
      </x:c>
      <x:c r="E330" s="31" t="str">
        <x:v>A95</x:v>
      </x:c>
      <x:c r="F330" s="31" t="str">
        <x:v>CV questions: all about your experience, detailed to modeling | As most of the technical Qs are covered by the 1st round, this part didn’t involve pure tech, but very experience-driven | Self-introduction</x:v>
      </x:c>
    </x:row>
    <x:row r="331" ht="30" customHeight="1">
      <x:c r="A331" s="30" t="str">
        <x:v>Citi</x:v>
      </x:c>
      <x:c r="B331" s="30" t="str">
        <x:v>IBD / GCM</x:v>
      </x:c>
      <x:c r="C331" s="30" t="str">
        <x:v>Interview Note</x:v>
      </x:c>
      <x:c r="D331" s="31" t="str">
        <x:v>Working with people with different backgrounds</x:v>
      </x:c>
      <x:c r="E331" s="31" t="str">
        <x:v>A97</x:v>
      </x:c>
      <x:c r="F331" s="31" t="str">
        <x:v>Self-introduction | Passion: why IBD, why CITI | Tell me about a story when you OT, can you accept long hours</x:v>
      </x:c>
    </x:row>
    <x:row r="332" ht="46" customHeight="1">
      <x:c r="A332" s="30" t="str">
        <x:v>Citi</x:v>
      </x:c>
      <x:c r="B332" s="30" t="str">
        <x:v>IBD / GCM</x:v>
      </x:c>
      <x:c r="C332" s="30" t="str">
        <x:v>Interview Note</x:v>
      </x:c>
      <x:c r="D332" s="31" t="str">
        <x:v>Remark: The interviewers are overall friendly, and the behavioral part could be pretty casual</x:v>
      </x:c>
      <x:c r="E332" s="31" t="str">
        <x:v>A99</x:v>
      </x:c>
      <x:c r="F332" s="31" t="str">
        <x:v>Passion: why IBD, why CITI | Tell me about a story when you OT, can you accept long hours | Working with people with different backgrounds</x:v>
      </x:c>
    </x:row>
    <x:row r="333" ht="30" customHeight="1">
      <x:c r="A333" s="30" t="str">
        <x:v>Barclays</x:v>
      </x:c>
      <x:c r="B333" s="30" t="str">
        <x:v>IBD / GCM</x:v>
      </x:c>
      <x:c r="C333" s="30" t="str">
        <x:v>Metadata</x:v>
      </x:c>
      <x:c r="D333" s="31" t="str">
        <x:v>2024 SA</x:v>
      </x:c>
      <x:c r="E333" s="31" t="str">
        <x:v>A1</x:v>
      </x:c>
      <x:c r="F333" s="31" t="str"/>
    </x:row>
    <x:row r="334" ht="30" customHeight="1">
      <x:c r="A334" s="30" t="str">
        <x:v>Barclays</x:v>
      </x:c>
      <x:c r="B334" s="30" t="str">
        <x:v>IBD / GCM</x:v>
      </x:c>
      <x:c r="C334" s="30" t="str">
        <x:v>Metadata</x:v>
      </x:c>
      <x:c r="D334" s="31" t="str">
        <x:v>Emily</x:v>
      </x:c>
      <x:c r="E334" s="31" t="str">
        <x:v>A2</x:v>
      </x:c>
      <x:c r="F334" s="31" t="str">
        <x:v>2024 SA</x:v>
      </x:c>
    </x:row>
    <x:row r="335" ht="30" customHeight="1">
      <x:c r="A335" s="30" t="str">
        <x:v>Barclays</x:v>
      </x:c>
      <x:c r="B335" s="30" t="str">
        <x:v>IBD / GCM</x:v>
      </x:c>
      <x:c r="C335" s="30" t="str">
        <x:v>Metadata</x:v>
      </x:c>
      <x:c r="D335" s="31" t="str">
        <x:v>2nd round</x:v>
      </x:c>
      <x:c r="E335" s="31" t="str">
        <x:v>C2</x:v>
      </x:c>
      <x:c r="F335" s="31" t="str"/>
    </x:row>
    <x:row r="336" ht="30" customHeight="1">
      <x:c r="A336" s="30" t="str">
        <x:v>Barclays</x:v>
      </x:c>
      <x:c r="B336" s="30" t="str">
        <x:v>IBD / GCM</x:v>
      </x:c>
      <x:c r="C336" s="30" t="str">
        <x:v>Metadata</x:v>
      </x:c>
      <x:c r="D336" s="31" t="str">
        <x:v>SPD Regan</x:v>
      </x:c>
      <x:c r="E336" s="31" t="str">
        <x:v>E2</x:v>
      </x:c>
      <x:c r="F336" s="31" t="str"/>
    </x:row>
    <x:row r="337" ht="30" customHeight="1">
      <x:c r="A337" s="30" t="str">
        <x:v>Barclays</x:v>
      </x:c>
      <x:c r="B337" s="30" t="str">
        <x:v>IBD / GCM</x:v>
      </x:c>
      <x:c r="C337" s="30" t="str">
        <x:v>Interview Note</x:v>
      </x:c>
      <x:c r="D337" s="31" t="str">
        <x:v>18 Barclays SPD Emily</x:v>
      </x:c>
      <x:c r="E337" s="31" t="str">
        <x:v>G2</x:v>
      </x:c>
      <x:c r="F337" s="31" t="str"/>
    </x:row>
    <x:row r="338" ht="30" customHeight="1">
      <x:c r="A338" s="30" t="str">
        <x:v>Barclays</x:v>
      </x:c>
      <x:c r="B338" s="30" t="str">
        <x:v>IBD / GCM</x:v>
      </x:c>
      <x:c r="C338" s="30" t="str">
        <x:v>Metadata</x:v>
      </x:c>
      <x:c r="D338" s="31" t="str">
        <x:v>Emily 1st round</x:v>
      </x:c>
      <x:c r="E338" s="31" t="str">
        <x:v>A3</x:v>
      </x:c>
      <x:c r="F338" s="31" t="str">
        <x:v>2024 SA | Emily</x:v>
      </x:c>
    </x:row>
    <x:row r="339" ht="30" customHeight="1">
      <x:c r="A339" s="30" t="str">
        <x:v>Barclays</x:v>
      </x:c>
      <x:c r="B339" s="30" t="str">
        <x:v>IBD / GCM</x:v>
      </x:c>
      <x:c r="C339" s="30" t="str">
        <x:v>Metadata</x:v>
      </x:c>
      <x:c r="D339" s="31" t="str">
        <x:v>Emily 1st round</x:v>
      </x:c>
      <x:c r="E339" s="31" t="str">
        <x:v>C3</x:v>
      </x:c>
      <x:c r="F339" s="31" t="str">
        <x:v>2nd round</x:v>
      </x:c>
    </x:row>
    <x:row r="340" ht="30" customHeight="1">
      <x:c r="A340" s="30" t="str">
        <x:v>Barclays</x:v>
      </x:c>
      <x:c r="B340" s="30" t="str">
        <x:v>IBD / GCM</x:v>
      </x:c>
      <x:c r="C340" s="30" t="str">
        <x:v>Metadata</x:v>
      </x:c>
      <x:c r="D340" s="31" t="str">
        <x:v>Regan</x:v>
      </x:c>
      <x:c r="E340" s="31" t="str">
        <x:v>E3</x:v>
      </x:c>
      <x:c r="F340" s="31" t="str">
        <x:v>SPD Regan</x:v>
      </x:c>
    </x:row>
    <x:row r="341" ht="30" customHeight="1">
      <x:c r="A341" s="30" t="str">
        <x:v>Barclays</x:v>
      </x:c>
      <x:c r="B341" s="30" t="str">
        <x:v>IBD / GCM</x:v>
      </x:c>
      <x:c r="C341" s="30" t="str">
        <x:v>Metadata</x:v>
      </x:c>
      <x:c r="D341" s="31" t="str">
        <x:v>Emily</x:v>
      </x:c>
      <x:c r="E341" s="31" t="str">
        <x:v>G3</x:v>
      </x:c>
      <x:c r="F341" s="31" t="str">
        <x:v>18 Barclays SPD Emily</x:v>
      </x:c>
    </x:row>
    <x:row r="342" ht="30" customHeight="1">
      <x:c r="A342" s="30" t="str">
        <x:v>Barclays</x:v>
      </x:c>
      <x:c r="B342" s="30" t="str">
        <x:v>IBD / GCM</x:v>
      </x:c>
      <x:c r="C342" s="30" t="str">
        <x:v>Interview Note</x:v>
      </x:c>
      <x:c r="D342" s="31" t="str">
        <x:v>Henry (more tech, aggresive, drill)</x:v>
      </x:c>
      <x:c r="E342" s="31" t="str">
        <x:v>E4</x:v>
      </x:c>
      <x:c r="F342" s="31" t="str">
        <x:v>SPD Regan | Regan</x:v>
      </x:c>
    </x:row>
    <x:row r="343" ht="30" customHeight="1">
      <x:c r="A343" s="30" t="str">
        <x:v>Barclays</x:v>
      </x:c>
      <x:c r="B343" s="30" t="str">
        <x:v>IBD / GCM</x:v>
      </x:c>
      <x:c r="C343" s="30" t="str">
        <x:v>Interview Note</x:v>
      </x:c>
      <x:c r="D343" s="31" t="str">
        <x:v>Henry</x:v>
      </x:c>
      <x:c r="E343" s="31" t="str">
        <x:v>G4</x:v>
      </x:c>
      <x:c r="F343" s="31" t="str">
        <x:v>18 Barclays SPD Emily | Emily</x:v>
      </x:c>
    </x:row>
    <x:row r="344" ht="30" customHeight="1">
      <x:c r="A344" s="30" t="str">
        <x:v>Barclays</x:v>
      </x:c>
      <x:c r="B344" s="30" t="str">
        <x:v>IBD / GCM</x:v>
      </x:c>
      <x:c r="C344" s="30" t="str">
        <x:v>Interview Note</x:v>
      </x:c>
      <x:c r="D344" s="31" t="str">
        <x:v>Biggest weakness and how you would mitigate it</x:v>
      </x:c>
      <x:c r="E344" s="31" t="str">
        <x:v>A8</x:v>
      </x:c>
      <x:c r="F344" s="31" t="str">
        <x:v>Why IBD and why Barclays | How do you manage risks? | What are your strengths?</x:v>
      </x:c>
    </x:row>
    <x:row r="345" ht="46" customHeight="1">
      <x:c r="A345" s="30" t="str">
        <x:v>Barclays</x:v>
      </x:c>
      <x:c r="B345" s="30" t="str">
        <x:v>IBD / GCM</x:v>
      </x:c>
      <x:c r="C345" s="30" t="str">
        <x:v>Interview Note</x:v>
      </x:c>
      <x:c r="D345" s="31" t="str">
        <x:v>Experience in Daiwa</x:v>
      </x:c>
      <x:c r="E345" s="31" t="str">
        <x:v>G9</x:v>
      </x:c>
      <x:c r="F345" s="31" t="str">
        <x:v>Your experience in HKEX and what do you usually look at | What’s the most memorable experience you had in HKEX | What’s the best fund investment that was done by HKEX in your opinion and why</x:v>
      </x:c>
    </x:row>
    <x:row r="346" ht="46" customHeight="1">
      <x:c r="A346" s="30" t="str">
        <x:v>Barclays</x:v>
      </x:c>
      <x:c r="B346" s="30" t="str">
        <x:v>IBD / GCM</x:v>
      </x:c>
      <x:c r="C346" s="30" t="str">
        <x:v>Interview Note</x:v>
      </x:c>
      <x:c r="D346" s="31" t="str">
        <x:v>1 question</x:v>
      </x:c>
      <x:c r="E346" s="31" t="str">
        <x:v>C13</x:v>
      </x:c>
      <x:c r="F346" s="31" t="str">
        <x:v>Tell me ESG in the investing perspective | Views are conflicting for the effect on ESG investing, what are your views? | What’s the premium that an investor would pay for an ESG themed company?</x:v>
      </x:c>
    </x:row>
    <x:row r="347" ht="46" customHeight="1">
      <x:c r="A347" s="30" t="str">
        <x:v>Barclays</x:v>
      </x:c>
      <x:c r="B347" s="30" t="str">
        <x:v>IBD / GCM</x:v>
      </x:c>
      <x:c r="C347" s="30" t="str">
        <x:v>Interview Note</x:v>
      </x:c>
      <x:c r="D347" s="31" t="str">
        <x:v>Michael</x:v>
      </x:c>
      <x:c r="E347" s="31" t="str">
        <x:v>G13</x:v>
      </x:c>
      <x:c r="F347" s="31" t="str">
        <x:v>Biggest challenge you faced in your Daiwa internship | Tell more about PCB industry outlook and observation | Key drivers in the DCF</x:v>
      </x:c>
    </x:row>
    <x:row r="348" ht="46" customHeight="1">
      <x:c r="A348" s="30" t="str">
        <x:v>Barclays</x:v>
      </x:c>
      <x:c r="B348" s="30" t="str">
        <x:v>IBD / GCM</x:v>
      </x:c>
      <x:c r="C348" s="30" t="str">
        <x:v>Metadata</x:v>
      </x:c>
      <x:c r="D348" s="31" t="str">
        <x:v>any questions</x:v>
      </x:c>
      <x:c r="E348" s="31" t="str">
        <x:v>E14</x:v>
      </x:c>
      <x:c r="F348" s="31" t="str">
        <x:v>did you interact with clients at KPMG (in chinese) | why did you go back to gz? (in chinese) | where did you go to school in gz? (in chinese)</x:v>
      </x:c>
    </x:row>
    <x:row r="349" ht="46" customHeight="1">
      <x:c r="A349" s="30" t="str">
        <x:v>Barclays</x:v>
      </x:c>
      <x:c r="B349" s="30" t="str">
        <x:v>IBD / GCM</x:v>
      </x:c>
      <x:c r="C349" s="30" t="str">
        <x:v>Metadata</x:v>
      </x:c>
      <x:c r="D349" s="31" t="str">
        <x:v>Regan</x:v>
      </x:c>
      <x:c r="E349" s="31" t="str">
        <x:v>C15</x:v>
      </x:c>
      <x:c r="F349" s="31" t="str">
        <x:v>Views are conflicting for the effect on ESG investing, what are your views? | What’s the premium that an investor would pay for an ESG themed company? | 1 question</x:v>
      </x:c>
    </x:row>
    <x:row r="350" ht="30" customHeight="1">
      <x:c r="A350" s="30" t="str">
        <x:v>Barclays</x:v>
      </x:c>
      <x:c r="B350" s="30" t="str">
        <x:v>IBD / GCM</x:v>
      </x:c>
      <x:c r="C350" s="30" t="str">
        <x:v>Interview Note</x:v>
      </x:c>
      <x:c r="D350" s="31" t="str">
        <x:v>Barclays R2 - Alice Sun</x:v>
      </x:c>
      <x:c r="E350" s="31" t="str">
        <x:v>C16</x:v>
      </x:c>
      <x:c r="F350" s="31" t="str">
        <x:v>What’s the premium that an investor would pay for an ESG themed company? | 1 question | Regan</x:v>
      </x:c>
    </x:row>
    <x:row r="351" ht="30" customHeight="1">
      <x:c r="A351" s="30" t="str">
        <x:v>Barclays</x:v>
      </x:c>
      <x:c r="B351" s="30" t="str">
        <x:v>IBD / GCM</x:v>
      </x:c>
      <x:c r="C351" s="30" t="str">
        <x:v>Interview Note</x:v>
      </x:c>
      <x:c r="D351" s="31" t="str">
        <x:v>Pre-IPO deal, what you did</x:v>
      </x:c>
      <x:c r="E351" s="31" t="str">
        <x:v>G16</x:v>
      </x:c>
      <x:c r="F351" s="31" t="str">
        <x:v>Michael | Self intro | Why Barclays and why IBD</x:v>
      </x:c>
    </x:row>
    <x:row r="352" ht="62" customHeight="1">
      <x:c r="A352" s="30" t="str">
        <x:v>Barclays</x:v>
      </x:c>
      <x:c r="B352" s="30" t="str">
        <x:v>IBD / GCM</x:v>
      </x:c>
      <x:c r="C352" s="30" t="str">
        <x:v>Metadata</x:v>
      </x:c>
      <x:c r="D352" s="31" t="str">
        <x:v>Regan</x:v>
      </x:c>
      <x:c r="E352" s="31" t="str">
        <x:v>A17</x:v>
      </x:c>
      <x:c r="F352" s="31" t="str">
        <x:v>Technical: Growth Perpetuity method, if 0 growth rate, 10% WACC, 100CF, what is terminal value? | How do you enhance personal growth? What habits do you cultivate? | If you don’t work in investment banking or finance in the long term, wh...</x:v>
      </x:c>
    </x:row>
    <x:row r="353" ht="46" customHeight="1">
      <x:c r="A353" s="30" t="str">
        <x:v>Barclays</x:v>
      </x:c>
      <x:c r="B353" s="30" t="str">
        <x:v>IBD / GCM</x:v>
      </x:c>
      <x:c r="C353" s="30" t="str">
        <x:v>Metadata</x:v>
      </x:c>
      <x:c r="D353" s="31" t="str">
        <x:v>Interviewer: Johnny Li</x:v>
      </x:c>
      <x:c r="E353" s="31" t="str">
        <x:v>A18</x:v>
      </x:c>
      <x:c r="F353" s="31" t="str">
        <x:v>How do you enhance personal growth? What habits do you cultivate? | If you don’t work in investment banking or finance in the long term, what would you work in? | Regan</x:v>
      </x:c>
    </x:row>
    <x:row r="354" ht="30" customHeight="1">
      <x:c r="A354" s="30" t="str">
        <x:v>Barclays</x:v>
      </x:c>
      <x:c r="B354" s="30" t="str">
        <x:v>IBD / GCM</x:v>
      </x:c>
      <x:c r="C354" s="30" t="str">
        <x:v>Interview Note</x:v>
      </x:c>
      <x:c r="D354" s="31" t="str">
        <x:v>Michael (more behavioural)</x:v>
      </x:c>
      <x:c r="E354" s="31" t="str">
        <x:v>E18</x:v>
      </x:c>
      <x:c r="F354" s="31" t="str">
        <x:v>why did you go back to gz? (in chinese) | where did you go to school in gz? (in chinese) | any questions</x:v>
      </x:c>
    </x:row>
    <x:row r="355" ht="46" customHeight="1">
      <x:c r="A355" s="30" t="str">
        <x:v>Barclays</x:v>
      </x:c>
      <x:c r="B355" s="30" t="str">
        <x:v>IBD / GCM</x:v>
      </x:c>
      <x:c r="C355" s="30" t="str">
        <x:v>Interview Note</x:v>
      </x:c>
      <x:c r="D355" s="31" t="str">
        <x:v>Terry</x:v>
      </x:c>
      <x:c r="E355" s="31" t="str">
        <x:v>G22</x:v>
      </x:c>
      <x:c r="F355" s="31" t="str">
        <x:v>What is the biggest challenge you've faced | Tell me about your leadership or teamwork in a case competition experience | What do you do in your free time apart from fencing</x:v>
      </x:c>
    </x:row>
    <x:row r="356" ht="30" customHeight="1">
      <x:c r="A356" s="30" t="str">
        <x:v>Barclays</x:v>
      </x:c>
      <x:c r="B356" s="30" t="str">
        <x:v>IBD / GCM</x:v>
      </x:c>
      <x:c r="C356" s="30" t="str">
        <x:v>Interview Note</x:v>
      </x:c>
      <x:c r="D356" s="31" t="str">
        <x:v>forgot the rest...quite conversational</x:v>
      </x:c>
      <x:c r="E356" s="31" t="str">
        <x:v>E23</x:v>
      </x:c>
      <x:c r="F356" s="31" t="str">
        <x:v>walk me through a deal | why barclays | tell me about a time you faced a challenge</x:v>
      </x:c>
    </x:row>
    <x:row r="357" ht="30" customHeight="1">
      <x:c r="A357" s="30" t="str">
        <x:v>Barclays</x:v>
      </x:c>
      <x:c r="B357" s="30" t="str">
        <x:v>IBD / GCM</x:v>
      </x:c>
      <x:c r="C357" s="30" t="str">
        <x:v>Metadata</x:v>
      </x:c>
      <x:c r="D357" s="31" t="str">
        <x:v>any questions</x:v>
      </x:c>
      <x:c r="E357" s="31" t="str">
        <x:v>E24</x:v>
      </x:c>
      <x:c r="F357" s="31" t="str">
        <x:v>why barclays | tell me about a time you faced a challenge | forgot the rest...quite conversational</x:v>
      </x:c>
    </x:row>
    <x:row r="358" ht="30" customHeight="1">
      <x:c r="A358" s="30" t="str">
        <x:v>Barclays</x:v>
      </x:c>
      <x:c r="B358" s="30" t="str">
        <x:v>IBD / GCM</x:v>
      </x:c>
      <x:c r="C358" s="30" t="str">
        <x:v>Interview Note</x:v>
      </x:c>
      <x:c r="D358" s="31" t="str">
        <x:v>(Conversational forgot)</x:v>
      </x:c>
      <x:c r="E358" s="31" t="str">
        <x:v>G25</x:v>
      </x:c>
      <x:c r="F358" s="31" t="str">
        <x:v>Terry | Why Barclays why ibd | Why after hkex and equity research you wanna do ibd</x:v>
      </x:c>
    </x:row>
    <x:row r="359" ht="30" customHeight="1">
      <x:c r="A359" s="30" t="str">
        <x:v>Barclays</x:v>
      </x:c>
      <x:c r="B359" s="30" t="str">
        <x:v>IBD / GCM</x:v>
      </x:c>
      <x:c r="C359" s="30" t="str">
        <x:v>Interview Note</x:v>
      </x:c>
      <x:c r="D359" s="31" t="str">
        <x:v>Terry (more behavioural)</x:v>
      </x:c>
      <x:c r="E359" s="31" t="str">
        <x:v>E26</x:v>
      </x:c>
      <x:c r="F359" s="31" t="str">
        <x:v>tell me about a time you faced a challenge | forgot the rest...quite conversational | any questions</x:v>
      </x:c>
    </x:row>
    <x:row r="360" ht="46" customHeight="1">
      <x:c r="A360" s="30" t="str">
        <x:v>Barclays</x:v>
      </x:c>
      <x:c r="B360" s="30" t="str">
        <x:v>IBD / GCM</x:v>
      </x:c>
      <x:c r="C360" s="30" t="str">
        <x:v>Interview Note</x:v>
      </x:c>
      <x:c r="D360" s="31" t="str">
        <x:v>1 question</x:v>
      </x:c>
      <x:c r="E360" s="31" t="str">
        <x:v>C27</x:v>
      </x:c>
      <x:c r="F360" s="31" t="str">
        <x:v>Walk me through your most recent case comp. Team dynamic? Role? Valuation? - deep dive | What group / coverage if Barclays? Why? | Why IBD not PE</x:v>
      </x:c>
    </x:row>
    <x:row r="361" ht="30" customHeight="1">
      <x:c r="A361" s="30" t="str">
        <x:v>Barclays</x:v>
      </x:c>
      <x:c r="B361" s="30" t="str">
        <x:v>IBD / GCM</x:v>
      </x:c>
      <x:c r="C361" s="30" t="str">
        <x:v>Interview Note</x:v>
      </x:c>
      <x:c r="D361" s="31" t="str">
        <x:v>Stefanie</x:v>
      </x:c>
      <x:c r="E361" s="31" t="str">
        <x:v>G28</x:v>
      </x:c>
      <x:c r="F361" s="31" t="str">
        <x:v>Why Barclays why ibd | Why after hkex and equity research you wanna do ibd | (Conversational forgot)</x:v>
      </x:c>
    </x:row>
    <x:row r="362" ht="46" customHeight="1">
      <x:c r="A362" s="30" t="str">
        <x:v>Barclays</x:v>
      </x:c>
      <x:c r="B362" s="30" t="str">
        <x:v>IBD / GCM</x:v>
      </x:c>
      <x:c r="C362" s="30" t="str">
        <x:v>Metadata</x:v>
      </x:c>
      <x:c r="D362" s="31" t="str">
        <x:v>Emily 2nd Interview (Interviewer: Richard Li Asso)</x:v>
      </x:c>
      <x:c r="E362" s="31" t="str">
        <x:v>A29</x:v>
      </x:c>
      <x:c r="F362" s="31" t="str">
        <x:v>What would you do if you weren’t in investment banking? | How would you value a piece of art? | Can you speak canto / mandarin? Feel free to ask me questions in mandarin.</x:v>
      </x:c>
    </x:row>
    <x:row r="363" ht="30" customHeight="1">
      <x:c r="A363" s="30" t="str">
        <x:v>Barclays</x:v>
      </x:c>
      <x:c r="B363" s="30" t="str">
        <x:v>IBD / GCM</x:v>
      </x:c>
      <x:c r="C363" s="30" t="str">
        <x:v>Interview Note</x:v>
      </x:c>
      <x:c r="D363" s="31" t="str">
        <x:v>forgot the rest...quite conversational</x:v>
      </x:c>
      <x:c r="E363" s="31" t="str">
        <x:v>E30</x:v>
      </x:c>
      <x:c r="F363" s="31" t="str">
        <x:v>walk me through a deal | why barclays | tell me something not on your cv</x:v>
      </x:c>
    </x:row>
    <x:row r="364" ht="30" customHeight="1">
      <x:c r="A364" s="30" t="str">
        <x:v>Barclays</x:v>
      </x:c>
      <x:c r="B364" s="30" t="str">
        <x:v>IBD / GCM</x:v>
      </x:c>
      <x:c r="C364" s="30" t="str">
        <x:v>Metadata</x:v>
      </x:c>
      <x:c r="D364" s="31" t="str">
        <x:v>any questions</x:v>
      </x:c>
      <x:c r="E364" s="31" t="str">
        <x:v>E31</x:v>
      </x:c>
      <x:c r="F364" s="31" t="str">
        <x:v>why barclays | tell me something not on your cv | forgot the rest...quite conversational</x:v>
      </x:c>
    </x:row>
    <x:row r="365" ht="46" customHeight="1">
      <x:c r="A365" s="30" t="str">
        <x:v>Barclays</x:v>
      </x:c>
      <x:c r="B365" s="30" t="str">
        <x:v>IBD / GCM</x:v>
      </x:c>
      <x:c r="C365" s="30" t="str">
        <x:v>Interview Note</x:v>
      </x:c>
      <x:c r="D365" s="31" t="str">
        <x:v>中文 starting from here</x:v>
      </x:c>
      <x:c r="E365" s="31" t="str">
        <x:v>A32</x:v>
      </x:c>
      <x:c r="F365" s="31" t="str">
        <x:v>Emily 2nd Interview (Interviewer: Richard Li Asso) | Self Intro | What have you done in Daiwa? Major responsibility and project</x:v>
      </x:c>
    </x:row>
    <x:row r="366" ht="30" customHeight="1">
      <x:c r="A366" s="30" t="str">
        <x:v>Barclays</x:v>
      </x:c>
      <x:c r="B366" s="30" t="str">
        <x:v>IBD / GCM</x:v>
      </x:c>
      <x:c r="C366" s="30" t="str">
        <x:v>Interview Note</x:v>
      </x:c>
      <x:c r="D366" s="31" t="str">
        <x:v>STOCK 1</x:v>
      </x:c>
      <x:c r="E366" s="31" t="str">
        <x:v>A33</x:v>
      </x:c>
      <x:c r="F366" s="31" t="str">
        <x:v>Self Intro | What have you done in Daiwa? Major responsibility and project | 中文 starting from here</x:v>
      </x:c>
    </x:row>
    <x:row r="367" ht="30" customHeight="1">
      <x:c r="A367" s="30" t="str">
        <x:v>Barclays</x:v>
      </x:c>
      <x:c r="B367" s="30" t="str">
        <x:v>IBD / GCM</x:v>
      </x:c>
      <x:c r="C367" s="30" t="str">
        <x:v>Interview Note</x:v>
      </x:c>
      <x:c r="D367" s="31" t="str">
        <x:v>Stefani (more tech, chinese)</x:v>
      </x:c>
      <x:c r="E367" s="31" t="str">
        <x:v>E33</x:v>
      </x:c>
      <x:c r="F367" s="31" t="str">
        <x:v>tell me something not on your cv | forgot the rest...quite conversational | any questions</x:v>
      </x:c>
    </x:row>
    <x:row r="368" ht="30" customHeight="1">
      <x:c r="A368" s="30" t="str">
        <x:v>Barclays</x:v>
      </x:c>
      <x:c r="B368" s="30" t="str">
        <x:v>IBD / GCM</x:v>
      </x:c>
      <x:c r="C368" s="30" t="str">
        <x:v>Interview Note</x:v>
      </x:c>
      <x:c r="D368" s="31" t="str">
        <x:v>Deep dive: revenue breakdown, revenue driver, reason for assumption</x:v>
      </x:c>
      <x:c r="E368" s="31" t="str">
        <x:v>A34</x:v>
      </x:c>
      <x:c r="F368" s="31" t="str">
        <x:v>What have you done in Daiwa? Major responsibility and project | 中文 starting from here | STOCK 1</x:v>
      </x:c>
    </x:row>
    <x:row r="369" ht="46" customHeight="1">
      <x:c r="A369" s="30" t="str">
        <x:v>Barclays</x:v>
      </x:c>
      <x:c r="B369" s="30" t="str">
        <x:v>IBD / GCM</x:v>
      </x:c>
      <x:c r="C369" s="30" t="str">
        <x:v>Interview Note</x:v>
      </x:c>
      <x:c r="D369" s="31" t="str">
        <x:v>STOCK 2</x:v>
      </x:c>
      <x:c r="E369" s="31" t="str">
        <x:v>A38</x:v>
      </x:c>
      <x:c r="F369" s="31" t="str">
        <x:v>Comparable companies: criteria, multiples (EV as compared to competitors), why use EV/EBITDA, not EV/E | How is the market dynamic? (Entry barrier, technology etc) | Business model? Why would industrial companies use energy storage systems?</x:v>
      </x:c>
    </x:row>
    <x:row r="370" ht="46" customHeight="1">
      <x:c r="A370" s="30" t="str">
        <x:v>Barclays</x:v>
      </x:c>
      <x:c r="B370" s="30" t="str">
        <x:v>IBD / GCM</x:v>
      </x:c>
      <x:c r="C370" s="30" t="str">
        <x:v>Interview Note</x:v>
      </x:c>
      <x:c r="D370" s="31" t="str">
        <x:v>Revenue breakdown, revenue driver, reason for assumption</x:v>
      </x:c>
      <x:c r="E370" s="31" t="str">
        <x:v>A39</x:v>
      </x:c>
      <x:c r="F370" s="31" t="str">
        <x:v>How is the market dynamic? (Entry barrier, technology etc) | Business model? Why would industrial companies use energy storage systems? | STOCK 2</x:v>
      </x:c>
    </x:row>
    <x:row r="371" ht="46" customHeight="1">
      <x:c r="A371" s="30" t="str">
        <x:v>Barclays</x:v>
      </x:c>
      <x:c r="B371" s="30" t="str">
        <x:v>IBD / GCM</x:v>
      </x:c>
      <x:c r="C371" s="30" t="str">
        <x:v>Interview Note</x:v>
      </x:c>
      <x:c r="D371" s="31" t="str">
        <x:v>P, Q, COGS, GPM change and reason (why high growth)</x:v>
      </x:c>
      <x:c r="E371" s="31" t="str">
        <x:v>A40</x:v>
      </x:c>
      <x:c r="F371" s="31" t="str">
        <x:v>Business model? Why would industrial companies use energy storage systems? | STOCK 2 | Revenue breakdown, revenue driver, reason for assumption</x:v>
      </x:c>
    </x:row>
    <x:row r="372" ht="46" customHeight="1">
      <x:c r="A372" s="30" t="str">
        <x:v>Barclays</x:v>
      </x:c>
      <x:c r="B372" s="30" t="str">
        <x:v>IBD / GCM</x:v>
      </x:c>
      <x:c r="C372" s="30" t="str">
        <x:v>Metadata</x:v>
      </x:c>
      <x:c r="D372" s="31" t="str">
        <x:v>Any questions?</x:v>
      </x:c>
      <x:c r="E372" s="31" t="str">
        <x:v>A42</x:v>
      </x:c>
      <x:c r="F372" s="31" t="str">
        <x:v>Revenue breakdown, revenue driver, reason for assumption | P, Q, COGS, GPM change and reason (why high growth) | Any other thesis to support this (industry trend)</x:v>
      </x:c>
    </x:row>
    <x:row r="373" ht="30" customHeight="1">
      <x:c r="A373" s="30" t="str">
        <x:v>Barclays</x:v>
      </x:c>
      <x:c r="B373" s="30" t="str">
        <x:v>IBD / GCM</x:v>
      </x:c>
      <x:c r="C373" s="30" t="str">
        <x:v>Interview Note</x:v>
      </x:c>
      <x:c r="D373" s="31" t="str">
        <x:v>Technical: deep-dive into FCF</x:v>
      </x:c>
      <x:c r="E373" s="31" t="str">
        <x:v>A43</x:v>
      </x:c>
      <x:c r="F373" s="31" t="str">
        <x:v>P, Q, COGS, GPM change and reason (why high growth) | Any other thesis to support this (industry trend) | Any questions?</x:v>
      </x:c>
    </x:row>
    <x:row r="374" ht="30" customHeight="1">
      <x:c r="A374" s="30" t="str">
        <x:v>Barclays</x:v>
      </x:c>
      <x:c r="B374" s="30" t="str">
        <x:v>IBD / GCM</x:v>
      </x:c>
      <x:c r="C374" s="30" t="str">
        <x:v>Interview Note</x:v>
      </x:c>
      <x:c r="D374" s="31" t="str">
        <x:v>Jimmy 1st Interview (Interviewer: Crystal Zhu)</x:v>
      </x:c>
      <x:c r="E374" s="31" t="str">
        <x:v>A46</x:v>
      </x:c>
      <x:c r="F374" s="31" t="str">
        <x:v>Any questions? | Technical: deep-dive into FCF | Formula: FCF, NWC, common items of non-cash expense</x:v>
      </x:c>
    </x:row>
    <x:row r="375" ht="30" customHeight="1">
      <x:c r="A375" s="30" t="str">
        <x:v>Barclays</x:v>
      </x:c>
      <x:c r="B375" s="30" t="str">
        <x:v>IBD / GCM</x:v>
      </x:c>
      <x:c r="C375" s="30" t="str">
        <x:v>Interview Note</x:v>
      </x:c>
      <x:c r="D375" s="31" t="str">
        <x:v>Jimmy 2nd Interview (Interviewer: Brett Ma)</x:v>
      </x:c>
      <x:c r="E375" s="31" t="str">
        <x:v>C46</x:v>
      </x:c>
      <x:c r="F375" s="31" t="str">
        <x:v>What group / coverage if Barclays? Why? | Why IBD not PE | 1 question</x:v>
      </x:c>
    </x:row>
    <x:row r="376" ht="46" customHeight="1">
      <x:c r="A376" s="30" t="str">
        <x:v>Barclays</x:v>
      </x:c>
      <x:c r="B376" s="30" t="str">
        <x:v>IBD / GCM</x:v>
      </x:c>
      <x:c r="C376" s="30" t="str">
        <x:v>Interview Note</x:v>
      </x:c>
      <x:c r="D376" s="31" t="str">
        <x:v>Ask me some question</x:v>
      </x:c>
      <x:c r="E376" s="31" t="str">
        <x:v>A53</x:v>
      </x:c>
      <x:c r="F376" s="31" t="str">
        <x:v>Tell me about a time you encounter difficulty? | How did you contribute to the financial model? | Have you encoutered different opinion with others in past working experiences?</x:v>
      </x:c>
    </x:row>
    <x:row r="377" ht="30" customHeight="1">
      <x:c r="A377" s="30" t="str">
        <x:v>Barclays</x:v>
      </x:c>
      <x:c r="B377" s="30" t="str">
        <x:v>IBD / GCM</x:v>
      </x:c>
      <x:c r="C377" s="30" t="str">
        <x:v>Interview Note</x:v>
      </x:c>
      <x:c r="D377" s="31" t="str">
        <x:v>Ask me some question</x:v>
      </x:c>
      <x:c r="E377" s="31" t="str">
        <x:v>C56</x:v>
      </x:c>
      <x:c r="F377" s="31" t="str">
        <x:v>What is the synergy of this acquisition? | Why IBD? | What do you know about Barclays?</x:v>
      </x:c>
    </x:row>
    <x:row r="378" ht="46" customHeight="1">
      <x:c r="A378" s="30" t="str">
        <x:v>Barclays</x:v>
      </x:c>
      <x:c r="B378" s="30" t="str">
        <x:v>IBD / GCM</x:v>
      </x:c>
      <x:c r="C378" s="30" t="str">
        <x:v>Metadata</x:v>
      </x:c>
      <x:c r="D378" s="31" t="str">
        <x:v>Jasmine 1st (Kathy Weng, Assistant VP)</x:v>
      </x:c>
      <x:c r="E378" s="31" t="str">
        <x:v>A58</x:v>
      </x:c>
      <x:c r="F378" s="31" t="str">
        <x:v>How did you contribute to the financial model? | Have you encoutered different opinion with others in past working experiences? | Ask me some question</x:v>
      </x:c>
    </x:row>
    <x:row r="379" ht="30" customHeight="1">
      <x:c r="A379" s="30" t="str">
        <x:v>Barclays</x:v>
      </x:c>
      <x:c r="B379" s="30" t="str">
        <x:v>IBD / GCM</x:v>
      </x:c>
      <x:c r="C379" s="30" t="str">
        <x:v>Metadata</x:v>
      </x:c>
      <x:c r="D379" s="31" t="str">
        <x:v>Jasmine 1st round</x:v>
      </x:c>
      <x:c r="E379" s="31" t="str">
        <x:v>C58</x:v>
      </x:c>
      <x:c r="F379" s="31" t="str">
        <x:v>Why IBD? | What do you know about Barclays? | Ask me some question</x:v>
      </x:c>
    </x:row>
    <x:row r="380" ht="30" customHeight="1">
      <x:c r="A380" s="30" t="str">
        <x:v>Barclays</x:v>
      </x:c>
      <x:c r="B380" s="30" t="str">
        <x:v>IBD / GCM</x:v>
      </x:c>
      <x:c r="C380" s="30" t="str">
        <x:v>Interview Note</x:v>
      </x:c>
      <x:c r="D380" s="31" t="str">
        <x:v>2nd interviewer xuanning fang</x:v>
      </x:c>
      <x:c r="E380" s="31" t="str">
        <x:v>C59</x:v>
      </x:c>
      <x:c r="F380" s="31" t="str">
        <x:v>What do you know about Barclays? | Ask me some question | Jasmine 1st round</x:v>
      </x:c>
    </x:row>
    <x:row r="381" ht="30" customHeight="1">
      <x:c r="A381" s="30" t="str">
        <x:v>Barclays</x:v>
      </x:c>
      <x:c r="B381" s="30" t="str">
        <x:v>IBD / GCM</x:v>
      </x:c>
      <x:c r="C381" s="30" t="str">
        <x:v>Interview Note</x:v>
      </x:c>
      <x:c r="D381" s="31" t="str">
        <x:v>Your work in TR</x:v>
      </x:c>
      <x:c r="E381" s="31" t="str">
        <x:v>A60</x:v>
      </x:c>
      <x:c r="F381" s="31" t="str">
        <x:v>Ask me some question | Jasmine 1st (Kathy Weng, Assistant VP) | Self intro</x:v>
      </x:c>
    </x:row>
    <x:row r="382" ht="30" customHeight="1">
      <x:c r="A382" s="30" t="str">
        <x:v>Barclays</x:v>
      </x:c>
      <x:c r="B382" s="30" t="str">
        <x:v>IBD / GCM</x:v>
      </x:c>
      <x:c r="C382" s="30" t="str">
        <x:v>Interview Note</x:v>
      </x:c>
      <x:c r="D382" s="31" t="str">
        <x:v>Industry trend, comps</x:v>
      </x:c>
      <x:c r="E382" s="31" t="str">
        <x:v>A61</x:v>
      </x:c>
      <x:c r="F382" s="31" t="str">
        <x:v>Jasmine 1st (Kathy Weng, Assistant VP) | Self intro | Your work in TR</x:v>
      </x:c>
    </x:row>
    <x:row r="383" ht="46" customHeight="1">
      <x:c r="A383" s="30" t="str">
        <x:v>Barclays</x:v>
      </x:c>
      <x:c r="B383" s="30" t="str">
        <x:v>IBD / GCM</x:v>
      </x:c>
      <x:c r="C383" s="30" t="str">
        <x:v>Interview Note</x:v>
      </x:c>
      <x:c r="D383" s="31" t="str">
        <x:v>你的兩個優點和兩個缺點</x:v>
      </x:c>
      <x:c r="E383" s="31" t="str">
        <x:v>C69</x:v>
      </x:c>
      <x:c r="F383" s="31" t="str">
        <x:v>tell me about the dcf you did for the esport company | any other valuation method aside dcf | tell me about your sports jouney/ or any difficulty you’ve encountered</x:v>
      </x:c>
    </x:row>
    <x:row r="384" ht="46" customHeight="1">
      <x:c r="A384" s="30" t="str">
        <x:v>Barclays</x:v>
      </x:c>
      <x:c r="B384" s="30" t="str">
        <x:v>IBD / GCM</x:v>
      </x:c>
      <x:c r="C384" s="30" t="str">
        <x:v>Interview Note</x:v>
      </x:c>
      <x:c r="D384" s="31" t="str">
        <x:v>after 1 yr, what are the changes, make any assumptions yourself</x:v>
      </x:c>
      <x:c r="E384" s="31" t="str">
        <x:v>A70</x:v>
      </x:c>
      <x:c r="F384" s="31" t="str">
        <x:v>how to arrive ufcf | where do you find capex on the three statements | buy 100 pp&amp;e using 50 debt and 50 equity, 3 statements changes</x:v>
      </x:c>
    </x:row>
    <x:row r="385" ht="46" customHeight="1">
      <x:c r="A385" s="30" t="str">
        <x:v>Barclays</x:v>
      </x:c>
      <x:c r="B385" s="30" t="str">
        <x:v>IBD / GCM</x:v>
      </x:c>
      <x:c r="C385" s="30" t="str">
        <x:v>Interview Note</x:v>
      </x:c>
      <x:c r="D385" s="31" t="str">
        <x:v>一個工作上需要改善的地方</x:v>
      </x:c>
      <x:c r="E385" s="31" t="str">
        <x:v>C70</x:v>
      </x:c>
      <x:c r="F385" s="31" t="str">
        <x:v>any other valuation method aside dcf | tell me about your sports jouney/ or any difficulty you’ve encountered | 你的兩個優點和兩個缺點</x:v>
      </x:c>
    </x:row>
    <x:row r="386" ht="46" customHeight="1">
      <x:c r="A386" s="30" t="str">
        <x:v>Barclays</x:v>
      </x:c>
      <x:c r="B386" s="30" t="str">
        <x:v>IBD / GCM</x:v>
      </x:c>
      <x:c r="C386" s="30" t="str">
        <x:v>Interview Note</x:v>
      </x:c>
      <x:c r="D386" s="31" t="str">
        <x:v>你在case com遇到和組員的衝突</x:v>
      </x:c>
      <x:c r="E386" s="31" t="str">
        <x:v>A73</x:v>
      </x:c>
      <x:c r="F386" s="31" t="str">
        <x:v>after 1 yr, what are the changes, make any assumptions yourself | if a car company and a pe firm are buying a company that makes wheel, which one can pay higher | any recent market trends that catch your attention</x:v>
      </x:c>
    </x:row>
    <x:row r="387" ht="46" customHeight="1">
      <x:c r="A387" s="30" t="str">
        <x:v>Barclays</x:v>
      </x:c>
      <x:c r="B387" s="30" t="str">
        <x:v>IBD / GCM</x:v>
      </x:c>
      <x:c r="C387" s="30" t="str">
        <x:v>Metadata</x:v>
      </x:c>
      <x:c r="D387" s="31" t="str">
        <x:v>2025 SA (Emily)</x:v>
      </x:c>
      <x:c r="E387" s="31" t="str">
        <x:v>A76</x:v>
      </x:c>
      <x:c r="F387" s="31" t="str">
        <x:v>if a car company and a pe firm are buying a company that makes wheel, which one can pay higher | any recent market trends that catch your attention | 你在case com遇到和組員的衝突</x:v>
      </x:c>
    </x:row>
    <x:row r="388" ht="30" customHeight="1">
      <x:c r="A388" s="30" t="str">
        <x:v>Barclays</x:v>
      </x:c>
      <x:c r="B388" s="30" t="str">
        <x:v>IBD / GCM</x:v>
      </x:c>
      <x:c r="C388" s="30" t="str">
        <x:v>Interview Note</x:v>
      </x:c>
      <x:c r="D388" s="31" t="str">
        <x:v>Barclays IBD Phone interview Kari 10.10 *2</x:v>
      </x:c>
      <x:c r="E388" s="31" t="str">
        <x:v>C76</x:v>
      </x:c>
      <x:c r="F388" s="31" t="str">
        <x:v>tell me about your sports jouney/ or any difficulty you’ve encountered | 你的兩個優點和兩個缺點 | 一個工作上需要改善的地方</x:v>
      </x:c>
    </x:row>
    <x:row r="389" ht="30" customHeight="1">
      <x:c r="A389" s="30" t="str">
        <x:v>Barclays</x:v>
      </x:c>
      <x:c r="B389" s="30" t="str">
        <x:v>IBD / GCM</x:v>
      </x:c>
      <x:c r="C389" s="30" t="str">
        <x:v>Metadata</x:v>
      </x:c>
      <x:c r="D389" s="31" t="str">
        <x:v>1st round: Celine Ni, VP (S&amp;T)</x:v>
      </x:c>
      <x:c r="E389" s="31" t="str">
        <x:v>A77</x:v>
      </x:c>
      <x:c r="F389" s="31" t="str">
        <x:v>any recent market trends that catch your attention | 你在case com遇到和組員的衝突 | 2025 SA (Emily)</x:v>
      </x:c>
    </x:row>
    <x:row r="390" ht="30" customHeight="1">
      <x:c r="A390" s="30" t="str">
        <x:v>Barclays</x:v>
      </x:c>
      <x:c r="B390" s="30" t="str">
        <x:v>IBD / GCM</x:v>
      </x:c>
      <x:c r="C390" s="30" t="str">
        <x:v>Metadata</x:v>
      </x:c>
      <x:c r="D390" s="31" t="str">
        <x:v>interview1：全中文，Ryan Wu, senior asso，GCM-levered finance</x:v>
      </x:c>
      <x:c r="E390" s="31" t="str">
        <x:v>C77</x:v>
      </x:c>
      <x:c r="F390" s="31" t="str">
        <x:v>你的兩個優點和兩個缺點 | 一個工作上需要改善的地方 | Barclays IBD Phone interview Kari 10.10 *2</x:v>
      </x:c>
    </x:row>
    <x:row r="391" ht="30" customHeight="1">
      <x:c r="A391" s="30" t="str">
        <x:v>Barclays</x:v>
      </x:c>
      <x:c r="B391" s="30" t="str">
        <x:v>IBD / GCM</x:v>
      </x:c>
      <x:c r="C391" s="30" t="str">
        <x:v>Metadata</x:v>
      </x:c>
      <x:c r="D391" s="31" t="str">
        <x:v>interview 2: 全英文, Rita Tang，1st year ana，IBD-M&amp;A：</x:v>
      </x:c>
      <x:c r="E391" s="31" t="str">
        <x:v>D77</x:v>
      </x:c>
      <x:c r="F391" s="31" t="str"/>
    </x:row>
    <x:row r="392" ht="30" customHeight="1">
      <x:c r="A392" s="30" t="str">
        <x:v>Barclays</x:v>
      </x:c>
      <x:c r="B392" s="30" t="str">
        <x:v>IBD / GCM</x:v>
      </x:c>
      <x:c r="C392" s="30" t="str">
        <x:v>Interview Note</x:v>
      </x:c>
      <x:c r="D392" s="31" t="str">
        <x:v>brief intro；</x:v>
      </x:c>
      <x:c r="E392" s="31" t="str">
        <x:v>D78</x:v>
      </x:c>
      <x:c r="F392" s="31" t="str">
        <x:v>interview 2: 全英文, Rita Tang，1st year ana，IBD-M&amp;A：</x:v>
      </x:c>
    </x:row>
    <x:row r="393" ht="46" customHeight="1">
      <x:c r="A393" s="30" t="str">
        <x:v>Barclays</x:v>
      </x:c>
      <x:c r="B393" s="30" t="str">
        <x:v>IBD / GCM</x:v>
      </x:c>
      <x:c r="C393" s="30" t="str">
        <x:v>Interview Note</x:v>
      </x:c>
      <x:c r="D393" s="31" t="str">
        <x:v>实习的经历；</x:v>
      </x:c>
      <x:c r="E393" s="31" t="str">
        <x:v>C79</x:v>
      </x:c>
      <x:c r="F393" s="31" t="str">
        <x:v>Barclays IBD Phone interview Kari 10.10 *2 | interview1：全中文，Ryan Wu, senior asso，GCM-levered finance | 自我介绍（说自己的教育背景，以前在哪里生活，为什么来香港上学）；</x:v>
      </x:c>
    </x:row>
    <x:row r="394" ht="30" customHeight="1">
      <x:c r="A394" s="30" t="str">
        <x:v>Barclays</x:v>
      </x:c>
      <x:c r="B394" s="30" t="str">
        <x:v>IBD / GCM</x:v>
      </x:c>
      <x:c r="C394" s="30" t="str">
        <x:v>Metadata</x:v>
      </x:c>
      <x:c r="D394" s="31" t="str">
        <x:v>Follow up：提到实习搭过DCF，简单说怎么搭；</x:v>
      </x:c>
      <x:c r="E394" s="31" t="str">
        <x:v>C80</x:v>
      </x:c>
      <x:c r="F394" s="31" t="str">
        <x:v>interview1：全中文，Ryan Wu, senior asso，GCM-levered finance | 自我介绍（说自己的教育背景，以前在哪里生活，为什么来香港上学）； | 实习的经历；</x:v>
      </x:c>
    </x:row>
    <x:row r="395" ht="30" customHeight="1">
      <x:c r="A395" s="30" t="str">
        <x:v>Barclays</x:v>
      </x:c>
      <x:c r="B395" s="30" t="str">
        <x:v>IBD / GCM</x:v>
      </x:c>
      <x:c r="C395" s="30" t="str">
        <x:v>Interview Note</x:v>
      </x:c>
      <x:c r="D395" s="31" t="str">
        <x:v>A case you did in healthcare ibd;</x:v>
      </x:c>
      <x:c r="E395" s="31" t="str">
        <x:v>D80</x:v>
      </x:c>
      <x:c r="F395" s="31" t="str">
        <x:v>interview 2: 全英文, Rita Tang，1st year ana，IBD-M&amp;A： | brief intro； | Why IBD, why Barclays；</x:v>
      </x:c>
    </x:row>
    <x:row r="396" ht="30" customHeight="1">
      <x:c r="A396" s="30" t="str">
        <x:v>Barclays</x:v>
      </x:c>
      <x:c r="B396" s="30" t="str">
        <x:v>IBD / GCM</x:v>
      </x:c>
      <x:c r="C396" s="30" t="str">
        <x:v>Interview Note</x:v>
      </x:c>
      <x:c r="D396" s="31" t="str">
        <x:v>四家公司&amp;产品（tech，consumer retail，gold，一个随机吐钱的机器），β排序；</x:v>
      </x:c>
      <x:c r="E396" s="31" t="str">
        <x:v>C82</x:v>
      </x:c>
      <x:c r="F396" s="31" t="str">
        <x:v>实习的经历； | Follow up：提到实习搭过DCF，简单说怎么搭； | WACC公式，Rd公式，Rf用的是什么，CF用的是哪个如何蓉revenue开始求，β是什么；</x:v>
      </x:c>
    </x:row>
    <x:row r="397" ht="46" customHeight="1">
      <x:c r="A397" s="30" t="str">
        <x:v>Barclays</x:v>
      </x:c>
      <x:c r="B397" s="30" t="str">
        <x:v>IBD / GCM</x:v>
      </x:c>
      <x:c r="C397" s="30" t="str">
        <x:v>Interview Note</x:v>
      </x:c>
      <x:c r="D397" s="31" t="str">
        <x:v>Recent market news</x:v>
      </x:c>
      <x:c r="E397" s="31" t="str">
        <x:v>A83</x:v>
      </x:c>
      <x:c r="F397" s="31" t="str">
        <x:v>What did you do in UBS | What are some points that investors will look into when investing in companies in this industry | Walk me though valuation in Mandarin</x:v>
      </x:c>
    </x:row>
    <x:row r="398" ht="46" customHeight="1">
      <x:c r="A398" s="30" t="str">
        <x:v>Barclays</x:v>
      </x:c>
      <x:c r="B398" s="30" t="str">
        <x:v>IBD / GCM</x:v>
      </x:c>
      <x:c r="C398" s="30" t="str">
        <x:v>Metadata</x:v>
      </x:c>
      <x:c r="D398" s="31" t="str">
        <x:v>反问环节</x:v>
      </x:c>
      <x:c r="E398" s="31" t="str">
        <x:v>C83</x:v>
      </x:c>
      <x:c r="F398" s="31" t="str">
        <x:v>Follow up：提到实习搭过DCF，简单说怎么搭； | WACC公式，Rd公式，Rf用的是什么，CF用的是哪个如何蓉revenue开始求，β是什么； | 四家公司&amp;产品（tech，consumer retail，gold，一个随机吐钱的机器），β排序；</x:v>
      </x:c>
    </x:row>
    <x:row r="399" ht="46" customHeight="1">
      <x:c r="A399" s="30" t="str">
        <x:v>Barclays</x:v>
      </x:c>
      <x:c r="B399" s="30" t="str">
        <x:v>IBD / GCM</x:v>
      </x:c>
      <x:c r="C399" s="30" t="str">
        <x:v>Interview Note</x:v>
      </x:c>
      <x:c r="D399" s="31" t="str">
        <x:v>Recent policies in China</x:v>
      </x:c>
      <x:c r="E399" s="31" t="str">
        <x:v>A84</x:v>
      </x:c>
      <x:c r="F399" s="31" t="str">
        <x:v>What are some points that investors will look into when investing in companies in this industry | Walk me though valuation in Mandarin | Recent market news</x:v>
      </x:c>
    </x:row>
    <x:row r="400" ht="30" customHeight="1">
      <x:c r="A400" s="30" t="str">
        <x:v>Barclays</x:v>
      </x:c>
      <x:c r="B400" s="30" t="str">
        <x:v>IBD / GCM</x:v>
      </x:c>
      <x:c r="C400" s="30" t="str">
        <x:v>Interview Note</x:v>
      </x:c>
      <x:c r="D400" s="31" t="str">
        <x:v>如果我去问你过去实习的老板，你觉得他会如何评价你（一个优点+一个缺点）</x:v>
      </x:c>
      <x:c r="E400" s="31" t="str">
        <x:v>C84</x:v>
      </x:c>
      <x:c r="F400" s="31" t="str">
        <x:v>WACC公式，Rd公式，Rf用的是什么，CF用的是哪个如何蓉revenue开始求，β是什么； | 四家公司&amp;产品（tech，consumer retail，gold，一个随机吐钱的机器），β排序； | 反问环节</x:v>
      </x:c>
    </x:row>
    <x:row r="401" ht="30" customHeight="1">
      <x:c r="A401" s="30" t="str">
        <x:v>Barclays</x:v>
      </x:c>
      <x:c r="B401" s="30" t="str">
        <x:v>IBD / GCM</x:v>
      </x:c>
      <x:c r="C401" s="30" t="str">
        <x:v>Interview Note</x:v>
      </x:c>
      <x:c r="D401" s="31" t="str">
        <x:v>Methods to calculate terminal values;</x:v>
      </x:c>
      <x:c r="E401" s="31" t="str">
        <x:v>D84</x:v>
      </x:c>
      <x:c r="F401" s="31" t="str">
        <x:v>How to choose comparable comps, give me PE ratios of comps | Why you choose healthcare team; | DCF;</x:v>
      </x:c>
    </x:row>
    <x:row r="402" ht="30" customHeight="1">
      <x:c r="A402" s="30" t="str">
        <x:v>Barclays</x:v>
      </x:c>
      <x:c r="B402" s="30" t="str">
        <x:v>IBD / GCM</x:v>
      </x:c>
      <x:c r="C402" s="30" t="str">
        <x:v>Interview Note</x:v>
      </x:c>
      <x:c r="D402" s="31" t="str">
        <x:v>HSI, CSI300 current number</x:v>
      </x:c>
      <x:c r="E402" s="31" t="str">
        <x:v>A85</x:v>
      </x:c>
      <x:c r="F402" s="31" t="str">
        <x:v>Walk me though valuation in Mandarin | Recent market news | Recent policies in China</x:v>
      </x:c>
    </x:row>
    <x:row r="403" ht="30" customHeight="1">
      <x:c r="A403" s="30" t="str">
        <x:v>Barclays</x:v>
      </x:c>
      <x:c r="B403" s="30" t="str">
        <x:v>IBD / GCM</x:v>
      </x:c>
      <x:c r="C403" s="30" t="str">
        <x:v>Interview Note</x:v>
      </x:c>
      <x:c r="D403" s="31" t="str">
        <x:v>最后突如其来问我什么是seal-curving（篆刻），怎么画稿子到石头上 etc （吹水）</x:v>
      </x:c>
      <x:c r="E403" s="31" t="str">
        <x:v>C85</x:v>
      </x:c>
      <x:c r="F403" s="31" t="str">
        <x:v>四家公司&amp;产品（tech，consumer retail，gold，一个随机吐钱的机器），β排序； | 反问环节 | 如果我去问你过去实习的老板，你觉得他会如何评价你（一个优点+一个缺点）</x:v>
      </x:c>
    </x:row>
    <x:row r="404" ht="30" customHeight="1">
      <x:c r="A404" s="30" t="str">
        <x:v>Barclays</x:v>
      </x:c>
      <x:c r="B404" s="30" t="str">
        <x:v>IBD / GCM</x:v>
      </x:c>
      <x:c r="C404" s="30" t="str">
        <x:v>Metadata</x:v>
      </x:c>
      <x:c r="D404" s="31" t="str">
        <x:v>5min吹水</x:v>
      </x:c>
      <x:c r="E404" s="31" t="str">
        <x:v>D85</x:v>
      </x:c>
      <x:c r="F404" s="31" t="str">
        <x:v>Why you choose healthcare team; | DCF; | Methods to calculate terminal values;</x:v>
      </x:c>
    </x:row>
    <x:row r="405" ht="30" customHeight="1">
      <x:c r="A405" s="30" t="str">
        <x:v>Barclays</x:v>
      </x:c>
      <x:c r="B405" s="30" t="str">
        <x:v>IBD / GCM</x:v>
      </x:c>
      <x:c r="C405" s="30" t="str">
        <x:v>Interview Note</x:v>
      </x:c>
      <x:c r="D405" s="31" t="str">
        <x:v>Recent news in the US</x:v>
      </x:c>
      <x:c r="E405" s="31" t="str">
        <x:v>A86</x:v>
      </x:c>
      <x:c r="F405" s="31" t="str">
        <x:v>Recent market news | Recent policies in China | HSI, CSI300 current number</x:v>
      </x:c>
    </x:row>
    <x:row r="406" ht="30" customHeight="1">
      <x:c r="A406" s="30" t="str">
        <x:v>Barclays</x:v>
      </x:c>
      <x:c r="B406" s="30" t="str">
        <x:v>IBD / GCM</x:v>
      </x:c>
      <x:c r="C406" s="30" t="str">
        <x:v>Metadata</x:v>
      </x:c>
      <x:c r="D406" s="31" t="str">
        <x:v>Questions</x:v>
      </x:c>
      <x:c r="E406" s="31" t="str">
        <x:v>A88</x:v>
      </x:c>
      <x:c r="F406" s="31" t="str">
        <x:v>HSI, CSI300 current number | Recent news in the US | How many FED meeting are left in the year</x:v>
      </x:c>
    </x:row>
    <x:row r="407" ht="30" customHeight="1">
      <x:c r="A407" s="30" t="str">
        <x:v>Barclays</x:v>
      </x:c>
      <x:c r="B407" s="30" t="str">
        <x:v>IBD / GCM</x:v>
      </x:c>
      <x:c r="C407" s="30" t="str">
        <x:v>Metadata</x:v>
      </x:c>
      <x:c r="D407" s="31" t="str">
        <x:v>2026 IBD Grad (Beata)</x:v>
      </x:c>
      <x:c r="E407" s="31" t="str">
        <x:v>A91</x:v>
      </x:c>
      <x:c r="F407" s="31" t="str">
        <x:v>Recent news in the US | How many FED meeting are left in the year | Questions</x:v>
      </x:c>
    </x:row>
    <x:row r="408" ht="30" customHeight="1">
      <x:c r="A408" s="30" t="str">
        <x:v>Barclays</x:v>
      </x:c>
      <x:c r="B408" s="30" t="str">
        <x:v>IBD / GCM</x:v>
      </x:c>
      <x:c r="C408" s="30" t="str">
        <x:v>Metadata</x:v>
      </x:c>
      <x:c r="D408" s="31" t="str">
        <x:v>1st Round: Lucy Wang, Ryan Wu</x:v>
      </x:c>
      <x:c r="E408" s="31" t="str">
        <x:v>A93</x:v>
      </x:c>
      <x:c r="F408" s="31" t="str">
        <x:v>Questions | 2026 IBD Grad (Beata) | (During the written test round they said it's for Capital Markets Team though)</x:v>
      </x:c>
    </x:row>
    <x:row r="409" ht="46" customHeight="1">
      <x:c r="A409" s="30" t="str">
        <x:v>Barclays</x:v>
      </x:c>
      <x:c r="B409" s="30" t="str">
        <x:v>IBD / GCM</x:v>
      </x:c>
      <x:c r="C409" s="30" t="str">
        <x:v>Interview Note</x:v>
      </x:c>
      <x:c r="D409" s="31" t="str">
        <x:v>2 Interviewers, but idk why it was only 15mins incl Q&amp;A (supposed to be 30mins tho)</x:v>
      </x:c>
      <x:c r="E409" s="31" t="str">
        <x:v>A94</x:v>
      </x:c>
      <x:c r="F409" s="31" t="str">
        <x:v>2026 IBD Grad (Beata) | (During the written test round they said it's for Capital Markets Team though) | 1st Round: Lucy Wang, Ryan Wu</x:v>
      </x:c>
    </x:row>
    <x:row r="410" ht="46" customHeight="1">
      <x:c r="A410" s="30" t="str">
        <x:v>Barclays</x:v>
      </x:c>
      <x:c r="B410" s="30" t="str">
        <x:v>IBD / GCM</x:v>
      </x:c>
      <x:c r="C410" s="30" t="str">
        <x:v>Interview Note</x:v>
      </x:c>
      <x:c r="D410" s="31" t="str">
        <x:v>If we ask your line manager for feedback, what do you think he/she would say</x:v>
      </x:c>
      <x:c r="E410" s="31" t="str">
        <x:v>A97</x:v>
      </x:c>
      <x:c r="F410" s="31" t="str">
        <x:v>2 Interviewers, but idk why it was only 15mins incl Q&amp;A (supposed to be 30mins tho) | Self introduction, why are you here etc. | What did you do in Grant Samuel</x:v>
      </x:c>
    </x:row>
    <x:row r="411" ht="46" customHeight="1">
      <x:c r="A411" s="30" t="str">
        <x:v>Barclays</x:v>
      </x:c>
      <x:c r="B411" s="30" t="str">
        <x:v>IBD / GCM</x:v>
      </x:c>
      <x:c r="C411" s="30" t="str">
        <x:v>Metadata</x:v>
      </x:c>
      <x:c r="D411" s="31" t="str">
        <x:v>Followup: Any weaknesses?</x:v>
      </x:c>
      <x:c r="E411" s="31" t="str">
        <x:v>A98</x:v>
      </x:c>
      <x:c r="F411" s="31" t="str">
        <x:v>Self introduction, why are you here etc. | What did you do in Grant Samuel | If we ask your line manager for feedback, what do you think he/she would say</x:v>
      </x:c>
    </x:row>
    <x:row r="412" ht="46" customHeight="1">
      <x:c r="A412" s="30" t="str">
        <x:v>Barclays</x:v>
      </x:c>
      <x:c r="B412" s="30" t="str">
        <x:v>IBD / GCM</x:v>
      </x:c>
      <x:c r="C412" s="30" t="str">
        <x:v>Interview Note</x:v>
      </x:c>
      <x:c r="D412" s="31" t="str">
        <x:v>You wrote in your CV that you did IM, what does IM include and which parts were you responsible for</x:v>
      </x:c>
      <x:c r="E412" s="31" t="str">
        <x:v>A99</x:v>
      </x:c>
      <x:c r="F412" s="31" t="str">
        <x:v>What did you do in Grant Samuel | If we ask your line manager for feedback, what do you think he/she would say | Followup: Any weaknesses?</x:v>
      </x:c>
    </x:row>
    <x:row r="413" ht="46" customHeight="1">
      <x:c r="A413" s="30" t="str">
        <x:v>Barclays</x:v>
      </x:c>
      <x:c r="B413" s="30" t="str">
        <x:v>IBD / GCM</x:v>
      </x:c>
      <x:c r="C413" s="30" t="str">
        <x:v>Interview Note</x:v>
      </x:c>
      <x:c r="D413" s="31" t="str">
        <x:v>If you have to do a comps for investment grade companies, how would you approach</x:v>
      </x:c>
      <x:c r="E413" s="31" t="str">
        <x:v>A100</x:v>
      </x:c>
      <x:c r="F413" s="31" t="str">
        <x:v>If we ask your line manager for feedback, what do you think he/she would say | Followup: Any weaknesses? | You wrote in your CV that you did IM, what does IM include and which parts were you responsible for</x:v>
      </x:c>
    </x:row>
    <x:row r="414" ht="62" customHeight="1">
      <x:c r="A414" s="30" t="str">
        <x:v>Barclays</x:v>
      </x:c>
      <x:c r="B414" s="30" t="str">
        <x:v>IBD / GCM</x:v>
      </x:c>
      <x:c r="C414" s="30" t="str">
        <x:v>Interview Note</x:v>
      </x:c>
      <x:c r="D414" s="31" t="str">
        <x:v>(Mentioned about the rate cut) Followup: what rate is that</x:v>
      </x:c>
      <x:c r="E414" s="31" t="str">
        <x:v>A102</x:v>
      </x:c>
      <x:c r="F414" s="31" t="str">
        <x:v>You wrote in your CV that you did IM, what does IM include and which parts were you responsible for | If you have to do a comps for investment grade companies, how would you approach | Market views/market news (anything happening in the ...</x:v>
      </x:c>
    </x:row>
    <x:row r="415" ht="46" customHeight="1">
      <x:c r="A415" s="30" t="str">
        <x:v>Barclays</x:v>
      </x:c>
      <x:c r="B415" s="30" t="str">
        <x:v>IBD / GCM</x:v>
      </x:c>
      <x:c r="C415" s="30" t="str">
        <x:v>Interview Note</x:v>
      </x:c>
      <x:c r="D415" s="31" t="str">
        <x:v>In your written test, for the Alibaba CB slide, you wrote delta, how did you find that as it's not disclosed, if you calculate it by yourself, how did you do the calculation</x:v>
      </x:c>
      <x:c r="E415" s="31" t="str">
        <x:v>A103</x:v>
      </x:c>
      <x:c r="F415" s="31" t="str">
        <x:v>If you have to do a comps for investment grade companies, how would you approach | Market views/market news (anything happening in the markets that you think is interesting) | (Mentioned about the rate cut) Followup: what rate is that</x:v>
      </x:c>
    </x:row>
    <x:row r="416" ht="62" customHeight="1">
      <x:c r="A416" s="30" t="str">
        <x:v>Barclays</x:v>
      </x:c>
      <x:c r="B416" s="30" t="str">
        <x:v>IBD / GCM</x:v>
      </x:c>
      <x:c r="C416" s="30" t="str">
        <x:v>Interview Note</x:v>
      </x:c>
      <x:c r="D416" s="31" t="str">
        <x:v>Q&amp;A</x:v>
      </x:c>
      <x:c r="E416" s="31" t="str">
        <x:v>A105</x:v>
      </x:c>
      <x:c r="F416" s="31" t="str">
        <x:v>(Mentioned about the rate cut) Followup: what rate is that | In your written test, for the Alibaba CB slide, you wrote delta, how did you find that as it's not disclosed, if you calculate it by yourself, how did you do the calculation | ...</x:v>
      </x:c>
    </x:row>
    <x:row r="417" ht="30" customHeight="1">
      <x:c r="A417" s="30" t="str">
        <x:v>GS DCMECM</x:v>
      </x:c>
      <x:c r="B417" s="30" t="str">
        <x:v>IBD / GCM</x:v>
      </x:c>
      <x:c r="C417" s="30" t="str">
        <x:v>Metadata</x:v>
      </x:c>
      <x:c r="D417" s="31" t="str">
        <x:v>2025 SA Superday (DCM)</x:v>
      </x:c>
      <x:c r="E417" s="31" t="str">
        <x:v>A1</x:v>
      </x:c>
      <x:c r="F417" s="31" t="str"/>
    </x:row>
    <x:row r="418" ht="30" customHeight="1">
      <x:c r="A418" s="30" t="str">
        <x:v>GS DCMECM</x:v>
      </x:c>
      <x:c r="B418" s="30" t="str">
        <x:v>IBD / GCM</x:v>
      </x:c>
      <x:c r="C418" s="30" t="str">
        <x:v>Metadata</x:v>
      </x:c>
      <x:c r="D418" s="31" t="str">
        <x:v>2025 SA Superday (ECM)</x:v>
      </x:c>
      <x:c r="E418" s="31" t="str">
        <x:v>B1</x:v>
      </x:c>
      <x:c r="F418" s="31" t="str"/>
    </x:row>
    <x:row r="419" ht="30" customHeight="1">
      <x:c r="A419" s="30" t="str">
        <x:v>GS DCMECM</x:v>
      </x:c>
      <x:c r="B419" s="30" t="str">
        <x:v>IBD / GCM</x:v>
      </x:c>
      <x:c r="C419" s="30" t="str">
        <x:v>Metadata</x:v>
      </x:c>
      <x:c r="D419" s="31" t="str">
        <x:v>Jasmine 10/10 &amp; 14/10</x:v>
      </x:c>
      <x:c r="E419" s="31" t="str">
        <x:v>A2</x:v>
      </x:c>
      <x:c r="F419" s="31" t="str">
        <x:v>2025 SA Superday (DCM)</x:v>
      </x:c>
    </x:row>
    <x:row r="420" ht="30" customHeight="1">
      <x:c r="A420" s="30" t="str">
        <x:v>GS DCMECM</x:v>
      </x:c>
      <x:c r="B420" s="30" t="str">
        <x:v>IBD / GCM</x:v>
      </x:c>
      <x:c r="C420" s="30" t="str">
        <x:v>Metadata</x:v>
      </x:c>
      <x:c r="D420" s="31" t="str">
        <x:v>Jasmine 17/10</x:v>
      </x:c>
      <x:c r="E420" s="31" t="str">
        <x:v>B2</x:v>
      </x:c>
      <x:c r="F420" s="31" t="str">
        <x:v>2025 SA Superday (ECM)</x:v>
      </x:c>
    </x:row>
    <x:row r="421" ht="30" customHeight="1">
      <x:c r="A421" s="30" t="str">
        <x:v>GS DCMECM</x:v>
      </x:c>
      <x:c r="B421" s="30" t="str">
        <x:v>IBD / GCM</x:v>
      </x:c>
      <x:c r="C421" s="30" t="str">
        <x:v>Interview Note</x:v>
      </x:c>
      <x:c r="D421" s="31" t="str">
        <x:v>1 Lunkun Deng Bond Syndicate (BJ)</x:v>
      </x:c>
      <x:c r="E421" s="31" t="str">
        <x:v>A3</x:v>
      </x:c>
      <x:c r="F421" s="31" t="str">
        <x:v>2025 SA Superday (DCM) | Jasmine 10/10 &amp; 14/10</x:v>
      </x:c>
    </x:row>
    <x:row r="422" ht="30" customHeight="1">
      <x:c r="A422" s="30" t="str">
        <x:v>GS DCMECM</x:v>
      </x:c>
      <x:c r="B422" s="30" t="str">
        <x:v>IBD / GCM</x:v>
      </x:c>
      <x:c r="C422" s="30" t="str">
        <x:v>Interview Note</x:v>
      </x:c>
      <x:c r="D422" s="31" t="str">
        <x:v>1 Phyllis Wang Equity Syndicate Head</x:v>
      </x:c>
      <x:c r="E422" s="31" t="str">
        <x:v>B3</x:v>
      </x:c>
      <x:c r="F422" s="31" t="str">
        <x:v>2025 SA Superday (ECM) | Jasmine 17/10</x:v>
      </x:c>
    </x:row>
    <x:row r="423" ht="30" customHeight="1">
      <x:c r="A423" s="30" t="str">
        <x:v>GS DCMECM</x:v>
      </x:c>
      <x:c r="B423" s="30" t="str">
        <x:v>IBD / GCM</x:v>
      </x:c>
      <x:c r="C423" s="30" t="str">
        <x:v>Interview Note</x:v>
      </x:c>
      <x:c r="D423" s="31" t="str">
        <x:v>Elevator Pitch</x:v>
      </x:c>
      <x:c r="E423" s="31" t="str">
        <x:v>B5</x:v>
      </x:c>
      <x:c r="F423" s="31" t="str">
        <x:v>Jasmine 17/10 | 1 Phyllis Wang Equity Syndicate Head | Self Intro</x:v>
      </x:c>
    </x:row>
    <x:row r="424" ht="30" customHeight="1">
      <x:c r="A424" s="30" t="str">
        <x:v>GS DCMECM</x:v>
      </x:c>
      <x:c r="B424" s="30" t="str">
        <x:v>IBD / GCM</x:v>
      </x:c>
      <x:c r="C424" s="30" t="str">
        <x:v>Interview Note</x:v>
      </x:c>
      <x:c r="D424" s="31" t="str">
        <x:v>A mistake I made in past internship</x:v>
      </x:c>
      <x:c r="E424" s="31" t="str">
        <x:v>B7</x:v>
      </x:c>
      <x:c r="F424" s="31" t="str">
        <x:v>Self Intro | Elevator Pitch | What extra efforts I made for IBD</x:v>
      </x:c>
    </x:row>
    <x:row r="425" ht="46" customHeight="1">
      <x:c r="A425" s="30" t="str">
        <x:v>GS DCMECM</x:v>
      </x:c>
      <x:c r="B425" s="30" t="str">
        <x:v>IBD / GCM</x:v>
      </x:c>
      <x:c r="C425" s="30" t="str">
        <x:v>Interview Note</x:v>
      </x:c>
      <x:c r="D425" s="31" t="str">
        <x:v>Credit analysis structure</x:v>
      </x:c>
      <x:c r="E425" s="31" t="str">
        <x:v>A8</x:v>
      </x:c>
      <x:c r="F425" s="31" t="str">
        <x:v>Interest rate | You said bond prices are still facing some uncertanties, arent they already priced in in the current yield? | How does this affect companies who want to issue debt, 1year ago vs now vs future</x:v>
      </x:c>
    </x:row>
    <x:row r="426" ht="30" customHeight="1">
      <x:c r="A426" s="30" t="str">
        <x:v>GS DCMECM</x:v>
      </x:c>
      <x:c r="B426" s="30" t="str">
        <x:v>IBD / GCM</x:v>
      </x:c>
      <x:c r="C426" s="30" t="str">
        <x:v>Interview Note</x:v>
      </x:c>
      <x:c r="D426" s="31" t="str">
        <x:v>Role in group</x:v>
      </x:c>
      <x:c r="E426" s="31" t="str">
        <x:v>B8</x:v>
      </x:c>
      <x:c r="F426" s="31" t="str">
        <x:v>Elevator Pitch | What extra efforts I made for IBD | A mistake I made in past internship</x:v>
      </x:c>
    </x:row>
    <x:row r="427" ht="46" customHeight="1">
      <x:c r="A427" s="30" t="str">
        <x:v>GS DCMECM</x:v>
      </x:c>
      <x:c r="B427" s="30" t="str">
        <x:v>IBD / GCM</x:v>
      </x:c>
      <x:c r="C427" s="30" t="str">
        <x:v>Metadata</x:v>
      </x:c>
      <x:c r="D427" s="31" t="str">
        <x:v>Questions for him</x:v>
      </x:c>
      <x:c r="E427" s="31" t="str">
        <x:v>A9</x:v>
      </x:c>
      <x:c r="F427" s="31" t="str">
        <x:v>You said bond prices are still facing some uncertanties, arent they already priced in in the current yield? | How does this affect companies who want to issue debt, 1year ago vs now vs future | Credit analysis structure</x:v>
      </x:c>
    </x:row>
    <x:row r="428" ht="30" customHeight="1">
      <x:c r="A428" s="30" t="str">
        <x:v>GS DCMECM</x:v>
      </x:c>
      <x:c r="B428" s="30" t="str">
        <x:v>IBD / GCM</x:v>
      </x:c>
      <x:c r="C428" s="30" t="str">
        <x:v>Interview Note</x:v>
      </x:c>
      <x:c r="D428" s="31" t="str">
        <x:v>One time when you're not in a leadership position, and there was a conflicting situation (outside of work)</x:v>
      </x:c>
      <x:c r="E428" s="31" t="str">
        <x:v>B9</x:v>
      </x:c>
      <x:c r="F428" s="31" t="str">
        <x:v>What extra efforts I made for IBD | A mistake I made in past internship | Role in group</x:v>
      </x:c>
    </x:row>
    <x:row r="429" ht="46" customHeight="1">
      <x:c r="A429" s="30" t="str">
        <x:v>GS DCMECM</x:v>
      </x:c>
      <x:c r="B429" s="30" t="str">
        <x:v>IBD / GCM</x:v>
      </x:c>
      <x:c r="C429" s="30" t="str">
        <x:v>Interview Note</x:v>
      </x:c>
      <x:c r="D429" s="31" t="str">
        <x:v>Recent news that affect the stock markets</x:v>
      </x:c>
      <x:c r="E429" s="31" t="str">
        <x:v>B10</x:v>
      </x:c>
      <x:c r="F429" s="31" t="str">
        <x:v>A mistake I made in past internship | Role in group | One time when you're not in a leadership position, and there was a conflicting situation (outside of work)</x:v>
      </x:c>
    </x:row>
    <x:row r="430" ht="46" customHeight="1">
      <x:c r="A430" s="30" t="str">
        <x:v>GS DCMECM</x:v>
      </x:c>
      <x:c r="B430" s="30" t="str">
        <x:v>IBD / GCM</x:v>
      </x:c>
      <x:c r="C430" s="30" t="str">
        <x:v>Interview Note</x:v>
      </x:c>
      <x:c r="D430" s="31" t="str">
        <x:v>Investment / trading idea regarding the upcoming US election</x:v>
      </x:c>
      <x:c r="E430" s="31" t="str">
        <x:v>B11</x:v>
      </x:c>
      <x:c r="F430" s="31" t="str">
        <x:v>Role in group | One time when you're not in a leadership position, and there was a conflicting situation (outside of work) | Recent news that affect the stock markets</x:v>
      </x:c>
    </x:row>
    <x:row r="431" ht="46" customHeight="1">
      <x:c r="A431" s="30" t="str">
        <x:v>GS DCMECM</x:v>
      </x:c>
      <x:c r="B431" s="30" t="str">
        <x:v>IBD / GCM</x:v>
      </x:c>
      <x:c r="C431" s="30" t="str">
        <x:v>Interview Note</x:v>
      </x:c>
      <x:c r="D431" s="31" t="str">
        <x:v>2 Martina Piccolo Sponsors / Loan</x:v>
      </x:c>
      <x:c r="E431" s="31" t="str">
        <x:v>A12</x:v>
      </x:c>
      <x:c r="F431" s="31" t="str">
        <x:v>Credit analysis structure | Questions for him | Asked back what kind of skill sets / characters are required for DCM, compared to my previous internships // compare the Debt market with PEVCIBD</x:v>
      </x:c>
    </x:row>
    <x:row r="432" ht="46" customHeight="1">
      <x:c r="A432" s="30" t="str">
        <x:v>GS DCMECM</x:v>
      </x:c>
      <x:c r="B432" s="30" t="str">
        <x:v>IBD / GCM</x:v>
      </x:c>
      <x:c r="C432" s="30" t="str">
        <x:v>Interview Note</x:v>
      </x:c>
      <x:c r="D432" s="31" t="str">
        <x:v>Feedback from Nomura</x:v>
      </x:c>
      <x:c r="E432" s="31" t="str">
        <x:v>B12</x:v>
      </x:c>
      <x:c r="F432" s="31" t="str">
        <x:v>One time when you're not in a leadership position, and there was a conflicting situation (outside of work) | Recent news that affect the stock markets | Investment / trading idea regarding the upcoming US election</x:v>
      </x:c>
    </x:row>
    <x:row r="433" ht="46" customHeight="1">
      <x:c r="A433" s="30" t="str">
        <x:v>GS DCMECM</x:v>
      </x:c>
      <x:c r="B433" s="30" t="str">
        <x:v>IBD / GCM</x:v>
      </x:c>
      <x:c r="C433" s="30" t="str">
        <x:v>Interview Note</x:v>
      </x:c>
      <x:c r="D433" s="31" t="str">
        <x:v>Any area of improvement</x:v>
      </x:c>
      <x:c r="E433" s="31" t="str">
        <x:v>B13</x:v>
      </x:c>
      <x:c r="F433" s="31" t="str">
        <x:v>Recent news that affect the stock markets | Investment / trading idea regarding the upcoming US election | Feedback from Nomura</x:v>
      </x:c>
    </x:row>
    <x:row r="434" ht="30" customHeight="1">
      <x:c r="A434" s="30" t="str">
        <x:v>GS DCMECM</x:v>
      </x:c>
      <x:c r="B434" s="30" t="str">
        <x:v>IBD / GCM</x:v>
      </x:c>
      <x:c r="C434" s="30" t="str">
        <x:v>Interview Note</x:v>
      </x:c>
      <x:c r="D434" s="31" t="str">
        <x:v>My position in football and hockey</x:v>
      </x:c>
      <x:c r="E434" s="31" t="str">
        <x:v>B15</x:v>
      </x:c>
      <x:c r="F434" s="31" t="str">
        <x:v>Feedback from Nomura | Any area of improvement | Hobbies</x:v>
      </x:c>
    </x:row>
    <x:row r="435" ht="62" customHeight="1">
      <x:c r="A435" s="30" t="str">
        <x:v>GS DCMECM</x:v>
      </x:c>
      <x:c r="B435" s="30" t="str">
        <x:v>IBD / GCM</x:v>
      </x:c>
      <x:c r="C435" s="30" t="str">
        <x:v>Interview Note</x:v>
      </x:c>
      <x:c r="D435" s="31" t="str">
        <x:v>(she spoke a lot, super nice, so we alr ran out of time here lmao)</x:v>
      </x:c>
      <x:c r="E435" s="31" t="str">
        <x:v>A18</x:v>
      </x:c>
      <x:c r="F435" s="31" t="str">
        <x:v>For a consumer packaging company, what are some mertics for credit analysis | If the market is going really bad, for example, a covid lockdown - what operational information would you look at to assess the company's risks | If you are re...</x:v>
      </x:c>
    </x:row>
    <x:row r="436" ht="30" customHeight="1">
      <x:c r="A436" s="30" t="str">
        <x:v>GS DCMECM</x:v>
      </x:c>
      <x:c r="B436" s="30" t="str">
        <x:v>IBD / GCM</x:v>
      </x:c>
      <x:c r="C436" s="30" t="str">
        <x:v>Interview Note</x:v>
      </x:c>
      <x:c r="D436" s="31" t="str">
        <x:v>2 James Wang ECM Co-Head</x:v>
      </x:c>
      <x:c r="E436" s="31" t="str">
        <x:v>B18</x:v>
      </x:c>
      <x:c r="F436" s="31" t="str">
        <x:v>Hobbies | My position in football and hockey | What makes me a good player</x:v>
      </x:c>
    </x:row>
    <x:row r="437" ht="62" customHeight="1">
      <x:c r="A437" s="30" t="str">
        <x:v>GS DCMECM</x:v>
      </x:c>
      <x:c r="B437" s="30" t="str">
        <x:v>IBD / GCM</x:v>
      </x:c>
      <x:c r="C437" s="30" t="str">
        <x:v>Interview Note</x:v>
      </x:c>
      <x:c r="D437" s="31" t="str">
        <x:v>3 Nelson Lo Head of Leveraged Loans</x:v>
      </x:c>
      <x:c r="E437" s="31" t="str">
        <x:v>A20</x:v>
      </x:c>
      <x:c r="F437" s="31" t="str">
        <x:v>If the market is going really bad, for example, a covid lockdown - what operational information would you look at to assess the company's risks | If you are reaching out to a sponsor, asking for specific data to analyse their debt servic...</x:v>
      </x:c>
    </x:row>
    <x:row r="438" ht="30" customHeight="1">
      <x:c r="A438" s="30" t="str">
        <x:v>GS DCMECM</x:v>
      </x:c>
      <x:c r="B438" s="30" t="str">
        <x:v>IBD / GCM</x:v>
      </x:c>
      <x:c r="C438" s="30" t="str">
        <x:v>Interview Note</x:v>
      </x:c>
      <x:c r="D438" s="31" t="str">
        <x:v>My ranking, is my GPA low or high in my class</x:v>
      </x:c>
      <x:c r="E438" s="31" t="str">
        <x:v>B20</x:v>
      </x:c>
      <x:c r="F438" s="31" t="str">
        <x:v>What makes me a good player | 2 James Wang ECM Co-Head | Self Intro</x:v>
      </x:c>
    </x:row>
    <x:row r="439" ht="30" customHeight="1">
      <x:c r="A439" s="30" t="str">
        <x:v>GS DCMECM</x:v>
      </x:c>
      <x:c r="B439" s="30" t="str">
        <x:v>IBD / GCM</x:v>
      </x:c>
      <x:c r="C439" s="30" t="str">
        <x:v>Interview Note</x:v>
      </x:c>
      <x:c r="D439" s="31" t="str">
        <x:v>My thoughts on past internships, why ECM</x:v>
      </x:c>
      <x:c r="E439" s="31" t="str">
        <x:v>B21</x:v>
      </x:c>
      <x:c r="F439" s="31" t="str">
        <x:v>2 James Wang ECM Co-Head | Self Intro | My ranking, is my GPA low or high in my class</x:v>
      </x:c>
    </x:row>
    <x:row r="440" ht="30" customHeight="1">
      <x:c r="A440" s="30" t="str">
        <x:v>GS DCMECM</x:v>
      </x:c>
      <x:c r="B440" s="30" t="str">
        <x:v>IBD / GCM</x:v>
      </x:c>
      <x:c r="C440" s="30" t="str">
        <x:v>Interview Note</x:v>
      </x:c>
      <x:c r="D440" s="31" t="str">
        <x:v>Quite conversational and all behavioral... forgot</x:v>
      </x:c>
      <x:c r="E440" s="31" t="str">
        <x:v>B22</x:v>
      </x:c>
      <x:c r="F440" s="31" t="str">
        <x:v>Self Intro | My ranking, is my GPA low or high in my class | My thoughts on past internships, why ECM</x:v>
      </x:c>
    </x:row>
    <x:row r="441" ht="46" customHeight="1">
      <x:c r="A441" s="30" t="str">
        <x:v>GS DCMECM</x:v>
      </x:c>
      <x:c r="B441" s="30" t="str">
        <x:v>IBD / GCM</x:v>
      </x:c>
      <x:c r="C441" s="30" t="str">
        <x:v>Interview Note</x:v>
      </x:c>
      <x:c r="D441" s="31" t="str">
        <x:v>One recent piece of news that affect banks the most</x:v>
      </x:c>
      <x:c r="E441" s="31" t="str">
        <x:v>A25</x:v>
      </x:c>
      <x:c r="F441" s="31" t="str">
        <x:v>Recent LBO trend | How would increase in interest rate affect LBO costs | Which internship I liked the most and the least</x:v>
      </x:c>
    </x:row>
    <x:row r="442" ht="30" customHeight="1">
      <x:c r="A442" s="30" t="str">
        <x:v>GS DCMECM</x:v>
      </x:c>
      <x:c r="B442" s="30" t="str">
        <x:v>IBD / GCM</x:v>
      </x:c>
      <x:c r="C442" s="30" t="str">
        <x:v>Interview Note</x:v>
      </x:c>
      <x:c r="D442" s="31" t="str">
        <x:v>3 Jason ECM ED</x:v>
      </x:c>
      <x:c r="E442" s="31" t="str">
        <x:v>B25</x:v>
      </x:c>
      <x:c r="F442" s="31" t="str">
        <x:v>My thoughts on past internships, why ECM | Quite conversational and all behavioral... forgot | Why you</x:v>
      </x:c>
    </x:row>
    <x:row r="443" ht="46" customHeight="1">
      <x:c r="A443" s="30" t="str">
        <x:v>GS DCMECM</x:v>
      </x:c>
      <x:c r="B443" s="30" t="str">
        <x:v>IBD / GCM</x:v>
      </x:c>
      <x:c r="C443" s="30" t="str">
        <x:v>Metadata</x:v>
      </x:c>
      <x:c r="D443" s="31" t="str">
        <x:v>Questions for him</x:v>
      </x:c>
      <x:c r="E443" s="31" t="str">
        <x:v>A26</x:v>
      </x:c>
      <x:c r="F443" s="31" t="str">
        <x:v>How would increase in interest rate affect LBO costs | Which internship I liked the most and the least | One recent piece of news that affect banks the most</x:v>
      </x:c>
    </x:row>
    <x:row r="444" ht="46" customHeight="1">
      <x:c r="A444" s="30" t="str">
        <x:v>GS DCMECM</x:v>
      </x:c>
      <x:c r="B444" s="30" t="str">
        <x:v>IBD / GCM</x:v>
      </x:c>
      <x:c r="C444" s="30" t="str">
        <x:v>Interview Note</x:v>
      </x:c>
      <x:c r="D444" s="31" t="str">
        <x:v>4 Andrew Chan Head of Bond Syndiate</x:v>
      </x:c>
      <x:c r="E444" s="31" t="str">
        <x:v>A28</x:v>
      </x:c>
      <x:c r="F444" s="31" t="str">
        <x:v>Which internship I liked the most and the least | One recent piece of news that affect banks the most | Questions for him</x:v>
      </x:c>
    </x:row>
    <x:row r="445" ht="30" customHeight="1">
      <x:c r="A445" s="30" t="str">
        <x:v>GS DCMECM</x:v>
      </x:c>
      <x:c r="B445" s="30" t="str">
        <x:v>IBD / GCM</x:v>
      </x:c>
      <x:c r="C445" s="30" t="str">
        <x:v>Interview Note</x:v>
      </x:c>
      <x:c r="D445" s="31" t="str">
        <x:v>If I am given a classics IBD position, will I go</x:v>
      </x:c>
      <x:c r="E445" s="31" t="str">
        <x:v>B29</x:v>
      </x:c>
      <x:c r="F445" s="31" t="str">
        <x:v>Self intro | Did I choose ECM as my first preference | How did I get into finance</x:v>
      </x:c>
    </x:row>
    <x:row r="446" ht="30" customHeight="1">
      <x:c r="A446" s="30" t="str">
        <x:v>GS DCMECM</x:v>
      </x:c>
      <x:c r="B446" s="30" t="str">
        <x:v>IBD / GCM</x:v>
      </x:c>
      <x:c r="C446" s="30" t="str">
        <x:v>Interview Note</x:v>
      </x:c>
      <x:c r="D446" s="31" t="str">
        <x:v>Nomura deal walk thorugh</x:v>
      </x:c>
      <x:c r="E446" s="31" t="str">
        <x:v>B30</x:v>
      </x:c>
      <x:c r="F446" s="31" t="str">
        <x:v>Did I choose ECM as my first preference | How did I get into finance | If I am given a classics IBD position, will I go</x:v>
      </x:c>
    </x:row>
    <x:row r="447" ht="30" customHeight="1">
      <x:c r="A447" s="30" t="str">
        <x:v>GS DCMECM</x:v>
      </x:c>
      <x:c r="B447" s="30" t="str">
        <x:v>IBD / GCM</x:v>
      </x:c>
      <x:c r="C447" s="30" t="str">
        <x:v>Interview Note</x:v>
      </x:c>
      <x:c r="D447" s="31" t="str">
        <x:v>花5分钟说一下最近市场如何（普通话）</x:v>
      </x:c>
      <x:c r="E447" s="31" t="str">
        <x:v>A32</x:v>
      </x:c>
      <x:c r="F447" s="31" t="str">
        <x:v>Self Intro | Why GS why DCM | Who were on the Nomura DCM Team</x:v>
      </x:c>
    </x:row>
    <x:row r="448" ht="30" customHeight="1">
      <x:c r="A448" s="30" t="str">
        <x:v>GS DCMECM</x:v>
      </x:c>
      <x:c r="B448" s="30" t="str">
        <x:v>IBD / GCM</x:v>
      </x:c>
      <x:c r="C448" s="30" t="str">
        <x:v>Interview Note</x:v>
      </x:c>
      <x:c r="D448" s="31" t="str">
        <x:v>12*12</x:v>
      </x:c>
      <x:c r="E448" s="31" t="str">
        <x:v>B33</x:v>
      </x:c>
      <x:c r="F448" s="31" t="str">
        <x:v>Nomura deal walk thorugh | Trading comps valuation walk through | How good are you with numbers</x:v>
      </x:c>
    </x:row>
    <x:row r="449" ht="62" customHeight="1">
      <x:c r="A449" s="30" t="str">
        <x:v>GS DCMECM</x:v>
      </x:c>
      <x:c r="B449" s="30" t="str">
        <x:v>IBD / GCM</x:v>
      </x:c>
      <x:c r="C449" s="30" t="str">
        <x:v>Interview Note</x:v>
      </x:c>
      <x:c r="D449" s="31" t="str">
        <x:v>Q&amp;A in Cantonese</x:v>
      </x:c>
      <x:c r="E449" s="31" t="str">
        <x:v>A34</x:v>
      </x:c>
      <x:c r="F449" s="31" t="str">
        <x:v>Who were on the Nomura DCM Team | 花5分钟说一下最近市场如何（普通话） | Brain Teaser: 100 participants, each write a number, the one closest to 80% of the average will win 100K, if same number from multiple participants, the prize will be split in betwee...</x:v>
      </x:c>
    </x:row>
    <x:row r="450" ht="30" customHeight="1">
      <x:c r="A450" s="30" t="str">
        <x:v>GS DCMECM</x:v>
      </x:c>
      <x:c r="B450" s="30" t="str">
        <x:v>IBD / GCM</x:v>
      </x:c>
      <x:c r="C450" s="30" t="str">
        <x:v>Interview Note</x:v>
      </x:c>
      <x:c r="D450" s="31" t="str">
        <x:v>27*16</x:v>
      </x:c>
      <x:c r="E450" s="31" t="str">
        <x:v>B34</x:v>
      </x:c>
      <x:c r="F450" s="31" t="str">
        <x:v>Trading comps valuation walk through | How good are you with numbers | 12*12</x:v>
      </x:c>
    </x:row>
    <x:row r="451" ht="62" customHeight="1">
      <x:c r="A451" s="30" t="str">
        <x:v>GS DCMECM</x:v>
      </x:c>
      <x:c r="B451" s="30" t="str">
        <x:v>IBD / GCM</x:v>
      </x:c>
      <x:c r="C451" s="30" t="str">
        <x:v>Interview Note</x:v>
      </x:c>
      <x:c r="D451" s="31" t="str">
        <x:v>5 Daniel Ohmsen Loans</x:v>
      </x:c>
      <x:c r="E451" s="31" t="str">
        <x:v>A36</x:v>
      </x:c>
      <x:c r="F451" s="31" t="str">
        <x:v>花5分钟说一下最近市场如何（普通话） | Brain Teaser: 100 participants, each write a number, the one closest to 80% of the average will win 100K, if same number from multiple participants, the prize will be split in between, what number will you write | Q&amp;...</x:v>
      </x:c>
    </x:row>
    <x:row r="452" ht="30" customHeight="1">
      <x:c r="A452" s="30" t="str">
        <x:v>GS DCMECM</x:v>
      </x:c>
      <x:c r="B452" s="30" t="str">
        <x:v>IBD / GCM</x:v>
      </x:c>
      <x:c r="C452" s="30" t="str">
        <x:v>Interview Note</x:v>
      </x:c>
      <x:c r="D452" s="31" t="str">
        <x:v>10 Additional Rounds</x:v>
      </x:c>
      <x:c r="E452" s="31" t="str">
        <x:v>B36</x:v>
      </x:c>
      <x:c r="F452" s="31" t="str">
        <x:v>How good are you with numbers | 12*12 | 27*16</x:v>
      </x:c>
    </x:row>
    <x:row r="453" ht="30" customHeight="1">
      <x:c r="A453" s="30" t="str">
        <x:v>GS DCMECM</x:v>
      </x:c>
      <x:c r="B453" s="30" t="str">
        <x:v>IBD / GCM</x:v>
      </x:c>
      <x:c r="C453" s="30" t="str">
        <x:v>Interview Note</x:v>
      </x:c>
      <x:c r="D453" s="31" t="str">
        <x:v>4 Henry Yu Shanghai</x:v>
      </x:c>
      <x:c r="E453" s="31" t="str">
        <x:v>B37</x:v>
      </x:c>
      <x:c r="F453" s="31" t="str">
        <x:v>12*12 | 27*16 | 10 Additional Rounds</x:v>
      </x:c>
    </x:row>
    <x:row r="454" ht="30" customHeight="1">
      <x:c r="A454" s="30" t="str">
        <x:v>GS DCMECM</x:v>
      </x:c>
      <x:c r="B454" s="30" t="str">
        <x:v>IBD / GCM</x:v>
      </x:c>
      <x:c r="C454" s="30" t="str">
        <x:v>Interview Note</x:v>
      </x:c>
      <x:c r="D454" s="31" t="str">
        <x:v>A time when I work in a team</x:v>
      </x:c>
      <x:c r="E454" s="31" t="str">
        <x:v>B40</x:v>
      </x:c>
      <x:c r="F454" s="31" t="str">
        <x:v>4 Henry Yu Shanghai | Self Intro | Where do I see myself in 3-5 years</x:v>
      </x:c>
    </x:row>
    <x:row r="455" ht="30" customHeight="1">
      <x:c r="A455" s="30" t="str">
        <x:v>GS DCMECM</x:v>
      </x:c>
      <x:c r="B455" s="30" t="str">
        <x:v>IBD / GCM</x:v>
      </x:c>
      <x:c r="C455" s="30" t="str">
        <x:v>Interview Note</x:v>
      </x:c>
      <x:c r="D455" s="31" t="str">
        <x:v>A time when I faced conflicts</x:v>
      </x:c>
      <x:c r="E455" s="31" t="str">
        <x:v>B41</x:v>
      </x:c>
      <x:c r="F455" s="31" t="str">
        <x:v>Self Intro | Where do I see myself in 3-5 years | A time when I work in a team</x:v>
      </x:c>
    </x:row>
    <x:row r="456" ht="46" customHeight="1">
      <x:c r="A456" s="30" t="str">
        <x:v>GS DCMECM</x:v>
      </x:c>
      <x:c r="B456" s="30" t="str">
        <x:v>IBD / GCM</x:v>
      </x:c>
      <x:c r="C456" s="30" t="str">
        <x:v>Interview Note</x:v>
      </x:c>
      <x:c r="D456" s="31" t="str">
        <x:v>Assuming the data centre is pre-revenue with no contracts yet, what other changes can you think of</x:v>
      </x:c>
      <x:c r="E456" s="31" t="str">
        <x:v>A42</x:v>
      </x:c>
      <x:c r="F456" s="31" t="str">
        <x:v>A data centre with sponsor investments, where will this show up on three statements | Raise Contruction loan, where will this show up on three statements | After 1 year, how will the three statements be affected</x:v>
      </x:c>
    </x:row>
    <x:row r="457" ht="30" customHeight="1">
      <x:c r="A457" s="30" t="str">
        <x:v>GS DCMECM</x:v>
      </x:c>
      <x:c r="B457" s="30" t="str">
        <x:v>IBD / GCM</x:v>
      </x:c>
      <x:c r="C457" s="30" t="str">
        <x:v>Interview Note</x:v>
      </x:c>
      <x:c r="D457" s="31" t="str">
        <x:v>Important skills for capital markets</x:v>
      </x:c>
      <x:c r="E457" s="31" t="str">
        <x:v>B42</x:v>
      </x:c>
      <x:c r="F457" s="31" t="str">
        <x:v>Where do I see myself in 3-5 years | A time when I work in a team | A time when I faced conflicts</x:v>
      </x:c>
    </x:row>
    <x:row r="458" ht="30" customHeight="1">
      <x:c r="A458" s="30" t="str">
        <x:v>GS DCMECM</x:v>
      </x:c>
      <x:c r="B458" s="30" t="str">
        <x:v>IBD / GCM</x:v>
      </x:c>
      <x:c r="C458" s="30" t="str">
        <x:v>Interview Note</x:v>
      </x:c>
      <x:c r="D458" s="31" t="str">
        <x:v>10x P/E and RoE 10%, what is the P/B</x:v>
      </x:c>
      <x:c r="E458" s="31" t="str">
        <x:v>B43</x:v>
      </x:c>
      <x:c r="F458" s="31" t="str">
        <x:v>A time when I work in a team | A time when I faced conflicts | Important skills for capital markets</x:v>
      </x:c>
    </x:row>
    <x:row r="459" ht="62" customHeight="1">
      <x:c r="A459" s="30" t="str">
        <x:v>GS DCMECM</x:v>
      </x:c>
      <x:c r="B459" s="30" t="str">
        <x:v>IBD / GCM</x:v>
      </x:c>
      <x:c r="C459" s="30" t="str">
        <x:v>Metadata</x:v>
      </x:c>
      <x:c r="D459" s="31" t="str">
        <x:v>Questions for him</x:v>
      </x:c>
      <x:c r="E459" s="31" t="str">
        <x:v>A44</x:v>
      </x:c>
      <x:c r="F459" s="31" t="str">
        <x:v>After 1 year, how will the three statements be affected | Assuming the data centre is pre-revenue with no contracts yet, what other changes can you think of | Given the current market is expecting a rate cut cycle, how would you advise s...</x:v>
      </x:c>
    </x:row>
    <x:row r="460" ht="30" customHeight="1">
      <x:c r="A460" s="30" t="str">
        <x:v>GS DCMECM</x:v>
      </x:c>
      <x:c r="B460" s="30" t="str">
        <x:v>IBD / GCM</x:v>
      </x:c>
      <x:c r="C460" s="30" t="str">
        <x:v>Interview Note</x:v>
      </x:c>
      <x:c r="D460" s="31" t="str">
        <x:v>50x P/E firm issues new share to acquire 20x P/E, accretive or dilutive</x:v>
      </x:c>
      <x:c r="E460" s="31" t="str">
        <x:v>B44</x:v>
      </x:c>
      <x:c r="F460" s="31" t="str">
        <x:v>A time when I faced conflicts | Important skills for capital markets | 10x P/E and RoE 10%, what is the P/B</x:v>
      </x:c>
    </x:row>
    <x:row r="461" ht="46" customHeight="1">
      <x:c r="A461" s="30" t="str">
        <x:v>GS DCMECM</x:v>
      </x:c>
      <x:c r="B461" s="30" t="str">
        <x:v>IBD / GCM</x:v>
      </x:c>
      <x:c r="C461" s="30" t="str">
        <x:v>Metadata</x:v>
      </x:c>
      <x:c r="D461" s="31" t="str">
        <x:v>Questions for him</x:v>
      </x:c>
      <x:c r="E461" s="31" t="str">
        <x:v>B45</x:v>
      </x:c>
      <x:c r="F461" s="31" t="str">
        <x:v>Important skills for capital markets | 10x P/E and RoE 10%, what is the P/B | 50x P/E firm issues new share to acquire 20x P/E, accretive or dilutive</x:v>
      </x:c>
    </x:row>
    <x:row r="462" ht="46" customHeight="1">
      <x:c r="A462" s="30" t="str">
        <x:v>GS DCMECM</x:v>
      </x:c>
      <x:c r="B462" s="30" t="str">
        <x:v>IBD / GCM</x:v>
      </x:c>
      <x:c r="C462" s="30" t="str">
        <x:v>Interview Note</x:v>
      </x:c>
      <x:c r="D462" s="31" t="str">
        <x:v>5 Allison</x:v>
      </x:c>
      <x:c r="E462" s="31" t="str">
        <x:v>B47</x:v>
      </x:c>
      <x:c r="F462" s="31" t="str">
        <x:v>10x P/E and RoE 10%, what is the P/B | 50x P/E firm issues new share to acquire 20x P/E, accretive or dilutive | Questions for him</x:v>
      </x:c>
    </x:row>
    <x:row r="463" ht="30" customHeight="1">
      <x:c r="A463" s="30" t="str">
        <x:v>GS DCMECM</x:v>
      </x:c>
      <x:c r="B463" s="30" t="str">
        <x:v>IBD / GCM</x:v>
      </x:c>
      <x:c r="C463" s="30" t="str">
        <x:v>Interview Note</x:v>
      </x:c>
      <x:c r="D463" s="31" t="str">
        <x:v>My personality and communication style</x:v>
      </x:c>
      <x:c r="E463" s="31" t="str">
        <x:v>B50</x:v>
      </x:c>
      <x:c r="F463" s="31" t="str">
        <x:v>5 Allison | Self Intro | I do Law as well?</x:v>
      </x:c>
    </x:row>
    <x:row r="464" ht="30" customHeight="1">
      <x:c r="A464" s="30" t="str">
        <x:v>GS DCMECM</x:v>
      </x:c>
      <x:c r="B464" s="30" t="str">
        <x:v>IBD / GCM</x:v>
      </x:c>
      <x:c r="C464" s="30" t="str">
        <x:v>Interview Note</x:v>
      </x:c>
      <x:c r="D464" s="31" t="str">
        <x:v>Feedback got at Nomura, any area of improvement</x:v>
      </x:c>
      <x:c r="E464" s="31" t="str">
        <x:v>B51</x:v>
      </x:c>
      <x:c r="F464" s="31" t="str">
        <x:v>Self Intro | I do Law as well? | My personality and communication style</x:v>
      </x:c>
    </x:row>
    <x:row r="465" ht="46" customHeight="1">
      <x:c r="A465" s="30" t="str">
        <x:v>GS DCMECM</x:v>
      </x:c>
      <x:c r="B465" s="30" t="str">
        <x:v>IBD / GCM</x:v>
      </x:c>
      <x:c r="C465" s="30" t="str">
        <x:v>Interview Note</x:v>
      </x:c>
      <x:c r="D465" s="31" t="str">
        <x:v>Skills I got in previous internships that can help me with this position</x:v>
      </x:c>
      <x:c r="E465" s="31" t="str">
        <x:v>B54</x:v>
      </x:c>
      <x:c r="F465" s="31" t="str">
        <x:v>Feedback got at Nomura, any area of improvement | Walk through a project at Nomura | What is CGPA, my GPA for finance and Law</x:v>
      </x:c>
    </x:row>
    <x:row r="466" ht="46" customHeight="1">
      <x:c r="A466" s="30" t="str">
        <x:v>GS DCMECM</x:v>
      </x:c>
      <x:c r="B466" s="30" t="str">
        <x:v>IBD / GCM</x:v>
      </x:c>
      <x:c r="C466" s="30" t="str">
        <x:v>Interview Note</x:v>
      </x:c>
      <x:c r="D466" s="31" t="str">
        <x:v>My extra-curriculars</x:v>
      </x:c>
      <x:c r="E466" s="31" t="str">
        <x:v>B56</x:v>
      </x:c>
      <x:c r="F466" s="31" t="str">
        <x:v>What is CGPA, my GPA for finance and Law | Skills I got in previous internships that can help me with this position | Walk through the case com</x:v>
      </x:c>
    </x:row>
    <x:row r="467" ht="46" customHeight="1">
      <x:c r="A467" s="30" t="str">
        <x:v>GS DCMECM</x:v>
      </x:c>
      <x:c r="B467" s="30" t="str">
        <x:v>IBD / GCM</x:v>
      </x:c>
      <x:c r="C467" s="30" t="str">
        <x:v>Metadata</x:v>
      </x:c>
      <x:c r="D467" s="31" t="str">
        <x:v>Questions for her</x:v>
      </x:c>
      <x:c r="E467" s="31" t="str">
        <x:v>B57</x:v>
      </x:c>
      <x:c r="F467" s="31" t="str">
        <x:v>Skills I got in previous internships that can help me with this position | Walk through the case com | My extra-curriculars</x:v>
      </x:c>
    </x:row>
    <x:row r="468" ht="30" customHeight="1">
      <x:c r="A468" s="30" t="str">
        <x:v>Bofa IBD</x:v>
      </x:c>
      <x:c r="B468" s="30" t="str">
        <x:v>IBD / GCM</x:v>
      </x:c>
      <x:c r="C468" s="30" t="str">
        <x:v>Metadata</x:v>
      </x:c>
      <x:c r="D468" s="31" t="str">
        <x:v>2024 SA</x:v>
      </x:c>
      <x:c r="E468" s="31" t="str">
        <x:v>A1</x:v>
      </x:c>
      <x:c r="F468" s="31" t="str"/>
    </x:row>
    <x:row r="469" ht="30" customHeight="1">
      <x:c r="A469" s="30" t="str">
        <x:v>Bofa IBD</x:v>
      </x:c>
      <x:c r="B469" s="30" t="str">
        <x:v>IBD / GCM</x:v>
      </x:c>
      <x:c r="C469" s="30" t="str">
        <x:v>Metadata</x:v>
      </x:c>
      <x:c r="D469" s="31" t="str">
        <x:v>First Round Emily</x:v>
      </x:c>
      <x:c r="E469" s="31" t="str">
        <x:v>A2</x:v>
      </x:c>
      <x:c r="F469" s="31" t="str">
        <x:v>2024 SA</x:v>
      </x:c>
    </x:row>
    <x:row r="470" ht="30" customHeight="1">
      <x:c r="A470" s="30" t="str">
        <x:v>Bofa IBD</x:v>
      </x:c>
      <x:c r="B470" s="30" t="str">
        <x:v>IBD / GCM</x:v>
      </x:c>
      <x:c r="C470" s="30" t="str">
        <x:v>Metadata</x:v>
      </x:c>
      <x:c r="D470" s="31" t="str">
        <x:v>1st Round Regan</x:v>
      </x:c>
      <x:c r="E470" s="31" t="str">
        <x:v>C2</x:v>
      </x:c>
      <x:c r="F470" s="31" t="str"/>
    </x:row>
    <x:row r="471" ht="30" customHeight="1">
      <x:c r="A471" s="30" t="str">
        <x:v>Bofa IBD</x:v>
      </x:c>
      <x:c r="B471" s="30" t="str">
        <x:v>IBD / GCM</x:v>
      </x:c>
      <x:c r="C471" s="30" t="str">
        <x:v>Interview Note</x:v>
      </x:c>
      <x:c r="D471" s="31" t="str">
        <x:v>24 Alan 1st round</x:v>
      </x:c>
      <x:c r="E471" s="31" t="str">
        <x:v>E2</x:v>
      </x:c>
      <x:c r="F471" s="31" t="str"/>
    </x:row>
    <x:row r="472" ht="30" customHeight="1">
      <x:c r="A472" s="30" t="str">
        <x:v>Bofa IBD</x:v>
      </x:c>
      <x:c r="B472" s="30" t="str">
        <x:v>IBD / GCM</x:v>
      </x:c>
      <x:c r="C472" s="30" t="str">
        <x:v>Interview Note</x:v>
      </x:c>
      <x:c r="D472" s="31" t="str">
        <x:v>25 2nd Round Emily with Jack Cho</x:v>
      </x:c>
      <x:c r="E472" s="31" t="str">
        <x:v>G2</x:v>
      </x:c>
      <x:c r="F472" s="31" t="str"/>
    </x:row>
    <x:row r="473" ht="30" customHeight="1">
      <x:c r="A473" s="30" t="str">
        <x:v>Bofa IBD</x:v>
      </x:c>
      <x:c r="B473" s="30" t="str">
        <x:v>IBD / GCM</x:v>
      </x:c>
      <x:c r="C473" s="30" t="str">
        <x:v>Metadata</x:v>
      </x:c>
      <x:c r="D473" s="31" t="str">
        <x:v>Emily 1st interviewer Suzie</x:v>
      </x:c>
      <x:c r="E473" s="31" t="str">
        <x:v>A3</x:v>
      </x:c>
      <x:c r="F473" s="31" t="str">
        <x:v>2024 SA | First Round Emily</x:v>
      </x:c>
    </x:row>
    <x:row r="474" ht="46" customHeight="1">
      <x:c r="A474" s="30" t="str">
        <x:v>Bofa IBD</x:v>
      </x:c>
      <x:c r="B474" s="30" t="str">
        <x:v>IBD / GCM</x:v>
      </x:c>
      <x:c r="C474" s="30" t="str">
        <x:v>Interview Note</x:v>
      </x:c>
      <x:c r="D474" s="31" t="str">
        <x:v>(general feeling: He probably doens't like me because I ask dumb questions but not personal ones he seems to want to be more chill......)</x:v>
      </x:c>
      <x:c r="E474" s="31" t="str">
        <x:v>G3</x:v>
      </x:c>
      <x:c r="F474" s="31" t="str">
        <x:v>25 2nd Round Emily with Jack Cho</x:v>
      </x:c>
    </x:row>
    <x:row r="475" ht="30" customHeight="1">
      <x:c r="A475" s="30" t="str">
        <x:v>Bofa IBD</x:v>
      </x:c>
      <x:c r="B475" s="30" t="str">
        <x:v>IBD / GCM</x:v>
      </x:c>
      <x:c r="C475" s="30" t="str">
        <x:v>Interview Note</x:v>
      </x:c>
      <x:c r="D475" s="31" t="str">
        <x:v>12 April Yu</x:v>
      </x:c>
      <x:c r="E475" s="31" t="str">
        <x:v>C4</x:v>
      </x:c>
      <x:c r="F475" s="31" t="str">
        <x:v>1st Round Regan</x:v>
      </x:c>
    </x:row>
    <x:row r="476" ht="30" customHeight="1">
      <x:c r="A476" s="30" t="str">
        <x:v>Bofa IBD</x:v>
      </x:c>
      <x:c r="B476" s="30" t="str">
        <x:v>IBD / GCM</x:v>
      </x:c>
      <x:c r="C476" s="30" t="str">
        <x:v>Interview Note</x:v>
      </x:c>
      <x:c r="D476" s="31" t="str">
        <x:v>1self intro</x:v>
      </x:c>
      <x:c r="E476" s="31" t="str">
        <x:v>E4</x:v>
      </x:c>
      <x:c r="F476" s="31" t="str">
        <x:v>24 Alan 1st round</x:v>
      </x:c>
    </x:row>
    <x:row r="477" ht="46" customHeight="1">
      <x:c r="A477" s="30" t="str">
        <x:v>Bofa IBD</x:v>
      </x:c>
      <x:c r="B477" s="30" t="str">
        <x:v>IBD / GCM</x:v>
      </x:c>
      <x:c r="C477" s="30" t="str">
        <x:v>Interview Note</x:v>
      </x:c>
      <x:c r="D477" s="31" t="str">
        <x:v>Told me to talk for 5 mins on: short term and long term career goal, what are my major strengths and how I can stand out from other candidates</x:v>
      </x:c>
      <x:c r="E477" s="31" t="str">
        <x:v>G4</x:v>
      </x:c>
      <x:c r="F477" s="31" t="str">
        <x:v>25 2nd Round Emily with Jack Cho | (general feeling: He probably doens't like me because I ask dumb questions but not personal ones he seems to want to be more chill......)</x:v>
      </x:c>
    </x:row>
    <x:row r="478" ht="46" customHeight="1">
      <x:c r="A478" s="30" t="str">
        <x:v>Bofa IBD</x:v>
      </x:c>
      <x:c r="B478" s="30" t="str">
        <x:v>IBD / GCM</x:v>
      </x:c>
      <x:c r="C478" s="30" t="str">
        <x:v>Interview Note</x:v>
      </x:c>
      <x:c r="D478" s="31" t="str">
        <x:v>Key components in net working capital</x:v>
      </x:c>
      <x:c r="E478" s="31" t="str">
        <x:v>A8</x:v>
      </x:c>
      <x:c r="F478" s="31" t="str">
        <x:v>Tell me about an industry, industry trends, key deals in the industry and trends in dealmaking | (I said I only know 1 deal so she changed to all technical) | What’s net working capital</x:v>
      </x:c>
    </x:row>
    <x:row r="479" ht="62" customHeight="1">
      <x:c r="A479" s="30" t="str">
        <x:v>Bofa IBD</x:v>
      </x:c>
      <x:c r="B479" s="30" t="str">
        <x:v>IBD / GCM</x:v>
      </x:c>
      <x:c r="C479" s="30" t="str">
        <x:v>Interview Note</x:v>
      </x:c>
      <x:c r="D479" s="31" t="str">
        <x:v>Mandarin Q&amp;A</x:v>
      </x:c>
      <x:c r="E479" s="31" t="str">
        <x:v>G10</x:v>
      </x:c>
      <x:c r="F479" s="31" t="str">
        <x:v>Terminal growth value use what number for a Chinese company? (I said GDP, he said it's too high), and asked what is terminal value and what's the purpose of it? | When looking at the comparables from trading comps and also transaction co...</x:v>
      </x:c>
    </x:row>
    <x:row r="480" ht="46" customHeight="1">
      <x:c r="A480" s="30" t="str">
        <x:v>Bofa IBD</x:v>
      </x:c>
      <x:c r="B480" s="30" t="str">
        <x:v>IBD / GCM</x:v>
      </x:c>
      <x:c r="C480" s="30" t="str">
        <x:v>Interview Note</x:v>
      </x:c>
      <x:c r="D480" s="31" t="str">
        <x:v>18 Kai tang director bofa</x:v>
      </x:c>
      <x:c r="E480" s="31" t="str">
        <x:v>C13</x:v>
      </x:c>
      <x:c r="F480" s="31" t="str">
        <x:v>What is the difference between private placement and rights issue | Do u think u can work long hours | 3 statement year 1 start 100M loan buy fixed asset; year 1 end 10M repayment, 5% interest, 10 year straight line depreciation, 30% tax...</x:v>
      </x:c>
    </x:row>
    <x:row r="481" ht="46" customHeight="1">
      <x:c r="A481" s="30" t="str">
        <x:v>Bofa IBD</x:v>
      </x:c>
      <x:c r="B481" s="30" t="str">
        <x:v>IBD / GCM</x:v>
      </x:c>
      <x:c r="C481" s="30" t="str">
        <x:v>Interview Note</x:v>
      </x:c>
      <x:c r="D481" s="31" t="str">
        <x:v>1 question</x:v>
      </x:c>
      <x:c r="E481" s="31" t="str">
        <x:v>A18</x:v>
      </x:c>
      <x:c r="F481" s="31" t="str">
        <x:v>If we borrow money from a bank for 100, how will it affect Enterprise value? | Subscription model for 1 year, $100m, 3 statement | After 1 year, what happens? Feel free to ask assumption (Tax: 20%)</x:v>
      </x:c>
    </x:row>
    <x:row r="482" ht="46" customHeight="1">
      <x:c r="A482" s="30" t="str">
        <x:v>Bofa IBD</x:v>
      </x:c>
      <x:c r="B482" s="30" t="str">
        <x:v>IBD / GCM</x:v>
      </x:c>
      <x:c r="C482" s="30" t="str">
        <x:v>Metadata</x:v>
      </x:c>
      <x:c r="D482" s="31" t="str">
        <x:v>Emily 2nd interviewer Johnny</x:v>
      </x:c>
      <x:c r="E482" s="31" t="str">
        <x:v>A20</x:v>
      </x:c>
      <x:c r="F482" s="31" t="str">
        <x:v>Subscription model for 1 year, $100m, 3 statement | After 1 year, what happens? Feel free to ask assumption (Tax: 20%) | 1 question</x:v>
      </x:c>
    </x:row>
    <x:row r="483" ht="46" customHeight="1">
      <x:c r="A483" s="30" t="str">
        <x:v>Bofa IBD</x:v>
      </x:c>
      <x:c r="B483" s="30" t="str">
        <x:v>IBD / GCM</x:v>
      </x:c>
      <x:c r="C483" s="30" t="str">
        <x:v>Metadata</x:v>
      </x:c>
      <x:c r="D483" s="31" t="str">
        <x:v>Questions</x:v>
      </x:c>
      <x:c r="E483" s="31" t="str">
        <x:v>C21</x:v>
      </x:c>
      <x:c r="F483" s="31" t="str">
        <x:v>For WACC, if company was in a net cash position, how does this affect and how do you find the acc | Would you use dcf for loss making company, how else would you value it | What if you projected it for longer</x:v>
      </x:c>
    </x:row>
    <x:row r="484" ht="30" customHeight="1">
      <x:c r="A484" s="30" t="str">
        <x:v>Bofa IBD</x:v>
      </x:c>
      <x:c r="B484" s="30" t="str">
        <x:v>IBD / GCM</x:v>
      </x:c>
      <x:c r="C484" s="30" t="str">
        <x:v>Interview Note</x:v>
      </x:c>
      <x:c r="D484" s="31" t="str">
        <x:v>Duties in Ody</x:v>
      </x:c>
      <x:c r="E484" s="31" t="str">
        <x:v>A22</x:v>
      </x:c>
      <x:c r="F484" s="31" t="str">
        <x:v>1 question | Emily 2nd interviewer Johnny | Self intro</x:v>
      </x:c>
    </x:row>
    <x:row r="485" ht="30" customHeight="1">
      <x:c r="A485" s="30" t="str">
        <x:v>Bofa IBD</x:v>
      </x:c>
      <x:c r="B485" s="30" t="str">
        <x:v>IBD / GCM</x:v>
      </x:c>
      <x:c r="C485" s="30" t="str">
        <x:v>Interview Note</x:v>
      </x:c>
      <x:c r="D485" s="31" t="str">
        <x:v>Xin wang - director, corp fin</x:v>
      </x:c>
      <x:c r="E485" s="31" t="str">
        <x:v>C23</x:v>
      </x:c>
      <x:c r="F485" s="31" t="str">
        <x:v>Would you use dcf for loss making company, how else would you value it | What if you projected it for longer | Questions</x:v>
      </x:c>
    </x:row>
    <x:row r="486" ht="46" customHeight="1">
      <x:c r="A486" s="30" t="str">
        <x:v>Bofa IBD</x:v>
      </x:c>
      <x:c r="B486" s="30" t="str">
        <x:v>IBD / GCM</x:v>
      </x:c>
      <x:c r="C486" s="30" t="str">
        <x:v>Interview Note</x:v>
      </x:c>
      <x:c r="D486" s="31" t="str">
        <x:v>Distressed clients - what would be your recommendations (choose between restructuring, extend credit line, issue CB, or suggest ur own)</x:v>
      </x:c>
      <x:c r="E486" s="31" t="str">
        <x:v>C25</x:v>
      </x:c>
      <x:c r="F486" s="31" t="str">
        <x:v>Questions | Xin wang - director, corp fin | Walk me through the rights issue and your main considerations (e.g. dilution effect, subscription price considerations, timeline)</x:v>
      </x:c>
    </x:row>
    <x:row r="487" ht="62" customHeight="1">
      <x:c r="A487" s="30" t="str">
        <x:v>Bofa IBD</x:v>
      </x:c>
      <x:c r="B487" s="30" t="str">
        <x:v>IBD / GCM</x:v>
      </x:c>
      <x:c r="C487" s="30" t="str">
        <x:v>Metadata</x:v>
      </x:c>
      <x:c r="D487" s="31" t="str">
        <x:v>Any questions</x:v>
      </x:c>
      <x:c r="E487" s="31" t="str">
        <x:v>C28</x:v>
      </x:c>
      <x:c r="F487" s="31" t="str">
        <x:v>Distressed clients - what would be your recommendations (choose between restructuring, extend credit line, issue CB, or suggest ur own) | How do to comparable company analysis and your choice of multiples | What did you do for research f...</x:v>
      </x:c>
    </x:row>
    <x:row r="488" ht="62" customHeight="1">
      <x:c r="A488" s="30" t="str">
        <x:v>Bofa IBD</x:v>
      </x:c>
      <x:c r="B488" s="30" t="str">
        <x:v>IBD / GCM</x:v>
      </x:c>
      <x:c r="C488" s="30" t="str">
        <x:v>Interview Note</x:v>
      </x:c>
      <x:c r="D488" s="31" t="str">
        <x:v>20 Emily Bofa 3rd Interview Sophia</x:v>
      </x:c>
      <x:c r="E488" s="31" t="str">
        <x:v>A30</x:v>
      </x:c>
      <x:c r="F488" s="31" t="str">
        <x:v>Which one will produce more return: Preferred shares vs corporate bond, senior bond vs junior bond | Enterprise value: how to account for cash, long term investment, short term financial instrument | Financial instrument taken stock at e...</x:v>
      </x:c>
    </x:row>
    <x:row r="489" ht="46" customHeight="1">
      <x:c r="A489" s="30" t="str">
        <x:v>Bofa IBD</x:v>
      </x:c>
      <x:c r="B489" s="30" t="str">
        <x:v>IBD / GCM</x:v>
      </x:c>
      <x:c r="C489" s="30" t="str">
        <x:v>Interview Note</x:v>
      </x:c>
      <x:c r="D489" s="31" t="str">
        <x:v>Overall went deep into cv exp and asked technical questions based on them</x:v>
      </x:c>
      <x:c r="E489" s="31" t="str">
        <x:v>C30</x:v>
      </x:c>
      <x:c r="F489" s="31" t="str">
        <x:v>How do to comparable company analysis and your choice of multiples | What did you do for research for HKU Business School | Any questions</x:v>
      </x:c>
    </x:row>
    <x:row r="490" ht="46" customHeight="1">
      <x:c r="A490" s="30" t="str">
        <x:v>Bofa IBD</x:v>
      </x:c>
      <x:c r="B490" s="30" t="str">
        <x:v>IBD / GCM</x:v>
      </x:c>
      <x:c r="C490" s="30" t="str">
        <x:v>Interview Note</x:v>
      </x:c>
      <x:c r="D490" s="31" t="str">
        <x:v>(So she is looking for VIE [Variable Interest Entity])</x:v>
      </x:c>
      <x:c r="E490" s="31" t="str">
        <x:v>A40</x:v>
      </x:c>
      <x:c r="F490" s="31" t="str">
        <x:v>How to find cost of debt | Cost of equity: Risk premium should you include country risk? (bro idk) | Tell me about the different methods china companies can IPO in HK (H shares, Red chip, P share)</x:v>
      </x:c>
    </x:row>
    <x:row r="491" ht="46" customHeight="1">
      <x:c r="A491" s="30" t="str">
        <x:v>Bofa IBD</x:v>
      </x:c>
      <x:c r="B491" s="30" t="str">
        <x:v>IBD / GCM</x:v>
      </x:c>
      <x:c r="C491" s="30" t="str">
        <x:v>Interview Note</x:v>
      </x:c>
      <x:c r="D491" s="31" t="str">
        <x:v>20 Emily Bofa 4th Interview Henu</x:v>
      </x:c>
      <x:c r="E491" s="31" t="str">
        <x:v>A43</x:v>
      </x:c>
      <x:c r="F491" s="31" t="str">
        <x:v>Tell me about the different methods china companies can IPO in HK (H shares, Red chip, P share) | (So she is looking for VIE [Variable Interest Entity]) | What is VIE, and why would company list like VIE? Pros of VIE?</x:v>
      </x:c>
    </x:row>
    <x:row r="492" ht="46" customHeight="1">
      <x:c r="A492" s="30" t="str">
        <x:v>Bofa IBD</x:v>
      </x:c>
      <x:c r="B492" s="30" t="str">
        <x:v>IBD / GCM</x:v>
      </x:c>
      <x:c r="C492" s="30" t="str">
        <x:v>Interview Note</x:v>
      </x:c>
      <x:c r="D492" s="31" t="str">
        <x:v>(I thought I'm smart and say risk premium includes country risk)</x:v>
      </x:c>
      <x:c r="E492" s="31" t="str">
        <x:v>A49</x:v>
      </x:c>
      <x:c r="F492" s="31" t="str">
        <x:v>Tell me about an intation you did (Company overview, investment thesis, industry, valuation) | Walk me through how you do DCF | WACC? (actual number + how to get the number, break down of cost of debt and equity)</x:v>
      </x:c>
    </x:row>
    <x:row r="493" ht="62" customHeight="1">
      <x:c r="A493" s="30" t="str">
        <x:v>Bofa IBD</x:v>
      </x:c>
      <x:c r="B493" s="30" t="str">
        <x:v>IBD / GCM</x:v>
      </x:c>
      <x:c r="C493" s="30" t="str">
        <x:v>Metadata</x:v>
      </x:c>
      <x:c r="D493" s="31" t="str">
        <x:v>Questions</x:v>
      </x:c>
      <x:c r="E493" s="31" t="str">
        <x:v>A54</x:v>
      </x:c>
      <x:c r="F493" s="31" t="str">
        <x:v>Is risk free rate truly risk free? For example US investor investing in China companies? (wtf use China yield - US yield? i dont get) | Investment accounting (why did i not revise this): company A acquire 30% of a company B with 100 doll...</x:v>
      </x:c>
    </x:row>
    <x:row r="494" ht="62" customHeight="1">
      <x:c r="A494" s="30" t="str">
        <x:v>Bofa IBD</x:v>
      </x:c>
      <x:c r="B494" s="30" t="str">
        <x:v>IBD / GCM</x:v>
      </x:c>
      <x:c r="C494" s="30" t="str">
        <x:v>Interview Note</x:v>
      </x:c>
      <x:c r="D494" s="31" t="str">
        <x:v>24 5th Interview with Bob</x:v>
      </x:c>
      <x:c r="E494" s="31" t="str">
        <x:v>A56</x:v>
      </x:c>
      <x:c r="F494" s="31" t="str">
        <x:v>Investment accounting (why did i not revise this): company A acquire 30% of a company B with 100 dollars, effect on 3 statement | Same situation, and company has 100 dollars profit, how is it reflected on company A 3 statement? (damn so ...</x:v>
      </x:c>
    </x:row>
    <x:row r="495" ht="30" customHeight="1">
      <x:c r="A495" s="30" t="str">
        <x:v>Bofa IBD</x:v>
      </x:c>
      <x:c r="B495" s="30" t="str">
        <x:v>IBD / GCM</x:v>
      </x:c>
      <x:c r="C495" s="30" t="str">
        <x:v>Metadata</x:v>
      </x:c>
      <x:c r="D495" s="31" t="str">
        <x:v>Questions (10 mins ish)</x:v>
      </x:c>
      <x:c r="E495" s="31" t="str">
        <x:v>A66</x:v>
      </x:c>
      <x:c r="F495" s="31" t="str">
        <x:v>HKEX: what was your responsibility and what did you learn from it? | Preference towards industry group? | Why Bofa?</x:v>
      </x:c>
    </x:row>
    <x:row r="496" ht="30" customHeight="1">
      <x:c r="A496" s="30" t="str">
        <x:v>Bofa IBD</x:v>
      </x:c>
      <x:c r="B496" s="30" t="str">
        <x:v>IBD / GCM</x:v>
      </x:c>
      <x:c r="C496" s="30" t="str">
        <x:v>Metadata</x:v>
      </x:c>
      <x:c r="D496" s="31" t="str">
        <x:v>2025 FT</x:v>
      </x:c>
      <x:c r="E496" s="31" t="str">
        <x:v>A69</x:v>
      </x:c>
      <x:c r="F496" s="31" t="str">
        <x:v>Preference towards industry group? | Why Bofa? | Questions (10 mins ish)</x:v>
      </x:c>
    </x:row>
    <x:row r="497" ht="46" customHeight="1">
      <x:c r="A497" s="30" t="str">
        <x:v>Bofa IBD</x:v>
      </x:c>
      <x:c r="B497" s="30" t="str">
        <x:v>IBD / GCM</x:v>
      </x:c>
      <x:c r="C497" s="30" t="str">
        <x:v>Metadata</x:v>
      </x:c>
      <x:c r="D497" s="31" t="str">
        <x:v>2025 SA Emily</x:v>
      </x:c>
      <x:c r="E497" s="31" t="str">
        <x:v>C69</x:v>
      </x:c>
      <x:c r="F497" s="31" t="str">
        <x:v>What did you do for research for HKU Business School | Any questions | Overall went deep into cv exp and asked technical questions based on them</x:v>
      </x:c>
    </x:row>
    <x:row r="498" ht="30" customHeight="1">
      <x:c r="A498" s="30" t="str">
        <x:v>Bofa IBD</x:v>
      </x:c>
      <x:c r="B498" s="30" t="str">
        <x:v>IBD / GCM</x:v>
      </x:c>
      <x:c r="C498" s="30" t="str">
        <x:v>Metadata</x:v>
      </x:c>
      <x:c r="D498" s="31" t="str">
        <x:v>1st Round Jimmy</x:v>
      </x:c>
      <x:c r="E498" s="31" t="str">
        <x:v>A70</x:v>
      </x:c>
      <x:c r="F498" s="31" t="str">
        <x:v>Why Bofa? | Questions (10 mins ish) | 2025 FT</x:v>
      </x:c>
    </x:row>
    <x:row r="499" ht="30" customHeight="1">
      <x:c r="A499" s="30" t="str">
        <x:v>Bofa IBD</x:v>
      </x:c>
      <x:c r="B499" s="30" t="str">
        <x:v>IBD / GCM</x:v>
      </x:c>
      <x:c r="C499" s="30" t="str">
        <x:v>Interview Note</x:v>
      </x:c>
      <x:c r="D499" s="31" t="str">
        <x:v>8 1st Round (By Sam Hsu Asso)</x:v>
      </x:c>
      <x:c r="E499" s="31" t="str">
        <x:v>C70</x:v>
      </x:c>
      <x:c r="F499" s="31" t="str">
        <x:v>Any questions | Overall went deep into cv exp and asked technical questions based on them | 2025 SA Emily</x:v>
      </x:c>
    </x:row>
    <x:row r="500" ht="30" customHeight="1">
      <x:c r="A500" s="30" t="str">
        <x:v>Bofa IBD</x:v>
      </x:c>
      <x:c r="B500" s="30" t="str">
        <x:v>IBD / GCM</x:v>
      </x:c>
      <x:c r="C500" s="30" t="str">
        <x:v>Interview Note</x:v>
      </x:c>
      <x:c r="D500" s="31" t="str">
        <x:v>8 Andy Shin, M&amp;A</x:v>
      </x:c>
      <x:c r="E500" s="31" t="str">
        <x:v>A71</x:v>
      </x:c>
      <x:c r="F500" s="31" t="str">
        <x:v>Questions (10 mins ish) | 2025 FT | 1st Round Jimmy</x:v>
      </x:c>
    </x:row>
    <x:row r="501" ht="46" customHeight="1">
      <x:c r="A501" s="30" t="str">
        <x:v>Bofa IBD</x:v>
      </x:c>
      <x:c r="B501" s="30" t="str">
        <x:v>IBD / GCM</x:v>
      </x:c>
      <x:c r="C501" s="30" t="str">
        <x:v>Interview Note</x:v>
      </x:c>
      <x:c r="D501" s="31" t="str">
        <x:v>More follow up questions</x:v>
      </x:c>
      <x:c r="E501" s="31" t="str">
        <x:v>C78</x:v>
      </x:c>
      <x:c r="F501" s="31" t="str">
        <x:v>Is the electricity connected to the grid? | UBS walk me through a deal you worked on (Oil vessel) | How is the orderbook being calculated? (Drilled for 2 times)</x:v>
      </x:c>
    </x:row>
    <x:row r="502" ht="46" customHeight="1">
      <x:c r="A502" s="30" t="str">
        <x:v>Bofa IBD</x:v>
      </x:c>
      <x:c r="B502" s="30" t="str">
        <x:v>IBD / GCM</x:v>
      </x:c>
      <x:c r="C502" s="30" t="str">
        <x:v>Interview Note</x:v>
      </x:c>
      <x:c r="D502" s="31" t="str">
        <x:v>8 Tim Tian, FSG</x:v>
      </x:c>
      <x:c r="E502" s="31" t="str">
        <x:v>A82</x:v>
      </x:c>
      <x:c r="F502" s="31" t="str">
        <x:v>Two companies A has $100 Asset, $60 Liability, $40 Equity, B has $60 Asset, $40 Liability, $20 Equity, A acquires 50% equity in B for $30 and gains control, what is the change in balance sheet? | Any account to be created and why? | What...</x:v>
      </x:c>
    </x:row>
    <x:row r="503" ht="46" customHeight="1">
      <x:c r="A503" s="30" t="str">
        <x:v>Bofa IBD</x:v>
      </x:c>
      <x:c r="B503" s="30" t="str">
        <x:v>IBD / GCM</x:v>
      </x:c>
      <x:c r="C503" s="30" t="str">
        <x:v>Interview Note</x:v>
      </x:c>
      <x:c r="D503" s="31" t="str">
        <x:v>8 2nd Round (By Jenny Jia)</x:v>
      </x:c>
      <x:c r="E503" s="31" t="str">
        <x:v>C82</x:v>
      </x:c>
      <x:c r="F503" s="31" t="str">
        <x:v>How is the orderbook being calculated? (Drilled for 2 times) | More follow up questions | Walk me through impact of dividend and NI of A if A holds 30% of B. How about if A holds 80% of B? (Only qualitative walk through)</x:v>
      </x:c>
    </x:row>
    <x:row r="504" ht="46" customHeight="1">
      <x:c r="A504" s="30" t="str">
        <x:v>Bofa IBD</x:v>
      </x:c>
      <x:c r="B504" s="30" t="str">
        <x:v>IBD / GCM</x:v>
      </x:c>
      <x:c r="C504" s="30" t="str">
        <x:v>Interview Note</x:v>
      </x:c>
      <x:c r="D504" s="31" t="str">
        <x:v>Key drivers of the model</x:v>
      </x:c>
      <x:c r="E504" s="31" t="str">
        <x:v>C87</x:v>
      </x:c>
      <x:c r="F504" s="31" t="str">
        <x:v>Why no return? What was the feedback you got? What specific techncial skills you lack? What project was it | For the credit analysis, what was the revenue build up? How did you do the model ? | Walk me through a valuation project you had</x:v>
      </x:c>
    </x:row>
    <x:row r="505" ht="46" customHeight="1">
      <x:c r="A505" s="30" t="str">
        <x:v>Bofa IBD</x:v>
      </x:c>
      <x:c r="B505" s="30" t="str">
        <x:v>IBD / GCM</x:v>
      </x:c>
      <x:c r="C505" s="30" t="str">
        <x:v>Interview Note</x:v>
      </x:c>
      <x:c r="D505" s="31" t="str">
        <x:v>10 3rd Round (By Huang Sun, VP)</x:v>
      </x:c>
      <x:c r="E505" s="31" t="str">
        <x:v>C91</x:v>
      </x:c>
      <x:c r="F505" s="31" t="str">
        <x:v>Key drivers of the model | Since it is in a developing country, do you think WACC 11% is too low? Why? | Why use EV/EBITDA as the exit multiple metrics and trading comparables?</x:v>
      </x:c>
    </x:row>
    <x:row r="506" ht="46" customHeight="1">
      <x:c r="A506" s="30" t="str">
        <x:v>Bofa IBD</x:v>
      </x:c>
      <x:c r="B506" s="30" t="str">
        <x:v>IBD / GCM</x:v>
      </x:c>
      <x:c r="C506" s="30" t="str">
        <x:v>Interview Note</x:v>
      </x:c>
      <x:c r="D506" s="31" t="str">
        <x:v>(Drill CV)</x:v>
      </x:c>
      <x:c r="E506" s="31" t="str">
        <x:v>C93</x:v>
      </x:c>
      <x:c r="F506" s="31" t="str">
        <x:v>Why use EV/EBITDA as the exit multiple metrics and trading comparables? | 10 3rd Round (By Huang Sun, VP) | Self intro, why you want to work with us?</x:v>
      </x:c>
    </x:row>
    <x:row r="507" ht="62" customHeight="1">
      <x:c r="A507" s="30" t="str">
        <x:v>Bofa IBD</x:v>
      </x:c>
      <x:c r="B507" s="30" t="str">
        <x:v>IBD / GCM</x:v>
      </x:c>
      <x:c r="C507" s="30" t="str">
        <x:v>Interview Note</x:v>
      </x:c>
      <x:c r="D507" s="31" t="str">
        <x:v>Net revenue formula</x:v>
      </x:c>
      <x:c r="E507" s="31" t="str">
        <x:v>C98</x:v>
      </x:c>
      <x:c r="F507" s="31" t="str">
        <x:v>Why you picked these competitors? One of these competitor main business isn't just B2B, why choose? Did you adjust EBITDA for that? | This company is private, there's no EBITDA? where can you find this number? | Commercial bank buyside p...</x:v>
      </x:c>
    </x:row>
    <x:row r="508" ht="46" customHeight="1">
      <x:c r="A508" s="30" t="str">
        <x:v>Bofa IBD</x:v>
      </x:c>
      <x:c r="B508" s="30" t="str">
        <x:v>IBD / GCM</x:v>
      </x:c>
      <x:c r="C508" s="30" t="str">
        <x:v>Interview Note</x:v>
      </x:c>
      <x:c r="D508" s="31" t="str">
        <x:v>NPL formula, and what is NPL</x:v>
      </x:c>
      <x:c r="E508" s="31" t="str">
        <x:v>C99</x:v>
      </x:c>
      <x:c r="F508" s="31" t="str">
        <x:v>This company is private, there's no EBITDA? where can you find this number? | Commercial bank buyside pitch: investment highlights, operating metrics | Net revenue formula</x:v>
      </x:c>
    </x:row>
    <x:row r="509" ht="46" customHeight="1">
      <x:c r="A509" s="30" t="str">
        <x:v>Bofa IBD</x:v>
      </x:c>
      <x:c r="B509" s="30" t="str">
        <x:v>IBD / GCM</x:v>
      </x:c>
      <x:c r="C509" s="30" t="str">
        <x:v>Interview Note</x:v>
      </x:c>
      <x:c r="D509" s="31" t="str">
        <x:v>10 4th Round (By Teng Xuan, Director)</x:v>
      </x:c>
      <x:c r="E509" s="31" t="str">
        <x:v>C101</x:v>
      </x:c>
      <x:c r="F509" s="31" t="str">
        <x:v>Commercial bank buyside pitch: investment highlights, operating metrics | Net revenue formula | NPL formula, and what is NPL</x:v>
      </x:c>
    </x:row>
    <x:row r="510" ht="30" customHeight="1">
      <x:c r="A510" s="30" t="str">
        <x:v>Bofa IBD</x:v>
      </x:c>
      <x:c r="B510" s="30" t="str">
        <x:v>IBD / GCM</x:v>
      </x:c>
      <x:c r="C510" s="30" t="str">
        <x:v>Metadata</x:v>
      </x:c>
      <x:c r="D510" s="31" t="str">
        <x:v>Interviewing with other banks?</x:v>
      </x:c>
      <x:c r="E510" s="31" t="str">
        <x:v>A105</x:v>
      </x:c>
      <x:c r="F510" s="31" t="str">
        <x:v>Landscape of SEA logistic market? | What do you do at spare time? | How long is your reading week?</x:v>
      </x:c>
    </x:row>
    <x:row r="511" ht="30" customHeight="1">
      <x:c r="A511" s="30" t="str">
        <x:v>Bofa GCM</x:v>
      </x:c>
      <x:c r="B511" s="30" t="str">
        <x:v>IBD / GCM</x:v>
      </x:c>
      <x:c r="C511" s="30" t="str">
        <x:v>Metadata</x:v>
      </x:c>
      <x:c r="D511" s="31" t="str">
        <x:v>2026 SA</x:v>
      </x:c>
      <x:c r="E511" s="31" t="str">
        <x:v>A1</x:v>
      </x:c>
      <x:c r="F511" s="31" t="str"/>
    </x:row>
    <x:row r="512" ht="30" customHeight="1">
      <x:c r="A512" s="30" t="str">
        <x:v>Bofa GCM</x:v>
      </x:c>
      <x:c r="B512" s="30" t="str">
        <x:v>IBD / GCM</x:v>
      </x:c>
      <x:c r="C512" s="30" t="str">
        <x:v>Interview Note</x:v>
      </x:c>
      <x:c r="D512" s="31" t="str">
        <x:v>DCM Asso</x:v>
      </x:c>
      <x:c r="E512" s="31" t="str">
        <x:v>A2</x:v>
      </x:c>
      <x:c r="F512" s="31" t="str">
        <x:v>2026 SA</x:v>
      </x:c>
    </x:row>
    <x:row r="513" ht="30" customHeight="1">
      <x:c r="A513" s="30" t="str">
        <x:v>Bofa GCM</x:v>
      </x:c>
      <x:c r="B513" s="30" t="str">
        <x:v>IBD / GCM</x:v>
      </x:c>
      <x:c r="C513" s="30" t="str">
        <x:v>Interview Note</x:v>
      </x:c>
      <x:c r="D513" s="31" t="str">
        <x:v>ECM Asso</x:v>
      </x:c>
      <x:c r="E513" s="31" t="str">
        <x:v>B2</x:v>
      </x:c>
      <x:c r="F513" s="31" t="str"/>
    </x:row>
    <x:row r="514" ht="30" customHeight="1">
      <x:c r="A514" s="30" t="str">
        <x:v>Bofa GCM</x:v>
      </x:c>
      <x:c r="B514" s="30" t="str">
        <x:v>IBD / GCM</x:v>
      </x:c>
      <x:c r="C514" s="30" t="str">
        <x:v>Interview Note</x:v>
      </x:c>
      <x:c r="D514" s="31" t="str">
        <x:v>Equity-linked solution D</x:v>
      </x:c>
      <x:c r="E514" s="31" t="str">
        <x:v>C2</x:v>
      </x:c>
      <x:c r="F514" s="31" t="str"/>
    </x:row>
    <x:row r="515" ht="30" customHeight="1">
      <x:c r="A515" s="30" t="str">
        <x:v>Bofa GCM</x:v>
      </x:c>
      <x:c r="B515" s="30" t="str">
        <x:v>IBD / GCM</x:v>
      </x:c>
      <x:c r="C515" s="30" t="str">
        <x:v>Interview Note</x:v>
      </x:c>
      <x:c r="D515" s="31" t="str">
        <x:v>ECM D</x:v>
      </x:c>
      <x:c r="E515" s="31" t="str">
        <x:v>D2</x:v>
      </x:c>
      <x:c r="F515" s="31" t="str"/>
    </x:row>
    <x:row r="516" ht="30" customHeight="1">
      <x:c r="A516" s="30" t="str">
        <x:v>Bofa GCM</x:v>
      </x:c>
      <x:c r="B516" s="30" t="str">
        <x:v>IBD / GCM</x:v>
      </x:c>
      <x:c r="C516" s="30" t="str">
        <x:v>Metadata</x:v>
      </x:c>
      <x:c r="D516" s="31" t="str">
        <x:v>followup on my self intro, like my background, when i came to hk</x:v>
      </x:c>
      <x:c r="E516" s="31" t="str">
        <x:v>D4</x:v>
      </x:c>
      <x:c r="F516" s="31" t="str">
        <x:v>ECM D | Self-intro</x:v>
      </x:c>
    </x:row>
    <x:row r="517" ht="30" customHeight="1">
      <x:c r="A517" s="30" t="str">
        <x:v>Bofa GCM</x:v>
      </x:c>
      <x:c r="B517" s="30" t="str">
        <x:v>IBD / GCM</x:v>
      </x:c>
      <x:c r="C517" s="30" t="str">
        <x:v>Interview Note</x:v>
      </x:c>
      <x:c r="D517" s="31" t="str">
        <x:v>my view on the capital market</x:v>
      </x:c>
      <x:c r="E517" s="31" t="str">
        <x:v>C5</x:v>
      </x:c>
      <x:c r="F517" s="31" t="str">
        <x:v>Equity-linked solution D | Self-intro | Why GCM? why not other divisions?</x:v>
      </x:c>
    </x:row>
    <x:row r="518" ht="30" customHeight="1">
      <x:c r="A518" s="30" t="str">
        <x:v>Bofa GCM</x:v>
      </x:c>
      <x:c r="B518" s="30" t="str">
        <x:v>IBD / GCM</x:v>
      </x:c>
      <x:c r="C518" s="30" t="str">
        <x:v>Metadata</x:v>
      </x:c>
      <x:c r="D518" s="31" t="str">
        <x:v>Follow-up: how abt debt offering?</x:v>
      </x:c>
      <x:c r="E518" s="31" t="str">
        <x:v>A6</x:v>
      </x:c>
      <x:c r="F518" s="31" t="str">
        <x:v>Self-intro | Why Bofa &amp; why GCM | Walk thru deal by Bofa (I talked about IPO deal)</x:v>
      </x:c>
    </x:row>
    <x:row r="519" ht="30" customHeight="1">
      <x:c r="A519" s="30" t="str">
        <x:v>Bofa GCM</x:v>
      </x:c>
      <x:c r="B519" s="30" t="str">
        <x:v>IBD / GCM</x:v>
      </x:c>
      <x:c r="C519" s="30" t="str">
        <x:v>Interview Note</x:v>
      </x:c>
      <x:c r="D519" s="31" t="str">
        <x:v>market grill</x:v>
      </x:c>
      <x:c r="E519" s="31" t="str">
        <x:v>C6</x:v>
      </x:c>
      <x:c r="F519" s="31" t="str">
        <x:v>Self-intro | Why GCM? why not other divisions? | my view on the capital market</x:v>
      </x:c>
    </x:row>
    <x:row r="520" ht="30" customHeight="1">
      <x:c r="A520" s="30" t="str">
        <x:v>Bofa GCM</x:v>
      </x:c>
      <x:c r="B520" s="30" t="str">
        <x:v>IBD / GCM</x:v>
      </x:c>
      <x:c r="C520" s="30" t="str">
        <x:v>Interview Note</x:v>
      </x:c>
      <x:c r="D520" s="31" t="str">
        <x:v>CV question: Sellside vs Buyside, Primary vs Secondary</x:v>
      </x:c>
      <x:c r="E520" s="31" t="str">
        <x:v>A7</x:v>
      </x:c>
      <x:c r="F520" s="31" t="str">
        <x:v>Why Bofa &amp; why GCM | Walk thru deal by Bofa (I talked about IPO deal) | Follow-up: how abt debt offering?</x:v>
      </x:c>
    </x:row>
    <x:row r="521" ht="46" customHeight="1">
      <x:c r="A521" s="30" t="str">
        <x:v>Bofa GCM</x:v>
      </x:c>
      <x:c r="B521" s="30" t="str">
        <x:v>IBD / GCM</x:v>
      </x:c>
      <x:c r="C521" s="30" t="str">
        <x:v>Interview Note</x:v>
      </x:c>
      <x:c r="D521" s="31" t="str">
        <x:v>sector you bullish on</x:v>
      </x:c>
      <x:c r="E521" s="31" t="str">
        <x:v>B7</x:v>
      </x:c>
      <x:c r="F521" s="31" t="str">
        <x:v>what do you do in NB? (didnt go deep) | tell me 2 macro news | how do you view the recent stock rally? is it sustainable?</x:v>
      </x:c>
    </x:row>
    <x:row r="522" ht="46" customHeight="1">
      <x:c r="A522" s="30" t="str">
        <x:v>Bofa GCM</x:v>
      </x:c>
      <x:c r="B522" s="30" t="str">
        <x:v>IBD / GCM</x:v>
      </x:c>
      <x:c r="C522" s="30" t="str">
        <x:v>Metadata</x:v>
      </x:c>
      <x:c r="D522" s="31" t="str">
        <x:v>questions afterwards are all market-related, make sure you know the market index and the trading multiples, e.g. pe ratio, valuations of HSI vs other index, outlook for Hang Seng Index</x:v>
      </x:c>
      <x:c r="E522" s="31" t="str">
        <x:v>C7</x:v>
      </x:c>
      <x:c r="F522" s="31" t="str">
        <x:v>Why GCM? why not other divisions? | my view on the capital market | market grill</x:v>
      </x:c>
    </x:row>
    <x:row r="523" ht="46" customHeight="1">
      <x:c r="A523" s="30" t="str">
        <x:v>Bofa GCM</x:v>
      </x:c>
      <x:c r="B523" s="30" t="str">
        <x:v>IBD / GCM</x:v>
      </x:c>
      <x:c r="C523" s="30" t="str">
        <x:v>Metadata</x:v>
      </x:c>
      <x:c r="D523" s="31" t="str">
        <x:v>followup questions on my stock pitch</x:v>
      </x:c>
      <x:c r="E523" s="31" t="str">
        <x:v>D7</x:v>
      </x:c>
      <x:c r="F523" s="31" t="str">
        <x:v>followup on my self intro, like my background, when i came to hk | NB internship detail, sector I'm working on and investment thesis | ER internship, pitched him a stock I worked on</x:v>
      </x:c>
    </x:row>
    <x:row r="524" ht="46" customHeight="1">
      <x:c r="A524" s="30" t="str">
        <x:v>Bofa GCM</x:v>
      </x:c>
      <x:c r="B524" s="30" t="str">
        <x:v>IBD / GCM</x:v>
      </x:c>
      <x:c r="C524" s="30" t="str">
        <x:v>Interview Note</x:v>
      </x:c>
      <x:c r="D524" s="31" t="str">
        <x:v>Q&amp;A</x:v>
      </x:c>
      <x:c r="E524" s="31" t="str">
        <x:v>C8</x:v>
      </x:c>
      <x:c r="F524" s="31" t="str">
        <x:v>my view on the capital market | market grill | questions afterwards are all market-related, make sure you know the market index and the trading multiples, e.g. pe ratio, valuations of HSI vs other index, outlook for Hang Seng Index</x:v>
      </x:c>
    </x:row>
    <x:row r="525" ht="46" customHeight="1">
      <x:c r="A525" s="30" t="str">
        <x:v>Bofa GCM</x:v>
      </x:c>
      <x:c r="B525" s="30" t="str">
        <x:v>IBD / GCM</x:v>
      </x:c>
      <x:c r="C525" s="30" t="str">
        <x:v>Interview Note</x:v>
      </x:c>
      <x:c r="D525" s="31" t="str">
        <x:v>聊聊你對能源市場的看法吧</x:v>
      </x:c>
      <x:c r="E525" s="31" t="str">
        <x:v>A9</x:v>
      </x:c>
      <x:c r="F525" s="31" t="str">
        <x:v>Follow-up: how abt debt offering? | CV question: Sellside vs Buyside, Primary vs Secondary | 你ER的實習會看oil&amp;gas嗎？聊聊你對oil的看法吧</x:v>
      </x:c>
    </x:row>
    <x:row r="526" ht="46" customHeight="1">
      <x:c r="A526" s="30" t="str">
        <x:v>Bofa GCM</x:v>
      </x:c>
      <x:c r="B526" s="30" t="str">
        <x:v>IBD / GCM</x:v>
      </x:c>
      <x:c r="C526" s="30" t="str">
        <x:v>Metadata</x:v>
      </x:c>
      <x:c r="D526" s="31" t="str">
        <x:v>questions related to AH dun rmb the specific questions, but need to know policy support, reasons behind AH premium, impact of southbound on AH</x:v>
      </x:c>
      <x:c r="E526" s="31" t="str">
        <x:v>B9</x:v>
      </x:c>
      <x:c r="F526" s="31" t="str">
        <x:v>how do you view the recent stock rally? is it sustainable? | sector you bullish on | given the current macro environment, advise on a company in need of cash, you have three options: follows-on, convertible bond, block trade</x:v>
      </x:c>
    </x:row>
    <x:row r="527" ht="46" customHeight="1">
      <x:c r="A527" s="30" t="str">
        <x:v>Bofa GCM</x:v>
      </x:c>
      <x:c r="B527" s="30" t="str">
        <x:v>IBD / GCM</x:v>
      </x:c>
      <x:c r="C527" s="30" t="str">
        <x:v>Interview Note</x:v>
      </x:c>
      <x:c r="D527" s="31" t="str">
        <x:v>he's pretty serious</x:v>
      </x:c>
      <x:c r="E527" s="31" t="str">
        <x:v>C9</x:v>
      </x:c>
      <x:c r="F527" s="31" t="str">
        <x:v>market grill | questions afterwards are all market-related, make sure you know the market index and the trading multiples, e.g. pe ratio, valuations of HSI vs other index, outlook for Hang Seng Index | Q&amp;A</x:v>
      </x:c>
    </x:row>
    <x:row r="528" ht="30" customHeight="1">
      <x:c r="A528" s="30" t="str">
        <x:v>Bofa GCM</x:v>
      </x:c>
      <x:c r="B528" s="30" t="str">
        <x:v>IBD / GCM</x:v>
      </x:c>
      <x:c r="C528" s="30" t="str">
        <x:v>Interview Note</x:v>
      </x:c>
      <x:c r="D528" s="31" t="str">
        <x:v>說說credit profile怎麼做</x:v>
      </x:c>
      <x:c r="E528" s="31" t="str">
        <x:v>A10</x:v>
      </x:c>
      <x:c r="F528" s="31" t="str">
        <x:v>CV question: Sellside vs Buyside, Primary vs Secondary | 你ER的實習會看oil&amp;gas嗎？聊聊你對oil的看法吧 | 聊聊你對能源市場的看法吧</x:v>
      </x:c>
    </x:row>
    <x:row r="529" ht="62" customHeight="1">
      <x:c r="A529" s="30" t="str">
        <x:v>Bofa GCM</x:v>
      </x:c>
      <x:c r="B529" s="30" t="str">
        <x:v>IBD / GCM</x:v>
      </x:c>
      <x:c r="C529" s="30" t="str">
        <x:v>Interview Note</x:v>
      </x:c>
      <x:c r="D529" s="31" t="str">
        <x:v>No time for Q&amp;A</x:v>
      </x:c>
      <x:c r="E529" s="31" t="str">
        <x:v>B10</x:v>
      </x:c>
      <x:c r="F529" s="31" t="str">
        <x:v>sector you bullish on | given the current macro environment, advise on a company in need of cash, you have three options: follows-on, convertible bond, block trade | questions related to AH dun rmb the specific questions, but need to kno...</x:v>
      </x:c>
    </x:row>
    <x:row r="530" ht="46" customHeight="1">
      <x:c r="A530" s="30" t="str">
        <x:v>Bofa GCM</x:v>
      </x:c>
      <x:c r="B530" s="30" t="str">
        <x:v>IBD / GCM</x:v>
      </x:c>
      <x:c r="C530" s="30" t="str">
        <x:v>Metadata</x:v>
      </x:c>
      <x:c r="D530" s="31" t="str">
        <x:v>(~20min)</x:v>
      </x:c>
      <x:c r="E530" s="31" t="str">
        <x:v>C10</x:v>
      </x:c>
      <x:c r="F530" s="31" t="str">
        <x:v>questions afterwards are all market-related, make sure you know the market index and the trading multiples, e.g. pe ratio, valuations of HSI vs other index, outlook for Hang Seng Index | Q&amp;A | he's pretty serious</x:v>
      </x:c>
    </x:row>
    <x:row r="531" ht="46" customHeight="1">
      <x:c r="A531" s="30" t="str">
        <x:v>Bofa GCM</x:v>
      </x:c>
      <x:c r="B531" s="30" t="str">
        <x:v>IBD / GCM</x:v>
      </x:c>
      <x:c r="C531" s="30" t="str">
        <x:v>Interview Note</x:v>
      </x:c>
      <x:c r="D531" s="31" t="str">
        <x:v>view on dirty work</x:v>
      </x:c>
      <x:c r="E531" s="31" t="str">
        <x:v>D10</x:v>
      </x:c>
      <x:c r="F531" s="31" t="str">
        <x:v>followup questions on my stock pitch | compared with tencent, alibaba, why should I buy the one you pitch? its overvalued | why i'm interested in GCM</x:v>
      </x:c>
    </x:row>
    <x:row r="532" ht="62" customHeight="1">
      <x:c r="A532" s="30" t="str">
        <x:v>Bofa GCM</x:v>
      </x:c>
      <x:c r="B532" s="30" t="str">
        <x:v>IBD / GCM</x:v>
      </x:c>
      <x:c r="C532" s="30" t="str">
        <x:v>Metadata</x:v>
      </x:c>
      <x:c r="D532" s="31" t="str">
        <x:v>(~20min)</x:v>
      </x:c>
      <x:c r="E532" s="31" t="str">
        <x:v>B11</x:v>
      </x:c>
      <x:c r="F532" s="31" t="str">
        <x:v>given the current macro environment, advise on a company in need of cash, you have three options: follows-on, convertible bond, block trade | questions related to AH dun rmb the specific questions, but need to know policy support, reason...</x:v>
      </x:c>
    </x:row>
    <x:row r="533" ht="46" customHeight="1">
      <x:c r="A533" s="30" t="str">
        <x:v>Bofa GCM</x:v>
      </x:c>
      <x:c r="B533" s="30" t="str">
        <x:v>IBD / GCM</x:v>
      </x:c>
      <x:c r="C533" s="30" t="str">
        <x:v>Interview Note</x:v>
      </x:c>
      <x:c r="D533" s="31" t="str">
        <x:v>跟我說說你的性格吧！我想知道你的家人和朋友的perspective 而不是工作方面，然後再說說你的兩個weakness</x:v>
      </x:c>
      <x:c r="E533" s="31" t="str">
        <x:v>D11</x:v>
      </x:c>
      <x:c r="F533" s="31" t="str">
        <x:v>compared with tencent, alibaba, why should I buy the one you pitch? its overvalued | why i'm interested in GCM | view on dirty work</x:v>
      </x:c>
    </x:row>
    <x:row r="534" ht="30" customHeight="1">
      <x:c r="A534" s="30" t="str">
        <x:v>Bofa GCM</x:v>
      </x:c>
      <x:c r="B534" s="30" t="str">
        <x:v>IBD / GCM</x:v>
      </x:c>
      <x:c r="C534" s="30" t="str">
        <x:v>Interview Note</x:v>
      </x:c>
      <x:c r="D534" s="31" t="str">
        <x:v>Q&amp;A</x:v>
      </x:c>
      <x:c r="E534" s="31" t="str">
        <x:v>A12</x:v>
      </x:c>
      <x:c r="F534" s="31" t="str">
        <x:v>聊聊你對能源市場的看法吧 | 說說credit profile怎麼做 | 怎麼用excel vba的？</x:v>
      </x:c>
    </x:row>
    <x:row r="535" ht="30" customHeight="1">
      <x:c r="A535" s="30" t="str">
        <x:v>Bofa GCM</x:v>
      </x:c>
      <x:c r="B535" s="30" t="str">
        <x:v>IBD / GCM</x:v>
      </x:c>
      <x:c r="C535" s="30" t="str">
        <x:v>Interview Note</x:v>
      </x:c>
      <x:c r="D535" s="31" t="str">
        <x:v>any particular team preference</x:v>
      </x:c>
      <x:c r="E535" s="31" t="str">
        <x:v>D12</x:v>
      </x:c>
      <x:c r="F535" s="31" t="str">
        <x:v>why i'm interested in GCM | view on dirty work | 跟我說說你的性格吧！我想知道你的家人和朋友的perspective 而不是工作方面，然後再說說你的兩個weakness</x:v>
      </x:c>
    </x:row>
    <x:row r="536" ht="30" customHeight="1">
      <x:c r="A536" s="30" t="str">
        <x:v>Bofa GCM</x:v>
      </x:c>
      <x:c r="B536" s="30" t="str">
        <x:v>IBD / GCM</x:v>
      </x:c>
      <x:c r="C536" s="30" t="str">
        <x:v>Metadata</x:v>
      </x:c>
      <x:c r="D536" s="31" t="str">
        <x:v>(~25min)</x:v>
      </x:c>
      <x:c r="E536" s="31" t="str">
        <x:v>A13</x:v>
      </x:c>
      <x:c r="F536" s="31" t="str">
        <x:v>說說credit profile怎麼做 | 怎麼用excel vba的？ | Q&amp;A</x:v>
      </x:c>
    </x:row>
    <x:row r="537" ht="30" customHeight="1">
      <x:c r="A537" s="30" t="str">
        <x:v>Bofa GCM</x:v>
      </x:c>
      <x:c r="B537" s="30" t="str">
        <x:v>IBD / GCM</x:v>
      </x:c>
      <x:c r="C537" s="30" t="str">
        <x:v>Interview Note</x:v>
      </x:c>
      <x:c r="D537" s="31" t="str">
        <x:v>Q&amp;A</x:v>
      </x:c>
      <x:c r="E537" s="31" t="str">
        <x:v>D13</x:v>
      </x:c>
      <x:c r="F537" s="31" t="str">
        <x:v>view on dirty work | 跟我說說你的性格吧！我想知道你的家人和朋友的perspective 而不是工作方面，然後再說說你的兩個weakness | any particular team preference</x:v>
      </x:c>
    </x:row>
    <x:row r="538" ht="30" customHeight="1">
      <x:c r="A538" s="30" t="str">
        <x:v>Bofa GCM</x:v>
      </x:c>
      <x:c r="B538" s="30" t="str">
        <x:v>IBD / GCM</x:v>
      </x:c>
      <x:c r="C538" s="30" t="str">
        <x:v>Metadata</x:v>
      </x:c>
      <x:c r="D538" s="31" t="str">
        <x:v>(~35 min)</x:v>
      </x:c>
      <x:c r="E538" s="31" t="str">
        <x:v>D14</x:v>
      </x:c>
      <x:c r="F538" s="31" t="str">
        <x:v>跟我說說你的性格吧！我想知道你的家人和朋友的perspective 而不是工作方面，然後再說說你的兩個weakness | any particular team preference | Q&amp;A</x:v>
      </x:c>
    </x:row>
    <x:row r="539" ht="30" customHeight="1">
      <x:c r="A539" s="30" t="str">
        <x:v>Bofa GCM</x:v>
      </x:c>
      <x:c r="B539" s="30" t="str">
        <x:v>IBD / GCM</x:v>
      </x:c>
      <x:c r="C539" s="30" t="str">
        <x:v>Metadata</x:v>
      </x:c>
      <x:c r="D539" s="31" t="str">
        <x:v>2026 FT Kari</x:v>
      </x:c>
      <x:c r="E539" s="31" t="str">
        <x:v>A15</x:v>
      </x:c>
      <x:c r="F539" s="31" t="str">
        <x:v>怎麼用excel vba的？ | Q&amp;A | (~25min)</x:v>
      </x:c>
    </x:row>
    <x:row r="540" ht="30" customHeight="1">
      <x:c r="A540" s="30" t="str">
        <x:v>Bofa GCM</x:v>
      </x:c>
      <x:c r="B540" s="30" t="str">
        <x:v>IBD / GCM</x:v>
      </x:c>
      <x:c r="C540" s="30" t="str">
        <x:v>Interview Note</x:v>
      </x:c>
      <x:c r="D540" s="31" t="str">
        <x:v>Lisa Huang - Asso</x:v>
      </x:c>
      <x:c r="E540" s="31" t="str">
        <x:v>A16</x:v>
      </x:c>
      <x:c r="F540" s="31" t="str">
        <x:v>Q&amp;A | (~25min) | 2026 FT Kari</x:v>
      </x:c>
    </x:row>
    <x:row r="541" ht="30" customHeight="1">
      <x:c r="A541" s="30" t="str">
        <x:v>Bofa GCM</x:v>
      </x:c>
      <x:c r="B541" s="30" t="str">
        <x:v>IBD / GCM</x:v>
      </x:c>
      <x:c r="C541" s="30" t="str">
        <x:v>Interview Note</x:v>
      </x:c>
      <x:c r="D541" s="31" t="str">
        <x:v>Market news</x:v>
      </x:c>
      <x:c r="E541" s="31" t="str">
        <x:v>A19</x:v>
      </x:c>
      <x:c r="F541" s="31" t="str">
        <x:v>Lisa Huang - Asso | Self-intro | Why no return</x:v>
      </x:c>
    </x:row>
    <x:row r="542" ht="30" customHeight="1">
      <x:c r="A542" s="30" t="str">
        <x:v>Bofa GCM</x:v>
      </x:c>
      <x:c r="B542" s="30" t="str">
        <x:v>IBD / GCM</x:v>
      </x:c>
      <x:c r="C542" s="30" t="str">
        <x:v>Interview Note</x:v>
      </x:c>
      <x:c r="D542" s="31" t="str">
        <x:v>External activities, leadership</x:v>
      </x:c>
      <x:c r="E542" s="31" t="str">
        <x:v>A20</x:v>
      </x:c>
      <x:c r="F542" s="31" t="str">
        <x:v>Self-intro | Why no return | Market news</x:v>
      </x:c>
    </x:row>
    <x:row r="543" ht="30" customHeight="1">
      <x:c r="A543" s="30" t="str">
        <x:v>Bofa GCM</x:v>
      </x:c>
      <x:c r="B543" s="30" t="str">
        <x:v>IBD / GCM</x:v>
      </x:c>
      <x:c r="C543" s="30" t="str">
        <x:v>Metadata</x:v>
      </x:c>
      <x:c r="D543" s="31" t="str">
        <x:v>15min，没有反问？</x:v>
      </x:c>
      <x:c r="E543" s="31" t="str">
        <x:v>A21</x:v>
      </x:c>
      <x:c r="F543" s="31" t="str">
        <x:v>Why no return | Market news | External activities, leadership</x:v>
      </x:c>
    </x:row>
    <x:row r="544" ht="30" customHeight="1">
      <x:c r="A544" s="30" t="str">
        <x:v>JPM</x:v>
      </x:c>
      <x:c r="B544" s="30" t="str">
        <x:v>IBD / GCM</x:v>
      </x:c>
      <x:c r="C544" s="30" t="str">
        <x:v>Metadata</x:v>
      </x:c>
      <x:c r="D544" s="31" t="str">
        <x:v>2024 SA</x:v>
      </x:c>
      <x:c r="E544" s="31" t="str">
        <x:v>A1</x:v>
      </x:c>
      <x:c r="F544" s="31" t="str"/>
    </x:row>
    <x:row r="545" ht="30" customHeight="1">
      <x:c r="A545" s="30" t="str">
        <x:v>JPM</x:v>
      </x:c>
      <x:c r="B545" s="30" t="str">
        <x:v>IBD / GCM</x:v>
      </x:c>
      <x:c r="C545" s="30" t="str">
        <x:v>Interview Note</x:v>
      </x:c>
      <x:c r="D545" s="31" t="str">
        <x:v>23 Jasmine 1st round (Victoria Cai)</x:v>
      </x:c>
      <x:c r="E545" s="31" t="str">
        <x:v>A2</x:v>
      </x:c>
      <x:c r="F545" s="31" t="str">
        <x:v>2024 SA</x:v>
      </x:c>
    </x:row>
    <x:row r="546" ht="30" customHeight="1">
      <x:c r="A546" s="30" t="str">
        <x:v>JPM</x:v>
      </x:c>
      <x:c r="B546" s="30" t="str">
        <x:v>IBD / GCM</x:v>
      </x:c>
      <x:c r="C546" s="30" t="str">
        <x:v>Interview Note</x:v>
      </x:c>
      <x:c r="D546" s="31" t="str">
        <x:v>JPM spd Jasmine</x:v>
      </x:c>
      <x:c r="E546" s="31" t="str">
        <x:v>C2</x:v>
      </x:c>
      <x:c r="F546" s="31" t="str"/>
    </x:row>
    <x:row r="547" ht="30" customHeight="1">
      <x:c r="A547" s="30" t="str">
        <x:v>JPM</x:v>
      </x:c>
      <x:c r="B547" s="30" t="str">
        <x:v>IBD / GCM</x:v>
      </x:c>
      <x:c r="C547" s="30" t="str">
        <x:v>Interview Note</x:v>
      </x:c>
      <x:c r="D547" s="31" t="str">
        <x:v>resume based</x:v>
      </x:c>
      <x:c r="E547" s="31" t="str">
        <x:v>A3</x:v>
      </x:c>
      <x:c r="F547" s="31" t="str">
        <x:v>2024 SA | 23 Jasmine 1st round (Victoria Cai)</x:v>
      </x:c>
    </x:row>
    <x:row r="548" ht="30" customHeight="1">
      <x:c r="A548" s="30" t="str">
        <x:v>JPM</x:v>
      </x:c>
      <x:c r="B548" s="30" t="str">
        <x:v>IBD / GCM</x:v>
      </x:c>
      <x:c r="C548" s="30" t="str">
        <x:v>Interview Note</x:v>
      </x:c>
      <x:c r="D548" s="31" t="str">
        <x:v>Raymond Lau -ipo</x:v>
      </x:c>
      <x:c r="E548" s="31" t="str">
        <x:v>C4</x:v>
      </x:c>
      <x:c r="F548" s="31" t="str">
        <x:v>JPM spd Jasmine</x:v>
      </x:c>
    </x:row>
    <x:row r="549" ht="46" customHeight="1">
      <x:c r="A549" s="30" t="str">
        <x:v>JPM</x:v>
      </x:c>
      <x:c r="B549" s="30" t="str">
        <x:v>IBD / GCM</x:v>
      </x:c>
      <x:c r="C549" s="30" t="str">
        <x:v>Interview Note</x:v>
      </x:c>
      <x:c r="D549" s="31" t="str">
        <x:v>a time when i face conflict in a team</x:v>
      </x:c>
      <x:c r="E549" s="31" t="str">
        <x:v>C9</x:v>
      </x:c>
      <x:c r="F549" s="31" t="str">
        <x:v>What news am I following (i said esports on hanzhou asian game) | what did i do in the esports project | Do you watch any games, favorite character in LOL (i said idk and he said i should know…)</x:v>
      </x:c>
    </x:row>
    <x:row r="550" ht="46" customHeight="1">
      <x:c r="A550" s="30" t="str">
        <x:v>JPM</x:v>
      </x:c>
      <x:c r="B550" s="30" t="str">
        <x:v>IBD / GCM</x:v>
      </x:c>
      <x:c r="C550" s="30" t="str">
        <x:v>Interview Note</x:v>
      </x:c>
      <x:c r="D550" s="31" t="str">
        <x:v>case study (advise for a hk-listed conglomorate trading in deep discount)</x:v>
      </x:c>
      <x:c r="E550" s="31" t="str">
        <x:v>A10</x:v>
      </x:c>
      <x:c r="F550" s="31" t="str">
        <x:v>any special considerations shen acquiring a hk-listed company (i bs about premium, she said shes looking into the more practical legal regulations for takeover in hk) | tell me about your work in odysseus | why not law but ibd</x:v>
      </x:c>
    </x:row>
    <x:row r="551" ht="46" customHeight="1">
      <x:c r="A551" s="30" t="str">
        <x:v>JPM</x:v>
      </x:c>
      <x:c r="B551" s="30" t="str">
        <x:v>IBD / GCM</x:v>
      </x:c>
      <x:c r="C551" s="30" t="str">
        <x:v>Interview Note</x:v>
      </x:c>
      <x:c r="D551" s="31" t="str">
        <x:v>more details on the case study (she read out all the conditions and i jot down on the spot):</x:v>
      </x:c>
      <x:c r="E551" s="31" t="str">
        <x:v>A12</x:v>
      </x:c>
      <x:c r="F551" s="31" t="str">
        <x:v>tell me about your work in odysseus | why not law but ibd | case study (advise for a hk-listed conglomorate trading in deep discount)</x:v>
      </x:c>
    </x:row>
    <x:row r="552" ht="30" customHeight="1">
      <x:c r="A552" s="30" t="str">
        <x:v>JPM</x:v>
      </x:c>
      <x:c r="B552" s="30" t="str">
        <x:v>IBD / GCM</x:v>
      </x:c>
      <x:c r="C552" s="30" t="str">
        <x:v>Interview Note</x:v>
      </x:c>
      <x:c r="D552" s="31" t="str">
        <x:v>toughest time in life</x:v>
      </x:c>
      <x:c r="E552" s="31" t="str">
        <x:v>C13</x:v>
      </x:c>
      <x:c r="F552" s="31" t="str">
        <x:v>how would i do differently now | how am i enjoying football | which position do i play</x:v>
      </x:c>
    </x:row>
    <x:row r="553" ht="46" customHeight="1">
      <x:c r="A553" s="30" t="str">
        <x:v>JPM</x:v>
      </x:c>
      <x:c r="B553" s="30" t="str">
        <x:v>IBD / GCM</x:v>
      </x:c>
      <x:c r="C553" s="30" t="str">
        <x:v>Interview Note</x:v>
      </x:c>
      <x:c r="D553" s="31" t="str">
        <x:v>hk-listed, main operation in china</x:v>
      </x:c>
      <x:c r="E553" s="31" t="str">
        <x:v>A14</x:v>
      </x:c>
      <x:c r="F553" s="31" t="str">
        <x:v>why not law but ibd | case study (advise for a hk-listed conglomorate trading in deep discount) | more details on the case study (she read out all the conditions and i jot down on the spot):</x:v>
      </x:c>
    </x:row>
    <x:row r="554" ht="30" customHeight="1">
      <x:c r="A554" s="30" t="str">
        <x:v>JPM</x:v>
      </x:c>
      <x:c r="B554" s="30" t="str">
        <x:v>IBD / GCM</x:v>
      </x:c>
      <x:c r="C554" s="30" t="str">
        <x:v>Interview Note</x:v>
      </x:c>
      <x:c r="D554" s="31" t="str">
        <x:v>am i still in touch with my host family</x:v>
      </x:c>
      <x:c r="E554" s="31" t="str">
        <x:v>C14</x:v>
      </x:c>
      <x:c r="F554" s="31" t="str">
        <x:v>how am i enjoying football | which position do i play | toughest time in life</x:v>
      </x:c>
    </x:row>
    <x:row r="555" ht="46" customHeight="1">
      <x:c r="A555" s="30" t="str">
        <x:v>JPM</x:v>
      </x:c>
      <x:c r="B555" s="30" t="str">
        <x:v>IBD / GCM</x:v>
      </x:c>
      <x:c r="C555" s="30" t="str">
        <x:v>Interview Note</x:v>
      </x:c>
      <x:c r="D555" s="31" t="str">
        <x:v>60% owned by founder, rest by institutional investors</x:v>
      </x:c>
      <x:c r="E555" s="31" t="str">
        <x:v>A15</x:v>
      </x:c>
      <x:c r="F555" s="31" t="str">
        <x:v>case study (advise for a hk-listed conglomorate trading in deep discount) | more details on the case study (she read out all the conditions and i jot down on the spot): | hk-listed, main operation in china</x:v>
      </x:c>
    </x:row>
    <x:row r="556" ht="46" customHeight="1">
      <x:c r="A556" s="30" t="str">
        <x:v>JPM</x:v>
      </x:c>
      <x:c r="B556" s="30" t="str">
        <x:v>IBD / GCM</x:v>
      </x:c>
      <x:c r="C556" s="30" t="str">
        <x:v>Interview Note</x:v>
      </x:c>
      <x:c r="D556" s="31" t="str">
        <x:v>diverse businesses:</x:v>
      </x:c>
      <x:c r="E556" s="31" t="str">
        <x:v>A16</x:v>
      </x:c>
      <x:c r="F556" s="31" t="str">
        <x:v>more details on the case study (she read out all the conditions and i jot down on the spot): | hk-listed, main operation in china | 60% owned by founder, rest by institutional investors</x:v>
      </x:c>
    </x:row>
    <x:row r="557" ht="30" customHeight="1">
      <x:c r="A557" s="30" t="str">
        <x:v>JPM</x:v>
      </x:c>
      <x:c r="B557" s="30" t="str">
        <x:v>IBD / GCM</x:v>
      </x:c>
      <x:c r="C557" s="30" t="str">
        <x:v>Interview Note</x:v>
      </x:c>
      <x:c r="D557" s="31" t="str">
        <x:v>Shawn Jiang -ecm</x:v>
      </x:c>
      <x:c r="E557" s="31" t="str">
        <x:v>C17</x:v>
      </x:c>
      <x:c r="F557" s="31" t="str">
        <x:v>which position do i play | toughest time in life | am i still in touch with my host family</x:v>
      </x:c>
    </x:row>
    <x:row r="558" ht="46" customHeight="1">
      <x:c r="A558" s="30" t="str">
        <x:v>JPM</x:v>
      </x:c>
      <x:c r="B558" s="30" t="str">
        <x:v>IBD / GCM</x:v>
      </x:c>
      <x:c r="C558" s="30" t="str">
        <x:v>Interview Note</x:v>
      </x:c>
      <x:c r="D558" s="31" t="str">
        <x:v>100% EV business</x:v>
      </x:c>
      <x:c r="E558" s="31" t="str">
        <x:v>A18</x:v>
      </x:c>
      <x:c r="F558" s="31" t="str">
        <x:v>60% owned by founder, rest by institutional investors | diverse businesses: | own 51% of a healthcare listed company (went public 4yrs ago when healthcare was hot)</x:v>
      </x:c>
    </x:row>
    <x:row r="559" ht="46" customHeight="1">
      <x:c r="A559" s="30" t="str">
        <x:v>JPM</x:v>
      </x:c>
      <x:c r="B559" s="30" t="str">
        <x:v>IBD / GCM</x:v>
      </x:c>
      <x:c r="C559" s="30" t="str">
        <x:v>Interview Note</x:v>
      </x:c>
      <x:c r="D559" s="31" t="str">
        <x:v>residential in mainland</x:v>
      </x:c>
      <x:c r="E559" s="31" t="str">
        <x:v>A19</x:v>
      </x:c>
      <x:c r="F559" s="31" t="str">
        <x:v>diverse businesses: | own 51% of a healthcare listed company (went public 4yrs ago when healthcare was hot) | 100% EV business</x:v>
      </x:c>
    </x:row>
    <x:row r="560" ht="30" customHeight="1">
      <x:c r="A560" s="30" t="str">
        <x:v>JPM</x:v>
      </x:c>
      <x:c r="B560" s="30" t="str">
        <x:v>IBD / GCM</x:v>
      </x:c>
      <x:c r="C560" s="30" t="str">
        <x:v>Interview Note</x:v>
      </x:c>
      <x:c r="D560" s="31" t="str">
        <x:v>a time when i face conflict in a team</x:v>
      </x:c>
      <x:c r="E560" s="31" t="str">
        <x:v>C19</x:v>
      </x:c>
      <x:c r="F560" s="31" t="str">
        <x:v>am i still in touch with my host family | Shawn Jiang -ecm | self intro</x:v>
      </x:c>
    </x:row>
    <x:row r="561" ht="46" customHeight="1">
      <x:c r="A561" s="30" t="str">
        <x:v>JPM</x:v>
      </x:c>
      <x:c r="B561" s="30" t="str">
        <x:v>IBD / GCM</x:v>
      </x:c>
      <x:c r="C561" s="30" t="str">
        <x:v>Interview Note</x:v>
      </x:c>
      <x:c r="D561" s="31" t="str">
        <x:v>office and shopping mall in hk&amp;mainland</x:v>
      </x:c>
      <x:c r="E561" s="31" t="str">
        <x:v>A20</x:v>
      </x:c>
      <x:c r="F561" s="31" t="str">
        <x:v>own 51% of a healthcare listed company (went public 4yrs ago when healthcare was hot) | 100% EV business | residential in mainland</x:v>
      </x:c>
    </x:row>
    <x:row r="562" ht="30" customHeight="1">
      <x:c r="A562" s="30" t="str">
        <x:v>JPM</x:v>
      </x:c>
      <x:c r="B562" s="30" t="str">
        <x:v>IBD / GCM</x:v>
      </x:c>
      <x:c r="C562" s="30" t="str">
        <x:v>Interview Note</x:v>
      </x:c>
      <x:c r="D562" s="31" t="str">
        <x:v>三個優點三個缺點 (i could only squeeze one good and one bad out)</x:v>
      </x:c>
      <x:c r="E562" s="31" t="str">
        <x:v>C20</x:v>
      </x:c>
      <x:c r="F562" s="31" t="str">
        <x:v>Shawn Jiang -ecm | self intro | a time when i face conflict in a team</x:v>
      </x:c>
    </x:row>
    <x:row r="563" ht="30" customHeight="1">
      <x:c r="A563" s="30" t="str">
        <x:v>JPM</x:v>
      </x:c>
      <x:c r="B563" s="30" t="str">
        <x:v>IBD / GCM</x:v>
      </x:c>
      <x:c r="C563" s="30" t="str">
        <x:v>Interview Note</x:v>
      </x:c>
      <x:c r="D563" s="31" t="str">
        <x:v>life insurance</x:v>
      </x:c>
      <x:c r="E563" s="31" t="str">
        <x:v>A21</x:v>
      </x:c>
      <x:c r="F563" s="31" t="str">
        <x:v>100% EV business | residential in mainland | office and shopping mall in hk&amp;mainland</x:v>
      </x:c>
    </x:row>
    <x:row r="564" ht="46" customHeight="1">
      <x:c r="A564" s="30" t="str">
        <x:v>JPM</x:v>
      </x:c>
      <x:c r="B564" s="30" t="str">
        <x:v>IBD / GCM</x:v>
      </x:c>
      <x:c r="C564" s="30" t="str">
        <x:v>Interview Note</x:v>
      </x:c>
      <x:c r="D564" s="31" t="str">
        <x:v>(i said cuz my past internships more related, and then he started telling me about why ecm is good for 10 minutes :o……….. and no more questions…….. and i asked some cliche questions and he gave wonderful insights for the next 10 minutes………….)</x:v>
      </x:c>
      <x:c r="E564" s="31" t="str">
        <x:v>C22</x:v>
      </x:c>
      <x:c r="F564" s="31" t="str">
        <x:v>a time when i face conflict in a team | 三個優點三個缺點 (i could only squeeze one good and one bad out) | why is my top preference being m&amp;a and industry coverage</x:v>
      </x:c>
    </x:row>
    <x:row r="565" ht="30" customHeight="1">
      <x:c r="A565" s="30" t="str">
        <x:v>JPM</x:v>
      </x:c>
      <x:c r="B565" s="30" t="str">
        <x:v>IBD / GCM</x:v>
      </x:c>
      <x:c r="C565" s="30" t="str">
        <x:v>Interview Note</x:v>
      </x:c>
      <x:c r="D565" s="31" t="str">
        <x:v>company currently facing 2 problems:</x:v>
      </x:c>
      <x:c r="E565" s="31" t="str">
        <x:v>A23</x:v>
      </x:c>
      <x:c r="F565" s="31" t="str">
        <x:v>residential in mainland | office and shopping mall in hk&amp;mainland | life insurance</x:v>
      </x:c>
    </x:row>
    <x:row r="566" ht="30" customHeight="1">
      <x:c r="A566" s="30" t="str">
        <x:v>JPM</x:v>
      </x:c>
      <x:c r="B566" s="30" t="str">
        <x:v>IBD / GCM</x:v>
      </x:c>
      <x:c r="C566" s="30" t="str">
        <x:v>Interview Note</x:v>
      </x:c>
      <x:c r="D566" s="31" t="str">
        <x:v>trading at deep discount (p/b 0.4x)</x:v>
      </x:c>
      <x:c r="E566" s="31" t="str">
        <x:v>A24</x:v>
      </x:c>
      <x:c r="F566" s="31" t="str">
        <x:v>office and shopping mall in hk&amp;mainland | life insurance | company currently facing 2 problems:</x:v>
      </x:c>
    </x:row>
    <x:row r="567" ht="62" customHeight="1">
      <x:c r="A567" s="30" t="str">
        <x:v>JPM</x:v>
      </x:c>
      <x:c r="B567" s="30" t="str">
        <x:v>IBD / GCM</x:v>
      </x:c>
      <x:c r="C567" s="30" t="str">
        <x:v>Interview Note</x:v>
      </x:c>
      <x:c r="D567" s="31" t="str">
        <x:v>jpm 3</x:v>
      </x:c>
      <x:c r="E567" s="31" t="str">
        <x:v>C24</x:v>
      </x:c>
      <x:c r="F567" s="31" t="str">
        <x:v>三個優點三個缺點 (i could only squeeze one good and one bad out) | why is my top preference being m&amp;a and industry coverage | (i said cuz my past internships more related, and then he started telling me about why ecm is good for 10 minutes :o………...</x:v>
      </x:c>
    </x:row>
    <x:row r="568" ht="30" customHeight="1">
      <x:c r="A568" s="30" t="str">
        <x:v>JPM</x:v>
      </x:c>
      <x:c r="B568" s="30" t="str">
        <x:v>IBD / GCM</x:v>
      </x:c>
      <x:c r="C568" s="30" t="str">
        <x:v>Interview Note</x:v>
      </x:c>
      <x:c r="D568" s="31" t="str">
        <x:v>為什麼想做投行 （普通話）</x:v>
      </x:c>
      <x:c r="E568" s="31" t="str">
        <x:v>C28</x:v>
      </x:c>
      <x:c r="F568" s="31" t="str">
        <x:v>jpm 3 | self intro | are you born and raised in hk</x:v>
      </x:c>
    </x:row>
    <x:row r="569" ht="30" customHeight="1">
      <x:c r="A569" s="30" t="str">
        <x:v>JPM</x:v>
      </x:c>
      <x:c r="B569" s="30" t="str">
        <x:v>IBD / GCM</x:v>
      </x:c>
      <x:c r="C569" s="30" t="str">
        <x:v>Interview Note</x:v>
      </x:c>
      <x:c r="D569" s="31" t="str">
        <x:v>有什麼課外興趣（普通話）</x:v>
      </x:c>
      <x:c r="E569" s="31" t="str">
        <x:v>C36</x:v>
      </x:c>
      <x:c r="F569" s="31" t="str">
        <x:v>how do you do dcf | how to get fcf from revenue | what is a continuation fund (i did in TR)</x:v>
      </x:c>
    </x:row>
    <x:row r="570" ht="30" customHeight="1">
      <x:c r="A570" s="30" t="str">
        <x:v>JPM</x:v>
      </x:c>
      <x:c r="B570" s="30" t="str">
        <x:v>IBD / GCM</x:v>
      </x:c>
      <x:c r="C570" s="30" t="str">
        <x:v>Interview Note</x:v>
      </x:c>
      <x:c r="D570" s="31" t="str">
        <x:v>玩了多久足球和曲棍球</x:v>
      </x:c>
      <x:c r="E570" s="31" t="str">
        <x:v>C37</x:v>
      </x:c>
      <x:c r="F570" s="31" t="str">
        <x:v>how to get fcf from revenue | what is a continuation fund (i did in TR) | 有什麼課外興趣（普通話）</x:v>
      </x:c>
    </x:row>
    <x:row r="571" ht="30" customHeight="1">
      <x:c r="A571" s="30" t="str">
        <x:v>JPM</x:v>
      </x:c>
      <x:c r="B571" s="30" t="str">
        <x:v>IBD / GCM</x:v>
      </x:c>
      <x:c r="C571" s="30" t="str">
        <x:v>Interview Note</x:v>
      </x:c>
      <x:c r="D571" s="31" t="str">
        <x:v>你幾時去exchange（這裡開始廣東話）</x:v>
      </x:c>
      <x:c r="E571" s="31" t="str">
        <x:v>C38</x:v>
      </x:c>
      <x:c r="F571" s="31" t="str">
        <x:v>what is a continuation fund (i did in TR) | 有什麼課外興趣（普通話） | 玩了多久足球和曲棍球</x:v>
      </x:c>
    </x:row>
    <x:row r="572" ht="30" customHeight="1">
      <x:c r="A572" s="30" t="str">
        <x:v>JPM</x:v>
      </x:c>
      <x:c r="B572" s="30" t="str">
        <x:v>IBD / GCM</x:v>
      </x:c>
      <x:c r="C572" s="30" t="str">
        <x:v>Interview Note</x:v>
      </x:c>
      <x:c r="D572" s="31" t="str">
        <x:v>點解想去 exchange</x:v>
      </x:c>
      <x:c r="E572" s="31" t="str">
        <x:v>C39</x:v>
      </x:c>
      <x:c r="F572" s="31" t="str">
        <x:v>有什麼課外興趣（普通話） | 玩了多久足球和曲棍球 | 你幾時去exchange（這裡開始廣東話）</x:v>
      </x:c>
    </x:row>
    <x:row r="573" ht="30" customHeight="1">
      <x:c r="A573" s="30" t="str">
        <x:v>JPM</x:v>
      </x:c>
      <x:c r="B573" s="30" t="str">
        <x:v>IBD / GCM</x:v>
      </x:c>
      <x:c r="C573" s="30" t="str">
        <x:v>Interview Note</x:v>
      </x:c>
      <x:c r="D573" s="31" t="str">
        <x:v>踢波踢咩位</x:v>
      </x:c>
      <x:c r="E573" s="31" t="str">
        <x:v>C40</x:v>
      </x:c>
      <x:c r="F573" s="31" t="str">
        <x:v>玩了多久足球和曲棍球 | 你幾時去exchange（這裡開始廣東話） | 點解想去 exchange</x:v>
      </x:c>
    </x:row>
    <x:row r="574" ht="30" customHeight="1">
      <x:c r="A574" s="30" t="str">
        <x:v>JPM</x:v>
      </x:c>
      <x:c r="B574" s="30" t="str">
        <x:v>IBD / GCM</x:v>
      </x:c>
      <x:c r="C574" s="30" t="str">
        <x:v>Interview Note</x:v>
      </x:c>
      <x:c r="D574" s="31" t="str">
        <x:v>支持邊隊球隊</x:v>
      </x:c>
      <x:c r="E574" s="31" t="str">
        <x:v>C41</x:v>
      </x:c>
      <x:c r="F574" s="31" t="str">
        <x:v>你幾時去exchange（這裡開始廣東話） | 點解想去 exchange | 踢波踢咩位</x:v>
      </x:c>
    </x:row>
    <x:row r="575" ht="30" customHeight="1">
      <x:c r="A575" s="30" t="str">
        <x:v>JPM</x:v>
      </x:c>
      <x:c r="B575" s="30" t="str">
        <x:v>IBD / GCM</x:v>
      </x:c>
      <x:c r="C575" s="30" t="str">
        <x:v>Interview Note</x:v>
      </x:c>
      <x:c r="D575" s="31" t="str">
        <x:v>有冇問題問我</x:v>
      </x:c>
      <x:c r="E575" s="31" t="str">
        <x:v>C42</x:v>
      </x:c>
      <x:c r="F575" s="31" t="str">
        <x:v>點解想去 exchange | 踢波踢咩位 | 支持邊隊球隊</x:v>
      </x:c>
    </x:row>
    <x:row r="576" ht="30" customHeight="1">
      <x:c r="A576" s="30" t="str">
        <x:v>Grant Samuel</x:v>
      </x:c>
      <x:c r="B576" s="30" t="str">
        <x:v>IBD / GCM</x:v>
      </x:c>
      <x:c r="C576" s="30" t="str">
        <x:v>Metadata</x:v>
      </x:c>
      <x:c r="D576" s="31" t="str">
        <x:v>2025 SA</x:v>
      </x:c>
      <x:c r="E576" s="31" t="str">
        <x:v>A1</x:v>
      </x:c>
      <x:c r="F576" s="31" t="str"/>
    </x:row>
    <x:row r="577" ht="30" customHeight="1">
      <x:c r="A577" s="30" t="str">
        <x:v>Grant Samuel</x:v>
      </x:c>
      <x:c r="B577" s="30" t="str">
        <x:v>IBD / GCM</x:v>
      </x:c>
      <x:c r="C577" s="30" t="str">
        <x:v>Interview Note</x:v>
      </x:c>
      <x:c r="D577" s="31" t="str">
        <x:v>IBD First Round</x:v>
      </x:c>
      <x:c r="E577" s="31" t="str">
        <x:v>A2</x:v>
      </x:c>
      <x:c r="F577" s="31" t="str">
        <x:v>2025 SA</x:v>
      </x:c>
    </x:row>
    <x:row r="578" ht="30" customHeight="1">
      <x:c r="A578" s="30" t="str">
        <x:v>Grant Samuel</x:v>
      </x:c>
      <x:c r="B578" s="30" t="str">
        <x:v>IBD / GCM</x:v>
      </x:c>
      <x:c r="C578" s="30" t="str">
        <x:v>Metadata</x:v>
      </x:c>
      <x:c r="D578" s="31" t="str">
        <x:v>Beata</x:v>
      </x:c>
      <x:c r="E578" s="31" t="str">
        <x:v>A3</x:v>
      </x:c>
      <x:c r="F578" s="31" t="str">
        <x:v>2025 SA | IBD First Round</x:v>
      </x:c>
    </x:row>
    <x:row r="579" ht="30" customHeight="1">
      <x:c r="A579" s="30" t="str">
        <x:v>Grant Samuel</x:v>
      </x:c>
      <x:c r="B579" s="30" t="str">
        <x:v>IBD / GCM</x:v>
      </x:c>
      <x:c r="C579" s="30" t="str">
        <x:v>Interview Note</x:v>
      </x:c>
      <x:c r="D579" s="31" t="str">
        <x:v>Anthony So: Analyst (TMT)</x:v>
      </x:c>
      <x:c r="E579" s="31" t="str">
        <x:v>A4</x:v>
      </x:c>
      <x:c r="F579" s="31" t="str">
        <x:v>2025 SA | IBD First Round | Beata</x:v>
      </x:c>
    </x:row>
    <x:row r="580" ht="46" customHeight="1">
      <x:c r="A580" s="30" t="str">
        <x:v>Grant Samuel</x:v>
      </x:c>
      <x:c r="B580" s="30" t="str">
        <x:v>IBD / GCM</x:v>
      </x:c>
      <x:c r="C580" s="30" t="str">
        <x:v>Interview Note</x:v>
      </x:c>
      <x:c r="D580" s="31" t="str">
        <x:v>&gt; may be different stages, e.g., turning into profitability</x:v>
      </x:c>
      <x:c r="E580" s="31" t="str">
        <x:v>A8</x:v>
      </x:c>
      <x:c r="F580" s="31" t="str">
        <x:v>What did you do in BNP? | For trading comps, what's the difference between EV/EBITDA, P/E, and EV/Sales | Scenarios with higher ev/ebitda, e.g. 900x?</x:v>
      </x:c>
    </x:row>
    <x:row r="581" ht="62" customHeight="1">
      <x:c r="A581" s="30" t="str">
        <x:v>Grant Samuel</x:v>
      </x:c>
      <x:c r="B581" s="30" t="str">
        <x:v>IBD / GCM</x:v>
      </x:c>
      <x:c r="C581" s="30" t="str">
        <x:v>Interview Note</x:v>
      </x:c>
      <x:c r="D581" s="31" t="str">
        <x:v>Companies have diff stages, what does growth stage mean</x:v>
      </x:c>
      <x:c r="E581" s="31" t="str">
        <x:v>A13</x:v>
      </x:c>
      <x:c r="F581" s="31" t="str">
        <x:v>All-stock deal, buyer has a higher p/e, is it accretive or dlitutive? Why? | In most of the cases, involving debt financing, cash, e.g., acquisition involves all three, what are some of the impacts that have to encounter for the merger m...</x:v>
      </x:c>
    </x:row>
    <x:row r="582" ht="62" customHeight="1">
      <x:c r="A582" s="30" t="str">
        <x:v>Grant Samuel</x:v>
      </x:c>
      <x:c r="B582" s="30" t="str">
        <x:v>IBD / GCM</x:v>
      </x:c>
      <x:c r="C582" s="30" t="str">
        <x:v>Interview Note</x:v>
      </x:c>
      <x:c r="D582" s="31" t="str">
        <x:v>Tina Zhang: Analyst (metal and mining)</x:v>
      </x:c>
      <x:c r="E582" s="31" t="str">
        <x:v>A18</x:v>
      </x:c>
      <x:c r="F582" s="31" t="str">
        <x:v>If ur company is in early stage, what do u think about cost of debt or equity | e.g. advising on buy side, seller asks for crazy valuation, what is the counter thing, anything u can add to the term sheet? | &gt; in real life, earnout model,...</x:v>
      </x:c>
    </x:row>
    <x:row r="583" ht="46" customHeight="1">
      <x:c r="A583" s="30" t="str">
        <x:v>Grant Samuel</x:v>
      </x:c>
      <x:c r="B583" s="30" t="str">
        <x:v>IBD / GCM</x:v>
      </x:c>
      <x:c r="C583" s="30" t="str">
        <x:v>Interview Note</x:v>
      </x:c>
      <x:c r="D583" s="31" t="str">
        <x:v>NPV vs NAV</x:v>
      </x:c>
      <x:c r="E583" s="31" t="str">
        <x:v>A21</x:v>
      </x:c>
      <x:c r="F583" s="31" t="str">
        <x:v>Tina Zhang: Analyst (metal and mining) | Did you get any feedback from Lazard? Why didn't you get in? | How do you value mining assets</x:v>
      </x:c>
    </x:row>
    <x:row r="584" ht="30" customHeight="1">
      <x:c r="A584" s="30" t="str">
        <x:v>Grant Samuel</x:v>
      </x:c>
      <x:c r="B584" s="30" t="str">
        <x:v>IBD / GCM</x:v>
      </x:c>
      <x:c r="C584" s="30" t="str">
        <x:v>Interview Note</x:v>
      </x:c>
      <x:c r="D584" s="31" t="str">
        <x:v>Reserves vs Resources</x:v>
      </x:c>
      <x:c r="E584" s="31" t="str">
        <x:v>A23</x:v>
      </x:c>
      <x:c r="F584" s="31" t="str">
        <x:v>How do you value mining assets | NPV vs NAV | How to get equity value from EV</x:v>
      </x:c>
    </x:row>
    <x:row r="585" ht="30" customHeight="1">
      <x:c r="A585" s="30" t="str">
        <x:v>Grant Samuel</x:v>
      </x:c>
      <x:c r="B585" s="30" t="str">
        <x:v>IBD / GCM</x:v>
      </x:c>
      <x:c r="C585" s="30" t="str">
        <x:v>Interview Note</x:v>
      </x:c>
      <x:c r="D585" s="31" t="str">
        <x:v>IBD Final Round (F2F)</x:v>
      </x:c>
      <x:c r="E585" s="31" t="str">
        <x:v>A29</x:v>
      </x:c>
      <x:c r="F585" s="31" t="str">
        <x:v>Mining valuation multiples | What's your MBTI | How much time did you spend on studying mining?</x:v>
      </x:c>
    </x:row>
    <x:row r="586" ht="30" customHeight="1">
      <x:c r="A586" s="30" t="str">
        <x:v>Grant Samuel</x:v>
      </x:c>
      <x:c r="B586" s="30" t="str">
        <x:v>IBD / GCM</x:v>
      </x:c>
      <x:c r="C586" s="30" t="str">
        <x:v>Interview Note</x:v>
      </x:c>
      <x:c r="D586" s="31" t="str">
        <x:v>Jimmy Lim: MD</x:v>
      </x:c>
      <x:c r="E586" s="31" t="str">
        <x:v>A30</x:v>
      </x:c>
      <x:c r="F586" s="31" t="str">
        <x:v>What's your MBTI | How much time did you spend on studying mining? | IBD Final Round (F2F)</x:v>
      </x:c>
    </x:row>
    <x:row r="587" ht="30" customHeight="1">
      <x:c r="A587" s="30" t="str">
        <x:v>Moelis</x:v>
      </x:c>
      <x:c r="B587" s="30" t="str">
        <x:v>IBD / GCM</x:v>
      </x:c>
      <x:c r="C587" s="30" t="str">
        <x:v>Metadata</x:v>
      </x:c>
      <x:c r="D587" s="31" t="str">
        <x:v>2025 IBD Summer</x:v>
      </x:c>
      <x:c r="E587" s="31" t="str">
        <x:v>A1</x:v>
      </x:c>
      <x:c r="F587" s="31" t="str"/>
    </x:row>
    <x:row r="588" ht="30" customHeight="1">
      <x:c r="A588" s="30" t="str">
        <x:v>Moelis</x:v>
      </x:c>
      <x:c r="B588" s="30" t="str">
        <x:v>IBD / GCM</x:v>
      </x:c>
      <x:c r="C588" s="30" t="str">
        <x:v>Interview Note</x:v>
      </x:c>
      <x:c r="D588" s="31" t="str">
        <x:v>1st interviewer Asso Chelsea</x:v>
      </x:c>
      <x:c r="E588" s="31" t="str">
        <x:v>A2</x:v>
      </x:c>
      <x:c r="F588" s="31" t="str">
        <x:v>2025 IBD Summer</x:v>
      </x:c>
    </x:row>
    <x:row r="589" ht="30" customHeight="1">
      <x:c r="A589" s="30" t="str">
        <x:v>Moelis</x:v>
      </x:c>
      <x:c r="B589" s="30" t="str">
        <x:v>IBD / GCM</x:v>
      </x:c>
      <x:c r="C589" s="30" t="str">
        <x:v>Interview Note</x:v>
      </x:c>
      <x:c r="D589" s="31" t="str">
        <x:v>Factory $100, selling at $80, 25% TR</x:v>
      </x:c>
      <x:c r="E589" s="31" t="str">
        <x:v>A11</x:v>
      </x:c>
      <x:c r="F589" s="31" t="str">
        <x:v>How do you choose comps ? | What multiples for comps and any special multiples? | Why these multiples?</x:v>
      </x:c>
    </x:row>
    <x:row r="590" ht="46" customHeight="1">
      <x:c r="A590" s="30" t="str">
        <x:v>Moelis</x:v>
      </x:c>
      <x:c r="B590" s="30" t="str">
        <x:v>IBD / GCM</x:v>
      </x:c>
      <x:c r="C590" s="30" t="str">
        <x:v>Interview Note</x:v>
      </x:c>
      <x:c r="D590" s="31" t="str">
        <x:v>2nd interviewer VP Sophia (Metal and mining M&amp;A)</x:v>
      </x:c>
      <x:c r="E590" s="31" t="str">
        <x:v>A17</x:v>
      </x:c>
      <x:c r="F590" s="31" t="str">
        <x:v>If the company's operations are in China, but listed in US, what Rf do you use? | CAPEX $100 to buy PPE? | What are the factors that will affect the NPV of the company?</x:v>
      </x:c>
    </x:row>
    <x:row r="591" ht="46" customHeight="1">
      <x:c r="A591" s="30" t="str">
        <x:v>Moelis</x:v>
      </x:c>
      <x:c r="B591" s="30" t="str">
        <x:v>IBD / GCM</x:v>
      </x:c>
      <x:c r="C591" s="30" t="str">
        <x:v>Metadata</x:v>
      </x:c>
      <x:c r="D591" s="31" t="str">
        <x:v>Beata (First Round)</x:v>
      </x:c>
      <x:c r="E591" s="31" t="str">
        <x:v>A25</x:v>
      </x:c>
      <x:c r="F591" s="31" t="str">
        <x:v>Why Moelis? | Entry: EBITDA $100, $600 debt, no cash, 10x multiple. Exit: Year 5 EBITDA $150, exit 9x multiple. What is the MOIC? (2.5x) | What is the IRR? (20%)</x:v>
      </x:c>
    </x:row>
    <x:row r="592" ht="46" customHeight="1">
      <x:c r="A592" s="30" t="str">
        <x:v>Moelis</x:v>
      </x:c>
      <x:c r="B592" s="30" t="str">
        <x:v>IBD / GCM</x:v>
      </x:c>
      <x:c r="C592" s="30" t="str">
        <x:v>Interview Note</x:v>
      </x:c>
      <x:c r="D592" s="31" t="str">
        <x:v>Kevin Kee, Metal and mining, Associate</x:v>
      </x:c>
      <x:c r="E592" s="31" t="str">
        <x:v>A26</x:v>
      </x:c>
      <x:c r="F592" s="31" t="str">
        <x:v>Entry: EBITDA $100, $600 debt, no cash, 10x multiple. Exit: Year 5 EBITDA $150, exit 9x multiple. What is the MOIC? (2.5x) | What is the IRR? (20%) | Beata (First Round)</x:v>
      </x:c>
    </x:row>
    <x:row r="593" ht="30" customHeight="1">
      <x:c r="A593" s="30" t="str">
        <x:v>Moelis</x:v>
      </x:c>
      <x:c r="B593" s="30" t="str">
        <x:v>IBD / GCM</x:v>
      </x:c>
      <x:c r="C593" s="30" t="str">
        <x:v>Interview Note</x:v>
      </x:c>
      <x:c r="D593" s="31" t="str">
        <x:v>Keven Li Liu - VP</x:v>
      </x:c>
      <x:c r="E593" s="31" t="str">
        <x:v>C26</x:v>
      </x:c>
      <x:c r="F593" s="31" t="str"/>
    </x:row>
    <x:row r="594" ht="30" customHeight="1">
      <x:c r="A594" s="30" t="str">
        <x:v>Moelis</x:v>
      </x:c>
      <x:c r="B594" s="30" t="str">
        <x:v>IBD / GCM</x:v>
      </x:c>
      <x:c r="C594" s="30" t="str">
        <x:v>Interview Note</x:v>
      </x:c>
      <x:c r="D594" s="31" t="str">
        <x:v>BNP Paribas</x:v>
      </x:c>
      <x:c r="E594" s="31" t="str">
        <x:v>A33</x:v>
      </x:c>
      <x:c r="F594" s="31" t="str">
        <x:v>Self-introduction | Is AMPB a specialized program? | Why Moelis?</x:v>
      </x:c>
    </x:row>
    <x:row r="595" ht="30" customHeight="1">
      <x:c r="A595" s="30" t="str">
        <x:v>Moelis</x:v>
      </x:c>
      <x:c r="B595" s="30" t="str">
        <x:v>IBD / GCM</x:v>
      </x:c>
      <x:c r="C595" s="30" t="str">
        <x:v>Interview Note</x:v>
      </x:c>
      <x:c r="D595" s="31" t="str">
        <x:v>l Restaurant chain pitch</x:v>
      </x:c>
      <x:c r="E595" s="31" t="str">
        <x:v>A35</x:v>
      </x:c>
      <x:c r="F595" s="31" t="str">
        <x:v>Is AMPB a specialized program? | Why Moelis? | BNP Paribas</x:v>
      </x:c>
    </x:row>
    <x:row r="596" ht="30" customHeight="1">
      <x:c r="A596" s="30" t="str">
        <x:v>Moelis</x:v>
      </x:c>
      <x:c r="B596" s="30" t="str">
        <x:v>IBD / GCM</x:v>
      </x:c>
      <x:c r="C596" s="30" t="str">
        <x:v>Interview Note</x:v>
      </x:c>
      <x:c r="D596" s="31" t="str">
        <x:v>l EV pitch</x:v>
      </x:c>
      <x:c r="E596" s="31" t="str">
        <x:v>A39</x:v>
      </x:c>
      <x:c r="F596" s="31" t="str">
        <x:v>BNP Paribas | l Restaurant chain pitch | i. What did you do?</x:v>
      </x:c>
    </x:row>
    <x:row r="597" ht="30" customHeight="1">
      <x:c r="A597" s="30" t="str">
        <x:v>Moelis</x:v>
      </x:c>
      <x:c r="B597" s="30" t="str">
        <x:v>IBD / GCM</x:v>
      </x:c>
      <x:c r="C597" s="30" t="str">
        <x:v>Interview Note</x:v>
      </x:c>
      <x:c r="D597" s="31" t="str">
        <x:v>ii. Trading comps</x:v>
      </x:c>
      <x:c r="E597" s="31" t="str">
        <x:v>A43</x:v>
      </x:c>
      <x:c r="F597" s="31" t="str">
        <x:v>i. What did you do? | l EV pitch | i. What did you do? Also walked through some industry trends</x:v>
      </x:c>
    </x:row>
    <x:row r="598" ht="62" customHeight="1">
      <x:c r="A598" s="30" t="str">
        <x:v>Moelis</x:v>
      </x:c>
      <x:c r="B598" s="30" t="str">
        <x:v>IBD / GCM</x:v>
      </x:c>
      <x:c r="C598" s="30" t="str">
        <x:v>Interview Note</x:v>
      </x:c>
      <x:c r="D598" s="31" t="str">
        <x:v>i. Key assumptions</x:v>
      </x:c>
      <x:c r="E598" s="31" t="str">
        <x:v>A57</x:v>
      </x:c>
      <x:c r="F598" s="31" t="str">
        <x:v>DCF at Gusto Collective | l How did you find WACC? (IDK WHY BUT I JUST REALISED THAT I ANSWERED IN THE WAY OF CALCULATING CAPM KMS so in the end he asked if the company has debt, I said yes, he said oh since I heard that you mentioned ab...</x:v>
      </x:c>
    </x:row>
    <x:row r="599" ht="46" customHeight="1">
      <x:c r="A599" s="30" t="str">
        <x:v>Moelis</x:v>
      </x:c>
      <x:c r="B599" s="30" t="str">
        <x:v>IBD / GCM</x:v>
      </x:c>
      <x:c r="C599" s="30" t="str">
        <x:v>Interview Note</x:v>
      </x:c>
      <x:c r="D599" s="31" t="str">
        <x:v>i. I said I only arrived at the LOI stage when I left, he asked if I participated in drafting LOI, I said no but my boss showed me how it looked like</x:v>
      </x:c>
      <x:c r="E599" s="31" t="str">
        <x:v>A61</x:v>
      </x:c>
      <x:c r="F599" s="31" t="str">
        <x:v>l DCF | i. Key assumptions | l Did you go through SPA?</x:v>
      </x:c>
    </x:row>
    <x:row r="600" ht="30" customHeight="1">
      <x:c r="A600" s="30" t="str">
        <x:v>Jefferies</x:v>
      </x:c>
      <x:c r="B600" s="30" t="str">
        <x:v>IBD / GCM</x:v>
      </x:c>
      <x:c r="C600" s="30" t="str">
        <x:v>Metadata</x:v>
      </x:c>
      <x:c r="D600" s="31" t="str">
        <x:v>2025 SA</x:v>
      </x:c>
      <x:c r="E600" s="31" t="str">
        <x:v>A1</x:v>
      </x:c>
      <x:c r="F600" s="31" t="str"/>
    </x:row>
    <x:row r="601" ht="30" customHeight="1">
      <x:c r="A601" s="30" t="str">
        <x:v>Jefferies</x:v>
      </x:c>
      <x:c r="B601" s="30" t="str">
        <x:v>IBD / GCM</x:v>
      </x:c>
      <x:c r="C601" s="30" t="str">
        <x:v>Interview Note</x:v>
      </x:c>
      <x:c r="D601" s="31" t="str">
        <x:v>IBD First Round</x:v>
      </x:c>
      <x:c r="E601" s="31" t="str">
        <x:v>A2</x:v>
      </x:c>
      <x:c r="F601" s="31" t="str">
        <x:v>2025 SA</x:v>
      </x:c>
    </x:row>
    <x:row r="602" ht="30" customHeight="1">
      <x:c r="A602" s="30" t="str">
        <x:v>Jefferies</x:v>
      </x:c>
      <x:c r="B602" s="30" t="str">
        <x:v>IBD / GCM</x:v>
      </x:c>
      <x:c r="C602" s="30" t="str">
        <x:v>Metadata</x:v>
      </x:c>
      <x:c r="D602" s="31" t="str">
        <x:v>Beata</x:v>
      </x:c>
      <x:c r="E602" s="31" t="str">
        <x:v>A3</x:v>
      </x:c>
      <x:c r="F602" s="31" t="str">
        <x:v>2025 SA | IBD First Round</x:v>
      </x:c>
    </x:row>
    <x:row r="603" ht="30" customHeight="1">
      <x:c r="A603" s="30" t="str">
        <x:v>Jefferies</x:v>
      </x:c>
      <x:c r="B603" s="30" t="str">
        <x:v>IBD / GCM</x:v>
      </x:c>
      <x:c r="C603" s="30" t="str">
        <x:v>Interview Note</x:v>
      </x:c>
      <x:c r="D603" s="31" t="str">
        <x:v>2nd Interviewer: Lori Li, Industrials</x:v>
      </x:c>
      <x:c r="E603" s="31" t="str">
        <x:v>C4</x:v>
      </x:c>
      <x:c r="F603" s="31" t="str"/>
    </x:row>
    <x:row r="604" ht="46" customHeight="1">
      <x:c r="A604" s="30" t="str">
        <x:v>Jefferies</x:v>
      </x:c>
      <x:c r="B604" s="30" t="str">
        <x:v>IBD / GCM</x:v>
      </x:c>
      <x:c r="C604" s="30" t="str">
        <x:v>Interview Note</x:v>
      </x:c>
      <x:c r="D604" s="31" t="str">
        <x:v>Technicals</x:v>
      </x:c>
      <x:c r="E604" s="31" t="str">
        <x:v>A7</x:v>
      </x:c>
      <x:c r="F604" s="31" t="str">
        <x:v>1st Interviewer: Jim Chen, Private Capital Advisory | Walk me through your resume | How do you see yourself in 3 to 5 years?</x:v>
      </x:c>
    </x:row>
    <x:row r="605" ht="46" customHeight="1">
      <x:c r="A605" s="30" t="str">
        <x:v>Jefferies</x:v>
      </x:c>
      <x:c r="B605" s="30" t="str">
        <x:v>IBD / GCM</x:v>
      </x:c>
      <x:c r="C605" s="30" t="str">
        <x:v>Interview Note</x:v>
      </x:c>
      <x:c r="D605" s="31" t="str">
        <x:v>ii. Follow-up</x:v>
      </x:c>
      <x:c r="E605" s="31" t="str">
        <x:v>A13</x:v>
      </x:c>
      <x:c r="F605" s="31" t="str">
        <x:v>l Why do you subtract cash from EV calculation? | l What are the methodologies used in valuation? | i. Briefly explain/introduce the three valuation methodologies</x:v>
      </x:c>
    </x:row>
    <x:row r="606" ht="62" customHeight="1">
      <x:c r="A606" s="30" t="str">
        <x:v>Jefferies</x:v>
      </x:c>
      <x:c r="B606" s="30" t="str">
        <x:v>IBD / GCM</x:v>
      </x:c>
      <x:c r="C606" s="30" t="str">
        <x:v>Interview Note</x:v>
      </x:c>
      <x:c r="D606" s="31" t="str">
        <x:v>你的普通話怎麼樣</x:v>
      </x:c>
      <x:c r="E606" s="31" t="str">
        <x:v>A20</x:v>
      </x:c>
      <x:c r="F606" s="31" t="str">
        <x:v>l Why would a company issue debt over equity? Why would a company issue equity over debt? | You worked at BNP and ING Bank, what do you think about the hours of banking? How do you find them different from Jefferies? | How do you find th...</x:v>
      </x:c>
    </x:row>
    <x:row r="607" ht="46" customHeight="1">
      <x:c r="A607" s="30" t="str">
        <x:v>Jefferies</x:v>
      </x:c>
      <x:c r="B607" s="30" t="str">
        <x:v>IBD / GCM</x:v>
      </x:c>
      <x:c r="C607" s="30" t="str">
        <x:v>Interview Note</x:v>
      </x:c>
      <x:c r="D607" s="31" t="str">
        <x:v>Q&amp;A</x:v>
      </x:c>
      <x:c r="E607" s="31" t="str">
        <x:v>A21</x:v>
      </x:c>
      <x:c r="F607" s="31" t="str">
        <x:v>You worked at BNP and ING Bank, what do you think about the hours of banking? How do you find them different from Jefferies? | How do you find the difference between management consulting and investment banking? | 你的普通話怎麼樣</x:v>
      </x:c>
    </x:row>
    <x:row r="608" ht="62" customHeight="1">
      <x:c r="A608" s="30" t="str">
        <x:v>Jefferies</x:v>
      </x:c>
      <x:c r="B608" s="30" t="str">
        <x:v>IBD / GCM</x:v>
      </x:c>
      <x:c r="C608" s="30" t="str">
        <x:v>Interview Note</x:v>
      </x:c>
      <x:c r="D608" s="31" t="str">
        <x:v>Q&amp;A</x:v>
      </x:c>
      <x:c r="E608" s="31" t="str">
        <x:v>C25</x:v>
      </x:c>
      <x:c r="F608" s="31" t="str">
        <x:v>Do you speak Mandarin? Use Mandarin to answer – if you are given a superpower, what do you want it to be? | If you are given 1 million dollars, and you are not allowed to use it to invest or make it grow, what would you use it for? | Do ...</x:v>
      </x:c>
    </x:row>
    <x:row r="609" ht="30" customHeight="1">
      <x:c r="A609" s="30" t="str">
        <x:v>Jefferies</x:v>
      </x:c>
      <x:c r="B609" s="30" t="str">
        <x:v>IBD / GCM</x:v>
      </x:c>
      <x:c r="C609" s="30" t="str">
        <x:v>Interview Note</x:v>
      </x:c>
      <x:c r="D609" s="31" t="str">
        <x:v>IBD Superday</x:v>
      </x:c>
      <x:c r="E609" s="31" t="str">
        <x:v>A27</x:v>
      </x:c>
      <x:c r="F609" s="31" t="str">
        <x:v>How do you find the difference between management consulting and investment banking? | 你的普通話怎麼樣 | Q&amp;A</x:v>
      </x:c>
    </x:row>
    <x:row r="610" ht="30" customHeight="1">
      <x:c r="A610" s="30" t="str">
        <x:v>Jefferies</x:v>
      </x:c>
      <x:c r="B610" s="30" t="str">
        <x:v>IBD / GCM</x:v>
      </x:c>
      <x:c r="C610" s="30" t="str">
        <x:v>Metadata</x:v>
      </x:c>
      <x:c r="D610" s="31" t="str">
        <x:v>Beata</x:v>
      </x:c>
      <x:c r="E610" s="31" t="str">
        <x:v>A28</x:v>
      </x:c>
      <x:c r="F610" s="31" t="str">
        <x:v>你的普通話怎麼樣 | Q&amp;A | IBD Superday</x:v>
      </x:c>
    </x:row>
    <x:row r="611" ht="30" customHeight="1">
      <x:c r="A611" s="30" t="str">
        <x:v>Jefferies</x:v>
      </x:c>
      <x:c r="B611" s="30" t="str">
        <x:v>IBD / GCM</x:v>
      </x:c>
      <x:c r="C611" s="30" t="str">
        <x:v>Interview Note</x:v>
      </x:c>
      <x:c r="D611" s="31" t="str">
        <x:v>1st Interviewer: Philip Li, Head of HK Investment Banking, Consumer Retail</x:v>
      </x:c>
      <x:c r="E611" s="31" t="str">
        <x:v>A29</x:v>
      </x:c>
      <x:c r="F611" s="31" t="str">
        <x:v>Q&amp;A | IBD Superday | Beata</x:v>
      </x:c>
    </x:row>
    <x:row r="612" ht="46" customHeight="1">
      <x:c r="A612" s="30" t="str">
        <x:v>Jefferies</x:v>
      </x:c>
      <x:c r="B612" s="30" t="str">
        <x:v>IBD / GCM</x:v>
      </x:c>
      <x:c r="C612" s="30" t="str">
        <x:v>Interview Note</x:v>
      </x:c>
      <x:c r="D612" s="31" t="str">
        <x:v>2nd Interviewer: Lance Wang, SVP (ED) TMT</x:v>
      </x:c>
      <x:c r="E612" s="31" t="str">
        <x:v>C29</x:v>
      </x:c>
      <x:c r="F612" s="31" t="str">
        <x:v>If you are given 1 million dollars, and you are not allowed to use it to invest or make it grow, what would you use it for? | Do you know about the hours of investment banking? | Q&amp;A</x:v>
      </x:c>
    </x:row>
    <x:row r="613" ht="30" customHeight="1">
      <x:c r="A613" s="30" t="str">
        <x:v>Jefferies</x:v>
      </x:c>
      <x:c r="B613" s="30" t="str">
        <x:v>IBD / GCM</x:v>
      </x:c>
      <x:c r="C613" s="30" t="str">
        <x:v>Metadata</x:v>
      </x:c>
      <x:c r="D613" s="31" t="str">
        <x:v>Interviewer 3: Aric Hui, SVP (ED), Staffer</x:v>
      </x:c>
      <x:c r="E613" s="31" t="str">
        <x:v>E29</x:v>
      </x:c>
      <x:c r="F613" s="31" t="str"/>
    </x:row>
    <x:row r="614" ht="30" customHeight="1">
      <x:c r="A614" s="30" t="str">
        <x:v>Jefferies</x:v>
      </x:c>
      <x:c r="B614" s="30" t="str">
        <x:v>IBD / GCM</x:v>
      </x:c>
      <x:c r="C614" s="30" t="str">
        <x:v>Metadata</x:v>
      </x:c>
      <x:c r="D614" s="31" t="str">
        <x:v>Interviewer 4: Brian Chu, SVP Healthcare</x:v>
      </x:c>
      <x:c r="E614" s="31" t="str">
        <x:v>G29</x:v>
      </x:c>
      <x:c r="F614" s="31" t="str"/>
    </x:row>
    <x:row r="615" ht="30" customHeight="1">
      <x:c r="A615" s="30" t="str">
        <x:v>Jefferies</x:v>
      </x:c>
      <x:c r="B615" s="30" t="str">
        <x:v>IBD / GCM</x:v>
      </x:c>
      <x:c r="C615" s="30" t="str">
        <x:v>Interview Note</x:v>
      </x:c>
      <x:c r="D615" s="31" t="str">
        <x:v>The whole session was just chitchatting in Cantonese 我真的服了哈哈哈哈</x:v>
      </x:c>
      <x:c r="E615" s="31" t="str">
        <x:v>E31</x:v>
      </x:c>
      <x:c r="F615" s="31" t="str">
        <x:v>Interviewer 3: Aric Hui, SVP (ED), Staffer</x:v>
      </x:c>
    </x:row>
    <x:row r="616" ht="30" customHeight="1">
      <x:c r="A616" s="30" t="str">
        <x:v>Jefferies</x:v>
      </x:c>
      <x:c r="B616" s="30" t="str">
        <x:v>IBD / GCM</x:v>
      </x:c>
      <x:c r="C616" s="30" t="str">
        <x:v>Interview Note</x:v>
      </x:c>
      <x:c r="D616" s="31" t="str">
        <x:v>l tell me some factual things about Jefferies</x:v>
      </x:c>
      <x:c r="E616" s="31" t="str">
        <x:v>G33</x:v>
      </x:c>
      <x:c r="F616" s="31" t="str">
        <x:v>Interviewer 4: Brian Chu, SVP Healthcare | l self introduction – doesn’t have my cv on hand</x:v>
      </x:c>
    </x:row>
    <x:row r="617" ht="46" customHeight="1">
      <x:c r="A617" s="30" t="str">
        <x:v>Jefferies</x:v>
      </x:c>
      <x:c r="B617" s="30" t="str">
        <x:v>IBD / GCM</x:v>
      </x:c>
      <x:c r="C617" s="30" t="str">
        <x:v>Interview Note</x:v>
      </x:c>
      <x:c r="D617" s="31" t="str">
        <x:v>l Mandarin for the rest</x:v>
      </x:c>
      <x:c r="E617" s="31" t="str">
        <x:v>C35</x:v>
      </x:c>
      <x:c r="F617" s="31" t="str">
        <x:v>2nd Interviewer: Lance Wang, SVP (ED) TMT | l Does BNP have return? | l Progress with other banks? Is Jefferies your top preference?</x:v>
      </x:c>
    </x:row>
    <x:row r="618" ht="30" customHeight="1">
      <x:c r="A618" s="30" t="str">
        <x:v>Jefferies</x:v>
      </x:c>
      <x:c r="B618" s="30" t="str">
        <x:v>IBD / GCM</x:v>
      </x:c>
      <x:c r="C618" s="30" t="str">
        <x:v>Interview Note</x:v>
      </x:c>
      <x:c r="D618" s="31" t="str">
        <x:v>l Accretion/Dilution analysis on Excel – share screen</x:v>
      </x:c>
      <x:c r="E618" s="31" t="str">
        <x:v>A37</x:v>
      </x:c>
      <x:c r="F618" s="31" t="str">
        <x:v>l Self-introduction | l Does BNP have return? | l Why Jefferies? Vs BNP?</x:v>
      </x:c>
    </x:row>
    <x:row r="619" ht="30" customHeight="1">
      <x:c r="A619" s="30" t="str">
        <x:v>Jefferies</x:v>
      </x:c>
      <x:c r="B619" s="30" t="str">
        <x:v>IBD / GCM</x:v>
      </x:c>
      <x:c r="C619" s="30" t="str">
        <x:v>Interview Note</x:v>
      </x:c>
      <x:c r="D619" s="31" t="str">
        <x:v>l Share a work you’ve done in BNP</x:v>
      </x:c>
      <x:c r="E619" s="31" t="str">
        <x:v>C37</x:v>
      </x:c>
      <x:c r="F619" s="31" t="str">
        <x:v>l Does BNP have return? | l Progress with other banks? Is Jefferies your top preference? | l Mandarin for the rest</x:v>
      </x:c>
    </x:row>
    <x:row r="620" ht="30" customHeight="1">
      <x:c r="A620" s="30" t="str">
        <x:v>Jefferies</x:v>
      </x:c>
      <x:c r="B620" s="30" t="str">
        <x:v>IBD / GCM</x:v>
      </x:c>
      <x:c r="C620" s="30" t="str">
        <x:v>Interview Note</x:v>
      </x:c>
      <x:c r="D620" s="31" t="str">
        <x:v>l Views on China’s market</x:v>
      </x:c>
      <x:c r="E620" s="31" t="str">
        <x:v>A39</x:v>
      </x:c>
      <x:c r="F620" s="31" t="str">
        <x:v>l Does BNP have return? | l Why Jefferies? Vs BNP? | l Accretion/Dilution analysis on Excel – share screen</x:v>
      </x:c>
    </x:row>
    <x:row r="621" ht="46" customHeight="1">
      <x:c r="A621" s="30" t="str">
        <x:v>Jefferies</x:v>
      </x:c>
      <x:c r="B621" s="30" t="str">
        <x:v>IBD / GCM</x:v>
      </x:c>
      <x:c r="C621" s="30" t="str">
        <x:v>Interview Note</x:v>
      </x:c>
      <x:c r="D621" s="31" t="str">
        <x:v>n Can also mention about geopolitical risks</x:v>
      </x:c>
      <x:c r="E621" s="31" t="str">
        <x:v>G39</x:v>
      </x:c>
      <x:c r="F621" s="31" t="str">
        <x:v>l tell me some factual things about Jefferies | n do you know the market cap of Jefferies? | l The China’s economy was not going well, what are some reasons behind? Are there any mitigants?</x:v>
      </x:c>
    </x:row>
    <x:row r="622" ht="46" customHeight="1">
      <x:c r="A622" s="30" t="str">
        <x:v>Jefferies</x:v>
      </x:c>
      <x:c r="B622" s="30" t="str">
        <x:v>IBD / GCM</x:v>
      </x:c>
      <x:c r="C622" s="30" t="str">
        <x:v>Interview Note</x:v>
      </x:c>
      <x:c r="D622" s="31" t="str">
        <x:v>l what about 10 dividends paid to shareholders later, 3 fs change</x:v>
      </x:c>
      <x:c r="E622" s="31" t="str">
        <x:v>C45</x:v>
      </x:c>
      <x:c r="F622" s="31" t="str">
        <x:v>l He’s from TMT team so he’s interested in the OTA project as well | l Any deal experience? | l CFO of a f&amp;b company, need to use 100 cash to buy 製造設備, how will it affect 3 statements</x:v>
      </x:c>
    </x:row>
    <x:row r="623" ht="62" customHeight="1">
      <x:c r="A623" s="30" t="str">
        <x:v>Jefferies</x:v>
      </x:c>
      <x:c r="B623" s="30" t="str">
        <x:v>IBD / GCM</x:v>
      </x:c>
      <x:c r="C623" s="30" t="str">
        <x:v>Interview Note</x:v>
      </x:c>
      <x:c r="D623" s="31" t="str">
        <x:v>l Biggest mistake in your life</x:v>
      </x:c>
      <x:c r="E623" s="31" t="str">
        <x:v>G45</x:v>
      </x:c>
      <x:c r="F623" s="31" t="str">
        <x:v>n Can also mention about geopolitical risks | l Imagine you are a Year 1 analyst, you have been working with the associate on a pitchbook, the MD asked you to print 5 copies and bring to the client tomorrow. The next morning you rise at ...</x:v>
      </x:c>
    </x:row>
    <x:row r="624" ht="46" customHeight="1">
      <x:c r="A624" s="30" t="str">
        <x:v>Jefferies</x:v>
      </x:c>
      <x:c r="B624" s="30" t="str">
        <x:v>IBD / GCM</x:v>
      </x:c>
      <x:c r="C624" s="30" t="str">
        <x:v>Interview Note</x:v>
      </x:c>
      <x:c r="D624" s="31" t="str">
        <x:v>l views on HK market</x:v>
      </x:c>
      <x:c r="E624" s="31" t="str">
        <x:v>C47</x:v>
      </x:c>
      <x:c r="F624" s="31" t="str">
        <x:v>l Any deal experience? | l CFO of a f&amp;b company, need to use 100 cash to buy 製造設備, how will it affect 3 statements | l what about 10 dividends paid to shareholders later, 3 fs change</x:v>
      </x:c>
    </x:row>
    <x:row r="625" ht="30" customHeight="1">
      <x:c r="A625" s="30" t="str">
        <x:v>BNP Paribas</x:v>
      </x:c>
      <x:c r="B625" s="30" t="str">
        <x:v>IBD / GCM</x:v>
      </x:c>
      <x:c r="C625" s="30" t="str">
        <x:v>Metadata</x:v>
      </x:c>
      <x:c r="D625" s="31" t="str">
        <x:v>2024 SA</x:v>
      </x:c>
      <x:c r="E625" s="31" t="str">
        <x:v>A1</x:v>
      </x:c>
      <x:c r="F625" s="31" t="str"/>
    </x:row>
    <x:row r="626" ht="30" customHeight="1">
      <x:c r="A626" s="30" t="str">
        <x:v>BNP Paribas</x:v>
      </x:c>
      <x:c r="B626" s="30" t="str">
        <x:v>IBD / GCM</x:v>
      </x:c>
      <x:c r="C626" s="30" t="str">
        <x:v>Metadata</x:v>
      </x:c>
      <x:c r="D626" s="31" t="str">
        <x:v>First Interviewer</x:v>
      </x:c>
      <x:c r="E626" s="31" t="str">
        <x:v>A2</x:v>
      </x:c>
      <x:c r="F626" s="31" t="str">
        <x:v>2024 SA</x:v>
      </x:c>
    </x:row>
    <x:row r="627" ht="30" customHeight="1">
      <x:c r="A627" s="30" t="str">
        <x:v>BNP Paribas</x:v>
      </x:c>
      <x:c r="B627" s="30" t="str">
        <x:v>IBD / GCM</x:v>
      </x:c>
      <x:c r="C627" s="30" t="str">
        <x:v>Metadata</x:v>
      </x:c>
      <x:c r="D627" s="31" t="str">
        <x:v>Second Interviewer</x:v>
      </x:c>
      <x:c r="E627" s="31" t="str">
        <x:v>C2</x:v>
      </x:c>
      <x:c r="F627" s="31" t="str"/>
    </x:row>
    <x:row r="628" ht="30" customHeight="1">
      <x:c r="A628" s="30" t="str">
        <x:v>BNP Paribas</x:v>
      </x:c>
      <x:c r="B628" s="30" t="str">
        <x:v>IBD / GCM</x:v>
      </x:c>
      <x:c r="C628" s="30" t="str">
        <x:v>Metadata</x:v>
      </x:c>
      <x:c r="D628" s="31" t="str">
        <x:v>Third Interviewer</x:v>
      </x:c>
      <x:c r="E628" s="31" t="str">
        <x:v>E2</x:v>
      </x:c>
      <x:c r="F628" s="31" t="str"/>
    </x:row>
    <x:row r="629" ht="30" customHeight="1">
      <x:c r="A629" s="30" t="str">
        <x:v>BNP Paribas</x:v>
      </x:c>
      <x:c r="B629" s="30" t="str">
        <x:v>IBD / GCM</x:v>
      </x:c>
      <x:c r="C629" s="30" t="str">
        <x:v>Metadata</x:v>
      </x:c>
      <x:c r="D629" s="31" t="str">
        <x:v>Fourth Interviewer</x:v>
      </x:c>
      <x:c r="E629" s="31" t="str">
        <x:v>G2</x:v>
      </x:c>
      <x:c r="F629" s="31" t="str"/>
    </x:row>
    <x:row r="630" ht="30" customHeight="1">
      <x:c r="A630" s="30" t="str">
        <x:v>BNP Paribas</x:v>
      </x:c>
      <x:c r="B630" s="30" t="str">
        <x:v>IBD / GCM</x:v>
      </x:c>
      <x:c r="C630" s="30" t="str">
        <x:v>Interview Note</x:v>
      </x:c>
      <x:c r="D630" s="31" t="str">
        <x:v>Other two tasks</x:v>
      </x:c>
      <x:c r="E630" s="31" t="str">
        <x:v>I2</x:v>
      </x:c>
      <x:c r="F630" s="31" t="str"/>
    </x:row>
    <x:row r="631" ht="30" customHeight="1">
      <x:c r="A631" s="30" t="str">
        <x:v>BNP Paribas</x:v>
      </x:c>
      <x:c r="B631" s="30" t="str">
        <x:v>IBD / GCM</x:v>
      </x:c>
      <x:c r="C631" s="30" t="str">
        <x:v>Metadata</x:v>
      </x:c>
      <x:c r="D631" s="31" t="str">
        <x:v>Beata</x:v>
      </x:c>
      <x:c r="E631" s="31" t="str">
        <x:v>A3</x:v>
      </x:c>
      <x:c r="F631" s="31" t="str">
        <x:v>2024 SA | First Interviewer</x:v>
      </x:c>
    </x:row>
    <x:row r="632" ht="30" customHeight="1">
      <x:c r="A632" s="30" t="str">
        <x:v>BNP Paribas</x:v>
      </x:c>
      <x:c r="B632" s="30" t="str">
        <x:v>IBD / GCM</x:v>
      </x:c>
      <x:c r="C632" s="30" t="str">
        <x:v>Interview Note</x:v>
      </x:c>
      <x:c r="D632" s="31" t="str">
        <x:v>M&amp;A</x:v>
      </x:c>
      <x:c r="E632" s="31" t="str">
        <x:v>A4</x:v>
      </x:c>
      <x:c r="F632" s="31" t="str">
        <x:v>2024 SA | First Interviewer | Beata</x:v>
      </x:c>
    </x:row>
    <x:row r="633" ht="30" customHeight="1">
      <x:c r="A633" s="30" t="str">
        <x:v>BNP Paribas</x:v>
      </x:c>
      <x:c r="B633" s="30" t="str">
        <x:v>IBD / GCM</x:v>
      </x:c>
      <x:c r="C633" s="30" t="str">
        <x:v>Interview Note</x:v>
      </x:c>
      <x:c r="D633" s="31" t="str">
        <x:v>DCM</x:v>
      </x:c>
      <x:c r="E633" s="31" t="str">
        <x:v>C4</x:v>
      </x:c>
      <x:c r="F633" s="31" t="str">
        <x:v>Second Interviewer</x:v>
      </x:c>
    </x:row>
    <x:row r="634" ht="30" customHeight="1">
      <x:c r="A634" s="30" t="str">
        <x:v>BNP Paribas</x:v>
      </x:c>
      <x:c r="B634" s="30" t="str">
        <x:v>IBD / GCM</x:v>
      </x:c>
      <x:c r="C634" s="30" t="str">
        <x:v>Interview Note</x:v>
      </x:c>
      <x:c r="D634" s="31" t="str">
        <x:v>Leveraged Finance</x:v>
      </x:c>
      <x:c r="E634" s="31" t="str">
        <x:v>E4</x:v>
      </x:c>
      <x:c r="F634" s="31" t="str">
        <x:v>Third Interviewer</x:v>
      </x:c>
    </x:row>
    <x:row r="635" ht="30" customHeight="1">
      <x:c r="A635" s="30" t="str">
        <x:v>BNP Paribas</x:v>
      </x:c>
      <x:c r="B635" s="30" t="str">
        <x:v>IBD / GCM</x:v>
      </x:c>
      <x:c r="C635" s="30" t="str">
        <x:v>Interview Note</x:v>
      </x:c>
      <x:c r="D635" s="31" t="str">
        <x:v>Group Discussion</x:v>
      </x:c>
      <x:c r="E635" s="31" t="str">
        <x:v>I4</x:v>
      </x:c>
      <x:c r="F635" s="31" t="str">
        <x:v>Other two tasks</x:v>
      </x:c>
    </x:row>
    <x:row r="636" ht="30" customHeight="1">
      <x:c r="A636" s="30" t="str">
        <x:v>BNP Paribas</x:v>
      </x:c>
      <x:c r="B636" s="30" t="str">
        <x:v>IBD / GCM</x:v>
      </x:c>
      <x:c r="C636" s="30" t="str">
        <x:v>Interview Note</x:v>
      </x:c>
      <x:c r="D636" s="31" t="str">
        <x:v>prioritisation of tasks in workplace</x:v>
      </x:c>
      <x:c r="E636" s="31" t="str">
        <x:v>I5</x:v>
      </x:c>
      <x:c r="F636" s="31" t="str">
        <x:v>Other two tasks | Group Discussion</x:v>
      </x:c>
    </x:row>
    <x:row r="637" ht="30" customHeight="1">
      <x:c r="A637" s="30" t="str">
        <x:v>BNP Paribas</x:v>
      </x:c>
      <x:c r="B637" s="30" t="str">
        <x:v>IBD / GCM</x:v>
      </x:c>
      <x:c r="C637" s="30" t="str">
        <x:v>Interview Note</x:v>
      </x:c>
      <x:c r="D637" s="31" t="str">
        <x:v>Buy-side and sell-side M&amp;A Process</x:v>
      </x:c>
      <x:c r="E637" s="31" t="str">
        <x:v>A6</x:v>
      </x:c>
      <x:c r="F637" s="31" t="str">
        <x:v>First Interviewer | Beata | M&amp;A</x:v>
      </x:c>
    </x:row>
    <x:row r="638" ht="30" customHeight="1">
      <x:c r="A638" s="30" t="str">
        <x:v>BNP Paribas</x:v>
      </x:c>
      <x:c r="B638" s="30" t="str">
        <x:v>IBD / GCM</x:v>
      </x:c>
      <x:c r="C638" s="30" t="str">
        <x:v>Interview Note</x:v>
      </x:c>
      <x:c r="D638" s="31" t="str">
        <x:v>If you're lending money to an individual, what do you need to do during due diligence</x:v>
      </x:c>
      <x:c r="E638" s="31" t="str">
        <x:v>C7</x:v>
      </x:c>
      <x:c r="F638" s="31" t="str">
        <x:v>Second Interviewer | DCM | What do you know about DCM (not sure if she asked)</x:v>
      </x:c>
    </x:row>
    <x:row r="639" ht="30" customHeight="1">
      <x:c r="A639" s="30" t="str">
        <x:v>BNP Paribas</x:v>
      </x:c>
      <x:c r="B639" s="30" t="str">
        <x:v>IBD / GCM</x:v>
      </x:c>
      <x:c r="C639" s="30" t="str">
        <x:v>Interview Note</x:v>
      </x:c>
      <x:c r="D639" s="31" t="str">
        <x:v>Case Study</x:v>
      </x:c>
      <x:c r="E639" s="31" t="str">
        <x:v>I7</x:v>
      </x:c>
      <x:c r="F639" s="31" t="str">
        <x:v>Other two tasks | Group Discussion | prioritisation of tasks in workplace</x:v>
      </x:c>
    </x:row>
    <x:row r="640" ht="46" customHeight="1">
      <x:c r="A640" s="30" t="str">
        <x:v>BNP Paribas</x:v>
      </x:c>
      <x:c r="B640" s="30" t="str">
        <x:v>IBD / GCM</x:v>
      </x:c>
      <x:c r="C640" s="30" t="str">
        <x:v>Interview Note</x:v>
      </x:c>
      <x:c r="D640" s="31" t="str">
        <x:v>Since you mentioned about doing dd on their assets, what kind of assets</x:v>
      </x:c>
      <x:c r="E640" s="31" t="str">
        <x:v>C8</x:v>
      </x:c>
      <x:c r="F640" s="31" t="str">
        <x:v>DCM | What do you know about DCM (not sure if she asked) | If you're lending money to an individual, what do you need to do during due diligence</x:v>
      </x:c>
    </x:row>
    <x:row r="641" ht="46" customHeight="1">
      <x:c r="A641" s="30" t="str">
        <x:v>BNP Paribas</x:v>
      </x:c>
      <x:c r="B641" s="30" t="str">
        <x:v>IBD / GCM</x:v>
      </x:c>
      <x:c r="C641" s="30" t="str">
        <x:v>Interview Note</x:v>
      </x:c>
      <x:c r="D641" s="31" t="str">
        <x:v>e.g. what are some inputs for comps</x:v>
      </x:c>
      <x:c r="E641" s="31" t="str">
        <x:v>G8</x:v>
      </x:c>
      <x:c r="F641" s="31" t="str">
        <x:v>Industry Group (2 interviewers, TMT and Energy) | Suppose you want to do valuation for a pet food company, what are some common valuation methodologies | Deep dive into each - DCF, comps, precedent transactions</x:v>
      </x:c>
    </x:row>
    <x:row r="642" ht="30" customHeight="1">
      <x:c r="A642" s="30" t="str">
        <x:v>BNP Paribas</x:v>
      </x:c>
      <x:c r="B642" s="30" t="str">
        <x:v>IBD / GCM</x:v>
      </x:c>
      <x:c r="C642" s="30" t="str">
        <x:v>Interview Note</x:v>
      </x:c>
      <x:c r="D642" s="31" t="str">
        <x:v>2-page pitch deck for Weilong</x:v>
      </x:c>
      <x:c r="E642" s="31" t="str">
        <x:v>I8</x:v>
      </x:c>
      <x:c r="F642" s="31" t="str">
        <x:v>Group Discussion | prioritisation of tasks in workplace | Case Study</x:v>
      </x:c>
    </x:row>
    <x:row r="643" ht="30" customHeight="1">
      <x:c r="A643" s="30" t="str">
        <x:v>BNP Paribas</x:v>
      </x:c>
      <x:c r="B643" s="30" t="str">
        <x:v>IBD / GCM</x:v>
      </x:c>
      <x:c r="C643" s="30" t="str">
        <x:v>Interview Note</x:v>
      </x:c>
      <x:c r="D643" s="31" t="str">
        <x:v>Total Comprehensive Income vs Net Income</x:v>
      </x:c>
      <x:c r="E643" s="31" t="str">
        <x:v>A10</x:v>
      </x:c>
      <x:c r="F643" s="31" t="str">
        <x:v>What does a teaser include | What does a CIM include | What does a Letter of Intent include</x:v>
      </x:c>
    </x:row>
    <x:row r="644" ht="62" customHeight="1">
      <x:c r="A644" s="30" t="str">
        <x:v>BNP Paribas</x:v>
      </x:c>
      <x:c r="B644" s="30" t="str">
        <x:v>IBD / GCM</x:v>
      </x:c>
      <x:c r="C644" s="30" t="str">
        <x:v>Interview Note</x:v>
      </x:c>
      <x:c r="D644" s="31" t="str">
        <x:v>If KKR cannot pay back the money on time, can we directly go to KKR and ask them</x:v>
      </x:c>
      <x:c r="E644" s="31" t="str">
        <x:v>E10</x:v>
      </x:c>
      <x:c r="F644" s="31" t="str">
        <x:v>What do you know about LBO | If you're my intern and we want to decide whether we should lend money to KKR for LBO, what will you include in a 2-page memo for me to read suppose I don't know anything about the company | Suppose the targe...</x:v>
      </x:c>
    </x:row>
    <x:row r="645" ht="46" customHeight="1">
      <x:c r="A645" s="30" t="str">
        <x:v>BNP Paribas</x:v>
      </x:c>
      <x:c r="B645" s="30" t="str">
        <x:v>IBD / GCM</x:v>
      </x:c>
      <x:c r="C645" s="30" t="str">
        <x:v>Interview Note</x:v>
      </x:c>
      <x:c r="D645" s="31" t="str">
        <x:v>if you cannot use bloomberg, how will you find the data</x:v>
      </x:c>
      <x:c r="E645" s="31" t="str">
        <x:v>G10</x:v>
      </x:c>
      <x:c r="F645" s="31" t="str">
        <x:v>Deep dive into each - DCF, comps, precedent transactions | e.g. what are some inputs for comps | where do u find the inputs</x:v>
      </x:c>
    </x:row>
    <x:row r="646" ht="62" customHeight="1">
      <x:c r="A646" s="30" t="str">
        <x:v>BNP Paribas</x:v>
      </x:c>
      <x:c r="B646" s="30" t="str">
        <x:v>IBD / GCM</x:v>
      </x:c>
      <x:c r="C646" s="30" t="str">
        <x:v>Interview Note</x:v>
      </x:c>
      <x:c r="D646" s="31" t="str">
        <x:v>Don't really remember the others sorry :/</x:v>
      </x:c>
      <x:c r="E646" s="31" t="str">
        <x:v>C11</x:v>
      </x:c>
      <x:c r="F646" s="31" t="str">
        <x:v>Since you mentioned about doing dd on their assets, what kind of assets | e.g. if the client has one property in HK, one in London, and just bought one in a Tier 3 city in Mainland, what will you do | Use Mandarin to talk about the marke...</x:v>
      </x:c>
    </x:row>
    <x:row r="647" ht="46" customHeight="1">
      <x:c r="A647" s="30" t="str">
        <x:v>BNP Paribas</x:v>
      </x:c>
      <x:c r="B647" s="30" t="str">
        <x:v>IBD / GCM</x:v>
      </x:c>
      <x:c r="C647" s="30" t="str">
        <x:v>Interview Note</x:v>
      </x:c>
      <x:c r="D647" s="31" t="str">
        <x:v>CV questions</x:v>
      </x:c>
      <x:c r="E647" s="31" t="str">
        <x:v>E12</x:v>
      </x:c>
      <x:c r="F647" s="31" t="str">
        <x:v>Suppose the target company (that KKR wants to invest in) has 100 cashflow per year, how much can we lend to KKR for LBO | If KKR cannot pay back the money on time, can we directly go to KKR and ask them | DCF</x:v>
      </x:c>
    </x:row>
    <x:row r="648" ht="46" customHeight="1">
      <x:c r="A648" s="30" t="str">
        <x:v>BNP Paribas</x:v>
      </x:c>
      <x:c r="B648" s="30" t="str">
        <x:v>IBD / GCM</x:v>
      </x:c>
      <x:c r="C648" s="30" t="str">
        <x:v>Interview Note</x:v>
      </x:c>
      <x:c r="D648" s="31" t="str">
        <x:v>For precedent transactions, a lot of data is not disclosed, how would you do</x:v>
      </x:c>
      <x:c r="E648" s="31" t="str">
        <x:v>G13</x:v>
      </x:c>
      <x:c r="F648" s="31" t="str">
        <x:v>if you cannot use bloomberg, how will you find the data | and some other follwup questions regarding the valuation methodologies, to make sure you know every single part of it | Enterprise Value (also drill about it)</x:v>
      </x:c>
    </x:row>
    <x:row r="649" ht="30" customHeight="1">
      <x:c r="A649" s="30" t="str">
        <x:v>BNP Paribas</x:v>
      </x:c>
      <x:c r="B649" s="30" t="str">
        <x:v>IBD / GCM</x:v>
      </x:c>
      <x:c r="C649" s="30" t="str">
        <x:v>Metadata</x:v>
      </x:c>
      <x:c r="D649" s="31" t="str">
        <x:v>2026 BNPP IBD TMT team</x:v>
      </x:c>
      <x:c r="E649" s="31" t="str">
        <x:v>A14</x:v>
      </x:c>
      <x:c r="F649" s="31" t="str">
        <x:v>Walk me through DCF | Deep dive DCF | Comps?? (forgot if she asked or not)</x:v>
      </x:c>
    </x:row>
    <x:row r="650" ht="30" customHeight="1">
      <x:c r="A650" s="30" t="str">
        <x:v>BNP Paribas</x:v>
      </x:c>
      <x:c r="B650" s="30" t="str">
        <x:v>IBD / GCM</x:v>
      </x:c>
      <x:c r="C650" s="30" t="str">
        <x:v>Metadata</x:v>
      </x:c>
      <x:c r="D650" s="31" t="str">
        <x:v>Jim</x:v>
      </x:c>
      <x:c r="E650" s="31" t="str">
        <x:v>A15</x:v>
      </x:c>
      <x:c r="F650" s="31" t="str">
        <x:v>Deep dive DCF | Comps?? (forgot if she asked or not) | 2026 BNPP IBD TMT team</x:v>
      </x:c>
    </x:row>
    <x:row r="651" ht="30" customHeight="1">
      <x:c r="A651" s="30" t="str">
        <x:v>BNP Paribas</x:v>
      </x:c>
      <x:c r="B651" s="30" t="str">
        <x:v>IBD / GCM</x:v>
      </x:c>
      <x:c r="C651" s="30" t="str">
        <x:v>Metadata</x:v>
      </x:c>
      <x:c r="D651" s="31" t="str">
        <x:v>first interviewer - Doris, a kind graduate from HKU with experience in Tencent</x:v>
      </x:c>
      <x:c r="E651" s="31" t="str">
        <x:v>A16</x:v>
      </x:c>
      <x:c r="F651" s="31" t="str">
        <x:v>Comps?? (forgot if she asked or not) | 2026 BNPP IBD TMT team | Jim</x:v>
      </x:c>
    </x:row>
    <x:row r="652" ht="46" customHeight="1">
      <x:c r="A652" s="30" t="str">
        <x:v>BNP Paribas</x:v>
      </x:c>
      <x:c r="B652" s="30" t="str">
        <x:v>IBD / GCM</x:v>
      </x:c>
      <x:c r="C652" s="30" t="str">
        <x:v>Metadata</x:v>
      </x:c>
      <x:c r="D652" s="31" t="str">
        <x:v>second interviewer</x:v>
      </x:c>
      <x:c r="E652" s="31" t="str">
        <x:v>C16</x:v>
      </x:c>
      <x:c r="F652" s="31" t="str">
        <x:v>e.g. if the client has one property in HK, one in London, and just bought one in a Tier 3 city in Mainland, what will you do | Use Mandarin to talk about the market for 2 minutes | Don't really remember the others sorry :/</x:v>
      </x:c>
    </x:row>
    <x:row r="653" ht="30" customHeight="1">
      <x:c r="A653" s="30" t="str">
        <x:v>BNP Paribas</x:v>
      </x:c>
      <x:c r="B653" s="30" t="str">
        <x:v>IBD / GCM</x:v>
      </x:c>
      <x:c r="C653" s="30" t="str">
        <x:v>Metadata</x:v>
      </x:c>
      <x:c r="D653" s="31" t="str">
        <x:v>third interviewer</x:v>
      </x:c>
      <x:c r="E653" s="31" t="str">
        <x:v>E16</x:v>
      </x:c>
      <x:c r="F653" s="31" t="str">
        <x:v>If KKR cannot pay back the money on time, can we directly go to KKR and ask them | DCF | CV questions</x:v>
      </x:c>
    </x:row>
    <x:row r="654" ht="30" customHeight="1">
      <x:c r="A654" s="30" t="str">
        <x:v>BNP Paribas</x:v>
      </x:c>
      <x:c r="B654" s="30" t="str">
        <x:v>IBD / GCM</x:v>
      </x:c>
      <x:c r="C654" s="30" t="str">
        <x:v>Interview Note</x:v>
      </x:c>
      <x:c r="D654" s="31" t="str">
        <x:v>The main focus was on asking questions about the resume.</x:v>
      </x:c>
      <x:c r="E654" s="31" t="str">
        <x:v>A17</x:v>
      </x:c>
      <x:c r="F654" s="31" t="str">
        <x:v>2026 BNPP IBD TMT team | Jim | first interviewer - Doris, a kind graduate from HKU with experience in Tencent</x:v>
      </x:c>
    </x:row>
    <x:row r="655" ht="30" customHeight="1">
      <x:c r="A655" s="30" t="str">
        <x:v>BNP Paribas</x:v>
      </x:c>
      <x:c r="B655" s="30" t="str">
        <x:v>IBD / GCM</x:v>
      </x:c>
      <x:c r="C655" s="30" t="str">
        <x:v>Interview Note</x:v>
      </x:c>
      <x:c r="D655" s="31" t="str">
        <x:v>The main focus was on asking questions about the resume.</x:v>
      </x:c>
      <x:c r="E655" s="31" t="str">
        <x:v>C17</x:v>
      </x:c>
      <x:c r="F655" s="31" t="str">
        <x:v>Use Mandarin to talk about the market for 2 minutes | Don't really remember the others sorry :/ | second interviewer</x:v>
      </x:c>
    </x:row>
    <x:row r="656" ht="30" customHeight="1">
      <x:c r="A656" s="30" t="str">
        <x:v>BNP Paribas</x:v>
      </x:c>
      <x:c r="B656" s="30" t="str">
        <x:v>IBD / GCM</x:v>
      </x:c>
      <x:c r="C656" s="30" t="str">
        <x:v>Interview Note</x:v>
      </x:c>
      <x:c r="D656" s="31" t="str">
        <x:v>The main focus was on asking questions about the resume.</x:v>
      </x:c>
      <x:c r="E656" s="31" t="str">
        <x:v>E17</x:v>
      </x:c>
      <x:c r="F656" s="31" t="str">
        <x:v>DCF | CV questions | third interviewer</x:v>
      </x:c>
    </x:row>
    <x:row r="657" ht="46" customHeight="1">
      <x:c r="A657" s="30" t="str">
        <x:v>BNP Paribas</x:v>
      </x:c>
      <x:c r="B657" s="30" t="str">
        <x:v>IBD / GCM</x:v>
      </x:c>
      <x:c r="C657" s="30" t="str">
        <x:v>Interview Note</x:v>
      </x:c>
      <x:c r="D657" s="31" t="str">
        <x:v>Hong Kong Stock Exchange Listing Process</x:v>
      </x:c>
      <x:c r="E657" s="31" t="str">
        <x:v>C18</x:v>
      </x:c>
      <x:c r="F657" s="31" t="str">
        <x:v>Don't really remember the others sorry :/ | second interviewer | The main focus was on asking questions about the resume.</x:v>
      </x:c>
    </x:row>
    <x:row r="658" ht="30" customHeight="1">
      <x:c r="A658" s="30" t="str">
        <x:v>BNP Paribas</x:v>
      </x:c>
      <x:c r="B658" s="30" t="str">
        <x:v>IBD / GCM</x:v>
      </x:c>
      <x:c r="C658" s="30" t="str">
        <x:v>Interview Note</x:v>
      </x:c>
      <x:c r="D658" s="31" t="str">
        <x:v>An interviewer who was extremely intimidating and put immense pressure on the candidates.</x:v>
      </x:c>
      <x:c r="E658" s="31" t="str">
        <x:v>E18</x:v>
      </x:c>
      <x:c r="F658" s="31" t="str">
        <x:v>CV questions | third interviewer | The main focus was on asking questions about the resume.</x:v>
      </x:c>
    </x:row>
    <x:row r="659" ht="46" customHeight="1">
      <x:c r="A659" s="30" t="str">
        <x:v>BNP Paribas</x:v>
      </x:c>
      <x:c r="B659" s="30" t="str">
        <x:v>IBD / GCM</x:v>
      </x:c>
      <x:c r="C659" s="30" t="str">
        <x:v>Metadata</x:v>
      </x:c>
      <x:c r="D659" s="31" t="str">
        <x:v>First, spend four minutes questioning my motives.</x:v>
      </x:c>
      <x:c r="E659" s="31" t="str">
        <x:v>E19</x:v>
      </x:c>
      <x:c r="F659" s="31" t="str">
        <x:v>third interviewer | The main focus was on asking questions about the resume. | An interviewer who was extremely intimidating and put immense pressure on the candidates.</x:v>
      </x:c>
    </x:row>
    <x:row r="660" ht="46" customHeight="1">
      <x:c r="A660" s="30" t="str">
        <x:v>BNP Paribas</x:v>
      </x:c>
      <x:c r="B660" s="30" t="str">
        <x:v>IBD / GCM</x:v>
      </x:c>
      <x:c r="C660" s="30" t="str">
        <x:v>Interview Note</x:v>
      </x:c>
      <x:c r="D660" s="31" t="str">
        <x:v>Formulas for some basic indicators, such as ROE and price-to-earnings ratio.</x:v>
      </x:c>
      <x:c r="E660" s="31" t="str">
        <x:v>A20</x:v>
      </x:c>
      <x:c r="F660" s="31" t="str">
        <x:v>The main focus was on asking questions about the resume. | My insights into the TMT industry and why I chose TMT (I originally worked primarily in pharmaceuticals). | The conversion between EV, equity value, and company market capitaliza...</x:v>
      </x:c>
    </x:row>
    <x:row r="661" ht="62" customHeight="1">
      <x:c r="A661" s="30" t="str">
        <x:v>BNP Paribas</x:v>
      </x:c>
      <x:c r="B661" s="30" t="str">
        <x:v>IBD / GCM</x:v>
      </x:c>
      <x:c r="C661" s="30" t="str">
        <x:v>Interview Note</x:v>
      </x:c>
      <x:c r="D661" s="31" t="str">
        <x:v>Some questions about personal stories and career development</x:v>
      </x:c>
      <x:c r="E661" s="31" t="str">
        <x:v>A24</x:v>
      </x:c>
      <x:c r="F661" s="31" t="str">
        <x:v>They'll ask some questions about industries I've worked in before; mine was the stablecoin industry, but not in great depth. | A detailed breakdown of WACC, down to how beta is determined. | Motivational questioning, because I haven't do...</x:v>
      </x:c>
    </x:row>
    <x:row r="662" ht="46" customHeight="1">
      <x:c r="A662" s="30" t="str">
        <x:v>BNP Paribas</x:v>
      </x:c>
      <x:c r="B662" s="30" t="str">
        <x:v>IBD / GCM</x:v>
      </x:c>
      <x:c r="C662" s="30" t="str">
        <x:v>Interview Note</x:v>
      </x:c>
      <x:c r="D662" s="31" t="str">
        <x:v>The specific contents of an Offering Memorandum</x:v>
      </x:c>
      <x:c r="E662" s="31" t="str">
        <x:v>C24</x:v>
      </x:c>
      <x:c r="F662" s="31" t="str">
        <x:v>They are interested in my experience in the pharmaceutical industry, curious about my methodologies, and importantly, the logic must be sound. | Motivational questioning, because I haven't done an IBD internship. | DCF</x:v>
      </x:c>
    </x:row>
    <x:row r="663" ht="62" customHeight="1">
      <x:c r="A663" s="30" t="str">
        <x:v>BNP Paribas</x:v>
      </x:c>
      <x:c r="B663" s="30" t="str">
        <x:v>IBD / GCM</x:v>
      </x:c>
      <x:c r="C663" s="30" t="str">
        <x:v>Interview Note</x:v>
      </x:c>
      <x:c r="D663" s="31" t="str">
        <x:v>In short, make sure you have a flagship project that you can talk about for 30 minutes straight, and that you know all the details.</x:v>
      </x:c>
      <x:c r="E663" s="31" t="str">
        <x:v>E25</x:v>
      </x:c>
      <x:c r="F663" s="31" t="str">
        <x:v>So please take the time to recall the numerical details of the valuation model, as well as the detailed data of the company's business. For example, how many monkeys does a CRO company reproduce in a year, and what is the price of a monk...</x:v>
      </x:c>
    </x:row>
    <x:row r="664" ht="46" customHeight="1">
      <x:c r="A664" s="30" t="str">
        <x:v>BNP Paribas</x:v>
      </x:c>
      <x:c r="B664" s="30" t="str">
        <x:v>IBD / GCM</x:v>
      </x:c>
      <x:c r="C664" s="30" t="str">
        <x:v>Interview Note</x:v>
      </x:c>
      <x:c r="D664" s="31" t="str">
        <x:v>The language is changed from English to Mandarin.</x:v>
      </x:c>
      <x:c r="E664" s="31" t="str">
        <x:v>A26</x:v>
      </x:c>
      <x:c r="F664" s="31" t="str">
        <x:v>A detailed breakdown of WACC, down to how beta is determined. | Motivational questioning, because I haven't done an IBD internship. | Some questions about personal stories and career development</x:v>
      </x:c>
    </x:row>
    <x:row r="665" ht="46" customHeight="1">
      <x:c r="A665" s="30" t="str">
        <x:v>BNP Paribas</x:v>
      </x:c>
      <x:c r="B665" s="30" t="str">
        <x:v>IBD / GCM</x:v>
      </x:c>
      <x:c r="C665" s="30" t="str">
        <x:v>Interview Note</x:v>
      </x:c>
      <x:c r="D665" s="31" t="str">
        <x:v>The language is translated from Mandarin to English.</x:v>
      </x:c>
      <x:c r="E665" s="31" t="str">
        <x:v>C28</x:v>
      </x:c>
      <x:c r="F665" s="31" t="str">
        <x:v>The specific contents of an Offering Memorandum | What is the process of a typical Sell-side M&amp;A deal | My insights into the TMT industry and why I chose TMT (I originally worked primarily in pharmaceuticals).</x:v>
      </x:c>
    </x:row>
    <x:row r="666" ht="46" customHeight="1">
      <x:c r="A666" s="30" t="str">
        <x:v>BNP Paribas</x:v>
      </x:c>
      <x:c r="B666" s="30" t="str">
        <x:v>IBD / GCM</x:v>
      </x:c>
      <x:c r="C666" s="30" t="str">
        <x:v>Metadata</x:v>
      </x:c>
      <x:c r="D666" s="31" t="str">
        <x:v>2026 BNPP IBD - M&amp;A Team</x:v>
      </x:c>
      <x:c r="E666" s="31" t="str">
        <x:v>A30</x:v>
      </x:c>
      <x:c r="F666" s="31" t="str">
        <x:v>Motivational questioning, because I haven't done an IBD internship. | Some questions about personal stories and career development | The language is changed from English to Mandarin.</x:v>
      </x:c>
    </x:row>
    <x:row r="667" ht="46" customHeight="1">
      <x:c r="A667" s="30" t="str">
        <x:v>BNP Paribas</x:v>
      </x:c>
      <x:c r="B667" s="30" t="str">
        <x:v>IBD / GCM</x:v>
      </x:c>
      <x:c r="C667" s="30" t="str">
        <x:v>Interview Note</x:v>
      </x:c>
      <x:c r="D667" s="31" t="str">
        <x:v>Charles</x:v>
      </x:c>
      <x:c r="E667" s="31" t="str">
        <x:v>A31</x:v>
      </x:c>
      <x:c r="F667" s="31" t="str">
        <x:v>Some questions about personal stories and career development | The language is changed from English to Mandarin. | 2026 BNPP IBD - M&amp;A Team</x:v>
      </x:c>
    </x:row>
    <x:row r="668" ht="30" customHeight="1">
      <x:c r="A668" s="30" t="str">
        <x:v>BNP Paribas</x:v>
      </x:c>
      <x:c r="B668" s="30" t="str">
        <x:v>IBD / GCM</x:v>
      </x:c>
      <x:c r="C668" s="30" t="str">
        <x:v>Metadata</x:v>
      </x:c>
      <x:c r="D668" s="31" t="str">
        <x:v>Round 1 (VP + Asso)</x:v>
      </x:c>
      <x:c r="E668" s="31" t="str">
        <x:v>A33</x:v>
      </x:c>
      <x:c r="F668" s="31" t="str">
        <x:v>The language is changed from English to Mandarin. | 2026 BNPP IBD - M&amp;A Team | Charles</x:v>
      </x:c>
    </x:row>
    <x:row r="669" ht="62" customHeight="1">
      <x:c r="A669" s="30" t="str">
        <x:v>BNP Paribas</x:v>
      </x:c>
      <x:c r="B669" s="30" t="str">
        <x:v>IBD / GCM</x:v>
      </x:c>
      <x:c r="C669" s="30" t="str">
        <x:v>Metadata</x:v>
      </x:c>
      <x:c r="D669" s="31" t="str">
        <x:v>Round 2 (D)</x:v>
      </x:c>
      <x:c r="E669" s="31" t="str">
        <x:v>E33</x:v>
      </x:c>
      <x:c r="F669" s="31" t="str">
        <x:v>Also, please remember the company's specific valuation figure; he will check its accuracy on his phone on the spot. Furthermore, you must have a clear understanding of your role, such as in which specific detail the investment value anal...</x:v>
      </x:c>
    </x:row>
    <x:row r="670" ht="62" customHeight="1">
      <x:c r="A670" s="30" t="str">
        <x:v>BNP Paribas</x:v>
      </x:c>
      <x:c r="B670" s="30" t="str">
        <x:v>IBD / GCM</x:v>
      </x:c>
      <x:c r="C670" s="30" t="str">
        <x:v>Metadata</x:v>
      </x:c>
      <x:c r="D670" s="31" t="str">
        <x:v>HR Meeting</x:v>
      </x:c>
      <x:c r="E670" s="31" t="str">
        <x:v>G33</x:v>
      </x:c>
      <x:c r="F670" s="31" t="str">
        <x:v>For precedent transactions, a lot of data is not disclosed, how would you do | since you mentioned about getting some public info about the deal through reading news, suppose in the news they said the company acquired 70% stake, how woul...</x:v>
      </x:c>
    </x:row>
    <x:row r="671" ht="30" customHeight="1">
      <x:c r="A671" s="30" t="str">
        <x:v>BNP Paribas</x:v>
      </x:c>
      <x:c r="B671" s="30" t="str">
        <x:v>IBD / GCM</x:v>
      </x:c>
      <x:c r="C671" s="30" t="str">
        <x:v>Metadata</x:v>
      </x:c>
      <x:c r="D671" s="31" t="str">
        <x:v>VP - Nichole (English)</x:v>
      </x:c>
      <x:c r="E671" s="31" t="str">
        <x:v>A34</x:v>
      </x:c>
      <x:c r="F671" s="31" t="str">
        <x:v>2026 BNPP IBD - M&amp;A Team | Charles | Round 1 (VP + Asso)</x:v>
      </x:c>
    </x:row>
    <x:row r="672" ht="46" customHeight="1">
      <x:c r="A672" s="30" t="str">
        <x:v>BNP Paribas</x:v>
      </x:c>
      <x:c r="B672" s="30" t="str">
        <x:v>IBD / GCM</x:v>
      </x:c>
      <x:c r="C672" s="30" t="str">
        <x:v>Metadata</x:v>
      </x:c>
      <x:c r="D672" s="31" t="str">
        <x:v>Asso (English + Mandarin)</x:v>
      </x:c>
      <x:c r="E672" s="31" t="str">
        <x:v>C34</x:v>
      </x:c>
      <x:c r="F672" s="31" t="str">
        <x:v>What is the process of a typical Sell-side M&amp;A deal | My insights into the TMT industry and why I chose TMT (I originally worked primarily in pharmaceuticals). | The language is translated from Mandarin to English.</x:v>
      </x:c>
    </x:row>
    <x:row r="673" ht="62" customHeight="1">
      <x:c r="A673" s="30" t="str">
        <x:v>BNP Paribas</x:v>
      </x:c>
      <x:c r="B673" s="30" t="str">
        <x:v>IBD / GCM</x:v>
      </x:c>
      <x:c r="C673" s="30" t="str">
        <x:v>Interview Note</x:v>
      </x:c>
      <x:c r="D673" s="31" t="str">
        <x:v>D - Calvin (English)</x:v>
      </x:c>
      <x:c r="E673" s="31" t="str">
        <x:v>E34</x:v>
      </x:c>
      <x:c r="F673" s="31" t="str">
        <x:v>Valuation definitely needs to start with DCF and comparable company valuation methods. Please remember every detail of the figures, such as WACC, g, and risk-free rate, etc. | In short, make sure you have a flagship project that you can ...</x:v>
      </x:c>
    </x:row>
    <x:row r="674" ht="62" customHeight="1">
      <x:c r="A674" s="30" t="str">
        <x:v>BNP Paribas</x:v>
      </x:c>
      <x:c r="B674" s="30" t="str">
        <x:v>IBD / GCM</x:v>
      </x:c>
      <x:c r="C674" s="30" t="str">
        <x:v>Interview Note</x:v>
      </x:c>
      <x:c r="D674" s="31" t="str">
        <x:v>This is about BQs and business culture/compliance questions, about half an hour (Also prepared for this!)</x:v>
      </x:c>
      <x:c r="E674" s="31" t="str">
        <x:v>G34</x:v>
      </x:c>
      <x:c r="F674" s="31" t="str">
        <x:v>since you mentioned about getting some public info about the deal through reading news, suppose in the news they said the company acquired 70% stake, how would you find the enterprise value | is the value that you calculated from "70%" e...</x:v>
      </x:c>
    </x:row>
    <x:row r="675" ht="46" customHeight="1">
      <x:c r="A675" s="30" t="str">
        <x:v>BNP Paribas</x:v>
      </x:c>
      <x:c r="B675" s="30" t="str">
        <x:v>IBD / GCM</x:v>
      </x:c>
      <x:c r="C675" s="30" t="str">
        <x:v>Interview Note</x:v>
      </x:c>
      <x:c r="D675" s="31" t="str">
        <x:v>Sell-side M&amp;A process</x:v>
      </x:c>
      <x:c r="E675" s="31" t="str">
        <x:v>C38</x:v>
      </x:c>
      <x:c r="F675" s="31" t="str">
        <x:v>What did you do in the M&amp;A precedent transaction research? The purpose? | Different ways of privatisation? | most of your experience is IPO-related — why M&amp;A?</x:v>
      </x:c>
    </x:row>
    <x:row r="676" ht="30" customHeight="1">
      <x:c r="A676" s="30" t="str">
        <x:v>BNP Paribas</x:v>
      </x:c>
      <x:c r="B676" s="30" t="str">
        <x:v>IBD / GCM</x:v>
      </x:c>
      <x:c r="C676" s="30" t="str">
        <x:v>Interview Note</x:v>
      </x:c>
      <x:c r="D676" s="31" t="str">
        <x:v>Basic understanding of the documents (NDA, CIM)</x:v>
      </x:c>
      <x:c r="E676" s="31" t="str">
        <x:v>C39</x:v>
      </x:c>
      <x:c r="F676" s="31" t="str">
        <x:v>Different ways of privatisation? | most of your experience is IPO-related — why M&amp;A? | Sell-side M&amp;A process</x:v>
      </x:c>
    </x:row>
    <x:row r="677" ht="30" customHeight="1">
      <x:c r="A677" s="30" t="str">
        <x:v>BNP Paribas</x:v>
      </x:c>
      <x:c r="B677" s="30" t="str">
        <x:v>IBD / GCM</x:v>
      </x:c>
      <x:c r="C677" s="30" t="str">
        <x:v>Interview Note</x:v>
      </x:c>
      <x:c r="D677" s="31" t="str">
        <x:v>(Change to Mandarin)</x:v>
      </x:c>
      <x:c r="E677" s="31" t="str">
        <x:v>C42</x:v>
      </x:c>
      <x:c r="F677" s="31" t="str">
        <x:v>Sell-side M&amp;A process | Basic understanding of the documents (NDA, CIM) | How about buy-side, difference?</x:v>
      </x:c>
    </x:row>
    <x:row r="678" ht="46" customHeight="1">
      <x:c r="A678" s="30" t="str">
        <x:v>BNP Paribas</x:v>
      </x:c>
      <x:c r="B678" s="30" t="str">
        <x:v>IBD / GCM</x:v>
      </x:c>
      <x:c r="C678" s="30" t="str">
        <x:v>Interview Note</x:v>
      </x:c>
      <x:c r="D678" s="31" t="str">
        <x:v>Asked about SOTP (talked about the logistics but not detail)</x:v>
      </x:c>
      <x:c r="E678" s="31" t="str">
        <x:v>A44</x:v>
      </x:c>
      <x:c r="F678" s="31" t="str">
        <x:v>How did you build up the revenue forecast/model? | DCF details (I mentioned about SOTP used in biotech) | How do you get beta (levered/unlevered)</x:v>
      </x:c>
    </x:row>
    <x:row r="679" ht="46" customHeight="1">
      <x:c r="A679" s="30" t="str">
        <x:v>BNP Paribas</x:v>
      </x:c>
      <x:c r="B679" s="30" t="str">
        <x:v>IBD / GCM</x:v>
      </x:c>
      <x:c r="C679" s="30" t="str">
        <x:v>Interview Note</x:v>
      </x:c>
      <x:c r="D679" s="31" t="str">
        <x:v>Discussed about their deals</x:v>
      </x:c>
      <x:c r="E679" s="31" t="str">
        <x:v>E44</x:v>
      </x:c>
      <x:c r="F679" s="31" t="str">
        <x:v>DCF - PV proportion of the growth period and the TV | Do you know IFRS 16? | Industry you familiar with (I talked about EV, as they have worked on deals in EV)</x:v>
      </x:c>
    </x:row>
    <x:row r="680" ht="46" customHeight="1">
      <x:c r="A680" s="30" t="str">
        <x:v>BNP Paribas</x:v>
      </x:c>
      <x:c r="B680" s="30" t="str">
        <x:v>IBD / GCM</x:v>
      </x:c>
      <x:c r="C680" s="30" t="str">
        <x:v>Interview Note</x:v>
      </x:c>
      <x:c r="D680" s="31" t="str">
        <x:v>Career plan</x:v>
      </x:c>
      <x:c r="E680" s="31" t="str">
        <x:v>C45</x:v>
      </x:c>
      <x:c r="F680" s="31" t="str">
        <x:v>(Change to Mandarin) | Talk about previous internships, what have you learnt | Relationship between my internships (same company different offices)</x:v>
      </x:c>
    </x:row>
    <x:row r="681" ht="46" customHeight="1">
      <x:c r="A681" s="30" t="str">
        <x:v>BNP Paribas</x:v>
      </x:c>
      <x:c r="B681" s="30" t="str">
        <x:v>IBD / GCM</x:v>
      </x:c>
      <x:c r="C681" s="30" t="str">
        <x:v>Interview Note</x:v>
      </x:c>
      <x:c r="D681" s="31" t="str">
        <x:v>Regular checks</x:v>
      </x:c>
      <x:c r="E681" s="31" t="str">
        <x:v>C46</x:v>
      </x:c>
      <x:c r="F681" s="31" t="str">
        <x:v>Talk about previous internships, what have you learnt | Relationship between my internships (same company different offices) | Career plan</x:v>
      </x:c>
    </x:row>
    <x:row r="682" ht="46" customHeight="1">
      <x:c r="A682" s="30" t="str">
        <x:v>BNP Paribas</x:v>
      </x:c>
      <x:c r="B682" s="30" t="str">
        <x:v>IBD / GCM</x:v>
      </x:c>
      <x:c r="C682" s="30" t="str">
        <x:v>Interview Note</x:v>
      </x:c>
      <x:c r="D682" s="31" t="str">
        <x:v>Comparable comps</x:v>
      </x:c>
      <x:c r="E682" s="31" t="str">
        <x:v>A47</x:v>
      </x:c>
      <x:c r="F682" s="31" t="str">
        <x:v>Asked about SOTP (talked about the logistics but not detail) | How the 3 statements are linked | What key metrics would you focus on in healthcare</x:v>
      </x:c>
    </x:row>
    <x:row r="683" ht="46" customHeight="1">
      <x:c r="A683" s="30" t="str">
        <x:v>BNP Paribas</x:v>
      </x:c>
      <x:c r="B683" s="30" t="str">
        <x:v>IBD / GCM</x:v>
      </x:c>
      <x:c r="C683" s="30" t="str">
        <x:v>Interview Note</x:v>
      </x:c>
      <x:c r="D683" s="31" t="str">
        <x:v>(I accidentally forgot...) Use your gut feeling, make a guess</x:v>
      </x:c>
      <x:c r="E683" s="31" t="str">
        <x:v>A49</x:v>
      </x:c>
      <x:c r="F683" s="31" t="str">
        <x:v>What key metrics would you focus on in healthcare | Comparable comps | What was the average EV/EBITDA multiple of your selected comps?</x:v>
      </x:c>
    </x:row>
    <x:row r="684" ht="30" customHeight="1">
      <x:c r="A684" s="30" t="str">
        <x:v>HSBC</x:v>
      </x:c>
      <x:c r="B684" s="30" t="str">
        <x:v>IBD / GCM</x:v>
      </x:c>
      <x:c r="C684" s="30" t="str">
        <x:v>Metadata</x:v>
      </x:c>
      <x:c r="D684" s="31" t="str">
        <x:v>2024 SA</x:v>
      </x:c>
      <x:c r="E684" s="31" t="str">
        <x:v>A1</x:v>
      </x:c>
      <x:c r="F684" s="31" t="str"/>
    </x:row>
    <x:row r="685" ht="30" customHeight="1">
      <x:c r="A685" s="30" t="str">
        <x:v>HSBC</x:v>
      </x:c>
      <x:c r="B685" s="30" t="str">
        <x:v>IBD / GCM</x:v>
      </x:c>
      <x:c r="C685" s="30" t="str">
        <x:v>Metadata</x:v>
      </x:c>
      <x:c r="D685" s="31" t="str">
        <x:v>First Interviewer</x:v>
      </x:c>
      <x:c r="E685" s="31" t="str">
        <x:v>A2</x:v>
      </x:c>
      <x:c r="F685" s="31" t="str">
        <x:v>2024 SA</x:v>
      </x:c>
    </x:row>
    <x:row r="686" ht="30" customHeight="1">
      <x:c r="A686" s="30" t="str">
        <x:v>HSBC</x:v>
      </x:c>
      <x:c r="B686" s="30" t="str">
        <x:v>IBD / GCM</x:v>
      </x:c>
      <x:c r="C686" s="30" t="str">
        <x:v>Metadata</x:v>
      </x:c>
      <x:c r="D686" s="31" t="str">
        <x:v>Second Interviewer</x:v>
      </x:c>
      <x:c r="E686" s="31" t="str">
        <x:v>C2</x:v>
      </x:c>
      <x:c r="F686" s="31" t="str"/>
    </x:row>
    <x:row r="687" ht="30" customHeight="1">
      <x:c r="A687" s="30" t="str">
        <x:v>HSBC</x:v>
      </x:c>
      <x:c r="B687" s="30" t="str">
        <x:v>IBD / GCM</x:v>
      </x:c>
      <x:c r="C687" s="30" t="str">
        <x:v>Metadata</x:v>
      </x:c>
      <x:c r="D687" s="31" t="str">
        <x:v>Third Interviewer</x:v>
      </x:c>
      <x:c r="E687" s="31" t="str">
        <x:v>E2</x:v>
      </x:c>
      <x:c r="F687" s="31" t="str"/>
    </x:row>
    <x:row r="688" ht="30" customHeight="1">
      <x:c r="A688" s="30" t="str">
        <x:v>HSBC</x:v>
      </x:c>
      <x:c r="B688" s="30" t="str">
        <x:v>IBD / GCM</x:v>
      </x:c>
      <x:c r="C688" s="30" t="str">
        <x:v>Metadata</x:v>
      </x:c>
      <x:c r="D688" s="31" t="str">
        <x:v>Beata</x:v>
      </x:c>
      <x:c r="E688" s="31" t="str">
        <x:v>A3</x:v>
      </x:c>
      <x:c r="F688" s="31" t="str">
        <x:v>2024 SA | First Interviewer</x:v>
      </x:c>
    </x:row>
    <x:row r="689" ht="30" customHeight="1">
      <x:c r="A689" s="30" t="str">
        <x:v>HSBC</x:v>
      </x:c>
      <x:c r="B689" s="30" t="str">
        <x:v>IBD / GCM</x:v>
      </x:c>
      <x:c r="C689" s="30" t="str">
        <x:v>Interview Note</x:v>
      </x:c>
      <x:c r="D689" s="31" t="str">
        <x:v>Cliff Ye (Head of Consumer &amp; Retail)</x:v>
      </x:c>
      <x:c r="E689" s="31" t="str">
        <x:v>A4</x:v>
      </x:c>
      <x:c r="F689" s="31" t="str">
        <x:v>2024 SA | First Interviewer | Beata</x:v>
      </x:c>
    </x:row>
    <x:row r="690" ht="30" customHeight="1">
      <x:c r="A690" s="30" t="str">
        <x:v>HSBC</x:v>
      </x:c>
      <x:c r="B690" s="30" t="str">
        <x:v>IBD / GCM</x:v>
      </x:c>
      <x:c r="C690" s="30" t="str">
        <x:v>Interview Note</x:v>
      </x:c>
      <x:c r="D690" s="31" t="str">
        <x:v>Delphine Lee (DCM)</x:v>
      </x:c>
      <x:c r="E690" s="31" t="str">
        <x:v>C4</x:v>
      </x:c>
      <x:c r="F690" s="31" t="str">
        <x:v>Second Interviewer</x:v>
      </x:c>
    </x:row>
    <x:row r="691" ht="30" customHeight="1">
      <x:c r="A691" s="30" t="str">
        <x:v>HSBC</x:v>
      </x:c>
      <x:c r="B691" s="30" t="str">
        <x:v>IBD / GCM</x:v>
      </x:c>
      <x:c r="C691" s="30" t="str">
        <x:v>Interview Note</x:v>
      </x:c>
      <x:c r="D691" s="31" t="str">
        <x:v>Gu Haibo (Head of ECM)</x:v>
      </x:c>
      <x:c r="E691" s="31" t="str">
        <x:v>E4</x:v>
      </x:c>
      <x:c r="F691" s="31" t="str">
        <x:v>Third Interviewer</x:v>
      </x:c>
    </x:row>
    <x:row r="692" ht="30" customHeight="1">
      <x:c r="A692" s="30" t="str">
        <x:v>HSBC</x:v>
      </x:c>
      <x:c r="B692" s="30" t="str">
        <x:v>IBD / GCM</x:v>
      </x:c>
      <x:c r="C692" s="30" t="str">
        <x:v>Interview Note</x:v>
      </x:c>
      <x:c r="D692" s="31" t="str">
        <x:v>Chit Chat</x:v>
      </x:c>
      <x:c r="E692" s="31" t="str">
        <x:v>A7</x:v>
      </x:c>
      <x:c r="F692" s="31" t="str">
        <x:v>Beata | Cliff Ye (Head of Consumer &amp; Retail) | How to pronounce your name</x:v>
      </x:c>
    </x:row>
    <x:row r="693" ht="30" customHeight="1">
      <x:c r="A693" s="30" t="str">
        <x:v>HSBC</x:v>
      </x:c>
      <x:c r="B693" s="30" t="str">
        <x:v>IBD / GCM</x:v>
      </x:c>
      <x:c r="C693" s="30" t="str">
        <x:v>Interview Note</x:v>
      </x:c>
      <x:c r="D693" s="31" t="str">
        <x:v>Chit Chat</x:v>
      </x:c>
      <x:c r="E693" s="31" t="str">
        <x:v>C7</x:v>
      </x:c>
      <x:c r="F693" s="31" t="str">
        <x:v>Second Interviewer | Delphine Lee (DCM) | How to pronounce your name</x:v>
      </x:c>
    </x:row>
    <x:row r="694" ht="30" customHeight="1">
      <x:c r="A694" s="30" t="str">
        <x:v>HSBC</x:v>
      </x:c>
      <x:c r="B694" s="30" t="str">
        <x:v>IBD / GCM</x:v>
      </x:c>
      <x:c r="C694" s="30" t="str">
        <x:v>Interview Note</x:v>
      </x:c>
      <x:c r="D694" s="31" t="str">
        <x:v>Chit Chat (like what's ur favorite subject)</x:v>
      </x:c>
      <x:c r="E694" s="31" t="str">
        <x:v>E8</x:v>
      </x:c>
      <x:c r="F694" s="31" t="str">
        <x:v>Gu Haibo (Head of ECM) | How to pronounce your name | Is your name an English name</x:v>
      </x:c>
    </x:row>
    <x:row r="695" ht="30" customHeight="1">
      <x:c r="A695" s="30" t="str">
        <x:v>HSBC</x:v>
      </x:c>
      <x:c r="B695" s="30" t="str">
        <x:v>IBD / GCM</x:v>
      </x:c>
      <x:c r="C695" s="30" t="str">
        <x:v>Interview Note</x:v>
      </x:c>
      <x:c r="D695" s="31" t="str">
        <x:v>Chit Chat</x:v>
      </x:c>
      <x:c r="E695" s="31" t="str">
        <x:v>A9</x:v>
      </x:c>
      <x:c r="F695" s="31" t="str">
        <x:v>How to pronounce your name | Chit Chat | What are your hobbies, show me your Instagram filters</x:v>
      </x:c>
    </x:row>
    <x:row r="696" ht="30" customHeight="1">
      <x:c r="A696" s="30" t="str">
        <x:v>HSBC</x:v>
      </x:c>
      <x:c r="B696" s="30" t="str">
        <x:v>IBD / GCM</x:v>
      </x:c>
      <x:c r="C696" s="30" t="str">
        <x:v>Interview Note</x:v>
      </x:c>
      <x:c r="D696" s="31" t="str">
        <x:v>Squareroot of 4000</x:v>
      </x:c>
      <x:c r="E696" s="31" t="str">
        <x:v>C9</x:v>
      </x:c>
      <x:c r="F696" s="31" t="str">
        <x:v>How to pronounce your name | Chit Chat | Why IBD</x:v>
      </x:c>
    </x:row>
    <x:row r="697" ht="30" customHeight="1">
      <x:c r="A697" s="30" t="str">
        <x:v>HSBC</x:v>
      </x:c>
      <x:c r="B697" s="30" t="str">
        <x:v>IBD / GCM</x:v>
      </x:c>
      <x:c r="C697" s="30" t="str">
        <x:v>Interview Note</x:v>
      </x:c>
      <x:c r="D697" s="31" t="str">
        <x:v>Impact of Israel-Hamas War on M&amp;A deals</x:v>
      </x:c>
      <x:c r="E697" s="31" t="str">
        <x:v>A10</x:v>
      </x:c>
      <x:c r="F697" s="31" t="str">
        <x:v>Chit Chat | What are your hobbies, show me your Instagram filters | Chit Chat</x:v>
      </x:c>
    </x:row>
    <x:row r="698" ht="30" customHeight="1">
      <x:c r="A698" s="30" t="str">
        <x:v>HSBC</x:v>
      </x:c>
      <x:c r="B698" s="30" t="str">
        <x:v>IBD / GCM</x:v>
      </x:c>
      <x:c r="C698" s="30" t="str">
        <x:v>Interview Note</x:v>
      </x:c>
      <x:c r="D698" s="31" t="str">
        <x:v>Debt vs Equity</x:v>
      </x:c>
      <x:c r="E698" s="31" t="str">
        <x:v>A11</x:v>
      </x:c>
      <x:c r="F698" s="31" t="str">
        <x:v>What are your hobbies, show me your Instagram filters | Chit Chat | Impact of Israel-Hamas War on M&amp;A deals</x:v>
      </x:c>
    </x:row>
    <x:row r="699" ht="30" customHeight="1">
      <x:c r="A699" s="30" t="str">
        <x:v>HSBC</x:v>
      </x:c>
      <x:c r="B699" s="30" t="str">
        <x:v>IBD / GCM</x:v>
      </x:c>
      <x:c r="C699" s="30" t="str">
        <x:v>Interview Note</x:v>
      </x:c>
      <x:c r="D699" s="31" t="str">
        <x:v>You didn't know leveraged finance right</x:v>
      </x:c>
      <x:c r="E699" s="31" t="str">
        <x:v>C11</x:v>
      </x:c>
      <x:c r="F699" s="31" t="str">
        <x:v>Why IBD | Squareroot of 4000 | What's WACC</x:v>
      </x:c>
    </x:row>
    <x:row r="700" ht="30" customHeight="1">
      <x:c r="A700" s="30" t="str">
        <x:v>HSBC</x:v>
      </x:c>
      <x:c r="B700" s="30" t="str">
        <x:v>IBD / GCM</x:v>
      </x:c>
      <x:c r="C700" s="30" t="str">
        <x:v>Interview Note</x:v>
      </x:c>
      <x:c r="D700" s="31" t="str">
        <x:v>(i said no i didnt) then what discount rate do you use in leveraged finance</x:v>
      </x:c>
      <x:c r="E700" s="31" t="str">
        <x:v>C12</x:v>
      </x:c>
      <x:c r="F700" s="31" t="str">
        <x:v>Squareroot of 4000 | What's WACC | You didn't know leveraged finance right</x:v>
      </x:c>
    </x:row>
    <x:row r="701" ht="46" customHeight="1">
      <x:c r="A701" s="30" t="str">
        <x:v>HSBC</x:v>
      </x:c>
      <x:c r="B701" s="30" t="str">
        <x:v>IBD / GCM</x:v>
      </x:c>
      <x:c r="C701" s="30" t="str">
        <x:v>Interview Note</x:v>
      </x:c>
      <x:c r="D701" s="31" t="str">
        <x:v>a bit more tech qs but i dont remember</x:v>
      </x:c>
      <x:c r="E701" s="31" t="str">
        <x:v>E14</x:v>
      </x:c>
      <x:c r="F701" s="31" t="str">
        <x:v>how do you find equity value from enterprise value | why do u need to include preferred stock in enterprise value | 3 statements question?? not sure if he asked</x:v>
      </x:c>
    </x:row>
    <x:row r="702" ht="46" customHeight="1">
      <x:c r="A702" s="30" t="str">
        <x:v>HSBC</x:v>
      </x:c>
      <x:c r="B702" s="30" t="str">
        <x:v>IBD / GCM</x:v>
      </x:c>
      <x:c r="C702" s="30" t="str">
        <x:v>Interview Note</x:v>
      </x:c>
      <x:c r="D702" s="31" t="str">
        <x:v>last time when you proactively XXX to complete XXX</x:v>
      </x:c>
      <x:c r="E702" s="31" t="str">
        <x:v>A15</x:v>
      </x:c>
      <x:c r="F702" s="31" t="str">
        <x:v>Why is debt cheaper | Given the high interest rates right now, is debt still cheap | 3 statement question (seems like, but I don't remember)</x:v>
      </x:c>
    </x:row>
    <x:row r="703" ht="46" customHeight="1">
      <x:c r="A703" s="30" t="str">
        <x:v>HSBC</x:v>
      </x:c>
      <x:c r="B703" s="30" t="str">
        <x:v>IBD / GCM</x:v>
      </x:c>
      <x:c r="C703" s="30" t="str">
        <x:v>Interview Note</x:v>
      </x:c>
      <x:c r="D703" s="31" t="str">
        <x:v>ok this is the end of the scripted questions im gonna ask u some cv questions</x:v>
      </x:c>
      <x:c r="E703" s="31" t="str">
        <x:v>E15</x:v>
      </x:c>
      <x:c r="F703" s="31" t="str">
        <x:v>why do u need to include preferred stock in enterprise value | 3 statements question?? not sure if he asked | a bit more tech qs but i dont remember</x:v>
      </x:c>
    </x:row>
    <x:row r="704" ht="46" customHeight="1">
      <x:c r="A704" s="30" t="str">
        <x:v>HSBC</x:v>
      </x:c>
      <x:c r="B704" s="30" t="str">
        <x:v>IBD / GCM</x:v>
      </x:c>
      <x:c r="C704" s="30" t="str">
        <x:v>Interview Note</x:v>
      </x:c>
      <x:c r="D704" s="31" t="str">
        <x:v>last time when you worked in a diverse team</x:v>
      </x:c>
      <x:c r="E704" s="31" t="str">
        <x:v>A16</x:v>
      </x:c>
      <x:c r="F704" s="31" t="str">
        <x:v>Given the high interest rates right now, is debt still cheap | 3 statement question (seems like, but I don't remember) | last time when you proactively XXX to complete XXX</x:v>
      </x:c>
    </x:row>
    <x:row r="705" ht="46" customHeight="1">
      <x:c r="A705" s="30" t="str">
        <x:v>HSBC</x:v>
      </x:c>
      <x:c r="B705" s="30" t="str">
        <x:v>IBD / GCM</x:v>
      </x:c>
      <x:c r="C705" s="30" t="str">
        <x:v>Interview Note</x:v>
      </x:c>
      <x:c r="D705" s="31" t="str">
        <x:v>(cut and said) why are you always mentioning about the things a year ago</x:v>
      </x:c>
      <x:c r="E705" s="31" t="str">
        <x:v>A17</x:v>
      </x:c>
      <x:c r="F705" s="31" t="str">
        <x:v>3 statement question (seems like, but I don't remember) | last time when you proactively XXX to complete XXX | last time when you worked in a diverse team</x:v>
      </x:c>
    </x:row>
    <x:row r="706" ht="46" customHeight="1">
      <x:c r="A706" s="30" t="str">
        <x:v>HSBC</x:v>
      </x:c>
      <x:c r="B706" s="30" t="str">
        <x:v>IBD / GCM</x:v>
      </x:c>
      <x:c r="C706" s="30" t="str">
        <x:v>Interview Note</x:v>
      </x:c>
      <x:c r="D706" s="31" t="str">
        <x:v>The yield curve right now</x:v>
      </x:c>
      <x:c r="E706" s="31" t="str">
        <x:v>C17</x:v>
      </x:c>
      <x:c r="F706" s="31" t="str">
        <x:v>at the end of year, 3 statements | Do you know the interest rate right now | How does interest rate impact the stock market</x:v>
      </x:c>
    </x:row>
    <x:row r="707" ht="46" customHeight="1">
      <x:c r="A707" s="30" t="str">
        <x:v>HSBC</x:v>
      </x:c>
      <x:c r="B707" s="30" t="str">
        <x:v>IBD / GCM</x:v>
      </x:c>
      <x:c r="C707" s="30" t="str">
        <x:v>Interview Note</x:v>
      </x:c>
      <x:c r="D707" s="31" t="str">
        <x:v>(i said a case comp this summer) why dont you tell me your recent internships</x:v>
      </x:c>
      <x:c r="E707" s="31" t="str">
        <x:v>A18</x:v>
      </x:c>
      <x:c r="F707" s="31" t="str">
        <x:v>last time when you proactively XXX to complete XXX | last time when you worked in a diverse team | (cut and said) why are you always mentioning about the things a year ago</x:v>
      </x:c>
    </x:row>
    <x:row r="708" ht="30" customHeight="1">
      <x:c r="A708" s="30" t="str">
        <x:v>HSBC</x:v>
      </x:c>
      <x:c r="B708" s="30" t="str">
        <x:v>IBD / GCM</x:v>
      </x:c>
      <x:c r="C708" s="30" t="str">
        <x:v>Interview Note</x:v>
      </x:c>
      <x:c r="D708" s="31" t="str">
        <x:v>Debt vs equity (not sure if she asked)</x:v>
      </x:c>
      <x:c r="E708" s="31" t="str">
        <x:v>C18</x:v>
      </x:c>
      <x:c r="F708" s="31" t="str">
        <x:v>Do you know the interest rate right now | How does interest rate impact the stock market | The yield curve right now</x:v>
      </x:c>
    </x:row>
    <x:row r="709" ht="46" customHeight="1">
      <x:c r="A709" s="30" t="str">
        <x:v>HSBC</x:v>
      </x:c>
      <x:c r="B709" s="30" t="str">
        <x:v>IBD / GCM</x:v>
      </x:c>
      <x:c r="C709" s="30" t="str">
        <x:v>Interview Note</x:v>
      </x:c>
      <x:c r="D709" s="31" t="str">
        <x:v>(i said buyout trends in india declined) why declined</x:v>
      </x:c>
      <x:c r="E709" s="31" t="str">
        <x:v>A20</x:v>
      </x:c>
      <x:c r="F709" s="31" t="str">
        <x:v>(cut and said) why are you always mentioning about the things a year ago | (i said a case comp this summer) why dont you tell me your recent internships | (i said i was the only intern so no team) then tell me a time when you work INDEPE...</x:v>
      </x:c>
    </x:row>
    <x:row r="710" ht="46" customHeight="1">
      <x:c r="A710" s="30" t="str">
        <x:v>HSBC</x:v>
      </x:c>
      <x:c r="B710" s="30" t="str">
        <x:v>IBD / GCM</x:v>
      </x:c>
      <x:c r="C710" s="30" t="str">
        <x:v>Interview Note</x:v>
      </x:c>
      <x:c r="D710" s="31" t="str">
        <x:v>(i said tighter credit policies) we have some credit analysts over there ill check with them</x:v>
      </x:c>
      <x:c r="E710" s="31" t="str">
        <x:v>A21</x:v>
      </x:c>
      <x:c r="F710" s="31" t="str">
        <x:v>(i said a case comp this summer) why dont you tell me your recent internships | (i said i was the only intern so no team) then tell me a time when you work INDEPENDENTLY | (i said buyout trends in india declined) why declined</x:v>
      </x:c>
    </x:row>
    <x:row r="711" ht="46" customHeight="1">
      <x:c r="A711" s="30" t="str">
        <x:v>HSBC</x:v>
      </x:c>
      <x:c r="B711" s="30" t="str">
        <x:v>IBD / GCM</x:v>
      </x:c>
      <x:c r="C711" s="30" t="str">
        <x:v>Interview Note</x:v>
      </x:c>
      <x:c r="D711" s="31" t="str">
        <x:v>(i said perpetuity growth method) what growth rate did you use/how did you find the growth rate (Dont remember)</x:v>
      </x:c>
      <x:c r="E711" s="31" t="str">
        <x:v>E21</x:v>
      </x:c>
      <x:c r="F711" s="31" t="str">
        <x:v>do you think it's directly comparable (cuz i used big companies) | why did you only do a 5-year projection model but not a 10-year one | how did you find the terminal value</x:v>
      </x:c>
    </x:row>
    <x:row r="712" ht="46" customHeight="1">
      <x:c r="A712" s="30" t="str">
        <x:v>HSBC</x:v>
      </x:c>
      <x:c r="B712" s="30" t="str">
        <x:v>IBD / GCM</x:v>
      </x:c>
      <x:c r="C712" s="30" t="str">
        <x:v>Interview Note</x:v>
      </x:c>
      <x:c r="D712" s="31" t="str">
        <x:v>something about CV but i dont remember</x:v>
      </x:c>
      <x:c r="E712" s="31" t="str">
        <x:v>A23</x:v>
      </x:c>
      <x:c r="F712" s="31" t="str">
        <x:v>(i said buyout trends in india declined) why declined | (i said tighter credit policies) we have some credit analysts over there ill check with them | what companies did you use for the comparable analysis at XXXX</x:v>
      </x:c>
    </x:row>
    <x:row r="713" ht="46" customHeight="1">
      <x:c r="A713" s="30" t="str">
        <x:v>HSBC</x:v>
      </x:c>
      <x:c r="B713" s="30" t="str">
        <x:v>IBD / GCM</x:v>
      </x:c>
      <x:c r="C713" s="30" t="str">
        <x:v>Interview Note</x:v>
      </x:c>
      <x:c r="D713" s="31" t="str">
        <x:v>Q&amp;A</x:v>
      </x:c>
      <x:c r="E713" s="31" t="str">
        <x:v>E23</x:v>
      </x:c>
      <x:c r="F713" s="31" t="str">
        <x:v>how did you find the terminal value | (i said perpetuity growth method) what growth rate did you use/how did you find the growth rate (Dont remember) | do you think the growth rate for the target company is higher or the one for WPP is h...</x:v>
      </x:c>
    </x:row>
    <x:row r="714" ht="30" customHeight="1">
      <x:c r="A714" s="30" t="str">
        <x:v>HSBC</x:v>
      </x:c>
      <x:c r="B714" s="30" t="str">
        <x:v>IBD / GCM</x:v>
      </x:c>
      <x:c r="C714" s="30" t="str">
        <x:v>Interview Note</x:v>
      </x:c>
      <x:c r="D714" s="31" t="str">
        <x:v>Q&amp;A</x:v>
      </x:c>
      <x:c r="E714" s="31" t="str">
        <x:v>A25</x:v>
      </x:c>
      <x:c r="F714" s="31" t="str">
        <x:v>what companies did you use for the comparable analysis at XXXX | something about CV but i dont remember | Why IBD</x:v>
      </x:c>
    </x:row>
    <x:row r="715" ht="46" customHeight="1">
      <x:c r="A715" s="30" t="str">
        <x:v>HSBC</x:v>
      </x:c>
      <x:c r="B715" s="30" t="str">
        <x:v>IBD / GCM</x:v>
      </x:c>
      <x:c r="C715" s="30" t="str">
        <x:v>Interview Note</x:v>
      </x:c>
      <x:c r="D715" s="31" t="str">
        <x:v>Q&amp;A</x:v>
      </x:c>
      <x:c r="E715" s="31" t="str">
        <x:v>C26</x:v>
      </x:c>
      <x:c r="F715" s="31" t="str">
        <x:v>Tell me a time when you XXX | workplace scenario Q?? dont remember if she did | asked about something related to AMPB??? dont remember if she did</x:v>
      </x:c>
    </x:row>
    <x:row r="716" ht="62" customHeight="1">
      <x:c r="A716" s="30" t="str">
        <x:v>HSBC</x:v>
      </x:c>
      <x:c r="B716" s="30" t="str">
        <x:v>IBD / GCM</x:v>
      </x:c>
      <x:c r="C716" s="30" t="str">
        <x:v>Interview Note</x:v>
      </x:c>
      <x:c r="D716" s="31" t="str">
        <x:v>He also asked another candidate about</x:v>
      </x:c>
      <x:c r="E716" s="31" t="str">
        <x:v>A28</x:v>
      </x:c>
      <x:c r="F716" s="31" t="str">
        <x:v>Why IBD | Q&amp;A | (chatting about the consumer industry with him) during Q&amp;A he also asked is it because u knew that I was doing consumer before u did interview so u talked about consumer with me, i said i didnt know who was going to inter...</x:v>
      </x:c>
    </x:row>
    <x:row r="717" ht="62" customHeight="1">
      <x:c r="A717" s="30" t="str">
        <x:v>HSBC</x:v>
      </x:c>
      <x:c r="B717" s="30" t="str">
        <x:v>IBD / GCM</x:v>
      </x:c>
      <x:c r="C717" s="30" t="str">
        <x:v>Interview Note</x:v>
      </x:c>
      <x:c r="D717" s="31" t="str">
        <x:v>999*999*999</x:v>
      </x:c>
      <x:c r="E717" s="31" t="str">
        <x:v>A29</x:v>
      </x:c>
      <x:c r="F717" s="31" t="str">
        <x:v>Q&amp;A | (chatting about the consumer industry with him) during Q&amp;A he also asked is it because u knew that I was doing consumer before u did interview so u talked about consumer with me, i said i didnt know who was going to interview me i ...</x:v>
      </x:c>
    </x:row>
    <x:row r="718" ht="62" customHeight="1">
      <x:c r="A718" s="30" t="str">
        <x:v>HSBC</x:v>
      </x:c>
      <x:c r="B718" s="30" t="str">
        <x:v>IBD / GCM</x:v>
      </x:c>
      <x:c r="C718" s="30" t="str">
        <x:v>Metadata</x:v>
      </x:c>
      <x:c r="D718" s="31" t="str">
        <x:v>2025 SA</x:v>
      </x:c>
      <x:c r="E718" s="31" t="str">
        <x:v>A31</x:v>
      </x:c>
      <x:c r="F718" s="31" t="str">
        <x:v>(chatting about the consumer industry with him) during Q&amp;A he also asked is it because u knew that I was doing consumer before u did interview so u talked about consumer with me, i said i didnt know who was going to interview me i was ju...</x:v>
      </x:c>
    </x:row>
    <x:row r="719" ht="30" customHeight="1">
      <x:c r="A719" s="30" t="str">
        <x:v>HSBC</x:v>
      </x:c>
      <x:c r="B719" s="30" t="str">
        <x:v>IBD / GCM</x:v>
      </x:c>
      <x:c r="C719" s="30" t="str">
        <x:v>Interview Note</x:v>
      </x:c>
      <x:c r="D719" s="31" t="str">
        <x:v>Kari - Round 1 10/22 (Shirley Lai, VP)</x:v>
      </x:c>
      <x:c r="E719" s="31" t="str">
        <x:v>A32</x:v>
      </x:c>
      <x:c r="F719" s="31" t="str">
        <x:v>He also asked another candidate about | 999*999*999 | 2025 SA</x:v>
      </x:c>
    </x:row>
    <x:row r="720" ht="30" customHeight="1">
      <x:c r="A720" s="30" t="str">
        <x:v>HSBC</x:v>
      </x:c>
      <x:c r="B720" s="30" t="str">
        <x:v>IBD / GCM</x:v>
      </x:c>
      <x:c r="C720" s="30" t="str">
        <x:v>Interview Note</x:v>
      </x:c>
      <x:c r="D720" s="31" t="str">
        <x:v>intro；</x:v>
      </x:c>
      <x:c r="E720" s="31" t="str">
        <x:v>A33</x:v>
      </x:c>
      <x:c r="F720" s="31" t="str">
        <x:v>999*999*999 | 2025 SA | Kari - Round 1 10/22 (Shirley Lai, VP)</x:v>
      </x:c>
    </x:row>
    <x:row r="721" ht="30" customHeight="1">
      <x:c r="A721" s="30" t="str">
        <x:v>HSBC</x:v>
      </x:c>
      <x:c r="B721" s="30" t="str">
        <x:v>IBD / GCM</x:v>
      </x:c>
      <x:c r="C721" s="30" t="str">
        <x:v>Interview Note</x:v>
      </x:c>
      <x:c r="D721" s="31" t="str">
        <x:v>a story of extracurricular activity that shows skills that you think will fit for ibd;</x:v>
      </x:c>
      <x:c r="E721" s="31" t="str">
        <x:v>A35</x:v>
      </x:c>
      <x:c r="F721" s="31" t="str">
        <x:v>Kari - Round 1 10/22 (Shirley Lai, VP) | intro； | what did ibd do and why ibd;</x:v>
      </x:c>
    </x:row>
    <x:row r="722" ht="46" customHeight="1">
      <x:c r="A722" s="30" t="str">
        <x:v>HSBC</x:v>
      </x:c>
      <x:c r="B722" s="30" t="str">
        <x:v>IBD / GCM</x:v>
      </x:c>
      <x:c r="C722" s="30" t="str">
        <x:v>Interview Note</x:v>
      </x:c>
      <x:c r="D722" s="31" t="str">
        <x:v>a story of how you get inputs (advice) from other people;</x:v>
      </x:c>
      <x:c r="E722" s="31" t="str">
        <x:v>A36</x:v>
      </x:c>
      <x:c r="F722" s="31" t="str">
        <x:v>intro； | what did ibd do and why ibd; | a story of extracurricular activity that shows skills that you think will fit for ibd;</x:v>
      </x:c>
    </x:row>
    <x:row r="723" ht="46" customHeight="1">
      <x:c r="A723" s="30" t="str">
        <x:v>HSBC</x:v>
      </x:c>
      <x:c r="B723" s="30" t="str">
        <x:v>IBD / GCM</x:v>
      </x:c>
      <x:c r="C723" s="30" t="str">
        <x:v>Interview Note</x:v>
      </x:c>
      <x:c r="D723" s="31" t="str">
        <x:v>(i said yes possible)</x:v>
      </x:c>
      <x:c r="E723" s="31" t="str">
        <x:v>A38</x:v>
      </x:c>
      <x:c r="F723" s="31" t="str">
        <x:v>a story of extracurricular activity that shows skills that you think will fit for ibd; | a story of how you get inputs (advice) from other people; | do you think it's possible that people can give excellent result on all the given tasks?...</x:v>
      </x:c>
    </x:row>
    <x:row r="724" ht="30" customHeight="1">
      <x:c r="A724" s="30" t="str">
        <x:v>Lazard</x:v>
      </x:c>
      <x:c r="B724" s="30" t="str">
        <x:v>IBD / GCM</x:v>
      </x:c>
      <x:c r="C724" s="30" t="str">
        <x:v>Metadata</x:v>
      </x:c>
      <x:c r="D724" s="31" t="str">
        <x:v>2025 offcycle Emily Final round interview (other rounds are basic accounting + deal based questions)</x:v>
      </x:c>
      <x:c r="E724" s="31" t="str">
        <x:v>A1</x:v>
      </x:c>
      <x:c r="F724" s="31" t="str"/>
    </x:row>
    <x:row r="725" ht="30" customHeight="1">
      <x:c r="A725" s="30" t="str">
        <x:v>Lazard</x:v>
      </x:c>
      <x:c r="B725" s="30" t="str">
        <x:v>IBD / GCM</x:v>
      </x:c>
      <x:c r="C725" s="30" t="str">
        <x:v>Metadata</x:v>
      </x:c>
      <x:c r="D725" s="31" t="str">
        <x:v>2025 H2 Off-cycle Kate Final Round (1st round was 2 analysts with basic 400q questions)</x:v>
      </x:c>
      <x:c r="E725" s="31" t="str">
        <x:v>C1</x:v>
      </x:c>
      <x:c r="F725" s="31" t="str"/>
    </x:row>
    <x:row r="726" ht="30" customHeight="1">
      <x:c r="A726" s="30" t="str">
        <x:v>Lazard</x:v>
      </x:c>
      <x:c r="B726" s="30" t="str">
        <x:v>IBD / GCM</x:v>
      </x:c>
      <x:c r="C726" s="30" t="str">
        <x:v>Interview Note</x:v>
      </x:c>
      <x:c r="D726" s="31" t="str">
        <x:v>1st interview</x:v>
      </x:c>
      <x:c r="E726" s="31" t="str">
        <x:v>A2</x:v>
      </x:c>
      <x:c r="F726" s="31" t="str">
        <x:v>2025 offcycle Emily Final round interview (other rounds are basic accounting + deal based questions)</x:v>
      </x:c>
    </x:row>
    <x:row r="727" ht="30" customHeight="1">
      <x:c r="A727" s="30" t="str">
        <x:v>Lazard</x:v>
      </x:c>
      <x:c r="B727" s="30" t="str">
        <x:v>IBD / GCM</x:v>
      </x:c>
      <x:c r="C727" s="30" t="str">
        <x:v>Interview Note</x:v>
      </x:c>
      <x:c r="D727" s="31" t="str">
        <x:v>1st Interview - Mengxin Liu (VP) in Chinese</x:v>
      </x:c>
      <x:c r="E727" s="31" t="str">
        <x:v>C2</x:v>
      </x:c>
      <x:c r="F727" s="31" t="str">
        <x:v>2025 H2 Off-cycle Kate Final Round (1st round was 2 analysts with basic 400q questions)</x:v>
      </x:c>
    </x:row>
    <x:row r="728" ht="30" customHeight="1">
      <x:c r="A728" s="30" t="str">
        <x:v>Lazard</x:v>
      </x:c>
      <x:c r="B728" s="30" t="str">
        <x:v>IBD / GCM</x:v>
      </x:c>
      <x:c r="C728" s="30" t="str">
        <x:v>Interview Note</x:v>
      </x:c>
      <x:c r="D728" s="31" t="str">
        <x:v>CV experiences deep-dive</x:v>
      </x:c>
      <x:c r="E728" s="31" t="str">
        <x:v>C5</x:v>
      </x:c>
      <x:c r="F728" s="31" t="str">
        <x:v>1st Interview - Mengxin Liu (VP) in Chinese | Self introduction | Walk through one of the projects you have engaged in</x:v>
      </x:c>
    </x:row>
    <x:row r="729" ht="30" customHeight="1">
      <x:c r="A729" s="30" t="str">
        <x:v>Lazard</x:v>
      </x:c>
      <x:c r="B729" s="30" t="str">
        <x:v>IBD / GCM</x:v>
      </x:c>
      <x:c r="C729" s="30" t="str">
        <x:v>Interview Note</x:v>
      </x:c>
      <x:c r="D729" s="31" t="str">
        <x:v>Context/background of project 2</x:v>
      </x:c>
      <x:c r="E729" s="31" t="str">
        <x:v>C8</x:v>
      </x:c>
      <x:c r="F729" s="31" t="str">
        <x:v>CV experiences deep-dive | How do you do the buyer research for project 1 | What is the market dynamic of this sector</x:v>
      </x:c>
    </x:row>
    <x:row r="730" ht="46" customHeight="1">
      <x:c r="A730" s="30" t="str">
        <x:v>Lazard</x:v>
      </x:c>
      <x:c r="B730" s="30" t="str">
        <x:v>IBD / GCM</x:v>
      </x:c>
      <x:c r="C730" s="30" t="str">
        <x:v>Interview Note</x:v>
      </x:c>
      <x:c r="D730" s="31" t="str">
        <x:v>2nd interview</x:v>
      </x:c>
      <x:c r="E730" s="31" t="str">
        <x:v>A12</x:v>
      </x:c>
      <x:c r="F730" s="31" t="str">
        <x:v>Buying intangible asset counted as CAPEX? | For private company, what equity value should we use when calculating its enterprise value / % of equity when calculating WACC? | Why we can use book value since book value differs a lot from m...</x:v>
      </x:c>
    </x:row>
    <x:row r="731" ht="62" customHeight="1">
      <x:c r="A731" s="30" t="str">
        <x:v>Lazard</x:v>
      </x:c>
      <x:c r="B731" s="30" t="str">
        <x:v>IBD / GCM</x:v>
      </x:c>
      <x:c r="C731" s="30" t="str">
        <x:v>Interview Note</x:v>
      </x:c>
      <x:c r="D731" s="31" t="str">
        <x:v>2nd Interview - Junnan Zhang (Director) in English</x:v>
      </x:c>
      <x:c r="E731" s="31" t="str">
        <x:v>C18</x:v>
      </x:c>
      <x:c r="F731" s="31" t="str">
        <x:v>What if the private company is a tech company, which its equity value may far exceed its book value (I said manually adjust by looking at comps) | What is the process of a buy-side M&amp;A, what would advisor do in each stage | If your clien...</x:v>
      </x:c>
    </x:row>
    <x:row r="732" ht="62" customHeight="1">
      <x:c r="A732" s="30" t="str">
        <x:v>Lazard</x:v>
      </x:c>
      <x:c r="B732" s="30" t="str">
        <x:v>IBD / GCM</x:v>
      </x:c>
      <x:c r="C732" s="30" t="str">
        <x:v>Interview Note</x:v>
      </x:c>
      <x:c r="D732" s="31" t="str">
        <x:v>% of working on live deals and % of working on regular works</x:v>
      </x:c>
      <x:c r="E732" s="31" t="str">
        <x:v>C23</x:v>
      </x:c>
      <x:c r="F732" s="31" t="str">
        <x:v>CV project - ask in detail abt a CIM on market / investment rationale / sale process walk through | What part of CIM I did? How long have you stayed in this company and how long does the CIM takes | What is the part of IBD work that I lo...</x:v>
      </x:c>
    </x:row>
    <x:row r="733" ht="62" customHeight="1">
      <x:c r="A733" s="30" t="str">
        <x:v>Lazard</x:v>
      </x:c>
      <x:c r="B733" s="30" t="str">
        <x:v>IBD / GCM</x:v>
      </x:c>
      <x:c r="C733" s="30" t="str">
        <x:v>Metadata</x:v>
      </x:c>
      <x:c r="D733" s="31" t="str">
        <x:v>2025 Summer - Beata</x:v>
      </x:c>
      <x:c r="E733" s="31" t="str">
        <x:v>A27</x:v>
      </x:c>
      <x:c r="F733" s="31" t="str">
        <x:v>DCF revenue stream breakdown? | About biz model: so only installation? Do they manufacture these products themselves? Do they build factory? | Which business segment has the highest CAPEX? Does not make sense for the EPC segment to have ...</x:v>
      </x:c>
    </x:row>
    <x:row r="734" ht="62" customHeight="1">
      <x:c r="A734" s="30" t="str">
        <x:v>Lazard</x:v>
      </x:c>
      <x:c r="B734" s="30" t="str">
        <x:v>IBD / GCM</x:v>
      </x:c>
      <x:c r="C734" s="30" t="str">
        <x:v>Interview Note</x:v>
      </x:c>
      <x:c r="D734" s="31" t="str">
        <x:v>1st Interview - Michael</x:v>
      </x:c>
      <x:c r="E734" s="31" t="str">
        <x:v>A29</x:v>
      </x:c>
      <x:c r="F734" s="31" t="str">
        <x:v>About biz model: so only installation? Do they manufacture these products themselves? Do they build factory? | Which business segment has the highest CAPEX? Does not make sense for the EPC segment to have CAPEX, what kind of CAPEX? | 202...</x:v>
      </x:c>
    </x:row>
    <x:row r="735" ht="46" customHeight="1">
      <x:c r="A735" s="30" t="str">
        <x:v>Lazard</x:v>
      </x:c>
      <x:c r="B735" s="30" t="str">
        <x:v>IBD / GCM</x:v>
      </x:c>
      <x:c r="C735" s="30" t="str">
        <x:v>Interview Note</x:v>
      </x:c>
      <x:c r="D735" s="31" t="str">
        <x:v>(Talked about a pitch on a Chinese chain restaurant)</x:v>
      </x:c>
      <x:c r="E735" s="31" t="str">
        <x:v>A32</x:v>
      </x:c>
      <x:c r="F735" s="31" t="str">
        <x:v>1st Interview - Michael | (Aside from the self introduction part, it was conducted in full Mandarin) | What did you do in BNP?</x:v>
      </x:c>
    </x:row>
    <x:row r="736" ht="46" customHeight="1">
      <x:c r="A736" s="30" t="str">
        <x:v>Lazard</x:v>
      </x:c>
      <x:c r="B736" s="30" t="str">
        <x:v>IBD / GCM</x:v>
      </x:c>
      <x:c r="C736" s="30" t="str">
        <x:v>Interview Note</x:v>
      </x:c>
      <x:c r="D736" s="31" t="str">
        <x:v>業務穩定的公司Capex和D&amp;A相差多少</x:v>
      </x:c>
      <x:c r="E736" s="31" t="str">
        <x:v>A37</x:v>
      </x:c>
      <x:c r="F736" s="31" t="str">
        <x:v>3 valuation methodologies的優勢和劣勢 | Transaction comps - 按照A股的披露標準，什麼valuation multiples比較難拿到 | DCF - when to use Gordon Growth Method and when to use Exit Multiple method for TV calculation</x:v>
      </x:c>
    </x:row>
    <x:row r="737" ht="46" customHeight="1">
      <x:c r="A737" s="30" t="str">
        <x:v>Lazard</x:v>
      </x:c>
      <x:c r="B737" s="30" t="str">
        <x:v>IBD / GCM</x:v>
      </x:c>
      <x:c r="C737" s="30" t="str">
        <x:v>Interview Note</x:v>
      </x:c>
      <x:c r="D737" s="31" t="str">
        <x:v>2nd Interview - Junnan</x:v>
      </x:c>
      <x:c r="E737" s="31" t="str">
        <x:v>A40</x:v>
      </x:c>
      <x:c r="F737" s="31" t="str">
        <x:v>DCF - when to use Gordon Growth Method and when to use Exit Multiple method for TV calculation | 業務穩定的公司Capex和D&amp;A相差多少 | Enterprise Value的公式是什麼、除了standard formula裡面的items還有一些其他什麼items</x:v>
      </x:c>
    </x:row>
    <x:row r="738" ht="30" customHeight="1">
      <x:c r="A738" s="30" t="str">
        <x:v>Lazard</x:v>
      </x:c>
      <x:c r="B738" s="30" t="str">
        <x:v>IBD / GCM</x:v>
      </x:c>
      <x:c r="C738" s="30" t="str">
        <x:v>Interview Note</x:v>
      </x:c>
      <x:c r="D738" s="31" t="str">
        <x:v>(Conducted in full Mandarin)</x:v>
      </x:c>
      <x:c r="E738" s="31" t="str">
        <x:v>A41</x:v>
      </x:c>
      <x:c r="F738" s="31" t="str">
        <x:v>業務穩定的公司Capex和D&amp;A相差多少 | Enterprise Value的公式是什麼、除了standard formula裡面的items還有一些其他什麼items | 2nd Interview - Junnan</x:v>
      </x:c>
    </x:row>
    <x:row r="739" ht="30" customHeight="1">
      <x:c r="A739" s="30" t="str">
        <x:v>Lazard</x:v>
      </x:c>
      <x:c r="B739" s="30" t="str">
        <x:v>IBD / GCM</x:v>
      </x:c>
      <x:c r="C739" s="30" t="str">
        <x:v>Interview Note</x:v>
      </x:c>
      <x:c r="D739" s="31" t="str">
        <x:v>在BNP做了什麼</x:v>
      </x:c>
      <x:c r="E739" s="31" t="str">
        <x:v>A42</x:v>
      </x:c>
      <x:c r="F739" s="31" t="str">
        <x:v>Enterprise Value的公式是什麼、除了standard formula裡面的items還有一些其他什麼items | 2nd Interview - Junnan | (Conducted in full Mandarin)</x:v>
      </x:c>
    </x:row>
    <x:row r="740" ht="30" customHeight="1">
      <x:c r="A740" s="30" t="str">
        <x:v>Lazard</x:v>
      </x:c>
      <x:c r="B740" s="30" t="str">
        <x:v>IBD / GCM</x:v>
      </x:c>
      <x:c r="C740" s="30" t="str">
        <x:v>Interview Note</x:v>
      </x:c>
      <x:c r="D740" s="31" t="str">
        <x:v>Company profile要包括什麼</x:v>
      </x:c>
      <x:c r="E740" s="31" t="str">
        <x:v>A43</x:v>
      </x:c>
      <x:c r="F740" s="31" t="str">
        <x:v>2nd Interview - Junnan | (Conducted in full Mandarin) | 在BNP做了什麼</x:v>
      </x:c>
    </x:row>
    <x:row r="741" ht="46" customHeight="1">
      <x:c r="A741" s="30" t="str">
        <x:v>Lazard</x:v>
      </x:c>
      <x:c r="B741" s="30" t="str">
        <x:v>IBD / GCM</x:v>
      </x:c>
      <x:c r="C741" s="30" t="str">
        <x:v>Interview Note</x:v>
      </x:c>
      <x:c r="D741" s="31" t="str">
        <x:v>10 depreciation會對3FS有什麼影響</x:v>
      </x:c>
      <x:c r="E741" s="31" t="str">
        <x:v>A47</x:v>
      </x:c>
      <x:c r="F741" s="31" t="str">
        <x:v>trading comps - 汽車零部件公司 怎麼做怎麼著peers 什麼multiples | How to find cost of equity | 有一個公司今年會花100capex 這個公司對financial statement什麼影響</x:v>
      </x:c>
    </x:row>
    <x:row r="742" ht="30" customHeight="1">
      <x:c r="A742" s="30" t="str">
        <x:v>Lazard</x:v>
      </x:c>
      <x:c r="B742" s="30" t="str">
        <x:v>IBD / GCM</x:v>
      </x:c>
      <x:c r="C742" s="30" t="str">
        <x:v>Interview Note</x:v>
      </x:c>
      <x:c r="D742" s="31" t="str">
        <x:v>3rd Interview - Mengxin</x:v>
      </x:c>
      <x:c r="E742" s="31" t="str">
        <x:v>A49</x:v>
      </x:c>
      <x:c r="F742" s="31" t="str">
        <x:v>How to find cost of equity | 有一個公司今年會花100capex 這個公司對financial statement什麼影響 | 10 depreciation會對3FS有什麼影響</x:v>
      </x:c>
    </x:row>
    <x:row r="743" ht="46" customHeight="1">
      <x:c r="A743" s="30" t="str">
        <x:v>Lazard</x:v>
      </x:c>
      <x:c r="B743" s="30" t="str">
        <x:v>IBD / GCM</x:v>
      </x:c>
      <x:c r="C743" s="30" t="str">
        <x:v>Interview Note</x:v>
      </x:c>
      <x:c r="D743" s="31" t="str">
        <x:v>For the restaurant chain pitch, I mentioned about the chain penetration rate in China vs US, so she asked if you think the penetration rate in China will reach the level in the US in the future</x:v>
      </x:c>
      <x:c r="E743" s="31" t="str">
        <x:v>A51</x:v>
      </x:c>
      <x:c r="F743" s="31" t="str">
        <x:v>10 depreciation會對3FS有什麼影響 | 3rd Interview - Mengxin | What did you do in BNP</x:v>
      </x:c>
    </x:row>
    <x:row r="744" ht="46" customHeight="1">
      <x:c r="A744" s="30" t="str">
        <x:v>Lazard</x:v>
      </x:c>
      <x:c r="B744" s="30" t="str">
        <x:v>IBD / GCM</x:v>
      </x:c>
      <x:c r="C744" s="30" t="str">
        <x:v>Interview Note</x:v>
      </x:c>
      <x:c r="D744" s="31" t="str">
        <x:v>To get FCF from revenue</x:v>
      </x:c>
      <x:c r="E744" s="31" t="str">
        <x:v>A52</x:v>
      </x:c>
      <x:c r="F744" s="31" t="str">
        <x:v>3rd Interview - Mengxin | What did you do in BNP | For the restaurant chain pitch, I mentioned about the chain penetration rate in China vs US, so she asked if you think the penetration rate in China will reach the level in the US in the...</x:v>
      </x:c>
    </x:row>
    <x:row r="745" ht="62" customHeight="1">
      <x:c r="A745" s="30" t="str">
        <x:v>Lazard</x:v>
      </x:c>
      <x:c r="B745" s="30" t="str">
        <x:v>IBD / GCM</x:v>
      </x:c>
      <x:c r="C745" s="30" t="str">
        <x:v>Interview Note</x:v>
      </x:c>
      <x:c r="D745" s="31" t="str">
        <x:v>Factors to consider when buying a company</x:v>
      </x:c>
      <x:c r="E745" s="31" t="str">
        <x:v>A57</x:v>
      </x:c>
      <x:c r="F745" s="31" t="str">
        <x:v>Your client is a pe, it wants to sell a pets portfolio company, help it sell, 3 submitted offers showing interest, how to choose the buyer | For private companies - how to find the equity value | Does buying intangible assets count as CA...</x:v>
      </x:c>
    </x:row>
    <x:row r="746" ht="46" customHeight="1">
      <x:c r="A746" s="30" t="str">
        <x:v>Lazard</x:v>
      </x:c>
      <x:c r="B746" s="30" t="str">
        <x:v>IBD / GCM</x:v>
      </x:c>
      <x:c r="C746" s="30" t="str">
        <x:v>Metadata</x:v>
      </x:c>
      <x:c r="D746" s="31" t="str">
        <x:v>Follow up: which one do you think is the most important</x:v>
      </x:c>
      <x:c r="E746" s="31" t="str">
        <x:v>A58</x:v>
      </x:c>
      <x:c r="F746" s="31" t="str">
        <x:v>For private companies - how to find the equity value | Does buying intangible assets count as CAPEX? (think it's a must-ask question for this interviewer lol, my friends also got the same question) | Factors to consider when buying a com...</x:v>
      </x:c>
    </x:row>
    <x:row r="747" ht="46" customHeight="1">
      <x:c r="A747" s="30" t="str">
        <x:v>Lazard</x:v>
      </x:c>
      <x:c r="B747" s="30" t="str">
        <x:v>IBD / GCM</x:v>
      </x:c>
      <x:c r="C747" s="30" t="str">
        <x:v>Interview Note</x:v>
      </x:c>
      <x:c r="D747" s="31" t="str">
        <x:v>4th Interview - May Zhang</x:v>
      </x:c>
      <x:c r="E747" s="31" t="str">
        <x:v>A61</x:v>
      </x:c>
      <x:c r="F747" s="31" t="str">
        <x:v>Factors to consider when buying a company | Follow up: which one do you think is the most important | For a PE, do you think "strategic fit" still matters?</x:v>
      </x:c>
    </x:row>
    <x:row r="748" ht="46" customHeight="1">
      <x:c r="A748" s="30" t="str">
        <x:v>Lazard</x:v>
      </x:c>
      <x:c r="B748" s="30" t="str">
        <x:v>IBD / GCM</x:v>
      </x:c>
      <x:c r="C748" s="30" t="str">
        <x:v>Interview Note</x:v>
      </x:c>
      <x:c r="D748" s="31" t="str">
        <x:v>(Condcuted in full Mandarin)</x:v>
      </x:c>
      <x:c r="E748" s="31" t="str">
        <x:v>A62</x:v>
      </x:c>
      <x:c r="F748" s="31" t="str">
        <x:v>Follow up: which one do you think is the most important | For a PE, do you think "strategic fit" still matters? | 4th Interview - May Zhang</x:v>
      </x:c>
    </x:row>
    <x:row r="749" ht="30" customHeight="1">
      <x:c r="A749" s="30" t="str">
        <x:v>Lazard</x:v>
      </x:c>
      <x:c r="B749" s="30" t="str">
        <x:v>IBD / GCM</x:v>
      </x:c>
      <x:c r="C749" s="30" t="str">
        <x:v>Interview Note</x:v>
      </x:c>
      <x:c r="D749" s="31" t="str">
        <x:v>自我介紹</x:v>
      </x:c>
      <x:c r="E749" s="31" t="str">
        <x:v>A63</x:v>
      </x:c>
      <x:c r="F749" s="31" t="str">
        <x:v>For a PE, do you think "strategic fit" still matters? | 4th Interview - May Zhang | (Condcuted in full Mandarin)</x:v>
      </x:c>
    </x:row>
    <x:row r="750" ht="30" customHeight="1">
      <x:c r="A750" s="30" t="str">
        <x:v>Lazard</x:v>
      </x:c>
      <x:c r="B750" s="30" t="str">
        <x:v>IBD / GCM</x:v>
      </x:c>
      <x:c r="C750" s="30" t="str">
        <x:v>Interview Note</x:v>
      </x:c>
      <x:c r="D750" s="31" t="str">
        <x:v>分享一下在北大的經歷</x:v>
      </x:c>
      <x:c r="E750" s="31" t="str">
        <x:v>A64</x:v>
      </x:c>
      <x:c r="F750" s="31" t="str">
        <x:v>4th Interview - May Zhang | (Condcuted in full Mandarin) | 自我介紹</x:v>
      </x:c>
    </x:row>
    <x:row r="751" ht="30" customHeight="1">
      <x:c r="A751" s="30" t="str">
        <x:v>Lazard</x:v>
      </x:c>
      <x:c r="B751" s="30" t="str">
        <x:v>IBD / GCM</x:v>
      </x:c>
      <x:c r="C751" s="30" t="str">
        <x:v>Interview Note</x:v>
      </x:c>
      <x:c r="D751" s="31" t="str">
        <x:v>在BNP做了什麼（不深究，比較大概問一些contribution之類，也不會具體followup）</x:v>
      </x:c>
      <x:c r="E751" s="31" t="str">
        <x:v>A65</x:v>
      </x:c>
      <x:c r="F751" s="31" t="str">
        <x:v>(Condcuted in full Mandarin) | 自我介紹 | 分享一下在北大的經歷</x:v>
      </x:c>
    </x:row>
    <x:row r="752" ht="30" customHeight="1">
      <x:c r="A752" s="30" t="str">
        <x:v>Lazard</x:v>
      </x:c>
      <x:c r="B752" s="30" t="str">
        <x:v>IBD / GCM</x:v>
      </x:c>
      <x:c r="C752" s="30" t="str">
        <x:v>Interview Note</x:v>
      </x:c>
      <x:c r="D752" s="31" t="str">
        <x:v>一個好的analyst需要具備一些什麼特質</x:v>
      </x:c>
      <x:c r="E752" s="31" t="str">
        <x:v>A66</x:v>
      </x:c>
      <x:c r="F752" s="31" t="str">
        <x:v>自我介紹 | 分享一下在北大的經歷 | 在BNP做了什麼（不深究，比較大概問一些contribution之類，也不會具體followup）</x:v>
      </x:c>
    </x:row>
    <x:row r="753" ht="30" customHeight="1">
      <x:c r="A753" s="30" t="str">
        <x:v>Lazard</x:v>
      </x:c>
      <x:c r="B753" s="30" t="str">
        <x:v>IBD / GCM</x:v>
      </x:c>
      <x:c r="C753" s="30" t="str">
        <x:v>Interview Note</x:v>
      </x:c>
      <x:c r="D753" s="31" t="str">
        <x:v>有什麼關於你有趣的事情想分享一下嗎</x:v>
      </x:c>
      <x:c r="E753" s="31" t="str">
        <x:v>A67</x:v>
      </x:c>
      <x:c r="F753" s="31" t="str">
        <x:v>分享一下在北大的經歷 | 在BNP做了什麼（不深究，比較大概問一些contribution之類，也不會具體followup） | 一個好的analyst需要具備一些什麼特質</x:v>
      </x:c>
    </x:row>
    <x:row r="754" ht="30" customHeight="1">
      <x:c r="A754" s="30" t="str">
        <x:v>Lazard</x:v>
      </x:c>
      <x:c r="B754" s="30" t="str">
        <x:v>IBD / GCM</x:v>
      </x:c>
      <x:c r="C754" s="30" t="str">
        <x:v>Interview Note</x:v>
      </x:c>
      <x:c r="D754" s="31" t="str">
        <x:v>如果你要找一個right m&amp;a target，你會問一些什麼問題</x:v>
      </x:c>
      <x:c r="E754" s="31" t="str">
        <x:v>A68</x:v>
      </x:c>
      <x:c r="F754" s="31" t="str">
        <x:v>在BNP做了什麼（不深究，比較大概問一些contribution之類，也不會具體followup） | 一個好的analyst需要具備一些什麼特質 | 有什麼關於你有趣的事情想分享一下嗎</x:v>
      </x:c>
    </x:row>
    <x:row r="755" ht="46" customHeight="1">
      <x:c r="A755" s="30" t="str">
        <x:v>Lazard</x:v>
      </x:c>
      <x:c r="B755" s="30" t="str">
        <x:v>IBD / GCM</x:v>
      </x:c>
      <x:c r="C755" s="30" t="str">
        <x:v>Metadata</x:v>
      </x:c>
      <x:c r="D755" s="31" t="str">
        <x:v>Followup: How to find peers</x:v>
      </x:c>
      <x:c r="E755" s="31" t="str">
        <x:v>A73</x:v>
      </x:c>
      <x:c r="F755" s="31" t="str">
        <x:v>Any sanity check after comps? | 一般如果要做company profile 比如說事工業製造行業企業 profile要包括什麼 | trading cops - manufacturing company, find peers, what data source to find p/s</x:v>
      </x:c>
    </x:row>
    <x:row r="756" ht="46" customHeight="1">
      <x:c r="A756" s="30" t="str">
        <x:v>Lazard</x:v>
      </x:c>
      <x:c r="B756" s="30" t="str">
        <x:v>IBD / GCM</x:v>
      </x:c>
      <x:c r="C756" s="30" t="str">
        <x:v>Interview Note</x:v>
      </x:c>
      <x:c r="D756" s="31" t="str">
        <x:v>5th Interview - Molly Zhu</x:v>
      </x:c>
      <x:c r="E756" s="31" t="str">
        <x:v>A75</x:v>
      </x:c>
      <x:c r="F756" s="31" t="str">
        <x:v>一般如果要做company profile 比如說事工業製造行業企業 profile要包括什麼 | trading cops - manufacturing company, find peers, what data source to find p/s | Followup: How to find peers</x:v>
      </x:c>
    </x:row>
    <x:row r="757" ht="46" customHeight="1">
      <x:c r="A757" s="30" t="str">
        <x:v>Lazard</x:v>
      </x:c>
      <x:c r="B757" s="30" t="str">
        <x:v>IBD / GCM</x:v>
      </x:c>
      <x:c r="C757" s="30" t="str">
        <x:v>Interview Note</x:v>
      </x:c>
      <x:c r="D757" s="31" t="str">
        <x:v>(Condcuted in full Mandarin)</x:v>
      </x:c>
      <x:c r="E757" s="31" t="str">
        <x:v>A76</x:v>
      </x:c>
      <x:c r="F757" s="31" t="str">
        <x:v>trading cops - manufacturing company, find peers, what data source to find p/s | Followup: How to find peers | 5th Interview - Molly Zhu</x:v>
      </x:c>
    </x:row>
    <x:row r="758" ht="30" customHeight="1">
      <x:c r="A758" s="30" t="str">
        <x:v>Lazard</x:v>
      </x:c>
      <x:c r="B758" s="30" t="str">
        <x:v>IBD / GCM</x:v>
      </x:c>
      <x:c r="C758" s="30" t="str">
        <x:v>Interview Note</x:v>
      </x:c>
      <x:c r="D758" s="31" t="str">
        <x:v>Forgot what she asked, but I'll jot down what I remembered lol</x:v>
      </x:c>
      <x:c r="E758" s="31" t="str">
        <x:v>A77</x:v>
      </x:c>
      <x:c r="F758" s="31" t="str">
        <x:v>Followup: How to find peers | 5th Interview - Molly Zhu | (Condcuted in full Mandarin)</x:v>
      </x:c>
    </x:row>
    <x:row r="759" ht="46" customHeight="1">
      <x:c r="A759" s="30" t="str">
        <x:v>Lazard</x:v>
      </x:c>
      <x:c r="B759" s="30" t="str">
        <x:v>IBD / GCM</x:v>
      </x:c>
      <x:c r="C759" s="30" t="str">
        <x:v>Interview Note</x:v>
      </x:c>
      <x:c r="D759" s="31" t="str">
        <x:v>在BNP做過什麼，不用具體說一些commercial的東西，大概說說contribution就可以</x:v>
      </x:c>
      <x:c r="E759" s="31" t="str">
        <x:v>A78</x:v>
      </x:c>
      <x:c r="F759" s="31" t="str">
        <x:v>5th Interview - Molly Zhu | (Condcuted in full Mandarin) | Forgot what she asked, but I'll jot down what I remembered lol</x:v>
      </x:c>
    </x:row>
    <x:row r="760" ht="46" customHeight="1">
      <x:c r="A760" s="30" t="str">
        <x:v>Lazard</x:v>
      </x:c>
      <x:c r="B760" s="30" t="str">
        <x:v>IBD / GCM</x:v>
      </x:c>
      <x:c r="C760" s="30" t="str">
        <x:v>Interview Note</x:v>
      </x:c>
      <x:c r="D760" s="31" t="str">
        <x:v>一個好的intern需要具備一些什麼特質</x:v>
      </x:c>
      <x:c r="E760" s="31" t="str">
        <x:v>A79</x:v>
      </x:c>
      <x:c r="F760" s="31" t="str">
        <x:v>(Condcuted in full Mandarin) | Forgot what she asked, but I'll jot down what I remembered lol | 在BNP做過什麼，不用具體說一些commercial的東西，大概說說contribution就可以</x:v>
      </x:c>
    </x:row>
    <x:row r="761" ht="46" customHeight="1">
      <x:c r="A761" s="30" t="str">
        <x:v>Lazard</x:v>
      </x:c>
      <x:c r="B761" s="30" t="str">
        <x:v>IBD / GCM</x:v>
      </x:c>
      <x:c r="C761" s="30" t="str">
        <x:v>Interview Note</x:v>
      </x:c>
      <x:c r="D761" s="31" t="str">
        <x:v>為什麼想做M&amp;A（相比其他products）</x:v>
      </x:c>
      <x:c r="E761" s="31" t="str">
        <x:v>A80</x:v>
      </x:c>
      <x:c r="F761" s="31" t="str">
        <x:v>Forgot what she asked, but I'll jot down what I remembered lol | 在BNP做過什麼，不用具體說一些commercial的東西，大概說說contribution就可以 | 一個好的intern需要具備一些什麼特質</x:v>
      </x:c>
    </x:row>
    <x:row r="762" ht="30" customHeight="1">
      <x:c r="A762" s="30" t="str">
        <x:v>Lazard</x:v>
      </x:c>
      <x:c r="B762" s="30" t="str">
        <x:v>IBD / GCM</x:v>
      </x:c>
      <x:c r="C762" s="30" t="str">
        <x:v>Interview Note</x:v>
      </x:c>
      <x:c r="D762" s="31" t="str">
        <x:v>6th Interview - CEO of Greater China</x:v>
      </x:c>
      <x:c r="E762" s="31" t="str">
        <x:v>A82</x:v>
      </x:c>
      <x:c r="F762" s="31" t="str">
        <x:v>在BNP做過什麼，不用具體說一些commercial的東西，大概說說contribution就可以 | 一個好的intern需要具備一些什麼特質 | 為什麼想做M&amp;A（相比其他products）</x:v>
      </x:c>
    </x:row>
    <x:row r="763" ht="30" customHeight="1">
      <x:c r="A763" s="30" t="str">
        <x:v>Lazard</x:v>
      </x:c>
      <x:c r="B763" s="30" t="str">
        <x:v>IBD / GCM</x:v>
      </x:c>
      <x:c r="C763" s="30" t="str">
        <x:v>Interview Note</x:v>
      </x:c>
      <x:c r="D763" s="31" t="str">
        <x:v>(Condcuted in full Mandarin)</x:v>
      </x:c>
      <x:c r="E763" s="31" t="str">
        <x:v>A83</x:v>
      </x:c>
      <x:c r="F763" s="31" t="str">
        <x:v>一個好的intern需要具備一些什麼特質 | 為什麼想做M&amp;A（相比其他products） | 6th Interview - CEO of Greater China</x:v>
      </x:c>
    </x:row>
    <x:row r="764" ht="30" customHeight="1">
      <x:c r="A764" s="30" t="str">
        <x:v>Greenhill</x:v>
      </x:c>
      <x:c r="B764" s="30" t="str">
        <x:v>IBD / GCM</x:v>
      </x:c>
      <x:c r="C764" s="30" t="str">
        <x:v>Metadata</x:v>
      </x:c>
      <x:c r="D764" s="31" t="str">
        <x:v>2024 SA</x:v>
      </x:c>
      <x:c r="E764" s="31" t="str">
        <x:v>A1</x:v>
      </x:c>
      <x:c r="F764" s="31" t="str"/>
    </x:row>
    <x:row r="765" ht="30" customHeight="1">
      <x:c r="A765" s="30" t="str">
        <x:v>Greenhill</x:v>
      </x:c>
      <x:c r="B765" s="30" t="str">
        <x:v>IBD / GCM</x:v>
      </x:c>
      <x:c r="C765" s="30" t="str">
        <x:v>Metadata</x:v>
      </x:c>
      <x:c r="D765" s="31" t="str">
        <x:v>First Round</x:v>
      </x:c>
      <x:c r="E765" s="31" t="str">
        <x:v>A2</x:v>
      </x:c>
      <x:c r="F765" s="31" t="str">
        <x:v>2024 SA</x:v>
      </x:c>
    </x:row>
    <x:row r="766" ht="30" customHeight="1">
      <x:c r="A766" s="30" t="str">
        <x:v>Greenhill</x:v>
      </x:c>
      <x:c r="B766" s="30" t="str">
        <x:v>IBD / GCM</x:v>
      </x:c>
      <x:c r="C766" s="30" t="str">
        <x:v>Metadata</x:v>
      </x:c>
      <x:c r="D766" s="31" t="str">
        <x:v>Emily</x:v>
      </x:c>
      <x:c r="E766" s="31" t="str">
        <x:v>A3</x:v>
      </x:c>
      <x:c r="F766" s="31" t="str">
        <x:v>2024 SA | First Round</x:v>
      </x:c>
    </x:row>
    <x:row r="767" ht="30" customHeight="1">
      <x:c r="A767" s="30" t="str">
        <x:v>Greenhill</x:v>
      </x:c>
      <x:c r="B767" s="30" t="str">
        <x:v>IBD / GCM</x:v>
      </x:c>
      <x:c r="C767" s="30" t="str">
        <x:v>Interview Note</x:v>
      </x:c>
      <x:c r="D767" s="31" t="str">
        <x:v>Pros and cons of using debt</x:v>
      </x:c>
      <x:c r="E767" s="31" t="str">
        <x:v>A8</x:v>
      </x:c>
      <x:c r="F767" s="31" t="str">
        <x:v>Walk me through a dcf | How to calculate WACC | How to calculate cost of equity</x:v>
      </x:c>
    </x:row>
    <x:row r="768" ht="30" customHeight="1">
      <x:c r="A768" s="30" t="str">
        <x:v>Nomura</x:v>
      </x:c>
      <x:c r="B768" s="30" t="str">
        <x:v>IBD / GCM</x:v>
      </x:c>
      <x:c r="C768" s="30" t="str">
        <x:v>Metadata</x:v>
      </x:c>
      <x:c r="D768" s="31" t="str">
        <x:v>2024 SA</x:v>
      </x:c>
      <x:c r="E768" s="31" t="str">
        <x:v>A1</x:v>
      </x:c>
      <x:c r="F768" s="31" t="str"/>
    </x:row>
    <x:row r="769" ht="30" customHeight="1">
      <x:c r="A769" s="30" t="str">
        <x:v>Nomura</x:v>
      </x:c>
      <x:c r="B769" s="30" t="str">
        <x:v>IBD / GCM</x:v>
      </x:c>
      <x:c r="C769" s="30" t="str">
        <x:v>Metadata</x:v>
      </x:c>
      <x:c r="D769" s="31" t="str">
        <x:v>First Round</x:v>
      </x:c>
      <x:c r="E769" s="31" t="str">
        <x:v>A2</x:v>
      </x:c>
      <x:c r="F769" s="31" t="str">
        <x:v>2024 SA</x:v>
      </x:c>
    </x:row>
    <x:row r="770" ht="30" customHeight="1">
      <x:c r="A770" s="30" t="str">
        <x:v>Nomura</x:v>
      </x:c>
      <x:c r="B770" s="30" t="str">
        <x:v>IBD / GCM</x:v>
      </x:c>
      <x:c r="C770" s="30" t="str">
        <x:v>Metadata</x:v>
      </x:c>
      <x:c r="D770" s="31" t="str">
        <x:v>SPD</x:v>
      </x:c>
      <x:c r="E770" s="31" t="str">
        <x:v>C2</x:v>
      </x:c>
      <x:c r="F770" s="31" t="str"/>
    </x:row>
    <x:row r="771" ht="30" customHeight="1">
      <x:c r="A771" s="30" t="str">
        <x:v>Nomura</x:v>
      </x:c>
      <x:c r="B771" s="30" t="str">
        <x:v>IBD / GCM</x:v>
      </x:c>
      <x:c r="C771" s="30" t="str">
        <x:v>Metadata</x:v>
      </x:c>
      <x:c r="D771" s="31" t="str">
        <x:v>Jasmine</x:v>
      </x:c>
      <x:c r="E771" s="31" t="str">
        <x:v>A3</x:v>
      </x:c>
      <x:c r="F771" s="31" t="str">
        <x:v>2024 SA | First Round</x:v>
      </x:c>
    </x:row>
    <x:row r="772" ht="30" customHeight="1">
      <x:c r="A772" s="30" t="str">
        <x:v>Nomura</x:v>
      </x:c>
      <x:c r="B772" s="30" t="str">
        <x:v>IBD / GCM</x:v>
      </x:c>
      <x:c r="C772" s="30" t="str">
        <x:v>Interview Note</x:v>
      </x:c>
      <x:c r="D772" s="31" t="str">
        <x:v>17 Jasmine</x:v>
      </x:c>
      <x:c r="E772" s="31" t="str">
        <x:v>C3</x:v>
      </x:c>
      <x:c r="F772" s="31" t="str">
        <x:v>SPD</x:v>
      </x:c>
    </x:row>
    <x:row r="773" ht="30" customHeight="1">
      <x:c r="A773" s="30" t="str">
        <x:v>Nomura</x:v>
      </x:c>
      <x:c r="B773" s="30" t="str">
        <x:v>IBD / GCM</x:v>
      </x:c>
      <x:c r="C773" s="30" t="str">
        <x:v>Interview Note</x:v>
      </x:c>
      <x:c r="D773" s="31" t="str">
        <x:v>nomura pi - first yr asso</x:v>
      </x:c>
      <x:c r="E773" s="31" t="str">
        <x:v>A4</x:v>
      </x:c>
      <x:c r="F773" s="31" t="str">
        <x:v>2024 SA | First Round | Jasmine</x:v>
      </x:c>
    </x:row>
    <x:row r="774" ht="30" customHeight="1">
      <x:c r="A774" s="30" t="str">
        <x:v>Nomura</x:v>
      </x:c>
      <x:c r="B774" s="30" t="str">
        <x:v>IBD / GCM</x:v>
      </x:c>
      <x:c r="C774" s="30" t="str">
        <x:v>Interview Note</x:v>
      </x:c>
      <x:c r="D774" s="31" t="str">
        <x:v>nomura spd</x:v>
      </x:c>
      <x:c r="E774" s="31" t="str">
        <x:v>C4</x:v>
      </x:c>
      <x:c r="F774" s="31" t="str">
        <x:v>SPD | 17 Jasmine</x:v>
      </x:c>
    </x:row>
    <x:row r="775" ht="30" customHeight="1">
      <x:c r="A775" s="30" t="str">
        <x:v>Nomura</x:v>
      </x:c>
      <x:c r="B775" s="30" t="str">
        <x:v>IBD / GCM</x:v>
      </x:c>
      <x:c r="C775" s="30" t="str">
        <x:v>Interview Note</x:v>
      </x:c>
      <x:c r="D775" s="31" t="str">
        <x:v>leon li</x:v>
      </x:c>
      <x:c r="E775" s="31" t="str">
        <x:v>C5</x:v>
      </x:c>
      <x:c r="F775" s="31" t="str">
        <x:v>SPD | 17 Jasmine | nomura spd</x:v>
      </x:c>
    </x:row>
    <x:row r="776" ht="46" customHeight="1">
      <x:c r="A776" s="30" t="str">
        <x:v>Nomura</x:v>
      </x:c>
      <x:c r="B776" s="30" t="str">
        <x:v>IBD / GCM</x:v>
      </x:c>
      <x:c r="C776" s="30" t="str">
        <x:v>Interview Note</x:v>
      </x:c>
      <x:c r="D776" s="31" t="str">
        <x:v>have you thought about being an entrepreneur</x:v>
      </x:c>
      <x:c r="E776" s="31" t="str">
        <x:v>C10</x:v>
      </x:c>
      <x:c r="F776" s="31" t="str">
        <x:v>tell me about your experience in the US | why investment banking since you have a law degree | tell me about your first job - tech startup</x:v>
      </x:c>
    </x:row>
    <x:row r="777" ht="30" customHeight="1">
      <x:c r="A777" s="30" t="str">
        <x:v>Nomura</x:v>
      </x:c>
      <x:c r="B777" s="30" t="str">
        <x:v>IBD / GCM</x:v>
      </x:c>
      <x:c r="C777" s="30" t="str">
        <x:v>Interview Note</x:v>
      </x:c>
      <x:c r="D777" s="31" t="str">
        <x:v>for EV industry, how to find trading comps</x:v>
      </x:c>
      <x:c r="E777" s="31" t="str">
        <x:v>A12</x:v>
      </x:c>
      <x:c r="F777" s="31" t="str">
        <x:v>walk through a dcf | how to get FCF | what are the other two valuation methods</x:v>
      </x:c>
    </x:row>
    <x:row r="778" ht="30" customHeight="1">
      <x:c r="A778" s="30" t="str">
        <x:v>Nomura</x:v>
      </x:c>
      <x:c r="B778" s="30" t="str">
        <x:v>IBD / GCM</x:v>
      </x:c>
      <x:c r="C778" s="30" t="str">
        <x:v>Interview Note</x:v>
      </x:c>
      <x:c r="D778" s="31" t="str">
        <x:v>a time when you face failure</x:v>
      </x:c>
      <x:c r="E778" s="31" t="str">
        <x:v>A14</x:v>
      </x:c>
      <x:c r="F778" s="31" t="str">
        <x:v>what are the other two valuation methods | for EV industry, how to find trading comps | any hobbies</x:v>
      </x:c>
    </x:row>
    <x:row r="779" ht="46" customHeight="1">
      <x:c r="A779" s="30" t="str">
        <x:v>Nomura</x:v>
      </x:c>
      <x:c r="B779" s="30" t="str">
        <x:v>IBD / GCM</x:v>
      </x:c>
      <x:c r="C779" s="30" t="str">
        <x:v>Interview Note</x:v>
      </x:c>
      <x:c r="D779" s="31" t="str">
        <x:v>experience in ibd and pe</x:v>
      </x:c>
      <x:c r="E779" s="31" t="str">
        <x:v>C14</x:v>
      </x:c>
      <x:c r="F779" s="31" t="str">
        <x:v>is it common for people with your degree to pursue ibd | how did you secure the internships (i said cold email) | how many did u cold email and how many replied</x:v>
      </x:c>
    </x:row>
    <x:row r="780" ht="30" customHeight="1">
      <x:c r="A780" s="30" t="str">
        <x:v>Nomura</x:v>
      </x:c>
      <x:c r="B780" s="30" t="str">
        <x:v>IBD / GCM</x:v>
      </x:c>
      <x:c r="C780" s="30" t="str">
        <x:v>Metadata</x:v>
      </x:c>
      <x:c r="D780" s="31" t="str">
        <x:v>any questions</x:v>
      </x:c>
      <x:c r="E780" s="31" t="str">
        <x:v>A15</x:v>
      </x:c>
      <x:c r="F780" s="31" t="str">
        <x:v>for EV industry, how to find trading comps | any hobbies | a time when you face failure</x:v>
      </x:c>
    </x:row>
    <x:row r="781" ht="30" customHeight="1">
      <x:c r="A781" s="30" t="str">
        <x:v>Nomura</x:v>
      </x:c>
      <x:c r="B781" s="30" t="str">
        <x:v>IBD / GCM</x:v>
      </x:c>
      <x:c r="C781" s="30" t="str">
        <x:v>Interview Note</x:v>
      </x:c>
      <x:c r="D781" s="31" t="str">
        <x:v>Yvette</x:v>
      </x:c>
      <x:c r="E781" s="31" t="str">
        <x:v>A17</x:v>
      </x:c>
      <x:c r="F781" s="31" t="str">
        <x:v>any hobbies | a time when you face failure | any questions</x:v>
      </x:c>
    </x:row>
    <x:row r="782" ht="30" customHeight="1">
      <x:c r="A782" s="30" t="str">
        <x:v>Nomura</x:v>
      </x:c>
      <x:c r="B782" s="30" t="str">
        <x:v>IBD / GCM</x:v>
      </x:c>
      <x:c r="C782" s="30" t="str">
        <x:v>Interview Note</x:v>
      </x:c>
      <x:c r="D782" s="31" t="str">
        <x:v>Difference between IB and Global Markets</x:v>
      </x:c>
      <x:c r="E782" s="31" t="str">
        <x:v>A19</x:v>
      </x:c>
      <x:c r="F782" s="31" t="str">
        <x:v>any questions | Yvette | Self introduction</x:v>
      </x:c>
    </x:row>
    <x:row r="783" ht="30" customHeight="1">
      <x:c r="A783" s="30" t="str">
        <x:v>Nomura</x:v>
      </x:c>
      <x:c r="B783" s="30" t="str">
        <x:v>IBD / GCM</x:v>
      </x:c>
      <x:c r="C783" s="30" t="str">
        <x:v>Interview Note</x:v>
      </x:c>
      <x:c r="D783" s="31" t="str">
        <x:v>Pick an IB product and tell more about the process</x:v>
      </x:c>
      <x:c r="E783" s="31" t="str">
        <x:v>A21</x:v>
      </x:c>
      <x:c r="F783" s="31" t="str">
        <x:v>Self introduction | Difference between IB and Global Markets | Why IB</x:v>
      </x:c>
    </x:row>
    <x:row r="784" ht="46" customHeight="1">
      <x:c r="A784" s="30" t="str">
        <x:v>Nomura</x:v>
      </x:c>
      <x:c r="B784" s="30" t="str">
        <x:v>IBD / GCM</x:v>
      </x:c>
      <x:c r="C784" s="30" t="str">
        <x:v>Metadata</x:v>
      </x:c>
      <x:c r="D784" s="31" t="str">
        <x:v>any questions</x:v>
      </x:c>
      <x:c r="E784" s="31" t="str">
        <x:v>C21</x:v>
      </x:c>
      <x:c r="F784" s="31" t="str">
        <x:v>how familiar are you with mainland china (since u stayed in the us for a yr and grew up in hk) | would you want to work in the mainland | what do you know about nomura</x:v>
      </x:c>
    </x:row>
    <x:row r="785" ht="30" customHeight="1">
      <x:c r="A785" s="30" t="str">
        <x:v>Nomura</x:v>
      </x:c>
      <x:c r="B785" s="30" t="str">
        <x:v>IBD / GCM</x:v>
      </x:c>
      <x:c r="C785" s="30" t="str">
        <x:v>Interview Note</x:v>
      </x:c>
      <x:c r="D785" s="31" t="str">
        <x:v>CV问题：PE</x:v>
      </x:c>
      <x:c r="E785" s="31" t="str">
        <x:v>A22</x:v>
      </x:c>
      <x:c r="F785" s="31" t="str">
        <x:v>Difference between IB and Global Markets | Why IB | Pick an IB product and tell more about the process</x:v>
      </x:c>
    </x:row>
    <x:row r="786" ht="30" customHeight="1">
      <x:c r="A786" s="30" t="str">
        <x:v>Nomura</x:v>
      </x:c>
      <x:c r="B786" s="30" t="str">
        <x:v>IBD / GCM</x:v>
      </x:c>
      <x:c r="C786" s="30" t="str">
        <x:v>Interview Note</x:v>
      </x:c>
      <x:c r="D786" s="31" t="str">
        <x:v>讲一个看过的行业，有哪些players</x:v>
      </x:c>
      <x:c r="E786" s="31" t="str">
        <x:v>A23</x:v>
      </x:c>
      <x:c r="F786" s="31" t="str">
        <x:v>Why IB | Pick an IB product and tell more about the process | CV问题：PE</x:v>
      </x:c>
    </x:row>
    <x:row r="787" ht="30" customHeight="1">
      <x:c r="A787" s="30" t="str">
        <x:v>Nomura</x:v>
      </x:c>
      <x:c r="B787" s="30" t="str">
        <x:v>IBD / GCM</x:v>
      </x:c>
      <x:c r="C787" s="30" t="str">
        <x:v>Interview Note</x:v>
      </x:c>
      <x:c r="D787" s="31" t="str">
        <x:v>pramath verma</x:v>
      </x:c>
      <x:c r="E787" s="31" t="str">
        <x:v>C23</x:v>
      </x:c>
      <x:c r="F787" s="31" t="str">
        <x:v>would you want to work in the mainland | what do you know about nomura | any questions</x:v>
      </x:c>
    </x:row>
    <x:row r="788" ht="30" customHeight="1">
      <x:c r="A788" s="30" t="str">
        <x:v>Nomura</x:v>
      </x:c>
      <x:c r="B788" s="30" t="str">
        <x:v>IBD / GCM</x:v>
      </x:c>
      <x:c r="C788" s="30" t="str">
        <x:v>Interview Note</x:v>
      </x:c>
      <x:c r="D788" s="31" t="str">
        <x:v>如果可以投资行业内的一家公司，会选择哪家为什么</x:v>
      </x:c>
      <x:c r="E788" s="31" t="str">
        <x:v>A24</x:v>
      </x:c>
      <x:c r="F788" s="31" t="str">
        <x:v>Pick an IB product and tell more about the process | CV问题：PE | 讲一个看过的行业，有哪些players</x:v>
      </x:c>
    </x:row>
    <x:row r="789" ht="30" customHeight="1">
      <x:c r="A789" s="30" t="str">
        <x:v>Nomura</x:v>
      </x:c>
      <x:c r="B789" s="30" t="str">
        <x:v>IBD / GCM</x:v>
      </x:c>
      <x:c r="C789" s="30" t="str">
        <x:v>Interview Note</x:v>
      </x:c>
      <x:c r="D789" s="31" t="str">
        <x:v>PE和IB的区别是什么，为什么选择IB</x:v>
      </x:c>
      <x:c r="E789" s="31" t="str">
        <x:v>A25</x:v>
      </x:c>
      <x:c r="F789" s="31" t="str">
        <x:v>CV问题：PE | 讲一个看过的行业，有哪些players | 如果可以投资行业内的一家公司，会选择哪家为什么</x:v>
      </x:c>
    </x:row>
    <x:row r="790" ht="30" customHeight="1">
      <x:c r="A790" s="30" t="str">
        <x:v>Nomura</x:v>
      </x:c>
      <x:c r="B790" s="30" t="str">
        <x:v>IBD / GCM</x:v>
      </x:c>
      <x:c r="C790" s="30" t="str">
        <x:v>Interview Note</x:v>
      </x:c>
      <x:c r="D790" s="31" t="str">
        <x:v>选择一个公司take private，需要考量什么</x:v>
      </x:c>
      <x:c r="E790" s="31" t="str">
        <x:v>A26</x:v>
      </x:c>
      <x:c r="F790" s="31" t="str">
        <x:v>讲一个看过的行业，有哪些players | 如果可以投资行业内的一家公司，会选择哪家为什么 | PE和IB的区别是什么，为什么选择IB</x:v>
      </x:c>
    </x:row>
    <x:row r="791" ht="30" customHeight="1">
      <x:c r="A791" s="30" t="str">
        <x:v>Nomura</x:v>
      </x:c>
      <x:c r="B791" s="30" t="str">
        <x:v>IBD / GCM</x:v>
      </x:c>
      <x:c r="C791" s="30" t="str">
        <x:v>Interview Note</x:v>
      </x:c>
      <x:c r="D791" s="31" t="str">
        <x:v>buy-side vs sell-side</x:v>
      </x:c>
      <x:c r="E791" s="31" t="str">
        <x:v>C31</x:v>
      </x:c>
      <x:c r="F791" s="31" t="str">
        <x:v>walk me through a project | how did you do valuation in the project | have you followed the fed interest rate hike</x:v>
      </x:c>
    </x:row>
    <x:row r="792" ht="30" customHeight="1">
      <x:c r="A792" s="30" t="str">
        <x:v>Nomura</x:v>
      </x:c>
      <x:c r="B792" s="30" t="str">
        <x:v>IBD / GCM</x:v>
      </x:c>
      <x:c r="C792" s="30" t="str">
        <x:v>Metadata</x:v>
      </x:c>
      <x:c r="D792" s="31" t="str">
        <x:v>any questions</x:v>
      </x:c>
      <x:c r="E792" s="31" t="str">
        <x:v>C34</x:v>
      </x:c>
      <x:c r="F792" s="31" t="str">
        <x:v>buy-side vs sell-side | tell me a time when you faced challenges | how do you see yourself in 5 yrs</x:v>
      </x:c>
    </x:row>
    <x:row r="793" ht="30" customHeight="1">
      <x:c r="A793" s="30" t="str">
        <x:v>Nomura</x:v>
      </x:c>
      <x:c r="B793" s="30" t="str">
        <x:v>IBD / GCM</x:v>
      </x:c>
      <x:c r="C793" s="30" t="str">
        <x:v>Metadata</x:v>
      </x:c>
      <x:c r="D793" s="31" t="str">
        <x:v>2025 SA</x:v>
      </x:c>
      <x:c r="E793" s="31" t="str">
        <x:v>A36</x:v>
      </x:c>
      <x:c r="F793" s="31" t="str">
        <x:v>Global Markets做了什么，觉得有趣吗？ | 为什么高中读A Level大学选择HKU | 有什么问题想问？</x:v>
      </x:c>
    </x:row>
    <x:row r="794" ht="30" customHeight="1">
      <x:c r="A794" s="30" t="str">
        <x:v>Nomura</x:v>
      </x:c>
      <x:c r="B794" s="30" t="str">
        <x:v>IBD / GCM</x:v>
      </x:c>
      <x:c r="C794" s="30" t="str">
        <x:v>Metadata</x:v>
      </x:c>
      <x:c r="D794" s="31" t="str">
        <x:v>SPD</x:v>
      </x:c>
      <x:c r="E794" s="31" t="str">
        <x:v>C36</x:v>
      </x:c>
      <x:c r="F794" s="31" t="str">
        <x:v>tell me a time when you faced challenges | how do you see yourself in 5 yrs | any questions</x:v>
      </x:c>
    </x:row>
    <x:row r="795" ht="30" customHeight="1">
      <x:c r="A795" s="30" t="str">
        <x:v>Nomura</x:v>
      </x:c>
      <x:c r="B795" s="30" t="str">
        <x:v>IBD / GCM</x:v>
      </x:c>
      <x:c r="C795" s="30" t="str">
        <x:v>Interview Note</x:v>
      </x:c>
      <x:c r="D795" s="31" t="str">
        <x:v>Daisy 25/10</x:v>
      </x:c>
      <x:c r="E795" s="31" t="str">
        <x:v>A37</x:v>
      </x:c>
      <x:c r="F795" s="31" t="str">
        <x:v>为什么高中读A Level大学选择HKU | 有什么问题想问？ | 2025 SA</x:v>
      </x:c>
    </x:row>
    <x:row r="796" ht="30" customHeight="1">
      <x:c r="A796" s="30" t="str">
        <x:v>Nomura</x:v>
      </x:c>
      <x:c r="B796" s="30" t="str">
        <x:v>IBD / GCM</x:v>
      </x:c>
      <x:c r="C796" s="30" t="str">
        <x:v>Interview Note</x:v>
      </x:c>
      <x:c r="D796" s="31" t="str">
        <x:v>Kevin Ng--TMT ED</x:v>
      </x:c>
      <x:c r="E796" s="31" t="str">
        <x:v>C38</x:v>
      </x:c>
      <x:c r="F796" s="31" t="str">
        <x:v>how do you see yourself in 5 yrs | any questions | SPD</x:v>
      </x:c>
    </x:row>
    <x:row r="797" ht="46" customHeight="1">
      <x:c r="A797" s="30" t="str">
        <x:v>Nomura</x:v>
      </x:c>
      <x:c r="B797" s="30" t="str">
        <x:v>IBD / GCM</x:v>
      </x:c>
      <x:c r="C797" s="30" t="str">
        <x:v>Interview Note</x:v>
      </x:c>
      <x:c r="D797" s="31" t="str">
        <x:v>Timothy Wong--Levfin vp</x:v>
      </x:c>
      <x:c r="E797" s="31" t="str">
        <x:v>C45</x:v>
      </x:c>
      <x:c r="F797" s="31" t="str">
        <x:v>DCF model walk through, WACC? | Baidu acquiring Sensetime deal walk through, do it make sense, why 5 yrs | What do you do in your spare time</x:v>
      </x:c>
    </x:row>
    <x:row r="798" ht="30" customHeight="1">
      <x:c r="A798" s="30" t="str">
        <x:v>Nomura</x:v>
      </x:c>
      <x:c r="B798" s="30" t="str">
        <x:v>IBD / GCM</x:v>
      </x:c>
      <x:c r="C798" s="30" t="str">
        <x:v>Interview Note</x:v>
      </x:c>
      <x:c r="D798" s="31" t="str">
        <x:v>Qualities of an investment banker</x:v>
      </x:c>
      <x:c r="E798" s="31" t="str">
        <x:v>A50</x:v>
      </x:c>
      <x:c r="F798" s="31" t="str">
        <x:v>Why ibd | Why nomura | What's the advantages of nomura</x:v>
      </x:c>
    </x:row>
    <x:row r="799" ht="30" customHeight="1">
      <x:c r="A799" s="30" t="str">
        <x:v>Nomura</x:v>
      </x:c>
      <x:c r="B799" s="30" t="str">
        <x:v>IBD / GCM</x:v>
      </x:c>
      <x:c r="C799" s="30" t="str">
        <x:v>Metadata</x:v>
      </x:c>
      <x:c r="D799" s="31" t="str">
        <x:v>Question for me</x:v>
      </x:c>
      <x:c r="E799" s="31" t="str">
        <x:v>A51</x:v>
      </x:c>
      <x:c r="F799" s="31" t="str">
        <x:v>Why nomura | What's the advantages of nomura | Qualities of an investment banker</x:v>
      </x:c>
    </x:row>
    <x:row r="800" ht="46" customHeight="1">
      <x:c r="A800" s="30" t="str">
        <x:v>Nomura</x:v>
      </x:c>
      <x:c r="B800" s="30" t="str">
        <x:v>IBD / GCM</x:v>
      </x:c>
      <x:c r="C800" s="30" t="str">
        <x:v>Interview Note</x:v>
      </x:c>
      <x:c r="D800" s="31" t="str">
        <x:v>any regulatory concern</x:v>
      </x:c>
      <x:c r="E800" s="31" t="str">
        <x:v>C52</x:v>
      </x:c>
      <x:c r="F800" s="31" t="str">
        <x:v>Discuss tariff effect on Chinese EV makers blabla | Discuss Trump's presidency's effect on Chinese EV makers blabla | Walk through the M&amp;A deal you did in your first internship</x:v>
      </x:c>
    </x:row>
    <x:row r="801" ht="30" customHeight="1">
      <x:c r="A801" s="30" t="str">
        <x:v>Nomura</x:v>
      </x:c>
      <x:c r="B801" s="30" t="str">
        <x:v>IBD / GCM</x:v>
      </x:c>
      <x:c r="C801" s="30" t="str">
        <x:v>Interview Note</x:v>
      </x:c>
      <x:c r="D801" s="31" t="str">
        <x:v>Sophie Wang--China team vp</x:v>
      </x:c>
      <x:c r="E801" s="31" t="str">
        <x:v>C56</x:v>
      </x:c>
      <x:c r="F801" s="31" t="str">
        <x:v>any regulatory concern | by debt/cash? | Did you participate in the financing work</x:v>
      </x:c>
    </x:row>
    <x:row r="802" ht="30" customHeight="1">
      <x:c r="A802" s="30" t="str">
        <x:v>Nomura</x:v>
      </x:c>
      <x:c r="B802" s="30" t="str">
        <x:v>IBD / GCM</x:v>
      </x:c>
      <x:c r="C802" s="30" t="str">
        <x:v>Interview Note</x:v>
      </x:c>
      <x:c r="D802" s="31" t="str">
        <x:v>Phone Interview</x:v>
      </x:c>
      <x:c r="E802" s="31" t="str">
        <x:v>A69</x:v>
      </x:c>
      <x:c r="F802" s="31" t="str">
        <x:v>What's the advantages of nomura | Qualities of an investment banker | Question for me</x:v>
      </x:c>
    </x:row>
    <x:row r="803" ht="30" customHeight="1">
      <x:c r="A803" s="30" t="str">
        <x:v>Nomura</x:v>
      </x:c>
      <x:c r="B803" s="30" t="str">
        <x:v>IBD / GCM</x:v>
      </x:c>
      <x:c r="C803" s="30" t="str">
        <x:v>Interview Note</x:v>
      </x:c>
      <x:c r="D803" s="31" t="str">
        <x:v>25 Kari, with Brian</x:v>
      </x:c>
      <x:c r="E803" s="31" t="str">
        <x:v>A70</x:v>
      </x:c>
      <x:c r="F803" s="31" t="str">
        <x:v>Qualities of an investment banker | Question for me | Phone Interview</x:v>
      </x:c>
    </x:row>
    <x:row r="804" ht="30" customHeight="1">
      <x:c r="A804" s="30" t="str">
        <x:v>Nomura</x:v>
      </x:c>
      <x:c r="B804" s="30" t="str">
        <x:v>IBD / GCM</x:v>
      </x:c>
      <x:c r="C804" s="30" t="str">
        <x:v>Interview Note</x:v>
      </x:c>
      <x:c r="D804" s="31" t="str">
        <x:v>Introduction</x:v>
      </x:c>
      <x:c r="E804" s="31" t="str">
        <x:v>A71</x:v>
      </x:c>
      <x:c r="F804" s="31" t="str">
        <x:v>Question for me | Phone Interview | 25 Kari, with Brian</x:v>
      </x:c>
    </x:row>
    <x:row r="805" ht="46" customHeight="1">
      <x:c r="A805" s="30" t="str">
        <x:v>Nomura</x:v>
      </x:c>
      <x:c r="B805" s="30" t="str">
        <x:v>IBD / GCM</x:v>
      </x:c>
      <x:c r="C805" s="30" t="str">
        <x:v>Interview Note</x:v>
      </x:c>
      <x:c r="D805" s="31" t="str">
        <x:v>1 deal in GF healthcare team</x:v>
      </x:c>
      <x:c r="E805" s="31" t="str">
        <x:v>A74</x:v>
      </x:c>
      <x:c r="F805" s="31" t="str">
        <x:v>Introduction | Do you know Rita Zhang from GF Holdings (hk)? | Technical: PPE write down 10 + Depreciation 10, 3 statements?</x:v>
      </x:c>
    </x:row>
    <x:row r="806" ht="30" customHeight="1">
      <x:c r="A806" s="30" t="str">
        <x:v>Nomura</x:v>
      </x:c>
      <x:c r="B806" s="30" t="str">
        <x:v>IBD / GCM</x:v>
      </x:c>
      <x:c r="C806" s="30" t="str">
        <x:v>Interview Note</x:v>
      </x:c>
      <x:c r="D806" s="31" t="str">
        <x:v>（转中文）中国国债率多少，美国国债率多少</x:v>
      </x:c>
      <x:c r="E806" s="31" t="str">
        <x:v>A79</x:v>
      </x:c>
      <x:c r="F806" s="31" t="str">
        <x:v>What formula you use for cost of equity | What do you use for rf ( I said t-bill/bond/notes) | Rf for Chinese firm?</x:v>
      </x:c>
    </x:row>
    <x:row r="807" ht="30" customHeight="1">
      <x:c r="A807" s="30" t="str">
        <x:v>Nomura</x:v>
      </x:c>
      <x:c r="B807" s="30" t="str">
        <x:v>IBD / GCM</x:v>
      </x:c>
      <x:c r="C807" s="30" t="str">
        <x:v>Interview Note</x:v>
      </x:c>
      <x:c r="D807" s="31" t="str">
        <x:v>你高中是云南师大附中的吗，为什么大学来港大</x:v>
      </x:c>
      <x:c r="E807" s="31" t="str">
        <x:v>A80</x:v>
      </x:c>
      <x:c r="F807" s="31" t="str">
        <x:v>What do you use for rf ( I said t-bill/bond/notes) | Rf for Chinese firm? | （转中文）中国国债率多少，美国国债率多少</x:v>
      </x:c>
    </x:row>
    <x:row r="808" ht="30" customHeight="1">
      <x:c r="A808" s="30" t="str">
        <x:v>Nomura</x:v>
      </x:c>
      <x:c r="B808" s="30" t="str">
        <x:v>IBD / GCM</x:v>
      </x:c>
      <x:c r="C808" s="30" t="str">
        <x:v>Interview Note</x:v>
      </x:c>
      <x:c r="D808" s="31" t="str">
        <x:v>Blow water</x:v>
      </x:c>
      <x:c r="E808" s="31" t="str">
        <x:v>A81</x:v>
      </x:c>
      <x:c r="F808" s="31" t="str">
        <x:v>Rf for Chinese firm? | （转中文）中国国债率多少，美国国债率多少 | 你高中是云南师大附中的吗，为什么大学来港大</x:v>
      </x:c>
    </x:row>
    <x:row r="809" ht="30" customHeight="1">
      <x:c r="A809" s="30" t="str">
        <x:v>Nomura</x:v>
      </x:c>
      <x:c r="B809" s="30" t="str">
        <x:v>IBD / GCM</x:v>
      </x:c>
      <x:c r="C809" s="30" t="str">
        <x:v>Metadata</x:v>
      </x:c>
      <x:c r="D809" s="31" t="str">
        <x:v>2026 SA</x:v>
      </x:c>
      <x:c r="E809" s="31" t="str">
        <x:v>A84</x:v>
      </x:c>
      <x:c r="F809" s="31" t="str">
        <x:v>（转中文）中国国债率多少，美国国债率多少 | 你高中是云南师大附中的吗，为什么大学来港大 | Blow water</x:v>
      </x:c>
    </x:row>
    <x:row r="810" ht="30" customHeight="1">
      <x:c r="A810" s="30" t="str">
        <x:v>Nomura</x:v>
      </x:c>
      <x:c r="B810" s="30" t="str">
        <x:v>IBD / GCM</x:v>
      </x:c>
      <x:c r="C810" s="30" t="str">
        <x:v>Metadata</x:v>
      </x:c>
      <x:c r="D810" s="31" t="str">
        <x:v>First Round</x:v>
      </x:c>
      <x:c r="E810" s="31" t="str">
        <x:v>A85</x:v>
      </x:c>
      <x:c r="F810" s="31" t="str">
        <x:v>你高中是云南师大附中的吗，为什么大学来港大 | Blow water | 2026 SA</x:v>
      </x:c>
    </x:row>
    <x:row r="811" ht="30" customHeight="1">
      <x:c r="A811" s="30" t="str">
        <x:v>Nomura</x:v>
      </x:c>
      <x:c r="B811" s="30" t="str">
        <x:v>IBD / GCM</x:v>
      </x:c>
      <x:c r="C811" s="30" t="str">
        <x:v>Metadata</x:v>
      </x:c>
      <x:c r="D811" s="31" t="str">
        <x:v>SPD 12/11</x:v>
      </x:c>
      <x:c r="E811" s="31" t="str">
        <x:v>C85</x:v>
      </x:c>
      <x:c r="F811" s="31" t="str">
        <x:v>How to get wacc | How to get cost of equity | How to get beta</x:v>
      </x:c>
    </x:row>
    <x:row r="812" ht="30" customHeight="1">
      <x:c r="A812" s="30" t="str">
        <x:v>Nomura</x:v>
      </x:c>
      <x:c r="B812" s="30" t="str">
        <x:v>IBD / GCM</x:v>
      </x:c>
      <x:c r="C812" s="30" t="str">
        <x:v>Metadata</x:v>
      </x:c>
      <x:c r="D812" s="31" t="str">
        <x:v>1st round 17/10 Anna (Katy TMT)</x:v>
      </x:c>
      <x:c r="E812" s="31" t="str">
        <x:v>A86</x:v>
      </x:c>
      <x:c r="F812" s="31" t="str">
        <x:v>Blow water | 2026 SA | First Round</x:v>
      </x:c>
    </x:row>
    <x:row r="813" ht="30" customHeight="1">
      <x:c r="A813" s="30" t="str">
        <x:v>Nomura</x:v>
      </x:c>
      <x:c r="B813" s="30" t="str">
        <x:v>IBD / GCM</x:v>
      </x:c>
      <x:c r="C813" s="30" t="str">
        <x:v>Interview Note</x:v>
      </x:c>
      <x:c r="D813" s="31" t="str">
        <x:v>Case Interview - Sophie Wang ED China team</x:v>
      </x:c>
      <x:c r="E813" s="31" t="str">
        <x:v>C86</x:v>
      </x:c>
      <x:c r="F813" s="31" t="str">
        <x:v>How to get cost of equity | How to get beta | SPD 12/11</x:v>
      </x:c>
    </x:row>
    <x:row r="814" ht="30" customHeight="1">
      <x:c r="A814" s="30" t="str">
        <x:v>Nomura</x:v>
      </x:c>
      <x:c r="B814" s="30" t="str">
        <x:v>IBD / GCM</x:v>
      </x:c>
      <x:c r="C814" s="30" t="str">
        <x:v>Interview Note</x:v>
      </x:c>
      <x:c r="D814" s="31" t="str">
        <x:v>No technicals super chill</x:v>
      </x:c>
      <x:c r="E814" s="31" t="str">
        <x:v>A87</x:v>
      </x:c>
      <x:c r="F814" s="31" t="str">
        <x:v>2026 SA | First Round | 1st round 17/10 Anna (Katy TMT)</x:v>
      </x:c>
    </x:row>
    <x:row r="815" ht="30" customHeight="1">
      <x:c r="A815" s="30" t="str">
        <x:v>Nomura</x:v>
      </x:c>
      <x:c r="B815" s="30" t="str">
        <x:v>IBD / GCM</x:v>
      </x:c>
      <x:c r="C815" s="30" t="str">
        <x:v>Interview Note</x:v>
      </x:c>
      <x:c r="D815" s="31" t="str">
        <x:v>(She did not open cam, but I recognized her from Women Who Lead)</x:v>
      </x:c>
      <x:c r="E815" s="31" t="str">
        <x:v>A88</x:v>
      </x:c>
      <x:c r="F815" s="31" t="str">
        <x:v>First Round | 1st round 17/10 Anna (Katy TMT) | No technicals super chill</x:v>
      </x:c>
    </x:row>
    <x:row r="816" ht="62" customHeight="1">
      <x:c r="A816" s="30" t="str">
        <x:v>Nomura</x:v>
      </x:c>
      <x:c r="B816" s="30" t="str">
        <x:v>IBD / GCM</x:v>
      </x:c>
      <x:c r="C816" s="30" t="str">
        <x:v>Metadata</x:v>
      </x:c>
      <x:c r="D816" s="31" t="str">
        <x:v>Interviewer 1 - Jason Leung</x:v>
      </x:c>
      <x:c r="E816" s="31" t="str">
        <x:v>C90</x:v>
      </x:c>
      <x:c r="F816" s="31" t="str">
        <x:v>Case Interview - Sophie Wang ED China team | Have you chatted with Joseph from Odysseus? (is her 学长) | Basically going over the case questions, asked me to expand on a few but overall straightforward. Case study is about Kao's acquisitio...</x:v>
      </x:c>
    </x:row>
    <x:row r="817" ht="62" customHeight="1">
      <x:c r="A817" s="30" t="str">
        <x:v>Nomura</x:v>
      </x:c>
      <x:c r="B817" s="30" t="str">
        <x:v>IBD / GCM</x:v>
      </x:c>
      <x:c r="C817" s="30" t="str">
        <x:v>Interview Note</x:v>
      </x:c>
      <x:c r="D817" s="31" t="str">
        <x:v>(He's not looking at screen, seems occupied, little serious)</x:v>
      </x:c>
      <x:c r="E817" s="31" t="str">
        <x:v>C91</x:v>
      </x:c>
      <x:c r="F817" s="31" t="str">
        <x:v>Have you chatted with Joseph from Odysseus? (is her 学长) | Basically going over the case questions, asked me to expand on a few but overall straightforward. Case study is about Kao's acquisition of Bondi Sands (Nomura being the buyer's so...</x:v>
      </x:c>
    </x:row>
    <x:row r="818" ht="62" customHeight="1">
      <x:c r="A818" s="30" t="str">
        <x:v>Nomura</x:v>
      </x:c>
      <x:c r="B818" s="30" t="str">
        <x:v>IBD / GCM</x:v>
      </x:c>
      <x:c r="C818" s="30" t="str">
        <x:v>Interview Note</x:v>
      </x:c>
      <x:c r="D818" s="31" t="str">
        <x:v>过去两年主要在做什么事情</x:v>
      </x:c>
      <x:c r="E818" s="31" t="str">
        <x:v>C94</x:v>
      </x:c>
      <x:c r="F818" s="31" t="str">
        <x:v>(He's not looking at screen, seems occupied, little serious) | You're meeting with the chairman of the firm. What info to gather and questions to ask that will enable you to assess whether this firm is a feasible take-over target (I ment...</x:v>
      </x:c>
    </x:row>
    <x:row r="819" ht="62" customHeight="1">
      <x:c r="A819" s="30" t="str">
        <x:v>Nomura</x:v>
      </x:c>
      <x:c r="B819" s="30" t="str">
        <x:v>IBD / GCM</x:v>
      </x:c>
      <x:c r="C819" s="30" t="str">
        <x:v>Interview Note</x:v>
      </x:c>
      <x:c r="D819" s="31" t="str">
        <x:v>很多同学来做实习后会有心理落差，你觉得自己会面临这个问题吗</x:v>
      </x:c>
      <x:c r="E819" s="31" t="str">
        <x:v>C95</x:v>
      </x:c>
      <x:c r="F819" s="31" t="str">
        <x:v>You're meeting with the chairman of the firm. What info to gather and questions to ask that will enable you to assess whether this firm is a feasible take-over target (I mentioned financial feasibility then he asked me to expand) | 假设你客户...</x:v>
      </x:c>
    </x:row>
    <x:row r="820" ht="30" customHeight="1">
      <x:c r="A820" s="30" t="str">
        <x:v>Nomura</x:v>
      </x:c>
      <x:c r="B820" s="30" t="str">
        <x:v>IBD / GCM</x:v>
      </x:c>
      <x:c r="C820" s="30" t="str">
        <x:v>Interview Note</x:v>
      </x:c>
      <x:c r="D820" s="31" t="str">
        <x:v>你到full-time还有两年时间，这两年会发生很多事，你的plan B是什么</x:v>
      </x:c>
      <x:c r="E820" s="31" t="str">
        <x:v>C96</x:v>
      </x:c>
      <x:c r="F820" s="31" t="str">
        <x:v>假设你客户投了一家公司15%的股权，被投企业发了股息，你客户的FS会受到怎样的影响？ | 过去两年主要在做什么事情 | 很多同学来做实习后会有心理落差，你觉得自己会面临这个问题吗</x:v>
      </x:c>
    </x:row>
    <x:row r="821" ht="30" customHeight="1">
      <x:c r="A821" s="30" t="str">
        <x:v>Nomura</x:v>
      </x:c>
      <x:c r="B821" s="30" t="str">
        <x:v>IBD / GCM</x:v>
      </x:c>
      <x:c r="C821" s="30" t="str">
        <x:v>Interview Note</x:v>
      </x:c>
      <x:c r="D821" s="31" t="str">
        <x:v>有什么问题吗</x:v>
      </x:c>
      <x:c r="E821" s="31" t="str">
        <x:v>C97</x:v>
      </x:c>
      <x:c r="F821" s="31" t="str">
        <x:v>过去两年主要在做什么事情 | 很多同学来做实习后会有心理落差，你觉得自己会面临这个问题吗 | 你到full-time还有两年时间，这两年会发生很多事，你的plan B是什么</x:v>
      </x:c>
    </x:row>
    <x:row r="822" ht="30" customHeight="1">
      <x:c r="A822" s="30" t="str">
        <x:v>Nomura</x:v>
      </x:c>
      <x:c r="B822" s="30" t="str">
        <x:v>IBD / GCM</x:v>
      </x:c>
      <x:c r="C822" s="30" t="str">
        <x:v>Metadata</x:v>
      </x:c>
      <x:c r="D822" s="31" t="str">
        <x:v>Interviewer 2 - Shinichi Yao</x:v>
      </x:c>
      <x:c r="E822" s="31" t="str">
        <x:v>C99</x:v>
      </x:c>
      <x:c r="F822" s="31" t="str">
        <x:v>很多同学来做实习后会有心理落差，你觉得自己会面临这个问题吗 | 你到full-time还有两年时间，这两年会发生很多事，你的plan B是什么 | 有什么问题吗</x:v>
      </x:c>
    </x:row>
    <x:row r="823" ht="30" customHeight="1">
      <x:c r="A823" s="30" t="str">
        <x:v>Nomura</x:v>
      </x:c>
      <x:c r="B823" s="30" t="str">
        <x:v>IBD / GCM</x:v>
      </x:c>
      <x:c r="C823" s="30" t="str">
        <x:v>Interview Note</x:v>
      </x:c>
      <x:c r="D823" s="31" t="str">
        <x:v>Your advantages in competing for this role</x:v>
      </x:c>
      <x:c r="E823" s="31" t="str">
        <x:v>C101</x:v>
      </x:c>
      <x:c r="F823" s="31" t="str">
        <x:v>有什么问题吗 | Interviewer 2 - Shinichi Yao | Tell me more about you, why up to this role (5 min)</x:v>
      </x:c>
    </x:row>
    <x:row r="824" ht="46" customHeight="1">
      <x:c r="A824" s="30" t="str">
        <x:v>Nomura</x:v>
      </x:c>
      <x:c r="B824" s="30" t="str">
        <x:v>IBD / GCM</x:v>
      </x:c>
      <x:c r="C824" s="30" t="str">
        <x:v>Interview Note</x:v>
      </x:c>
      <x:c r="D824" s="31" t="str">
        <x:v>You chatted with junior bankers, what you know about Nomura ibd at this stage</x:v>
      </x:c>
      <x:c r="E824" s="31" t="str">
        <x:v>C103</x:v>
      </x:c>
      <x:c r="F824" s="31" t="str">
        <x:v>Tell me more about you, why up to this role (5 min) | Your advantages in competing for this role | Need to sacrifice your private time doing ibd, are you ready for this?</x:v>
      </x:c>
    </x:row>
    <x:row r="825" ht="46" customHeight="1">
      <x:c r="A825" s="30" t="str">
        <x:v>Nomura</x:v>
      </x:c>
      <x:c r="B825" s="30" t="str">
        <x:v>IBD / GCM</x:v>
      </x:c>
      <x:c r="C825" s="30" t="str">
        <x:v>Interview Note</x:v>
      </x:c>
      <x:c r="D825" s="31" t="str">
        <x:v>有什么问题吗</x:v>
      </x:c>
      <x:c r="E825" s="31" t="str">
        <x:v>C107</x:v>
      </x:c>
      <x:c r="F825" s="31" t="str">
        <x:v>日本人口有1.2亿，理发店的总数量大约是？（估算逻辑+结果） | 讲一下M&amp;A的整个流程（buyside/sellside） | 拿到hk offer后更多的exposure在north-asia，主要的product是M&amp;A，IPO ECM相关的很少，你ok吗？</x:v>
      </x:c>
    </x:row>
    <x:row r="826" ht="30" customHeight="1">
      <x:c r="A826" s="30" t="str">
        <x:v>Houlihan Lokey</x:v>
      </x:c>
      <x:c r="B826" s="30" t="str">
        <x:v>IBD / GCM</x:v>
      </x:c>
      <x:c r="C826" s="30" t="str">
        <x:v>Metadata</x:v>
      </x:c>
      <x:c r="D826" s="31" t="str">
        <x:v>2025 SA</x:v>
      </x:c>
      <x:c r="E826" s="31" t="str">
        <x:v>A1</x:v>
      </x:c>
      <x:c r="F826" s="31" t="str"/>
    </x:row>
    <x:row r="827" ht="30" customHeight="1">
      <x:c r="A827" s="30" t="str">
        <x:v>Houlihan Lokey</x:v>
      </x:c>
      <x:c r="B827" s="30" t="str">
        <x:v>IBD / GCM</x:v>
      </x:c>
      <x:c r="C827" s="30" t="str">
        <x:v>Metadata</x:v>
      </x:c>
      <x:c r="D827" s="31" t="str">
        <x:v>1st round (Emily)</x:v>
      </x:c>
      <x:c r="E827" s="31" t="str">
        <x:v>A2</x:v>
      </x:c>
      <x:c r="F827" s="31" t="str">
        <x:v>2025 SA</x:v>
      </x:c>
    </x:row>
    <x:row r="828" ht="30" customHeight="1">
      <x:c r="A828" s="30" t="str">
        <x:v>Houlihan Lokey</x:v>
      </x:c>
      <x:c r="B828" s="30" t="str">
        <x:v>IBD / GCM</x:v>
      </x:c>
      <x:c r="C828" s="30" t="str">
        <x:v>Metadata</x:v>
      </x:c>
      <x:c r="D828" s="31" t="str">
        <x:v>2nd round</x:v>
      </x:c>
      <x:c r="E828" s="31" t="str">
        <x:v>B2</x:v>
      </x:c>
      <x:c r="F828" s="31" t="str"/>
    </x:row>
    <x:row r="829" ht="30" customHeight="1">
      <x:c r="A829" s="30" t="str">
        <x:v>Houlihan Lokey</x:v>
      </x:c>
      <x:c r="B829" s="30" t="str">
        <x:v>IBD / GCM</x:v>
      </x:c>
      <x:c r="C829" s="30" t="str">
        <x:v>Metadata</x:v>
      </x:c>
      <x:c r="D829" s="31" t="str">
        <x:v>(20 mins interview)</x:v>
      </x:c>
      <x:c r="E829" s="31" t="str">
        <x:v>A3</x:v>
      </x:c>
      <x:c r="F829" s="31" t="str">
        <x:v>2025 SA | 1st round (Emily)</x:v>
      </x:c>
    </x:row>
    <x:row r="830" ht="46" customHeight="1">
      <x:c r="A830" s="30" t="str">
        <x:v>Houlihan Lokey</x:v>
      </x:c>
      <x:c r="B830" s="30" t="str">
        <x:v>IBD / GCM</x:v>
      </x:c>
      <x:c r="C830" s="30" t="str">
        <x:v>Interview Note</x:v>
      </x:c>
      <x:c r="D830" s="31" t="str">
        <x:v>Mandarin Q&amp;A</x:v>
      </x:c>
      <x:c r="E830" s="31" t="str">
        <x:v>A9</x:v>
      </x:c>
      <x:c r="F830" s="31" t="str">
        <x:v>If the price fluctuation of callable bonds increase, how does it effect the YTM? (increase) | Adjustments to EBITDA to find adjusted EBITDA? | Why restructuring?</x:v>
      </x:c>
    </x:row>
    <x:row r="831" ht="46" customHeight="1">
      <x:c r="A831" s="30" t="str">
        <x:v>Houlihan Lokey</x:v>
      </x:c>
      <x:c r="B831" s="30" t="str">
        <x:v>IBD / GCM</x:v>
      </x:c>
      <x:c r="C831" s="30" t="str">
        <x:v>Interview Note</x:v>
      </x:c>
      <x:c r="D831" s="31" t="str">
        <x:v>Q&amp;A</x:v>
      </x:c>
      <x:c r="E831" s="31" t="str">
        <x:v>B10</x:v>
      </x:c>
      <x:c r="F831" s="31" t="str">
        <x:v>Asset writedown 100, 3 statement | EV 150, Senior debt 100, CPS 100, what is the value of CPS? | Why restructuring? Are you sure you want to do this?</x:v>
      </x:c>
    </x:row>
    <x:row r="832" ht="30" customHeight="1">
      <x:c r="A832" s="30" t="str">
        <x:v>Houlihan Lokey</x:v>
      </x:c>
      <x:c r="B832" s="30" t="str">
        <x:v>IBD / GCM</x:v>
      </x:c>
      <x:c r="C832" s="30" t="str">
        <x:v>Metadata</x:v>
      </x:c>
      <x:c r="D832" s="31" t="str">
        <x:v>2024 SA</x:v>
      </x:c>
      <x:c r="E832" s="31" t="str">
        <x:v>A17</x:v>
      </x:c>
      <x:c r="F832" s="31" t="str">
        <x:v>Adjustments to EBITDA to find adjusted EBITDA? | Why restructuring? | Mandarin Q&amp;A</x:v>
      </x:c>
    </x:row>
    <x:row r="833" ht="30" customHeight="1">
      <x:c r="A833" s="30" t="str">
        <x:v>Houlihan Lokey</x:v>
      </x:c>
      <x:c r="B833" s="30" t="str">
        <x:v>IBD / GCM</x:v>
      </x:c>
      <x:c r="C833" s="30" t="str">
        <x:v>Metadata</x:v>
      </x:c>
      <x:c r="D833" s="31" t="str">
        <x:v>Emily (40 mins interview + 10 mins Q&amp;A)</x:v>
      </x:c>
      <x:c r="E833" s="31" t="str">
        <x:v>A18</x:v>
      </x:c>
      <x:c r="F833" s="31" t="str">
        <x:v>Why restructuring? | Mandarin Q&amp;A | 2024 SA</x:v>
      </x:c>
    </x:row>
    <x:row r="834" ht="46" customHeight="1">
      <x:c r="A834" s="30" t="str">
        <x:v>Houlihan Lokey</x:v>
      </x:c>
      <x:c r="B834" s="30" t="str">
        <x:v>IBD / GCM</x:v>
      </x:c>
      <x:c r="C834" s="30" t="str">
        <x:v>Interview Note</x:v>
      </x:c>
      <x:c r="D834" s="31" t="str">
        <x:v>Investment grade bond vs high yield bond</x:v>
      </x:c>
      <x:c r="E834" s="31" t="str">
        <x:v>A23</x:v>
      </x:c>
      <x:c r="F834" s="31" t="str">
        <x:v>Very demanding work, can you handle it? How will you balance your hobbies and interests? | Tell me something not on your resume, what do you do in your free time | Tell me a company on your resume, and how do you evaluate the company</x:v>
      </x:c>
    </x:row>
    <x:row r="835" ht="30" customHeight="1">
      <x:c r="A835" s="30" t="str">
        <x:v>PWMAM</x:v>
      </x:c>
      <x:c r="B835" s="30" t="str">
        <x:v>Separator / Other</x:v>
      </x:c>
      <x:c r="C835" s="30" t="str">
        <x:v>Metadata</x:v>
      </x:c>
      <x:c r="D835" s="31" t="str">
        <x:v>Strictly</x:v>
      </x:c>
      <x:c r="E835" s="31" t="str">
        <x:v>A1</x:v>
      </x:c>
      <x:c r="F835" s="31" t="str"/>
    </x:row>
    <x:row r="836" ht="30" customHeight="1">
      <x:c r="A836" s="30" t="str">
        <x:v>PWMAM</x:v>
      </x:c>
      <x:c r="B836" s="30" t="str">
        <x:v>Separator / Other</x:v>
      </x:c>
      <x:c r="C836" s="30" t="str">
        <x:v>Interview Note</x:v>
      </x:c>
      <x:c r="D836" s="31" t="str">
        <x:v>Do</x:v>
      </x:c>
      <x:c r="E836" s="31" t="str">
        <x:v>C1</x:v>
      </x:c>
      <x:c r="F836" s="31" t="str"/>
    </x:row>
    <x:row r="837" ht="30" customHeight="1">
      <x:c r="A837" s="30" t="str">
        <x:v>PWMAM</x:v>
      </x:c>
      <x:c r="B837" s="30" t="str">
        <x:v>Separator / Other</x:v>
      </x:c>
      <x:c r="C837" s="30" t="str">
        <x:v>Interview Note</x:v>
      </x:c>
      <x:c r="D837" s="31" t="str">
        <x:v>For</x:v>
      </x:c>
      <x:c r="E837" s="31" t="str">
        <x:v>A2</x:v>
      </x:c>
      <x:c r="F837" s="31" t="str">
        <x:v>Strictly</x:v>
      </x:c>
    </x:row>
    <x:row r="838" ht="30" customHeight="1">
      <x:c r="A838" s="30" t="str">
        <x:v>PWMAM</x:v>
      </x:c>
      <x:c r="B838" s="30" t="str">
        <x:v>Separator / Other</x:v>
      </x:c>
      <x:c r="C838" s="30" t="str">
        <x:v>Interview Note</x:v>
      </x:c>
      <x:c r="D838" s="31" t="str">
        <x:v>Not</x:v>
      </x:c>
      <x:c r="E838" s="31" t="str">
        <x:v>C2</x:v>
      </x:c>
      <x:c r="F838" s="31" t="str">
        <x:v>Do</x:v>
      </x:c>
    </x:row>
    <x:row r="839" ht="30" customHeight="1">
      <x:c r="A839" s="30" t="str">
        <x:v>PWMAM</x:v>
      </x:c>
      <x:c r="B839" s="30" t="str">
        <x:v>Separator / Other</x:v>
      </x:c>
      <x:c r="C839" s="30" t="str">
        <x:v>Interview Note</x:v>
      </x:c>
      <x:c r="D839" s="31" t="str">
        <x:v>Internal</x:v>
      </x:c>
      <x:c r="E839" s="31" t="str">
        <x:v>A3</x:v>
      </x:c>
      <x:c r="F839" s="31" t="str">
        <x:v>Strictly | For</x:v>
      </x:c>
    </x:row>
    <x:row r="840" ht="30" customHeight="1">
      <x:c r="A840" s="30" t="str">
        <x:v>PWMAM</x:v>
      </x:c>
      <x:c r="B840" s="30" t="str">
        <x:v>Separator / Other</x:v>
      </x:c>
      <x:c r="C840" s="30" t="str">
        <x:v>Interview Note</x:v>
      </x:c>
      <x:c r="D840" s="31" t="str">
        <x:v>Share</x:v>
      </x:c>
      <x:c r="E840" s="31" t="str">
        <x:v>C3</x:v>
      </x:c>
      <x:c r="F840" s="31" t="str">
        <x:v>Do | Not</x:v>
      </x:c>
    </x:row>
    <x:row r="841" ht="30" customHeight="1">
      <x:c r="A841" s="30" t="str">
        <x:v>PWMAM</x:v>
      </x:c>
      <x:c r="B841" s="30" t="str">
        <x:v>Separator / Other</x:v>
      </x:c>
      <x:c r="C841" s="30" t="str">
        <x:v>Interview Note</x:v>
      </x:c>
      <x:c r="D841" s="31" t="str">
        <x:v>Use</x:v>
      </x:c>
      <x:c r="E841" s="31" t="str">
        <x:v>A4</x:v>
      </x:c>
      <x:c r="F841" s="31" t="str">
        <x:v>Strictly | For | Internal</x:v>
      </x:c>
    </x:row>
    <x:row r="842" ht="30" customHeight="1">
      <x:c r="A842" s="30" t="str">
        <x:v>PWMAM</x:v>
      </x:c>
      <x:c r="B842" s="30" t="str">
        <x:v>Separator / Other</x:v>
      </x:c>
      <x:c r="C842" s="30" t="str">
        <x:v>Interview Note</x:v>
      </x:c>
      <x:c r="D842" s="31" t="str">
        <x:v>with</x:v>
      </x:c>
      <x:c r="E842" s="31" t="str">
        <x:v>C4</x:v>
      </x:c>
      <x:c r="F842" s="31" t="str">
        <x:v>Do | Not | Share</x:v>
      </x:c>
    </x:row>
    <x:row r="843" ht="30" customHeight="1">
      <x:c r="A843" s="30" t="str">
        <x:v>PWMAM</x:v>
      </x:c>
      <x:c r="B843" s="30" t="str">
        <x:v>Separator / Other</x:v>
      </x:c>
      <x:c r="C843" s="30" t="str">
        <x:v>Interview Note</x:v>
      </x:c>
      <x:c r="D843" s="31" t="str">
        <x:v>Only</x:v>
      </x:c>
      <x:c r="E843" s="31" t="str">
        <x:v>A5</x:v>
      </x:c>
      <x:c r="F843" s="31" t="str">
        <x:v>For | Internal | Use</x:v>
      </x:c>
    </x:row>
    <x:row r="844" ht="30" customHeight="1">
      <x:c r="A844" s="30" t="str">
        <x:v>PWMAM</x:v>
      </x:c>
      <x:c r="B844" s="30" t="str">
        <x:v>Separator / Other</x:v>
      </x:c>
      <x:c r="C844" s="30" t="str">
        <x:v>Metadata</x:v>
      </x:c>
      <x:c r="D844" s="31" t="str">
        <x:v>Outsiders</x:v>
      </x:c>
      <x:c r="E844" s="31" t="str">
        <x:v>C5</x:v>
      </x:c>
      <x:c r="F844" s="31" t="str">
        <x:v>Not | Share | with</x:v>
      </x:c>
    </x:row>
    <x:row r="845" ht="30" customHeight="1">
      <x:c r="A845" s="30" t="str">
        <x:v>PWMAM</x:v>
      </x:c>
      <x:c r="B845" s="30" t="str">
        <x:v>Separator / Other</x:v>
      </x:c>
      <x:c r="C845" s="30" t="str">
        <x:v>Metadata</x:v>
      </x:c>
      <x:c r="D845" s="31" t="str">
        <x:v>!!!</x:v>
      </x:c>
      <x:c r="E845" s="31" t="str">
        <x:v>A6</x:v>
      </x:c>
      <x:c r="F845" s="31" t="str">
        <x:v>Internal | Use | Only</x:v>
      </x:c>
    </x:row>
    <x:row r="846" ht="30" customHeight="1">
      <x:c r="A846" s="30" t="str">
        <x:v>PWMAM</x:v>
      </x:c>
      <x:c r="B846" s="30" t="str">
        <x:v>Separator / Other</x:v>
      </x:c>
      <x:c r="C846" s="30" t="str">
        <x:v>Metadata</x:v>
      </x:c>
      <x:c r="D846" s="31" t="str">
        <x:v>!!!</x:v>
      </x:c>
      <x:c r="E846" s="31" t="str">
        <x:v>C6</x:v>
      </x:c>
      <x:c r="F846" s="31" t="str">
        <x:v>Share | with | Outsiders</x:v>
      </x:c>
    </x:row>
    <x:row r="847" ht="30" customHeight="1">
      <x:c r="A847" s="30" t="str">
        <x:v>GS PWM</x:v>
      </x:c>
      <x:c r="B847" s="30" t="str">
        <x:v>PWM / AM</x:v>
      </x:c>
      <x:c r="C847" s="30" t="str">
        <x:v>Metadata</x:v>
      </x:c>
      <x:c r="D847" s="31" t="str">
        <x:v>2024 SA</x:v>
      </x:c>
      <x:c r="E847" s="31" t="str">
        <x:v>A1</x:v>
      </x:c>
      <x:c r="F847" s="31" t="str"/>
    </x:row>
    <x:row r="848" ht="30" customHeight="1">
      <x:c r="A848" s="30" t="str">
        <x:v>GS PWM</x:v>
      </x:c>
      <x:c r="B848" s="30" t="str">
        <x:v>PWM / AM</x:v>
      </x:c>
      <x:c r="C848" s="30" t="str">
        <x:v>Metadata</x:v>
      </x:c>
      <x:c r="D848" s="31" t="str">
        <x:v>Coco-SPD</x:v>
      </x:c>
      <x:c r="E848" s="31" t="str">
        <x:v>A2</x:v>
      </x:c>
      <x:c r="F848" s="31" t="str">
        <x:v>2024 SA</x:v>
      </x:c>
    </x:row>
    <x:row r="849" ht="30" customHeight="1">
      <x:c r="A849" s="30" t="str">
        <x:v>GS PWM</x:v>
      </x:c>
      <x:c r="B849" s="30" t="str">
        <x:v>PWM / AM</x:v>
      </x:c>
      <x:c r="C849" s="30" t="str">
        <x:v>Metadata</x:v>
      </x:c>
      <x:c r="D849" s="31" t="str">
        <x:v>30min Group Discussion + Presentation + Debate</x:v>
      </x:c>
      <x:c r="E849" s="31" t="str">
        <x:v>A3</x:v>
      </x:c>
      <x:c r="F849" s="31" t="str">
        <x:v>2024 SA | Coco-SPD</x:v>
      </x:c>
    </x:row>
    <x:row r="850" ht="46" customHeight="1">
      <x:c r="A850" s="30" t="str">
        <x:v>GS PWM</x:v>
      </x:c>
      <x:c r="B850" s="30" t="str">
        <x:v>PWM / AM</x:v>
      </x:c>
      <x:c r="C850" s="30" t="str">
        <x:v>Metadata</x:v>
      </x:c>
      <x:c r="D850" s="31" t="str">
        <x:v>30 min Q&amp;A for observer</x:v>
      </x:c>
      <x:c r="E850" s="31" t="str">
        <x:v>A5</x:v>
      </x:c>
      <x:c r="F850" s="31" t="str">
        <x:v>Coco-SPD | 30min Group Discussion + Presentation + Debate | Do you think AI is beneficial or harmful for decision-making?</x:v>
      </x:c>
    </x:row>
    <x:row r="851" ht="46" customHeight="1">
      <x:c r="A851" s="30" t="str">
        <x:v>GS PWM</x:v>
      </x:c>
      <x:c r="B851" s="30" t="str">
        <x:v>PWM / AM</x:v>
      </x:c>
      <x:c r="C851" s="30" t="str">
        <x:v>Interview Note</x:v>
      </x:c>
      <x:c r="D851" s="31" t="str">
        <x:v>Writing Test</x:v>
      </x:c>
      <x:c r="E851" s="31" t="str">
        <x:v>A6</x:v>
      </x:c>
      <x:c r="F851" s="31" t="str">
        <x:v>30min Group Discussion + Presentation + Debate | Do you think AI is beneficial or harmful for decision-making? | 30 min Q&amp;A for observer</x:v>
      </x:c>
    </x:row>
    <x:row r="852" ht="30" customHeight="1">
      <x:c r="A852" s="30" t="str">
        <x:v>GS PWM</x:v>
      </x:c>
      <x:c r="B852" s="30" t="str">
        <x:v>PWM / AM</x:v>
      </x:c>
      <x:c r="C852" s="30" t="str">
        <x:v>Metadata</x:v>
      </x:c>
      <x:c r="D852" s="31" t="str">
        <x:v>20min x 6 (Six round 1v1)</x:v>
      </x:c>
      <x:c r="E852" s="31" t="str">
        <x:v>A8</x:v>
      </x:c>
      <x:c r="F852" s="31" t="str">
        <x:v>30 min Q&amp;A for observer | Writing Test | Describe a successful business organization</x:v>
      </x:c>
    </x:row>
    <x:row r="853" ht="30" customHeight="1">
      <x:c r="A853" s="30" t="str">
        <x:v>GS PWM</x:v>
      </x:c>
      <x:c r="B853" s="30" t="str">
        <x:v>PWM / AM</x:v>
      </x:c>
      <x:c r="C853" s="30" t="str">
        <x:v>Interview Note</x:v>
      </x:c>
      <x:c r="D853" s="31" t="str">
        <x:v>Each has 5 questions (4 English + 1 Cantonese/Mandarin)</x:v>
      </x:c>
      <x:c r="E853" s="31" t="str">
        <x:v>A9</x:v>
      </x:c>
      <x:c r="F853" s="31" t="str">
        <x:v>Writing Test | Describe a successful business organization | 20min x 6 (Six round 1v1)</x:v>
      </x:c>
    </x:row>
    <x:row r="854" ht="46" customHeight="1">
      <x:c r="A854" s="30" t="str">
        <x:v>GS PWM</x:v>
      </x:c>
      <x:c r="B854" s="30" t="str">
        <x:v>PWM / AM</x:v>
      </x:c>
      <x:c r="C854" s="30" t="str">
        <x:v>Metadata</x:v>
      </x:c>
      <x:c r="D854" s="31" t="str">
        <x:v>Ribo-SPD</x:v>
      </x:c>
      <x:c r="E854" s="31" t="str">
        <x:v>A10</x:v>
      </x:c>
      <x:c r="F854" s="31" t="str">
        <x:v>Describe a successful business organization | 20min x 6 (Six round 1v1) | Each has 5 questions (4 English + 1 Cantonese/Mandarin)</x:v>
      </x:c>
    </x:row>
    <x:row r="855" ht="30" customHeight="1">
      <x:c r="A855" s="30" t="str">
        <x:v>GS PWM</x:v>
      </x:c>
      <x:c r="B855" s="30" t="str">
        <x:v>PWM / AM</x:v>
      </x:c>
      <x:c r="C855" s="30" t="str">
        <x:v>Interview Note</x:v>
      </x:c>
      <x:c r="D855" s="31" t="str">
        <x:v>Normal Behavioral Q</x:v>
      </x:c>
      <x:c r="E855" s="31" t="str">
        <x:v>A11</x:v>
      </x:c>
      <x:c r="F855" s="31" t="str">
        <x:v>20min x 6 (Six round 1v1) | Each has 5 questions (4 English + 1 Cantonese/Mandarin) | Ribo-SPD</x:v>
      </x:c>
    </x:row>
    <x:row r="856" ht="46" customHeight="1">
      <x:c r="A856" s="30" t="str">
        <x:v>GS PWM</x:v>
      </x:c>
      <x:c r="B856" s="30" t="str">
        <x:v>PWM / AM</x:v>
      </x:c>
      <x:c r="C856" s="30" t="str">
        <x:v>Metadata</x:v>
      </x:c>
      <x:c r="D856" s="31" t="str">
        <x:v>2026 SA</x:v>
      </x:c>
      <x:c r="E856" s="31" t="str">
        <x:v>A17</x:v>
      </x:c>
      <x:c r="F856" s="31" t="str">
        <x:v>Market Asset Allocation Q | Brain Teaser : How many coffee shops in Central | Market Q: How do you view the HK- China Memorendum</x:v>
      </x:c>
    </x:row>
    <x:row r="857" ht="30" customHeight="1">
      <x:c r="A857" s="30" t="str">
        <x:v>GS PWM</x:v>
      </x:c>
      <x:c r="B857" s="30" t="str">
        <x:v>PWM / AM</x:v>
      </x:c>
      <x:c r="C857" s="30" t="str">
        <x:v>Metadata</x:v>
      </x:c>
      <x:c r="D857" s="31" t="str">
        <x:v>John-SPD</x:v>
      </x:c>
      <x:c r="E857" s="31" t="str">
        <x:v>A18</x:v>
      </x:c>
      <x:c r="F857" s="31" t="str">
        <x:v>Brain Teaser : How many coffee shops in Central | Market Q: How do you view the HK- China Memorendum | 2026 SA</x:v>
      </x:c>
    </x:row>
    <x:row r="858" ht="30" customHeight="1">
      <x:c r="A858" s="30" t="str">
        <x:v>GS PWM</x:v>
      </x:c>
      <x:c r="B858" s="30" t="str">
        <x:v>PWM / AM</x:v>
      </x:c>
      <x:c r="C858" s="30" t="str">
        <x:v>Metadata</x:v>
      </x:c>
      <x:c r="D858" s="31" t="str">
        <x:v>60 mins debate between 7 candidates in physically HK office (FOR) and another 7 candidates virtually on Zoom (AGAINST)</x:v>
      </x:c>
      <x:c r="E858" s="31" t="str">
        <x:v>A19</x:v>
      </x:c>
      <x:c r="F858" s="31" t="str">
        <x:v>Market Q: How do you view the HK- China Memorendum | 2026 SA | John-SPD</x:v>
      </x:c>
    </x:row>
    <x:row r="859" ht="30" customHeight="1">
      <x:c r="A859" s="30" t="str">
        <x:v>GS PWM</x:v>
      </x:c>
      <x:c r="B859" s="30" t="str">
        <x:v>PWM / AM</x:v>
      </x:c>
      <x:c r="C859" s="30" t="str">
        <x:v>Interview Note</x:v>
      </x:c>
      <x:c r="D859" s="31" t="str">
        <x:v>Rundown for the debate</x:v>
      </x:c>
      <x:c r="E859" s="31" t="str">
        <x:v>G19</x:v>
      </x:c>
      <x:c r="F859" s="31" t="str"/>
    </x:row>
    <x:row r="860" ht="30" customHeight="1">
      <x:c r="A860" s="30" t="str">
        <x:v>GS PWM</x:v>
      </x:c>
      <x:c r="B860" s="30" t="str">
        <x:v>PWM / AM</x:v>
      </x:c>
      <x:c r="C860" s="30" t="str">
        <x:v>Metadata</x:v>
      </x:c>
      <x:c r="D860" s="31" t="str">
        <x:v>20mins</x:v>
      </x:c>
      <x:c r="E860" s="31" t="str">
        <x:v>I19</x:v>
      </x:c>
      <x:c r="F860" s="31" t="str"/>
    </x:row>
    <x:row r="861" ht="30" customHeight="1">
      <x:c r="A861" s="30" t="str">
        <x:v>GS PWM</x:v>
      </x:c>
      <x:c r="B861" s="30" t="str">
        <x:v>PWM / AM</x:v>
      </x:c>
      <x:c r="C861" s="30" t="str">
        <x:v>Interview Note</x:v>
      </x:c>
      <x:c r="D861" s="31" t="str">
        <x:v>Prep and discussion with group members</x:v>
      </x:c>
      <x:c r="E861" s="31" t="str">
        <x:v>J19</x:v>
      </x:c>
      <x:c r="F861" s="31" t="str"/>
    </x:row>
    <x:row r="862" ht="46" customHeight="1">
      <x:c r="A862" s="30" t="str">
        <x:v>GS PWM</x:v>
      </x:c>
      <x:c r="B862" s="30" t="str">
        <x:v>PWM / AM</x:v>
      </x:c>
      <x:c r="C862" s="30" t="str">
        <x:v>Interview Note</x:v>
      </x:c>
      <x:c r="D862" s="31" t="str">
        <x:v>Topic: whether trump‘s policy of restricting international student visa is rational for controlling immigration (FOR vs AGAINST)</x:v>
      </x:c>
      <x:c r="E862" s="31" t="str">
        <x:v>A20</x:v>
      </x:c>
      <x:c r="F862" s="31" t="str">
        <x:v>2026 SA | John-SPD | 60 mins debate between 7 candidates in physically HK office (FOR) and another 7 candidates virtually on Zoom (AGAINST)</x:v>
      </x:c>
    </x:row>
    <x:row r="863" ht="30" customHeight="1">
      <x:c r="A863" s="30" t="str">
        <x:v>GS PWM</x:v>
      </x:c>
      <x:c r="B863" s="30" t="str">
        <x:v>PWM / AM</x:v>
      </x:c>
      <x:c r="C863" s="30" t="str">
        <x:v>Metadata</x:v>
      </x:c>
      <x:c r="D863" s="31" t="str">
        <x:v>10mins</x:v>
      </x:c>
      <x:c r="E863" s="31" t="str">
        <x:v>I20</x:v>
      </x:c>
      <x:c r="F863" s="31" t="str">
        <x:v>20mins</x:v>
      </x:c>
    </x:row>
    <x:row r="864" ht="30" customHeight="1">
      <x:c r="A864" s="30" t="str">
        <x:v>GS PWM</x:v>
      </x:c>
      <x:c r="B864" s="30" t="str">
        <x:v>PWM / AM</x:v>
      </x:c>
      <x:c r="C864" s="30" t="str">
        <x:v>Interview Note</x:v>
      </x:c>
      <x:c r="D864" s="31" t="str">
        <x:v>FOR group open introduction</x:v>
      </x:c>
      <x:c r="E864" s="31" t="str">
        <x:v>J20</x:v>
      </x:c>
      <x:c r="F864" s="31" t="str">
        <x:v>Prep and discussion with group members</x:v>
      </x:c>
    </x:row>
    <x:row r="865" ht="30" customHeight="1">
      <x:c r="A865" s="30" t="str">
        <x:v>GS PWM</x:v>
      </x:c>
      <x:c r="B865" s="30" t="str">
        <x:v>PWM / AM</x:v>
      </x:c>
      <x:c r="C865" s="30" t="str">
        <x:v>Metadata</x:v>
      </x:c>
      <x:c r="D865" s="31" t="str">
        <x:v>10mins</x:v>
      </x:c>
      <x:c r="E865" s="31" t="str">
        <x:v>I21</x:v>
      </x:c>
      <x:c r="F865" s="31" t="str">
        <x:v>20mins | 10mins</x:v>
      </x:c>
    </x:row>
    <x:row r="866" ht="30" customHeight="1">
      <x:c r="A866" s="30" t="str">
        <x:v>GS PWM</x:v>
      </x:c>
      <x:c r="B866" s="30" t="str">
        <x:v>PWM / AM</x:v>
      </x:c>
      <x:c r="C866" s="30" t="str">
        <x:v>Interview Note</x:v>
      </x:c>
      <x:c r="D866" s="31" t="str">
        <x:v>AGAINST group open introduction</x:v>
      </x:c>
      <x:c r="E866" s="31" t="str">
        <x:v>J21</x:v>
      </x:c>
      <x:c r="F866" s="31" t="str">
        <x:v>Prep and discussion with group members | FOR group open introduction</x:v>
      </x:c>
    </x:row>
    <x:row r="867" ht="62" customHeight="1">
      <x:c r="A867" s="30" t="str">
        <x:v>GS PWM</x:v>
      </x:c>
      <x:c r="B867" s="30" t="str">
        <x:v>PWM / AM</x:v>
      </x:c>
      <x:c r="C867" s="30" t="str">
        <x:v>Interview Note</x:v>
      </x:c>
      <x:c r="D867" s="31" t="str">
        <x:v>3 Judges/Observers throughout the entire process. But they never intervene except for reminding the time</x:v>
      </x:c>
      <x:c r="E867" s="31" t="str">
        <x:v>A22</x:v>
      </x:c>
      <x:c r="F867" s="31" t="str">
        <x:v>John-SPD | 60 mins debate between 7 candidates in physically HK office (FOR) and another 7 candidates virtually on Zoom (AGAINST) | Topic: whether trump‘s policy of restricting international student visa is rational for controlling immig...</x:v>
      </x:c>
    </x:row>
    <x:row r="868" ht="30" customHeight="1">
      <x:c r="A868" s="30" t="str">
        <x:v>GS PWM</x:v>
      </x:c>
      <x:c r="B868" s="30" t="str">
        <x:v>PWM / AM</x:v>
      </x:c>
      <x:c r="C868" s="30" t="str">
        <x:v>Metadata</x:v>
      </x:c>
      <x:c r="D868" s="31" t="str">
        <x:v>8mins</x:v>
      </x:c>
      <x:c r="E868" s="31" t="str">
        <x:v>I22</x:v>
      </x:c>
      <x:c r="F868" s="31" t="str">
        <x:v>20mins | 10mins | 10mins</x:v>
      </x:c>
    </x:row>
    <x:row r="869" ht="30" customHeight="1">
      <x:c r="A869" s="30" t="str">
        <x:v>GS PWM</x:v>
      </x:c>
      <x:c r="B869" s="30" t="str">
        <x:v>PWM / AM</x:v>
      </x:c>
      <x:c r="C869" s="30" t="str">
        <x:v>Interview Note</x:v>
      </x:c>
      <x:c r="D869" s="31" t="str">
        <x:v>FOR challenge AGAINST</x:v>
      </x:c>
      <x:c r="E869" s="31" t="str">
        <x:v>J22</x:v>
      </x:c>
      <x:c r="F869" s="31" t="str">
        <x:v>Prep and discussion with group members | FOR group open introduction | AGAINST group open introduction</x:v>
      </x:c>
    </x:row>
    <x:row r="870" ht="30" customHeight="1">
      <x:c r="A870" s="30" t="str">
        <x:v>GS PWM</x:v>
      </x:c>
      <x:c r="B870" s="30" t="str">
        <x:v>PWM / AM</x:v>
      </x:c>
      <x:c r="C870" s="30" t="str">
        <x:v>Metadata</x:v>
      </x:c>
      <x:c r="D870" s="31" t="str">
        <x:v>8mins</x:v>
      </x:c>
      <x:c r="E870" s="31" t="str">
        <x:v>I23</x:v>
      </x:c>
      <x:c r="F870" s="31" t="str">
        <x:v>10mins | 10mins | 8mins</x:v>
      </x:c>
    </x:row>
    <x:row r="871" ht="30" customHeight="1">
      <x:c r="A871" s="30" t="str">
        <x:v>GS PWM</x:v>
      </x:c>
      <x:c r="B871" s="30" t="str">
        <x:v>PWM / AM</x:v>
      </x:c>
      <x:c r="C871" s="30" t="str">
        <x:v>Interview Note</x:v>
      </x:c>
      <x:c r="D871" s="31" t="str">
        <x:v>AGAINST challenge FOR</x:v>
      </x:c>
      <x:c r="E871" s="31" t="str">
        <x:v>J23</x:v>
      </x:c>
      <x:c r="F871" s="31" t="str">
        <x:v>FOR group open introduction | AGAINST group open introduction | FOR challenge AGAINST</x:v>
      </x:c>
    </x:row>
    <x:row r="872" ht="30" customHeight="1">
      <x:c r="A872" s="30" t="str">
        <x:v>GS PWM</x:v>
      </x:c>
      <x:c r="B872" s="30" t="str">
        <x:v>PWM / AM</x:v>
      </x:c>
      <x:c r="C872" s="30" t="str">
        <x:v>Metadata</x:v>
      </x:c>
      <x:c r="D872" s="31" t="str">
        <x:v>2mins</x:v>
      </x:c>
      <x:c r="E872" s="31" t="str">
        <x:v>I24</x:v>
      </x:c>
      <x:c r="F872" s="31" t="str">
        <x:v>10mins | 8mins | 8mins</x:v>
      </x:c>
    </x:row>
    <x:row r="873" ht="30" customHeight="1">
      <x:c r="A873" s="30" t="str">
        <x:v>GS PWM</x:v>
      </x:c>
      <x:c r="B873" s="30" t="str">
        <x:v>PWM / AM</x:v>
      </x:c>
      <x:c r="C873" s="30" t="str">
        <x:v>Interview Note</x:v>
      </x:c>
      <x:c r="D873" s="31" t="str">
        <x:v>FOR group closing remarks</x:v>
      </x:c>
      <x:c r="E873" s="31" t="str">
        <x:v>J24</x:v>
      </x:c>
      <x:c r="F873" s="31" t="str">
        <x:v>AGAINST group open introduction | FOR challenge AGAINST | AGAINST challenge FOR</x:v>
      </x:c>
    </x:row>
    <x:row r="874" ht="30" customHeight="1">
      <x:c r="A874" s="30" t="str">
        <x:v>GS PWM</x:v>
      </x:c>
      <x:c r="B874" s="30" t="str">
        <x:v>PWM / AM</x:v>
      </x:c>
      <x:c r="C874" s="30" t="str">
        <x:v>Metadata</x:v>
      </x:c>
      <x:c r="D874" s="31" t="str">
        <x:v>2mins</x:v>
      </x:c>
      <x:c r="E874" s="31" t="str">
        <x:v>I25</x:v>
      </x:c>
      <x:c r="F874" s="31" t="str">
        <x:v>8mins | 8mins | 2mins</x:v>
      </x:c>
    </x:row>
    <x:row r="875" ht="30" customHeight="1">
      <x:c r="A875" s="30" t="str">
        <x:v>GS PWM</x:v>
      </x:c>
      <x:c r="B875" s="30" t="str">
        <x:v>PWM / AM</x:v>
      </x:c>
      <x:c r="C875" s="30" t="str">
        <x:v>Interview Note</x:v>
      </x:c>
      <x:c r="D875" s="31" t="str">
        <x:v>AGAINST group closing remarks</x:v>
      </x:c>
      <x:c r="E875" s="31" t="str">
        <x:v>J25</x:v>
      </x:c>
      <x:c r="F875" s="31" t="str">
        <x:v>FOR challenge AGAINST | AGAINST challenge FOR | FOR group closing remarks</x:v>
      </x:c>
    </x:row>
    <x:row r="876" ht="62" customHeight="1">
      <x:c r="A876" s="30" t="str">
        <x:v>GS PWM</x:v>
      </x:c>
      <x:c r="B876" s="30" t="str">
        <x:v>PWM / AM</x:v>
      </x:c>
      <x:c r="C876" s="30" t="str">
        <x:v>Metadata</x:v>
      </x:c>
      <x:c r="D876" s="31" t="str">
        <x:v>30 mins Q&amp;A session: candidate raise Qs (almost one by one) to the Judges/Observers</x:v>
      </x:c>
      <x:c r="E876" s="31" t="str">
        <x:v>A26</x:v>
      </x:c>
      <x:c r="F876" s="31" t="str">
        <x:v>Topic: whether trump‘s policy of restricting international student visa is rational for controlling immigration (FOR vs AGAINST) | 3 Judges/Observers throughout the entire process. But they never intervene except for reminding the time |...</x:v>
      </x:c>
    </x:row>
    <x:row r="877" ht="62" customHeight="1">
      <x:c r="A877" s="30" t="str">
        <x:v>GS PWM</x:v>
      </x:c>
      <x:c r="B877" s="30" t="str">
        <x:v>PWM / AM</x:v>
      </x:c>
      <x:c r="C877" s="30" t="str">
        <x:v>Metadata</x:v>
      </x:c>
      <x:c r="D877" s="31" t="str">
        <x:v>20min x 5 (Five round 1v1)</x:v>
      </x:c>
      <x:c r="E877" s="31" t="str">
        <x:v>A28</x:v>
      </x:c>
      <x:c r="F877" s="31" t="str">
        <x:v>3 Judges/Observers throughout the entire process. But they never intervene except for reminding the time | Tony - MD from Investment Team; ? - Snr Mgmt Role; ? - Operation Role | 30 mins Q&amp;A session: candidate raise Qs (almost one by one...</x:v>
      </x:c>
    </x:row>
    <x:row r="878" ht="46" customHeight="1">
      <x:c r="A878" s="30" t="str">
        <x:v>GS PWM</x:v>
      </x:c>
      <x:c r="B878" s="30" t="str">
        <x:v>PWM / AM</x:v>
      </x:c>
      <x:c r="C878" s="30" t="str">
        <x:v>Interview Note</x:v>
      </x:c>
      <x:c r="D878" s="31" t="str">
        <x:v>Each has EXACTLY 5 questions (typically 4 English + 1 Mandarin, but some interviewers ask most/all of the Qs in Mandarin)</x:v>
      </x:c>
      <x:c r="E878" s="31" t="str">
        <x:v>A29</x:v>
      </x:c>
      <x:c r="F878" s="31" t="str">
        <x:v>Tony - MD from Investment Team; ? - Snr Mgmt Role; ? - Operation Role | 30 mins Q&amp;A session: candidate raise Qs (almost one by one) to the Judges/Observers | 20min x 5 (Five round 1v1)</x:v>
      </x:c>
    </x:row>
    <x:row r="879" ht="46" customHeight="1">
      <x:c r="A879" s="30" t="str">
        <x:v>GS PWM</x:v>
      </x:c>
      <x:c r="B879" s="30" t="str">
        <x:v>PWM / AM</x:v>
      </x:c>
      <x:c r="C879" s="30" t="str">
        <x:v>Interview Note</x:v>
      </x:c>
      <x:c r="D879" s="31" t="str">
        <x:v>All of the interviewers are front line sales (pwm advisors)</x:v>
      </x:c>
      <x:c r="E879" s="31" t="str">
        <x:v>A30</x:v>
      </x:c>
      <x:c r="F879" s="31" t="str">
        <x:v>30 mins Q&amp;A session: candidate raise Qs (almost one by one) to the Judges/Observers | 20min x 5 (Five round 1v1) | Each has EXACTLY 5 questions (typically 4 English + 1 Mandarin, but some interviewers ask most/all of the Qs in Mandarin)</x:v>
      </x:c>
    </x:row>
    <x:row r="880" ht="46" customHeight="1">
      <x:c r="A880" s="30" t="str">
        <x:v>GS PWM</x:v>
      </x:c>
      <x:c r="B880" s="30" t="str">
        <x:v>PWM / AM</x:v>
      </x:c>
      <x:c r="C880" s="30" t="str">
        <x:v>Interview Note</x:v>
      </x:c>
      <x:c r="D880" s="31" t="str">
        <x:v>Cannot recall all of the Qs but list some of them below:</x:v>
      </x:c>
      <x:c r="E880" s="31" t="str">
        <x:v>A33</x:v>
      </x:c>
      <x:c r="F880" s="31" t="str">
        <x:v>Each has EXACTLY 5 questions (typically 4 English + 1 Mandarin, but some interviewers ask most/all of the Qs in Mandarin) | All of the interviewers are front line sales (pwm advisors) | All of the rounds begin with a quick self intro</x:v>
      </x:c>
    </x:row>
    <x:row r="881" ht="46" customHeight="1">
      <x:c r="A881" s="30" t="str">
        <x:v>GS PWM</x:v>
      </x:c>
      <x:c r="B881" s="30" t="str">
        <x:v>PWM / AM</x:v>
      </x:c>
      <x:c r="C881" s="30" t="str">
        <x:v>Interview Note</x:v>
      </x:c>
      <x:c r="D881" s="31" t="str">
        <x:v>如果不做金融，你觉得你现在会在做什么</x:v>
      </x:c>
      <x:c r="E881" s="31" t="str">
        <x:v>A35</x:v>
      </x:c>
      <x:c r="F881" s="31" t="str">
        <x:v>All of the rounds begin with a quick self intro | Cannot recall all of the Qs but list some of them below: | 谁是你的role model?</x:v>
      </x:c>
    </x:row>
    <x:row r="882" ht="30" customHeight="1">
      <x:c r="A882" s="30" t="str">
        <x:v>GS PWM</x:v>
      </x:c>
      <x:c r="B882" s="30" t="str">
        <x:v>PWM / AM</x:v>
      </x:c>
      <x:c r="C882" s="30" t="str">
        <x:v>Interview Note</x:v>
      </x:c>
      <x:c r="D882" s="31" t="str">
        <x:v>可以简单讲讲你的家庭BG吗</x:v>
      </x:c>
      <x:c r="E882" s="31" t="str">
        <x:v>A36</x:v>
      </x:c>
      <x:c r="F882" s="31" t="str">
        <x:v>Cannot recall all of the Qs but list some of them below: | 谁是你的role model? | 如果不做金融，你觉得你现在会在做什么</x:v>
      </x:c>
    </x:row>
    <x:row r="883" ht="30" customHeight="1">
      <x:c r="A883" s="30" t="str">
        <x:v>GS PWM</x:v>
      </x:c>
      <x:c r="B883" s="30" t="str">
        <x:v>PWM / AM</x:v>
      </x:c>
      <x:c r="C883" s="30" t="str">
        <x:v>Interview Note</x:v>
      </x:c>
      <x:c r="D883" s="31" t="str">
        <x:v>Any recent news that you're recently following</x:v>
      </x:c>
      <x:c r="E883" s="31" t="str">
        <x:v>A43</x:v>
      </x:c>
      <x:c r="F883" s="31" t="str">
        <x:v>What is the culture of GS? | If you could change one aspect of the GS, what will you do? | Pitch me a stock</x:v>
      </x:c>
    </x:row>
    <x:row r="884" ht="46" customHeight="1">
      <x:c r="A884" s="30" t="str">
        <x:v>GS PWM</x:v>
      </x:c>
      <x:c r="B884" s="30" t="str">
        <x:v>PWM / AM</x:v>
      </x:c>
      <x:c r="C884" s="30" t="str">
        <x:v>Metadata</x:v>
      </x:c>
      <x:c r="D884" s="31" t="str">
        <x:v>Follow-up: Assume YOU are the PB clients, what kind of different 100 million portfolio will you construct for yourself?</x:v>
      </x:c>
      <x:c r="E884" s="31" t="str">
        <x:v>A48</x:v>
      </x:c>
      <x:c r="F884" s="31" t="str">
        <x:v>What's the difference (typically) between the 1st Gen Wealthy people and the 2nd Gen? | Would you advise the 2nd Gen Clients to buy crypto/digital assets? | Typical Asset Allocation Question: construct a 100 million investment portfolio ...</x:v>
      </x:c>
    </x:row>
    <x:row r="885" ht="30" customHeight="1">
      <x:c r="A885" s="30" t="str">
        <x:v>JPM PB</x:v>
      </x:c>
      <x:c r="B885" s="30" t="str">
        <x:v>PWM / AM</x:v>
      </x:c>
      <x:c r="C885" s="30" t="str">
        <x:v>Metadata</x:v>
      </x:c>
      <x:c r="D885" s="31" t="str">
        <x:v>2025 SA</x:v>
      </x:c>
      <x:c r="E885" s="31" t="str">
        <x:v>A1</x:v>
      </x:c>
      <x:c r="F885" s="31" t="str"/>
    </x:row>
    <x:row r="886" ht="30" customHeight="1">
      <x:c r="A886" s="30" t="str">
        <x:v>JPM PB</x:v>
      </x:c>
      <x:c r="B886" s="30" t="str">
        <x:v>PWM / AM</x:v>
      </x:c>
      <x:c r="C886" s="30" t="str">
        <x:v>Metadata</x:v>
      </x:c>
      <x:c r="D886" s="31" t="str">
        <x:v>John</x:v>
      </x:c>
      <x:c r="E886" s="31" t="str">
        <x:v>A2</x:v>
      </x:c>
      <x:c r="F886" s="31" t="str">
        <x:v>2025 SA</x:v>
      </x:c>
    </x:row>
    <x:row r="887" ht="30" customHeight="1">
      <x:c r="A887" s="30" t="str">
        <x:v>JPM PB</x:v>
      </x:c>
      <x:c r="B887" s="30" t="str">
        <x:v>PWM / AM</x:v>
      </x:c>
      <x:c r="C887" s="30" t="str">
        <x:v>Interview Note</x:v>
      </x:c>
      <x:c r="D887" s="31" t="str">
        <x:v>No intermediate rounds; direct to SPD</x:v>
      </x:c>
      <x:c r="E887" s="31" t="str">
        <x:v>A3</x:v>
      </x:c>
      <x:c r="F887" s="31" t="str">
        <x:v>2025 SA | John</x:v>
      </x:c>
    </x:row>
    <x:row r="888" ht="30" customHeight="1">
      <x:c r="A888" s="30" t="str">
        <x:v>JPM PB</x:v>
      </x:c>
      <x:c r="B888" s="30" t="str">
        <x:v>PWM / AM</x:v>
      </x:c>
      <x:c r="C888" s="30" t="str">
        <x:v>Interview Note</x:v>
      </x:c>
      <x:c r="D888" s="31" t="str">
        <x:v>2-rounds of 1v1 interview</x:v>
      </x:c>
      <x:c r="E888" s="31" t="str">
        <x:v>A4</x:v>
      </x:c>
      <x:c r="F888" s="31" t="str">
        <x:v>2025 SA | John | No intermediate rounds; direct to SPD</x:v>
      </x:c>
    </x:row>
    <x:row r="889" ht="30" customHeight="1">
      <x:c r="A889" s="30" t="str">
        <x:v>JPM PB</x:v>
      </x:c>
      <x:c r="B889" s="30" t="str">
        <x:v>PWM / AM</x:v>
      </x:c>
      <x:c r="C889" s="30" t="str">
        <x:v>Interview Note</x:v>
      </x:c>
      <x:c r="D889" s="31" t="str">
        <x:v>Group case (with 2 development scenarios)</x:v>
      </x:c>
      <x:c r="E889" s="31" t="str">
        <x:v>I4</x:v>
      </x:c>
      <x:c r="F889" s="31" t="str"/>
    </x:row>
    <x:row r="890" ht="30" customHeight="1">
      <x:c r="A890" s="30" t="str">
        <x:v>JPM PB</x:v>
      </x:c>
      <x:c r="B890" s="30" t="str">
        <x:v>PWM / AM</x:v>
      </x:c>
      <x:c r="C890" s="30" t="str">
        <x:v>Metadata</x:v>
      </x:c>
      <x:c r="D890" s="31" t="str">
        <x:v>First: HK Team Advisor-Investor Helen Ng</x:v>
      </x:c>
      <x:c r="E890" s="31" t="str">
        <x:v>A6</x:v>
      </x:c>
      <x:c r="F890" s="31" t="str">
        <x:v>John | No intermediate rounds; direct to SPD | 2-rounds of 1v1 interview</x:v>
      </x:c>
    </x:row>
    <x:row r="891" ht="30" customHeight="1">
      <x:c r="A891" s="30" t="str">
        <x:v>JPM PB</x:v>
      </x:c>
      <x:c r="B891" s="30" t="str">
        <x:v>PWM / AM</x:v>
      </x:c>
      <x:c r="C891" s="30" t="str">
        <x:v>Interview Note</x:v>
      </x:c>
      <x:c r="D891" s="31" t="str">
        <x:v>Q&amp;A session:</x:v>
      </x:c>
      <x:c r="E891" s="31" t="str">
        <x:v>I6</x:v>
      </x:c>
      <x:c r="F891" s="31" t="str">
        <x:v>Group case (with 2 development scenarios)</x:v>
      </x:c>
    </x:row>
    <x:row r="892" ht="46" customHeight="1">
      <x:c r="A892" s="30" t="str">
        <x:v>JPM PB</x:v>
      </x:c>
      <x:c r="B892" s="30" t="str">
        <x:v>PWM / AM</x:v>
      </x:c>
      <x:c r="C892" s="30" t="str">
        <x:v>Interview Note</x:v>
      </x:c>
      <x:c r="D892" s="31" t="str">
        <x:v>Maybe you have some misconceptions about them. Elaborate. Answer it again.</x:v>
      </x:c>
      <x:c r="E892" s="31" t="str">
        <x:v>A8</x:v>
      </x:c>
      <x:c r="F892" s="31" t="str">
        <x:v>2-rounds of 1v1 interview | First: HK Team Advisor-Investor Helen Ng | Within the advisor, do you want to be banker or investor?</x:v>
      </x:c>
    </x:row>
    <x:row r="893" ht="46" customHeight="1">
      <x:c r="A893" s="30" t="str">
        <x:v>JPM PB</x:v>
      </x:c>
      <x:c r="B893" s="30" t="str">
        <x:v>PWM / AM</x:v>
      </x:c>
      <x:c r="C893" s="30" t="str">
        <x:v>Interview Note</x:v>
      </x:c>
      <x:c r="D893" s="31" t="str">
        <x:v>A question that didn't I understand</x:v>
      </x:c>
      <x:c r="E893" s="31" t="str">
        <x:v>A13</x:v>
      </x:c>
      <x:c r="F893" s="31" t="str">
        <x:v>Of all the internships you've done, which one do you like best? | What are you exactly doing in this role? | Senario assumptions: do the right thing (stick to your self) or so things rightly (follow what your supervisor asked to do)?</x:v>
      </x:c>
    </x:row>
    <x:row r="894" ht="46" customHeight="1">
      <x:c r="A894" s="30" t="str">
        <x:v>JPM PB</x:v>
      </x:c>
      <x:c r="B894" s="30" t="str">
        <x:v>PWM / AM</x:v>
      </x:c>
      <x:c r="C894" s="30" t="str">
        <x:v>Metadata</x:v>
      </x:c>
      <x:c r="D894" s="31" t="str">
        <x:v>Follow up: what do you think that distinguish JPM from other banks?</x:v>
      </x:c>
      <x:c r="E894" s="31" t="str">
        <x:v>A15</x:v>
      </x:c>
      <x:c r="F894" s="31" t="str">
        <x:v>Senario assumptions: do the right thing (stick to your self) or so things rightly (follow what your supervisor asked to do)? | A question that didn't I understand | Tell me a piece of article you read about JPM?</x:v>
      </x:c>
    </x:row>
    <x:row r="895" ht="46" customHeight="1">
      <x:c r="A895" s="30" t="str">
        <x:v>JPM PB</x:v>
      </x:c>
      <x:c r="B895" s="30" t="str">
        <x:v>PWM / AM</x:v>
      </x:c>
      <x:c r="C895" s="30" t="str">
        <x:v>Interview Note</x:v>
      </x:c>
      <x:c r="D895" s="31" t="str">
        <x:v>Forget</x:v>
      </x:c>
      <x:c r="E895" s="31" t="str">
        <x:v>A16</x:v>
      </x:c>
      <x:c r="F895" s="31" t="str">
        <x:v>A question that didn't I understand | Tell me a piece of article you read about JPM? | Follow up: what do you think that distinguish JPM from other banks?</x:v>
      </x:c>
    </x:row>
    <x:row r="896" ht="46" customHeight="1">
      <x:c r="A896" s="30" t="str">
        <x:v>JPM PB</x:v>
      </x:c>
      <x:c r="B896" s="30" t="str">
        <x:v>PWM / AM</x:v>
      </x:c>
      <x:c r="C896" s="30" t="str">
        <x:v>Metadata</x:v>
      </x:c>
      <x:c r="D896" s="31" t="str">
        <x:v>反问</x:v>
      </x:c>
      <x:c r="E896" s="31" t="str">
        <x:v>A17</x:v>
      </x:c>
      <x:c r="F896" s="31" t="str">
        <x:v>Tell me a piece of article you read about JPM? | Follow up: what do you think that distinguish JPM from other banks? | Forget</x:v>
      </x:c>
    </x:row>
    <x:row r="897" ht="30" customHeight="1">
      <x:c r="A897" s="30" t="str">
        <x:v>JPM PB</x:v>
      </x:c>
      <x:c r="B897" s="30" t="str">
        <x:v>PWM / AM</x:v>
      </x:c>
      <x:c r="C897" s="30" t="str">
        <x:v>Metadata</x:v>
      </x:c>
      <x:c r="D897" s="31" t="str">
        <x:v>Second: TW Team Advisor-Single Coverage Ethan Lan</x:v>
      </x:c>
      <x:c r="E897" s="31" t="str">
        <x:v>A19</x:v>
      </x:c>
      <x:c r="F897" s="31" t="str">
        <x:v>Follow up: what do you think that distinguish JPM from other banks? | Forget | 反问</x:v>
      </x:c>
    </x:row>
    <x:row r="898" ht="30" customHeight="1">
      <x:c r="A898" s="30" t="str">
        <x:v>JPM PB</x:v>
      </x:c>
      <x:c r="B898" s="30" t="str">
        <x:v>PWM / AM</x:v>
      </x:c>
      <x:c r="C898" s="30" t="str">
        <x:v>Interview Note</x:v>
      </x:c>
      <x:c r="D898" s="31" t="str">
        <x:v>Forget</x:v>
      </x:c>
      <x:c r="E898" s="31" t="str">
        <x:v>A21</x:v>
      </x:c>
      <x:c r="F898" s="31" t="str">
        <x:v>反问 | Second: TW Team Advisor-Single Coverage Ethan Lan | self intro</x:v>
      </x:c>
    </x:row>
    <x:row r="899" ht="46" customHeight="1">
      <x:c r="A899" s="30" t="str">
        <x:v>JPM PB</x:v>
      </x:c>
      <x:c r="B899" s="30" t="str">
        <x:v>PWM / AM</x:v>
      </x:c>
      <x:c r="C899" s="30" t="str">
        <x:v>Metadata</x:v>
      </x:c>
      <x:c r="D899" s="31" t="str">
        <x:v>Follow up: How do you analyse those data? What kind of tools?</x:v>
      </x:c>
      <x:c r="E899" s="31" t="str">
        <x:v>A23</x:v>
      </x:c>
      <x:c r="F899" s="31" t="str">
        <x:v>self intro | Forget | Tell me about a time of teamwork (I said JPM's AWM case and i said we used data to construct the entire portfolio)</x:v>
      </x:c>
    </x:row>
    <x:row r="900" ht="46" customHeight="1">
      <x:c r="A900" s="30" t="str">
        <x:v>JPM PB</x:v>
      </x:c>
      <x:c r="B900" s="30" t="str">
        <x:v>PWM / AM</x:v>
      </x:c>
      <x:c r="C900" s="30" t="str">
        <x:v>Metadata</x:v>
      </x:c>
      <x:c r="D900" s="31" t="str">
        <x:v>Follow up: What was your role inside?</x:v>
      </x:c>
      <x:c r="E900" s="31" t="str">
        <x:v>A24</x:v>
      </x:c>
      <x:c r="F900" s="31" t="str">
        <x:v>Forget | Tell me about a time of teamwork (I said JPM's AWM case and i said we used data to construct the entire portfolio) | Follow up: How do you analyse those data? What kind of tools?</x:v>
      </x:c>
    </x:row>
    <x:row r="901" ht="46" customHeight="1">
      <x:c r="A901" s="30" t="str">
        <x:v>JPM PB</x:v>
      </x:c>
      <x:c r="B901" s="30" t="str">
        <x:v>PWM / AM</x:v>
      </x:c>
      <x:c r="C901" s="30" t="str">
        <x:v>Metadata</x:v>
      </x:c>
      <x:c r="D901" s="31" t="str">
        <x:v>Follow up: How did you allocate the work and manage the situation?</x:v>
      </x:c>
      <x:c r="E901" s="31" t="str">
        <x:v>A25</x:v>
      </x:c>
      <x:c r="F901" s="31" t="str">
        <x:v>Tell me about a time of teamwork (I said JPM's AWM case and i said we used data to construct the entire portfolio) | Follow up: How do you analyse those data? What kind of tools? | Follow up: What was your role inside?</x:v>
      </x:c>
    </x:row>
    <x:row r="902" ht="46" customHeight="1">
      <x:c r="A902" s="30" t="str">
        <x:v>JPM PB</x:v>
      </x:c>
      <x:c r="B902" s="30" t="str">
        <x:v>PWM / AM</x:v>
      </x:c>
      <x:c r="C902" s="30" t="str">
        <x:v>Metadata</x:v>
      </x:c>
      <x:c r="D902" s="31" t="str">
        <x:v>Follow up: How do you persuade your teammates then? Is there any major conflicts?</x:v>
      </x:c>
      <x:c r="E902" s="31" t="str">
        <x:v>A27</x:v>
      </x:c>
      <x:c r="F902" s="31" t="str">
        <x:v>Follow up: What was your role inside? | Follow up: How did you allocate the work and manage the situation? | Tell me about a time of having conflicts with your teammates (Different ideas on the Exhibition Club)</x:v>
      </x:c>
    </x:row>
    <x:row r="903" ht="62" customHeight="1">
      <x:c r="A903" s="30" t="str">
        <x:v>JPM PB</x:v>
      </x:c>
      <x:c r="B903" s="30" t="str">
        <x:v>PWM / AM</x:v>
      </x:c>
      <x:c r="C903" s="30" t="str">
        <x:v>Interview Note</x:v>
      </x:c>
      <x:c r="D903" s="31" t="str">
        <x:v>转为普通话</x:v>
      </x:c>
      <x:c r="E903" s="31" t="str">
        <x:v>A28</x:v>
      </x:c>
      <x:c r="F903" s="31" t="str">
        <x:v>Follow up: How did you allocate the work and manage the situation? | Tell me about a time of having conflicts with your teammates (Different ideas on the Exhibition Club) | Follow up: How do you persuade your teammates then? Is there any...</x:v>
      </x:c>
    </x:row>
    <x:row r="904" ht="30" customHeight="1">
      <x:c r="A904" s="30" t="str">
        <x:v>JPM PB</x:v>
      </x:c>
      <x:c r="B904" s="30" t="str">
        <x:v>PWM / AM</x:v>
      </x:c>
      <x:c r="C904" s="30" t="str">
        <x:v>Interview Note</x:v>
      </x:c>
      <x:c r="D904" s="31" t="str">
        <x:v>忘了</x:v>
      </x:c>
      <x:c r="E904" s="31" t="str">
        <x:v>A31</x:v>
      </x:c>
      <x:c r="F904" s="31" t="str">
        <x:v>转为普通话 | 你关注市场吗？昨天恒指跌了多少？S&amp;P 500收盘多少？ | 你对未来自己的预期是怎么样的？</x:v>
      </x:c>
    </x:row>
    <x:row r="905" ht="30" customHeight="1">
      <x:c r="A905" s="30" t="str">
        <x:v>JPM PB</x:v>
      </x:c>
      <x:c r="B905" s="30" t="str">
        <x:v>PWM / AM</x:v>
      </x:c>
      <x:c r="C905" s="30" t="str">
        <x:v>Metadata</x:v>
      </x:c>
      <x:c r="D905" s="31" t="str">
        <x:v>反问</x:v>
      </x:c>
      <x:c r="E905" s="31" t="str">
        <x:v>A32</x:v>
      </x:c>
      <x:c r="F905" s="31" t="str">
        <x:v>你关注市场吗？昨天恒指跌了多少？S&amp;P 500收盘多少？ | 你对未来自己的预期是怎么样的？ | 忘了</x:v>
      </x:c>
    </x:row>
    <x:row r="906" ht="46" customHeight="1">
      <x:c r="A906" s="30" t="str">
        <x:v>JPM PB</x:v>
      </x:c>
      <x:c r="B906" s="30" t="str">
        <x:v>PWM / AM</x:v>
      </x:c>
      <x:c r="C906" s="30" t="str">
        <x:v>Interview Note</x:v>
      </x:c>
      <x:c r="D906" s="31" t="str">
        <x:v>JPM has a value/principle of trust, respect, inclusiveness, humanity and humility. Give me an example that can demonstrate you have the relevant values.</x:v>
      </x:c>
      <x:c r="E906" s="31" t="str">
        <x:v>A34</x:v>
      </x:c>
      <x:c r="F906" s="31" t="str">
        <x:v>忘了 | 反问 | 一些当场反馈：回答问题应该要把结论说在前面，因为client时间很宝贵，不太有时间听故事；不知道的不需要装作知道，市场问题不必回答出来，但是不能给client错误信息</x:v>
      </x:c>
    </x:row>
    <x:row r="907" ht="46" customHeight="1">
      <x:c r="A907" s="30" t="str">
        <x:v>JPM PB</x:v>
      </x:c>
      <x:c r="B907" s="30" t="str">
        <x:v>PWM / AM</x:v>
      </x:c>
      <x:c r="C907" s="30" t="str">
        <x:v>Metadata</x:v>
      </x:c>
      <x:c r="D907" s="31" t="str">
        <x:v>反问</x:v>
      </x:c>
      <x:c r="E907" s="31" t="str">
        <x:v>A35</x:v>
      </x:c>
      <x:c r="F907" s="31" t="str">
        <x:v>反问 | 一些当场反馈：回答问题应该要把结论说在前面，因为client时间很宝贵，不太有时间听故事；不知道的不需要装作知道，市场问题不必回答出来，但是不能给client错误信息 | JPM has a value/principle of trust, respect, inclusiveness, humanity and humility. Give me an example that can demonstrate you have the relevant v...</x:v>
      </x:c>
    </x:row>
    <x:row r="908" ht="30" customHeight="1">
      <x:c r="A908" s="30" t="str">
        <x:v>JPM AM</x:v>
      </x:c>
      <x:c r="B908" s="30" t="str">
        <x:v>PWM / AM</x:v>
      </x:c>
      <x:c r="C908" s="30" t="str">
        <x:v>Metadata</x:v>
      </x:c>
      <x:c r="D908" s="31" t="str">
        <x:v>2025 SA</x:v>
      </x:c>
      <x:c r="E908" s="31" t="str">
        <x:v>G1</x:v>
      </x:c>
      <x:c r="F908" s="31" t="str"/>
    </x:row>
    <x:row r="909" ht="30" customHeight="1">
      <x:c r="A909" s="30" t="str">
        <x:v>JPM AM</x:v>
      </x:c>
      <x:c r="B909" s="30" t="str">
        <x:v>PWM / AM</x:v>
      </x:c>
      <x:c r="C909" s="30" t="str">
        <x:v>Interview Note</x:v>
      </x:c>
      <x:c r="D909" s="31" t="str">
        <x:v>HK First Round (Ribo with Thomas - Ntw &amp; Michelle)</x:v>
      </x:c>
      <x:c r="E909" s="31" t="str">
        <x:v>A2</x:v>
      </x:c>
      <x:c r="F909" s="31" t="str"/>
    </x:row>
    <x:row r="910" ht="30" customHeight="1">
      <x:c r="A910" s="30" t="str">
        <x:v>JPM AM</x:v>
      </x:c>
      <x:c r="B910" s="30" t="str">
        <x:v>PWM / AM</x:v>
      </x:c>
      <x:c r="C910" s="30" t="str">
        <x:v>Metadata</x:v>
      </x:c>
      <x:c r="D910" s="31" t="str">
        <x:v>John</x:v>
      </x:c>
      <x:c r="E910" s="31" t="str">
        <x:v>G2</x:v>
      </x:c>
      <x:c r="F910" s="31" t="str">
        <x:v>2025 SA</x:v>
      </x:c>
    </x:row>
    <x:row r="911" ht="30" customHeight="1">
      <x:c r="A911" s="30" t="str">
        <x:v>JPM AM</x:v>
      </x:c>
      <x:c r="B911" s="30" t="str">
        <x:v>PWM / AM</x:v>
      </x:c>
      <x:c r="C911" s="30" t="str">
        <x:v>Interview Note</x:v>
      </x:c>
      <x:c r="D911" s="31" t="str">
        <x:v>More like networking:</x:v>
      </x:c>
      <x:c r="E911" s="31" t="str">
        <x:v>A3</x:v>
      </x:c>
      <x:c r="F911" s="31" t="str">
        <x:v>HK First Round (Ribo with Thomas - Ntw &amp; Michelle)</x:v>
      </x:c>
    </x:row>
    <x:row r="912" ht="30" customHeight="1">
      <x:c r="A912" s="30" t="str">
        <x:v>JPM AM</x:v>
      </x:c>
      <x:c r="B912" s="30" t="str">
        <x:v>PWM / AM</x:v>
      </x:c>
      <x:c r="C912" s="30" t="str">
        <x:v>Interview Note</x:v>
      </x:c>
      <x:c r="D912" s="31" t="str">
        <x:v>Pre-SPD in-person meeting</x:v>
      </x:c>
      <x:c r="E912" s="31" t="str">
        <x:v>G4</x:v>
      </x:c>
      <x:c r="F912" s="31" t="str">
        <x:v>2025 SA | John</x:v>
      </x:c>
    </x:row>
    <x:row r="913" ht="30" customHeight="1">
      <x:c r="A913" s="30" t="str">
        <x:v>JPM AM</x:v>
      </x:c>
      <x:c r="B913" s="30" t="str">
        <x:v>PWM / AM</x:v>
      </x:c>
      <x:c r="C913" s="30" t="str">
        <x:v>Interview Note</x:v>
      </x:c>
      <x:c r="D913" s="31" t="str">
        <x:v>Just to know you a bit more.</x:v>
      </x:c>
      <x:c r="E913" s="31" t="str">
        <x:v>G6</x:v>
      </x:c>
      <x:c r="F913" s="31" t="str">
        <x:v>John | Pre-SPD in-person meeting | w/ a British White Guy from the Tele Implementation?</x:v>
      </x:c>
    </x:row>
    <x:row r="914" ht="30" customHeight="1">
      <x:c r="A914" s="30" t="str">
        <x:v>JPM AM</x:v>
      </x:c>
      <x:c r="B914" s="30" t="str">
        <x:v>PWM / AM</x:v>
      </x:c>
      <x:c r="C914" s="30" t="str">
        <x:v>Interview Note</x:v>
      </x:c>
      <x:c r="D914" s="31" t="str">
        <x:v>HK Superday</x:v>
      </x:c>
      <x:c r="E914" s="31" t="str">
        <x:v>A8</x:v>
      </x:c>
      <x:c r="F914" s="31" t="str">
        <x:v>why AM? | plan for studies? | How do u see the AM landscape? Digitalization?</x:v>
      </x:c>
    </x:row>
    <x:row r="915" ht="30" customHeight="1">
      <x:c r="A915" s="30" t="str">
        <x:v>JPM AM</x:v>
      </x:c>
      <x:c r="B915" s="30" t="str">
        <x:v>PWM / AM</x:v>
      </x:c>
      <x:c r="C915" s="30" t="str">
        <x:v>Interview Note</x:v>
      </x:c>
      <x:c r="D915" s="31" t="str">
        <x:v>Only Technicals:</x:v>
      </x:c>
      <x:c r="E915" s="31" t="str">
        <x:v>A9</x:v>
      </x:c>
      <x:c r="F915" s="31" t="str">
        <x:v>plan for studies? | How do u see the AM landscape? Digitalization? | HK Superday</x:v>
      </x:c>
    </x:row>
    <x:row r="916" ht="30" customHeight="1">
      <x:c r="A916" s="30" t="str">
        <x:v>JPM AM</x:v>
      </x:c>
      <x:c r="B916" s="30" t="str">
        <x:v>PWM / AM</x:v>
      </x:c>
      <x:c r="C916" s="30" t="str">
        <x:v>Interview Note</x:v>
      </x:c>
      <x:c r="D916" s="31" t="str">
        <x:v>Fed Fund Rate</x:v>
      </x:c>
      <x:c r="E916" s="31" t="str">
        <x:v>A10</x:v>
      </x:c>
      <x:c r="F916" s="31" t="str">
        <x:v>How do u see the AM landscape? Digitalization? | HK Superday | Only Technicals:</x:v>
      </x:c>
    </x:row>
    <x:row r="917" ht="30" customHeight="1">
      <x:c r="A917" s="30" t="str">
        <x:v>JPM AM</x:v>
      </x:c>
      <x:c r="B917" s="30" t="str">
        <x:v>PWM / AM</x:v>
      </x:c>
      <x:c r="C917" s="30" t="str">
        <x:v>Interview Note</x:v>
      </x:c>
      <x:c r="D917" s="31" t="str">
        <x:v>Yield Curve Shape &amp; DV01</x:v>
      </x:c>
      <x:c r="E917" s="31" t="str">
        <x:v>A11</x:v>
      </x:c>
      <x:c r="F917" s="31" t="str">
        <x:v>HK Superday | Only Technicals: | Fed Fund Rate</x:v>
      </x:c>
    </x:row>
    <x:row r="918" ht="46" customHeight="1">
      <x:c r="A918" s="30" t="str">
        <x:v>JPM AM</x:v>
      </x:c>
      <x:c r="B918" s="30" t="str">
        <x:v>PWM / AM</x:v>
      </x:c>
      <x:c r="C918" s="30" t="str">
        <x:v>Metadata</x:v>
      </x:c>
      <x:c r="D918" s="31" t="str">
        <x:v>反问</x:v>
      </x:c>
      <x:c r="E918" s="31" t="str">
        <x:v>G11</x:v>
      </x:c>
      <x:c r="F918" s="31" t="str">
        <x:v>Share a little bit more about the JPM AWMC you've done. How did you become the captain? | What kinds of preparations you've made for the SPD? | What roles are you interested within the JPMAM?</x:v>
      </x:c>
    </x:row>
    <x:row r="919" ht="30" customHeight="1">
      <x:c r="A919" s="30" t="str">
        <x:v>JPM AM</x:v>
      </x:c>
      <x:c r="B919" s="30" t="str">
        <x:v>PWM / AM</x:v>
      </x:c>
      <x:c r="C919" s="30" t="str">
        <x:v>Interview Note</x:v>
      </x:c>
      <x:c r="D919" s="31" t="str">
        <x:v>Normal Behaviorals Except for 1:</x:v>
      </x:c>
      <x:c r="E919" s="31" t="str">
        <x:v>A12</x:v>
      </x:c>
      <x:c r="F919" s="31" t="str">
        <x:v>Only Technicals: | Fed Fund Rate | Yield Curve Shape &amp; DV01</x:v>
      </x:c>
    </x:row>
    <x:row r="920" ht="46" customHeight="1">
      <x:c r="A920" s="30" t="str">
        <x:v>JPM AM</x:v>
      </x:c>
      <x:c r="B920" s="30" t="str">
        <x:v>PWM / AM</x:v>
      </x:c>
      <x:c r="C920" s="30" t="str">
        <x:v>Interview Note</x:v>
      </x:c>
      <x:c r="D920" s="31" t="str">
        <x:v>Case Study:</x:v>
      </x:c>
      <x:c r="E920" s="31" t="str">
        <x:v>A15</x:v>
      </x:c>
      <x:c r="F920" s="31" t="str">
        <x:v>Yield Curve Shape &amp; DV01 | Normal Behaviorals Except for 1: | If the manager asked you to pitch a wrong idea to client, how would you do?</x:v>
      </x:c>
    </x:row>
    <x:row r="921" ht="46" customHeight="1">
      <x:c r="A921" s="30" t="str">
        <x:v>JPM AM</x:v>
      </x:c>
      <x:c r="B921" s="30" t="str">
        <x:v>PWM / AM</x:v>
      </x:c>
      <x:c r="C921" s="30" t="str">
        <x:v>Interview Note</x:v>
      </x:c>
      <x:c r="D921" s="31" t="str">
        <x:v>4 types of funds recommendation: Passive ETF/ Mutual or Active ETF/Mutual</x:v>
      </x:c>
      <x:c r="E921" s="31" t="str">
        <x:v>A17</x:v>
      </x:c>
      <x:c r="F921" s="31" t="str">
        <x:v>If the manager asked you to pitch a wrong idea to client, how would you do? | Case Study: | 5 Pages of JPM Funds details : with stats like CAGR, market trends...</x:v>
      </x:c>
    </x:row>
    <x:row r="922" ht="46" customHeight="1">
      <x:c r="A922" s="30" t="str">
        <x:v>JPM AM</x:v>
      </x:c>
      <x:c r="B922" s="30" t="str">
        <x:v>PWM / AM</x:v>
      </x:c>
      <x:c r="C922" s="30" t="str">
        <x:v>Interview Note</x:v>
      </x:c>
      <x:c r="D922" s="31" t="str">
        <x:v>CN Off-cycle First Rounds (Ribo with Hill Wang)</x:v>
      </x:c>
      <x:c r="E922" s="31" t="str">
        <x:v>A19</x:v>
      </x:c>
      <x:c r="F922" s="31" t="str">
        <x:v>Case Study: | 5 Pages of JPM Funds details : with stats like CAGR, market trends... | 4 types of funds recommendation: Passive ETF/ Mutual or Active ETF/Mutual</x:v>
      </x:c>
    </x:row>
    <x:row r="923" ht="46" customHeight="1">
      <x:c r="A923" s="30" t="str">
        <x:v>JPM AM</x:v>
      </x:c>
      <x:c r="B923" s="30" t="str">
        <x:v>PWM / AM</x:v>
      </x:c>
      <x:c r="C923" s="30" t="str">
        <x:v>Interview Note</x:v>
      </x:c>
      <x:c r="D923" s="31" t="str">
        <x:v>He seems having a question list (Normal Behaviorals)</x:v>
      </x:c>
      <x:c r="E923" s="31" t="str">
        <x:v>A20</x:v>
      </x:c>
      <x:c r="F923" s="31" t="str">
        <x:v>5 Pages of JPM Funds details : with stats like CAGR, market trends... | 4 types of funds recommendation: Passive ETF/ Mutual or Active ETF/Mutual | CN Off-cycle First Rounds (Ribo with Hill Wang)</x:v>
      </x:c>
    </x:row>
    <x:row r="924" ht="46" customHeight="1">
      <x:c r="A924" s="30" t="str">
        <x:v>JPM AM</x:v>
      </x:c>
      <x:c r="B924" s="30" t="str">
        <x:v>PWM / AM</x:v>
      </x:c>
      <x:c r="C924" s="30" t="str">
        <x:v>Interview Note</x:v>
      </x:c>
      <x:c r="D924" s="31" t="str">
        <x:v>Use three words to describe yourself, besides those words you've used before.</x:v>
      </x:c>
      <x:c r="E924" s="31" t="str">
        <x:v>G20</x:v>
      </x:c>
      <x:c r="F924" s="31" t="str">
        <x:v>What roles are you interested within the JPMAM? | Share a piece of feedback that you've received before. | I've seen lots of experiences within Chinese banks. What are the points that you like and dislike about them?</x:v>
      </x:c>
    </x:row>
    <x:row r="925" ht="46" customHeight="1">
      <x:c r="A925" s="30" t="str">
        <x:v>JPM AM</x:v>
      </x:c>
      <x:c r="B925" s="30" t="str">
        <x:v>PWM / AM</x:v>
      </x:c>
      <x:c r="C925" s="30" t="str">
        <x:v>Metadata</x:v>
      </x:c>
      <x:c r="D925" s="31" t="str">
        <x:v>反问</x:v>
      </x:c>
      <x:c r="E925" s="31" t="str">
        <x:v>G21</x:v>
      </x:c>
      <x:c r="F925" s="31" t="str">
        <x:v>Share a piece of feedback that you've received before. | I've seen lots of experiences within Chinese banks. What are the points that you like and dislike about them? | Use three words to describe yourself, besides those words you've use...</x:v>
      </x:c>
    </x:row>
    <x:row r="926" ht="46" customHeight="1">
      <x:c r="A926" s="30" t="str">
        <x:v>JPM AM</x:v>
      </x:c>
      <x:c r="B926" s="30" t="str">
        <x:v>PWM / AM</x:v>
      </x:c>
      <x:c r="C926" s="30" t="str">
        <x:v>Interview Note</x:v>
      </x:c>
      <x:c r="D926" s="31" t="str">
        <x:v>(with Elena) - in Mandarin</x:v>
      </x:c>
      <x:c r="E926" s="31" t="str">
        <x:v>A22</x:v>
      </x:c>
      <x:c r="F926" s="31" t="str">
        <x:v>4 types of funds recommendation: Passive ETF/ Mutual or Active ETF/Mutual | CN Off-cycle First Rounds (Ribo with Hill Wang) | He seems having a question list (Normal Behaviorals)</x:v>
      </x:c>
    </x:row>
    <x:row r="927" ht="46" customHeight="1">
      <x:c r="A927" s="30" t="str">
        <x:v>JPM AM</x:v>
      </x:c>
      <x:c r="B927" s="30" t="str">
        <x:v>PWM / AM</x:v>
      </x:c>
      <x:c r="C927" s="30" t="str">
        <x:v>Metadata</x:v>
      </x:c>
      <x:c r="D927" s="31" t="str">
        <x:v>SPD one-on-one</x:v>
      </x:c>
      <x:c r="E927" s="31" t="str">
        <x:v>G23</x:v>
      </x:c>
      <x:c r="F927" s="31" t="str">
        <x:v>I've seen lots of experiences within Chinese banks. What are the points that you like and dislike about them? | Use three words to describe yourself, besides those words you've used before. | 反问</x:v>
      </x:c>
    </x:row>
    <x:row r="928" ht="30" customHeight="1">
      <x:c r="A928" s="30" t="str">
        <x:v>JPM AM</x:v>
      </x:c>
      <x:c r="B928" s="30" t="str">
        <x:v>PWM / AM</x:v>
      </x:c>
      <x:c r="C928" s="30" t="str">
        <x:v>Interview Note</x:v>
      </x:c>
      <x:c r="D928" s="31" t="str">
        <x:v>w/ Jacky Cheung in Product Strategy Team</x:v>
      </x:c>
      <x:c r="E928" s="31" t="str">
        <x:v>G24</x:v>
      </x:c>
      <x:c r="F928" s="31" t="str">
        <x:v>Use three words to describe yourself, besides those words you've used before. | 反问 | SPD one-on-one</x:v>
      </x:c>
    </x:row>
    <x:row r="929" ht="30" customHeight="1">
      <x:c r="A929" s="30" t="str">
        <x:v>JPM AM</x:v>
      </x:c>
      <x:c r="B929" s="30" t="str">
        <x:v>PWM / AM</x:v>
      </x:c>
      <x:c r="C929" s="30" t="str">
        <x:v>Metadata</x:v>
      </x:c>
      <x:c r="D929" s="31" t="str">
        <x:v>Superday：</x:v>
      </x:c>
      <x:c r="E929" s="31" t="str">
        <x:v>A26</x:v>
      </x:c>
      <x:c r="F929" s="31" t="str">
        <x:v>(with Elena) - in Mandarin | 是否了解摩根基金的历史？ | 为什么AM而不是PB？为什么Institutional？</x:v>
      </x:c>
    </x:row>
    <x:row r="930" ht="30" customHeight="1">
      <x:c r="A930" s="30" t="str">
        <x:v>JPM AM</x:v>
      </x:c>
      <x:c r="B930" s="30" t="str">
        <x:v>PWM / AM</x:v>
      </x:c>
      <x:c r="C930" s="30" t="str">
        <x:v>Interview Note</x:v>
      </x:c>
      <x:c r="D930" s="31" t="str">
        <x:v>Case studies same as HK Spd (no others)</x:v>
      </x:c>
      <x:c r="E930" s="31" t="str">
        <x:v>A27</x:v>
      </x:c>
      <x:c r="F930" s="31" t="str">
        <x:v>是否了解摩根基金的历史？ | 为什么AM而不是PB？为什么Institutional？ | Superday：</x:v>
      </x:c>
    </x:row>
    <x:row r="931" ht="62" customHeight="1">
      <x:c r="A931" s="30" t="str">
        <x:v>JPM AM</x:v>
      </x:c>
      <x:c r="B931" s="30" t="str">
        <x:v>PWM / AM</x:v>
      </x:c>
      <x:c r="C931" s="30" t="str">
        <x:v>Interview Note</x:v>
      </x:c>
      <x:c r="D931" s="31" t="str">
        <x:v>Integrity is very important. Give me an example of doing the right thing.</x:v>
      </x:c>
      <x:c r="E931" s="31" t="str">
        <x:v>G29</x:v>
      </x:c>
      <x:c r="F931" s="31" t="str">
        <x:v>Pitch me one sector or asset class and what's your expectation for it in the future and 5 years horizon | Describe a time when you are working in a team and have conflicts with others. How do you handle that? | Do you have any preference...</x:v>
      </x:c>
    </x:row>
    <x:row r="932" ht="62" customHeight="1">
      <x:c r="A932" s="30" t="str">
        <x:v>JPM AM</x:v>
      </x:c>
      <x:c r="B932" s="30" t="str">
        <x:v>PWM / AM</x:v>
      </x:c>
      <x:c r="C932" s="30" t="str">
        <x:v>Metadata</x:v>
      </x:c>
      <x:c r="D932" s="31" t="str">
        <x:v>反问</x:v>
      </x:c>
      <x:c r="E932" s="31" t="str">
        <x:v>G31</x:v>
      </x:c>
      <x:c r="F932" s="31" t="str">
        <x:v>Do you have any preference between client roles and investment roles? | Integrity is very important. Give me an example of doing the right thing. | Do you prefer to work in teams or work independently? And give me an example of having th...</x:v>
      </x:c>
    </x:row>
    <x:row r="933" ht="62" customHeight="1">
      <x:c r="A933" s="30" t="str">
        <x:v>JPM AM</x:v>
      </x:c>
      <x:c r="B933" s="30" t="str">
        <x:v>PWM / AM</x:v>
      </x:c>
      <x:c r="C933" s="30" t="str">
        <x:v>Metadata</x:v>
      </x:c>
      <x:c r="D933" s="31" t="str">
        <x:v>Follow up: What's the most difficult part when you're persuading her?</x:v>
      </x:c>
      <x:c r="E933" s="31" t="str">
        <x:v>G39</x:v>
      </x:c>
      <x:c r="F933" s="31" t="str">
        <x:v>What's your understanding about "do the right thing" and please give an example | Math question: 类似If a frog jumps half the distance to a pond with each leap, how many jumps would it need to reach the water? | Tell me about a time when y...</x:v>
      </x:c>
    </x:row>
    <x:row r="934" ht="62" customHeight="1">
      <x:c r="A934" s="30" t="str">
        <x:v>JPM AM</x:v>
      </x:c>
      <x:c r="B934" s="30" t="str">
        <x:v>PWM / AM</x:v>
      </x:c>
      <x:c r="C934" s="30" t="str">
        <x:v>Metadata</x:v>
      </x:c>
      <x:c r="D934" s="31" t="str">
        <x:v>Follow up: If you can give a piece of advice about digital transformation for JPM AM APAC, what advice would be?</x:v>
      </x:c>
      <x:c r="E934" s="31" t="str">
        <x:v>G43</x:v>
      </x:c>
      <x:c r="F934" s="31" t="str">
        <x:v>Use 2 minutes to quickly comment on the current market movements and what are you investment recommendations? | Why do you specifically want to join in AM given that you've got lots of other internship experiences before? | What do you t...</x:v>
      </x:c>
    </x:row>
    <x:row r="935" ht="62" customHeight="1">
      <x:c r="A935" s="30" t="str">
        <x:v>JPM AM</x:v>
      </x:c>
      <x:c r="B935" s="30" t="str">
        <x:v>PWM / AM</x:v>
      </x:c>
      <x:c r="C935" s="30" t="str">
        <x:v>Metadata</x:v>
      </x:c>
      <x:c r="D935" s="31" t="str">
        <x:v>反问</x:v>
      </x:c>
      <x:c r="E935" s="31" t="str">
        <x:v>G44</x:v>
      </x:c>
      <x:c r="F935" s="31" t="str">
        <x:v>Why do you specifically want to join in AM given that you've got lots of other internship experiences before? | What do you think is one of the trends in AM industry currently? (I said digital transformation) | Follow up: If you can give...</x:v>
      </x:c>
    </x:row>
    <x:row r="936" ht="30" customHeight="1">
      <x:c r="A936" s="30" t="str">
        <x:v>Citi PB</x:v>
      </x:c>
      <x:c r="B936" s="30" t="str">
        <x:v>PWM / AM</x:v>
      </x:c>
      <x:c r="C936" s="30" t="str">
        <x:v>Metadata</x:v>
      </x:c>
      <x:c r="D936" s="31" t="str">
        <x:v>First round a case study with 2 parts</x:v>
      </x:c>
      <x:c r="E936" s="31" t="str">
        <x:v>A1</x:v>
      </x:c>
      <x:c r="F936" s="31" t="str"/>
    </x:row>
    <x:row r="937" ht="46" customHeight="1">
      <x:c r="A937" s="30" t="str">
        <x:v>Citi PB</x:v>
      </x:c>
      <x:c r="B937" s="30" t="str">
        <x:v>PWM / AM</x:v>
      </x:c>
      <x:c r="C937" s="30" t="str">
        <x:v>Metadata</x:v>
      </x:c>
      <x:c r="D937" s="31" t="str">
        <x:v>Superday Ribo with one harsh and one nice Director</x:v>
      </x:c>
      <x:c r="E937" s="31" t="str">
        <x:v>A5</x:v>
      </x:c>
      <x:c r="F937" s="31" t="str">
        <x:v>First round a case study with 2 parts | 1st part: Business sense (asset allocation) | 2nd part: Market (give a news, asking the impact on PB Clients)</x:v>
      </x:c>
    </x:row>
    <x:row r="938" ht="46" customHeight="1">
      <x:c r="A938" s="30" t="str">
        <x:v>Citi PB</x:v>
      </x:c>
      <x:c r="B938" s="30" t="str">
        <x:v>PWM / AM</x:v>
      </x:c>
      <x:c r="C938" s="30" t="str">
        <x:v>Interview Note</x:v>
      </x:c>
      <x:c r="D938" s="31" t="str">
        <x:v>Understanding towards Credit Lending</x:v>
      </x:c>
      <x:c r="E938" s="31" t="str">
        <x:v>A8</x:v>
      </x:c>
      <x:c r="F938" s="31" t="str">
        <x:v>Superday Ribo with one harsh and one nice Director | How do you see the conglomerates sector? | which sectors are undervalued right now?</x:v>
      </x:c>
    </x:row>
    <x:row r="939" ht="30" customHeight="1">
      <x:c r="A939" s="30" t="str">
        <x:v>HSBC PB</x:v>
      </x:c>
      <x:c r="B939" s="30" t="str">
        <x:v>PWM / AM</x:v>
      </x:c>
      <x:c r="C939" s="30" t="str">
        <x:v>Interview Note</x:v>
      </x:c>
      <x:c r="D939" s="31" t="str">
        <x:v>HSBC SH RM intern</x:v>
      </x:c>
      <x:c r="E939" s="31" t="str">
        <x:v>A1</x:v>
      </x:c>
      <x:c r="F939" s="31" t="str"/>
    </x:row>
    <x:row r="940" ht="30" customHeight="1">
      <x:c r="A940" s="30" t="str">
        <x:v>HSBC PB</x:v>
      </x:c>
      <x:c r="B940" s="30" t="str">
        <x:v>PWM / AM</x:v>
      </x:c>
      <x:c r="C940" s="30" t="str">
        <x:v>Metadata</x:v>
      </x:c>
      <x:c r="D940" s="31" t="str">
        <x:v>Jim</x:v>
      </x:c>
      <x:c r="E940" s="31" t="str">
        <x:v>A2</x:v>
      </x:c>
      <x:c r="F940" s="31" t="str">
        <x:v>HSBC SH RM intern</x:v>
      </x:c>
    </x:row>
    <x:row r="941" ht="30" customHeight="1">
      <x:c r="A941" s="30" t="str">
        <x:v>HSBC PB</x:v>
      </x:c>
      <x:c r="B941" s="30" t="str">
        <x:v>PWM / AM</x:v>
      </x:c>
      <x:c r="C941" s="30" t="str">
        <x:v>Interview Note</x:v>
      </x:c>
      <x:c r="D941" s="31" t="str">
        <x:v>专业发展，课程内容（I am from AMPB so this interviewer may be curious）</x:v>
      </x:c>
      <x:c r="E941" s="31" t="str">
        <x:v>A4</x:v>
      </x:c>
      <x:c r="F941" s="31" t="str">
        <x:v>HSBC SH RM intern | Jim | 自我介绍</x:v>
      </x:c>
    </x:row>
    <x:row r="942" ht="30" customHeight="1">
      <x:c r="A942" s="30" t="str">
        <x:v>HSBC PB</x:v>
      </x:c>
      <x:c r="B942" s="30" t="str">
        <x:v>PWM / AM</x:v>
      </x:c>
      <x:c r="C942" s="30" t="str">
        <x:v>Interview Note</x:v>
      </x:c>
      <x:c r="D942" s="31" t="str">
        <x:v>市场新闻，如何影响PB客户</x:v>
      </x:c>
      <x:c r="E942" s="31" t="str">
        <x:v>A5</x:v>
      </x:c>
      <x:c r="F942" s="31" t="str">
        <x:v>Jim | 自我介绍 | 专业发展，课程内容（I am from AMPB so this interviewer may be curious）</x:v>
      </x:c>
    </x:row>
    <x:row r="943" ht="30" customHeight="1">
      <x:c r="A943" s="30" t="str">
        <x:v>HSBC PB</x:v>
      </x:c>
      <x:c r="B943" s="30" t="str">
        <x:v>PWM / AM</x:v>
      </x:c>
      <x:c r="C943" s="30" t="str">
        <x:v>Interview Note</x:v>
      </x:c>
      <x:c r="D943" s="31" t="str">
        <x:v>说一次解决困难的经历</x:v>
      </x:c>
      <x:c r="E943" s="31" t="str">
        <x:v>A7</x:v>
      </x:c>
      <x:c r="F943" s="31" t="str">
        <x:v>专业发展，课程内容（I am from AMPB so this interviewer may be curious） | 市场新闻，如何影响PB客户 | why RM</x:v>
      </x:c>
    </x:row>
    <x:row r="944" ht="30" customHeight="1">
      <x:c r="A944" s="30" t="str">
        <x:v>HSBC PB</x:v>
      </x:c>
      <x:c r="B944" s="30" t="str">
        <x:v>PWM / AM</x:v>
      </x:c>
      <x:c r="C944" s="30" t="str">
        <x:v>Interview Note</x:v>
      </x:c>
      <x:c r="D944" s="31" t="str">
        <x:v>过去最珍贵的工作品质是什么</x:v>
      </x:c>
      <x:c r="E944" s="31" t="str">
        <x:v>A8</x:v>
      </x:c>
      <x:c r="F944" s="31" t="str">
        <x:v>市场新闻，如何影响PB客户 | why RM | 说一次解决困难的经历</x:v>
      </x:c>
    </x:row>
    <x:row r="945" ht="30" customHeight="1">
      <x:c r="A945" s="30" t="str">
        <x:v>HSBC PB</x:v>
      </x:c>
      <x:c r="B945" s="30" t="str">
        <x:v>PWM / AM</x:v>
      </x:c>
      <x:c r="C945" s="30" t="str">
        <x:v>Interview Note</x:v>
      </x:c>
      <x:c r="D945" s="31" t="str">
        <x:v>推销一本书</x:v>
      </x:c>
      <x:c r="E945" s="31" t="str">
        <x:v>A9</x:v>
      </x:c>
      <x:c r="F945" s="31" t="str">
        <x:v>why RM | 说一次解决困难的经历 | 过去最珍贵的工作品质是什么</x:v>
      </x:c>
    </x:row>
    <x:row r="946" ht="30" customHeight="1">
      <x:c r="A946" s="30" t="str">
        <x:v>HSBC PB</x:v>
      </x:c>
      <x:c r="B946" s="30" t="str">
        <x:v>PWM / AM</x:v>
      </x:c>
      <x:c r="C946" s="30" t="str">
        <x:v>Interview Note</x:v>
      </x:c>
      <x:c r="D946" s="31" t="str">
        <x:v>AI如何改变行业</x:v>
      </x:c>
      <x:c r="E946" s="31" t="str">
        <x:v>A10</x:v>
      </x:c>
      <x:c r="F946" s="31" t="str">
        <x:v>说一次解决困难的经历 | 过去最珍贵的工作品质是什么 | 推销一本书</x:v>
      </x:c>
    </x:row>
    <x:row r="947" ht="30" customHeight="1">
      <x:c r="A947" s="30" t="str">
        <x:v>HSBC PB</x:v>
      </x:c>
      <x:c r="B947" s="30" t="str">
        <x:v>PWM / AM</x:v>
      </x:c>
      <x:c r="C947" s="30" t="str">
        <x:v>Interview Note</x:v>
      </x:c>
      <x:c r="D947" s="31" t="str">
        <x:v>未来职业发展</x:v>
      </x:c>
      <x:c r="E947" s="31" t="str">
        <x:v>A11</x:v>
      </x:c>
      <x:c r="F947" s="31" t="str">
        <x:v>过去最珍贵的工作品质是什么 | 推销一本书 | AI如何改变行业</x:v>
      </x:c>
    </x:row>
    <x:row r="948" ht="30" customHeight="1">
      <x:c r="A948" s="30" t="str">
        <x:v>HSBC PB</x:v>
      </x:c>
      <x:c r="B948" s="30" t="str">
        <x:v>PWM / AM</x:v>
      </x:c>
      <x:c r="C948" s="30" t="str">
        <x:v>Interview Note</x:v>
      </x:c>
      <x:c r="D948" s="31" t="str">
        <x:v>在Bain做了啥</x:v>
      </x:c>
      <x:c r="E948" s="31" t="str">
        <x:v>A13</x:v>
      </x:c>
      <x:c r="F948" s="31" t="str">
        <x:v>AI如何改变行业 | 未来职业发展 | 如何进入过去的某个实习公司（我的是Bain）</x:v>
      </x:c>
    </x:row>
    <x:row r="949" ht="30" customHeight="1">
      <x:c r="A949" s="30" t="str">
        <x:v>BlackRock</x:v>
      </x:c>
      <x:c r="B949" s="30" t="str">
        <x:v>PWM / AM</x:v>
      </x:c>
      <x:c r="C949" s="30" t="str">
        <x:v>Metadata</x:v>
      </x:c>
      <x:c r="D949" s="31" t="str">
        <x:v>2024 SA</x:v>
      </x:c>
      <x:c r="E949" s="31" t="str">
        <x:v>A1</x:v>
      </x:c>
      <x:c r="F949" s="31" t="str"/>
    </x:row>
    <x:row r="950" ht="30" customHeight="1">
      <x:c r="A950" s="30" t="str">
        <x:v>BlackRock</x:v>
      </x:c>
      <x:c r="B950" s="30" t="str">
        <x:v>PWM / AM</x:v>
      </x:c>
      <x:c r="C950" s="30" t="str">
        <x:v>Interview Note</x:v>
      </x:c>
      <x:c r="D950" s="31" t="str">
        <x:v>Institutional &amp; Wealth (Sales) Round 1</x:v>
      </x:c>
      <x:c r="E950" s="31" t="str">
        <x:v>A2</x:v>
      </x:c>
      <x:c r="F950" s="31" t="str">
        <x:v>2024 SA</x:v>
      </x:c>
    </x:row>
    <x:row r="951" ht="30" customHeight="1">
      <x:c r="A951" s="30" t="str">
        <x:v>BlackRock</x:v>
      </x:c>
      <x:c r="B951" s="30" t="str">
        <x:v>PWM / AM</x:v>
      </x:c>
      <x:c r="C951" s="30" t="str">
        <x:v>Metadata</x:v>
      </x:c>
      <x:c r="D951" s="31" t="str">
        <x:v>First Interviewer</x:v>
      </x:c>
      <x:c r="E951" s="31" t="str">
        <x:v>A3</x:v>
      </x:c>
      <x:c r="F951" s="31" t="str">
        <x:v>2024 SA | Institutional &amp; Wealth (Sales) Round 1</x:v>
      </x:c>
    </x:row>
    <x:row r="952" ht="30" customHeight="1">
      <x:c r="A952" s="30" t="str">
        <x:v>BlackRock</x:v>
      </x:c>
      <x:c r="B952" s="30" t="str">
        <x:v>PWM / AM</x:v>
      </x:c>
      <x:c r="C952" s="30" t="str">
        <x:v>Metadata</x:v>
      </x:c>
      <x:c r="D952" s="31" t="str">
        <x:v>Second Interviewer</x:v>
      </x:c>
      <x:c r="E952" s="31" t="str">
        <x:v>C3</x:v>
      </x:c>
      <x:c r="F952" s="31" t="str"/>
    </x:row>
    <x:row r="953" ht="30" customHeight="1">
      <x:c r="A953" s="30" t="str">
        <x:v>BlackRock</x:v>
      </x:c>
      <x:c r="B953" s="30" t="str">
        <x:v>PWM / AM</x:v>
      </x:c>
      <x:c r="C953" s="30" t="str">
        <x:v>Metadata</x:v>
      </x:c>
      <x:c r="D953" s="31" t="str">
        <x:v>Beata</x:v>
      </x:c>
      <x:c r="E953" s="31" t="str">
        <x:v>A4</x:v>
      </x:c>
      <x:c r="F953" s="31" t="str">
        <x:v>2024 SA | Institutional &amp; Wealth (Sales) Round 1 | First Interviewer</x:v>
      </x:c>
    </x:row>
    <x:row r="954" ht="30" customHeight="1">
      <x:c r="A954" s="30" t="str">
        <x:v>BlackRock</x:v>
      </x:c>
      <x:c r="B954" s="30" t="str">
        <x:v>PWM / AM</x:v>
      </x:c>
      <x:c r="C954" s="30" t="str">
        <x:v>Interview Note</x:v>
      </x:c>
      <x:c r="D954" s="31" t="str">
        <x:v>Peng Chau (PB)</x:v>
      </x:c>
      <x:c r="E954" s="31" t="str">
        <x:v>A5</x:v>
      </x:c>
      <x:c r="F954" s="31" t="str">
        <x:v>Institutional &amp; Wealth (Sales) Round 1 | First Interviewer | Beata</x:v>
      </x:c>
    </x:row>
    <x:row r="955" ht="30" customHeight="1">
      <x:c r="A955" s="30" t="str">
        <x:v>BlackRock</x:v>
      </x:c>
      <x:c r="B955" s="30" t="str">
        <x:v>PWM / AM</x:v>
      </x:c>
      <x:c r="C955" s="30" t="str">
        <x:v>Interview Note</x:v>
      </x:c>
      <x:c r="D955" s="31" t="str">
        <x:v>Kristy Chan (Institutional)</x:v>
      </x:c>
      <x:c r="E955" s="31" t="str">
        <x:v>C5</x:v>
      </x:c>
      <x:c r="F955" s="31" t="str">
        <x:v>Second Interviewer</x:v>
      </x:c>
    </x:row>
    <x:row r="956" ht="30" customHeight="1">
      <x:c r="A956" s="30" t="str">
        <x:v>BlackRock</x:v>
      </x:c>
      <x:c r="B956" s="30" t="str">
        <x:v>PWM / AM</x:v>
      </x:c>
      <x:c r="C956" s="30" t="str">
        <x:v>Interview Note</x:v>
      </x:c>
      <x:c r="D956" s="31" t="str">
        <x:v>active fund vs passive fund (mandarin)</x:v>
      </x:c>
      <x:c r="E956" s="31" t="str">
        <x:v>C7</x:v>
      </x:c>
      <x:c r="F956" s="31" t="str">
        <x:v>Second Interviewer | Kristy Chan (Institutional) | Self introduction</x:v>
      </x:c>
    </x:row>
    <x:row r="957" ht="30" customHeight="1">
      <x:c r="A957" s="30" t="str">
        <x:v>BlackRock</x:v>
      </x:c>
      <x:c r="B957" s="30" t="str">
        <x:v>PWM / AM</x:v>
      </x:c>
      <x:c r="C957" s="30" t="str">
        <x:v>Interview Note</x:v>
      </x:c>
      <x:c r="D957" s="31" t="str">
        <x:v>你認為未來經濟會下行嗎、interest rates viewpoints (cantonese)</x:v>
      </x:c>
      <x:c r="E957" s="31" t="str">
        <x:v>C8</x:v>
      </x:c>
      <x:c r="F957" s="31" t="str">
        <x:v>Kristy Chan (Institutional) | Self introduction | active fund vs passive fund (mandarin)</x:v>
      </x:c>
    </x:row>
    <x:row r="958" ht="62" customHeight="1">
      <x:c r="A958" s="30" t="str">
        <x:v>BlackRock</x:v>
      </x:c>
      <x:c r="B958" s="30" t="str">
        <x:v>PWM / AM</x:v>
      </x:c>
      <x:c r="C958" s="30" t="str">
        <x:v>Interview Note</x:v>
      </x:c>
      <x:c r="D958" s="31" t="str">
        <x:v>a teamwork experience</x:v>
      </x:c>
      <x:c r="E958" s="31" t="str">
        <x:v>C11</x:v>
      </x:c>
      <x:c r="F958" s="31" t="str">
        <x:v>你認為未來經濟會下行嗎、interest rates viewpoints (cantonese) | suppose there's a client with his asset allcation 60% equities and 40% fixed income, now under the environment of bad economy and the trends of ai and stuff (dont remember lol), he lost...</x:v>
      </x:c>
    </x:row>
    <x:row r="959" ht="62" customHeight="1">
      <x:c r="A959" s="30" t="str">
        <x:v>BlackRock</x:v>
      </x:c>
      <x:c r="B959" s="30" t="str">
        <x:v>PWM / AM</x:v>
      </x:c>
      <x:c r="C959" s="30" t="str">
        <x:v>Metadata</x:v>
      </x:c>
      <x:c r="D959" s="31" t="str">
        <x:v>any questions for me?</x:v>
      </x:c>
      <x:c r="E959" s="31" t="str">
        <x:v>C12</x:v>
      </x:c>
      <x:c r="F959" s="31" t="str">
        <x:v>suppose there's a client with his asset allcation 60% equities and 40% fixed income, now under the environment of bad economy and the trends of ai and stuff (dont remember lol), he lost a lot of money, what would you suggest him to do no...</x:v>
      </x:c>
    </x:row>
    <x:row r="960" ht="30" customHeight="1">
      <x:c r="A960" s="30" t="str">
        <x:v>BlackRock</x:v>
      </x:c>
      <x:c r="B960" s="30" t="str">
        <x:v>PWM / AM</x:v>
      </x:c>
      <x:c r="C960" s="30" t="str">
        <x:v>Interview Note</x:v>
      </x:c>
      <x:c r="D960" s="31" t="str">
        <x:v>also asked whether i had a preference on institutional or pb</x:v>
      </x:c>
      <x:c r="E960" s="31" t="str">
        <x:v>C13</x:v>
      </x:c>
      <x:c r="F960" s="31" t="str">
        <x:v>tell me about your weakness | a teamwork experience | any questions for me?</x:v>
      </x:c>
    </x:row>
    <x:row r="961" ht="46" customHeight="1">
      <x:c r="A961" s="30" t="str">
        <x:v>BlackRock</x:v>
      </x:c>
      <x:c r="B961" s="30" t="str">
        <x:v>PWM / AM</x:v>
      </x:c>
      <x:c r="C961" s="30" t="str">
        <x:v>Interview Note</x:v>
      </x:c>
      <x:c r="D961" s="31" t="str">
        <x:v>active fund vs passive fund</x:v>
      </x:c>
      <x:c r="E961" s="31" t="str">
        <x:v>A14</x:v>
      </x:c>
      <x:c r="F961" s="31" t="str">
        <x:v>CV question - tell me project you did at Bain &amp; Company (not very deep) | is there a time when your approach to a task was not ok, and what did you do | talk about a blackrock product</x:v>
      </x:c>
    </x:row>
    <x:row r="962" ht="46" customHeight="1">
      <x:c r="A962" s="30" t="str">
        <x:v>BlackRock</x:v>
      </x:c>
      <x:c r="B962" s="30" t="str">
        <x:v>PWM / AM</x:v>
      </x:c>
      <x:c r="C962" s="30" t="str">
        <x:v>Metadata</x:v>
      </x:c>
      <x:c r="D962" s="31" t="str">
        <x:v>any questions for me?</x:v>
      </x:c>
      <x:c r="E962" s="31" t="str">
        <x:v>A15</x:v>
      </x:c>
      <x:c r="F962" s="31" t="str">
        <x:v>is there a time when your approach to a task was not ok, and what did you do | talk about a blackrock product | active fund vs passive fund</x:v>
      </x:c>
    </x:row>
    <x:row r="963" ht="30" customHeight="1">
      <x:c r="A963" s="30" t="str">
        <x:v>BlackRock</x:v>
      </x:c>
      <x:c r="B963" s="30" t="str">
        <x:v>PWM / AM</x:v>
      </x:c>
      <x:c r="C963" s="30" t="str">
        <x:v>Interview Note</x:v>
      </x:c>
      <x:c r="D963" s="31" t="str">
        <x:v>(she asked a question in mandarin as well, but i dont remember what that was lmao)</x:v>
      </x:c>
      <x:c r="E963" s="31" t="str">
        <x:v>A16</x:v>
      </x:c>
      <x:c r="F963" s="31" t="str">
        <x:v>talk about a blackrock product | active fund vs passive fund | any questions for me?</x:v>
      </x:c>
    </x:row>
    <x:row r="964" ht="46" customHeight="1">
      <x:c r="A964" s="30" t="str">
        <x:v>BlackRock</x:v>
      </x:c>
      <x:c r="B964" s="30" t="str">
        <x:v>PWM / AM</x:v>
      </x:c>
      <x:c r="C964" s="30" t="str">
        <x:v>Interview Note</x:v>
      </x:c>
      <x:c r="D964" s="31" t="str">
        <x:v>Institutional &amp; Wealth (Sales) Final Round</x:v>
      </x:c>
      <x:c r="E964" s="31" t="str">
        <x:v>A20</x:v>
      </x:c>
      <x:c r="F964" s="31" t="str">
        <x:v>any questions for me? | (she asked a question in mandarin as well, but i dont remember what that was lmao) | also asked me about a case competition experience on my cv</x:v>
      </x:c>
    </x:row>
    <x:row r="965" ht="46" customHeight="1">
      <x:c r="A965" s="30" t="str">
        <x:v>BlackRock</x:v>
      </x:c>
      <x:c r="B965" s="30" t="str">
        <x:v>PWM / AM</x:v>
      </x:c>
      <x:c r="C965" s="30" t="str">
        <x:v>Interview Note</x:v>
      </x:c>
      <x:c r="D965" s="31" t="str">
        <x:v>1st and 2nd interviewers (one institutional, one alternatives specialist)</x:v>
      </x:c>
      <x:c r="E965" s="31" t="str">
        <x:v>A21</x:v>
      </x:c>
      <x:c r="F965" s="31" t="str">
        <x:v>(she asked a question in mandarin as well, but i dont remember what that was lmao) | also asked me about a case competition experience on my cv | Institutional &amp; Wealth (Sales) Final Round</x:v>
      </x:c>
    </x:row>
    <x:row r="966" ht="46" customHeight="1">
      <x:c r="A966" s="30" t="str">
        <x:v>BlackRock</x:v>
      </x:c>
      <x:c r="B966" s="30" t="str">
        <x:v>PWM / AM</x:v>
      </x:c>
      <x:c r="C966" s="30" t="str">
        <x:v>Metadata</x:v>
      </x:c>
      <x:c r="D966" s="31" t="str">
        <x:v>2025 SA</x:v>
      </x:c>
      <x:c r="E966" s="31" t="str">
        <x:v>A25</x:v>
      </x:c>
      <x:c r="F966" s="31" t="str">
        <x:v>also asked me about a case competition experience on my cv | Institutional &amp; Wealth (Sales) Final Round | 1st and 2nd interviewers (one institutional, one alternatives specialist)</x:v>
      </x:c>
    </x:row>
    <x:row r="967" ht="46" customHeight="1">
      <x:c r="A967" s="30" t="str">
        <x:v>BlackRock</x:v>
      </x:c>
      <x:c r="B967" s="30" t="str">
        <x:v>PWM / AM</x:v>
      </x:c>
      <x:c r="C967" s="30" t="str">
        <x:v>Interview Note</x:v>
      </x:c>
      <x:c r="D967" s="31" t="str">
        <x:v>Fundamental Equities</x:v>
      </x:c>
      <x:c r="E967" s="31" t="str">
        <x:v>A26</x:v>
      </x:c>
      <x:c r="F967" s="31" t="str">
        <x:v>Institutional &amp; Wealth (Sales) Final Round | 1st and 2nd interviewers (one institutional, one alternatives specialist) | 2025 SA</x:v>
      </x:c>
    </x:row>
    <x:row r="968" ht="30" customHeight="1">
      <x:c r="A968" s="30" t="str">
        <x:v>BlackRock</x:v>
      </x:c>
      <x:c r="B968" s="30" t="str">
        <x:v>PWM / AM</x:v>
      </x:c>
      <x:c r="C968" s="30" t="str">
        <x:v>Metadata</x:v>
      </x:c>
      <x:c r="D968" s="31" t="str">
        <x:v>Round 1 (interviewer 1)</x:v>
      </x:c>
      <x:c r="E968" s="31" t="str">
        <x:v>A27</x:v>
      </x:c>
      <x:c r="F968" s="31" t="str">
        <x:v>1st and 2nd interviewers (one institutional, one alternatives specialist) | 2025 SA | Fundamental Equities</x:v>
      </x:c>
    </x:row>
    <x:row r="969" ht="30" customHeight="1">
      <x:c r="A969" s="30" t="str">
        <x:v>BlackRock</x:v>
      </x:c>
      <x:c r="B969" s="30" t="str">
        <x:v>PWM / AM</x:v>
      </x:c>
      <x:c r="C969" s="30" t="str">
        <x:v>Interview Note</x:v>
      </x:c>
      <x:c r="D969" s="31" t="str">
        <x:v>talk abit about CV</x:v>
      </x:c>
      <x:c r="E969" s="31" t="str">
        <x:v>A29</x:v>
      </x:c>
      <x:c r="F969" s="31" t="str">
        <x:v>Fundamental Equities | Round 1 (interviewer 1) | Introduce yourself</x:v>
      </x:c>
    </x:row>
    <x:row r="970" ht="30" customHeight="1">
      <x:c r="A970" s="30" t="str">
        <x:v>BlackRock</x:v>
      </x:c>
      <x:c r="B970" s="30" t="str">
        <x:v>PWM / AM</x:v>
      </x:c>
      <x:c r="C970" s="30" t="str">
        <x:v>Interview Note</x:v>
      </x:c>
      <x:c r="D970" s="31" t="str">
        <x:v>if theres a war now what would u do</x:v>
      </x:c>
      <x:c r="E970" s="31" t="str">
        <x:v>A30</x:v>
      </x:c>
      <x:c r="F970" s="31" t="str">
        <x:v>Round 1 (interviewer 1) | Introduce yourself | talk abit about CV</x:v>
      </x:c>
    </x:row>
    <x:row r="971" ht="46" customHeight="1">
      <x:c r="A971" s="30" t="str">
        <x:v>BlackRock</x:v>
      </x:c>
      <x:c r="B971" s="30" t="str">
        <x:v>PWM / AM</x:v>
      </x:c>
      <x:c r="C971" s="30" t="str">
        <x:v>Metadata</x:v>
      </x:c>
      <x:c r="D971" s="31" t="str">
        <x:v>Round 1 (Interviewer 2)</x:v>
      </x:c>
      <x:c r="E971" s="31" t="str">
        <x:v>A34</x:v>
      </x:c>
      <x:c r="F971" s="31" t="str">
        <x:v>if theres a war now what would u do | asset allocation question | tell me a time about when u took a risk without knowing the outcome</x:v>
      </x:c>
    </x:row>
    <x:row r="972" ht="30" customHeight="1">
      <x:c r="A972" s="30" t="str">
        <x:v>BlackRock</x:v>
      </x:c>
      <x:c r="B972" s="30" t="str">
        <x:v>PWM / AM</x:v>
      </x:c>
      <x:c r="C972" s="30" t="str">
        <x:v>Metadata</x:v>
      </x:c>
      <x:c r="D972" s="31" t="str">
        <x:v>follow up questions on pitch: what are the biggest risk</x:v>
      </x:c>
      <x:c r="E972" s="31" t="str">
        <x:v>A38</x:v>
      </x:c>
      <x:c r="F972" s="31" t="str">
        <x:v>introduce yourself | pitch me a stock | pitch me another stock</x:v>
      </x:c>
    </x:row>
    <x:row r="973" ht="30" customHeight="1">
      <x:c r="A973" s="30" t="str">
        <x:v>Consulting</x:v>
      </x:c>
      <x:c r="B973" s="30" t="str">
        <x:v>Separator / Other</x:v>
      </x:c>
      <x:c r="C973" s="30" t="str">
        <x:v>Metadata</x:v>
      </x:c>
      <x:c r="D973" s="31" t="str">
        <x:v>Strictly</x:v>
      </x:c>
      <x:c r="E973" s="31" t="str">
        <x:v>A1</x:v>
      </x:c>
      <x:c r="F973" s="31" t="str"/>
    </x:row>
    <x:row r="974" ht="30" customHeight="1">
      <x:c r="A974" s="30" t="str">
        <x:v>Consulting</x:v>
      </x:c>
      <x:c r="B974" s="30" t="str">
        <x:v>Separator / Other</x:v>
      </x:c>
      <x:c r="C974" s="30" t="str">
        <x:v>Interview Note</x:v>
      </x:c>
      <x:c r="D974" s="31" t="str">
        <x:v>Do</x:v>
      </x:c>
      <x:c r="E974" s="31" t="str">
        <x:v>C1</x:v>
      </x:c>
      <x:c r="F974" s="31" t="str"/>
    </x:row>
    <x:row r="975" ht="30" customHeight="1">
      <x:c r="A975" s="30" t="str">
        <x:v>Consulting</x:v>
      </x:c>
      <x:c r="B975" s="30" t="str">
        <x:v>Separator / Other</x:v>
      </x:c>
      <x:c r="C975" s="30" t="str">
        <x:v>Interview Note</x:v>
      </x:c>
      <x:c r="D975" s="31" t="str">
        <x:v>For</x:v>
      </x:c>
      <x:c r="E975" s="31" t="str">
        <x:v>A2</x:v>
      </x:c>
      <x:c r="F975" s="31" t="str">
        <x:v>Strictly</x:v>
      </x:c>
    </x:row>
    <x:row r="976" ht="30" customHeight="1">
      <x:c r="A976" s="30" t="str">
        <x:v>Consulting</x:v>
      </x:c>
      <x:c r="B976" s="30" t="str">
        <x:v>Separator / Other</x:v>
      </x:c>
      <x:c r="C976" s="30" t="str">
        <x:v>Interview Note</x:v>
      </x:c>
      <x:c r="D976" s="31" t="str">
        <x:v>Not</x:v>
      </x:c>
      <x:c r="E976" s="31" t="str">
        <x:v>C2</x:v>
      </x:c>
      <x:c r="F976" s="31" t="str">
        <x:v>Do</x:v>
      </x:c>
    </x:row>
    <x:row r="977" ht="30" customHeight="1">
      <x:c r="A977" s="30" t="str">
        <x:v>Consulting</x:v>
      </x:c>
      <x:c r="B977" s="30" t="str">
        <x:v>Separator / Other</x:v>
      </x:c>
      <x:c r="C977" s="30" t="str">
        <x:v>Interview Note</x:v>
      </x:c>
      <x:c r="D977" s="31" t="str">
        <x:v>Internal</x:v>
      </x:c>
      <x:c r="E977" s="31" t="str">
        <x:v>A3</x:v>
      </x:c>
      <x:c r="F977" s="31" t="str">
        <x:v>Strictly | For</x:v>
      </x:c>
    </x:row>
    <x:row r="978" ht="30" customHeight="1">
      <x:c r="A978" s="30" t="str">
        <x:v>Consulting</x:v>
      </x:c>
      <x:c r="B978" s="30" t="str">
        <x:v>Separator / Other</x:v>
      </x:c>
      <x:c r="C978" s="30" t="str">
        <x:v>Interview Note</x:v>
      </x:c>
      <x:c r="D978" s="31" t="str">
        <x:v>Share</x:v>
      </x:c>
      <x:c r="E978" s="31" t="str">
        <x:v>C3</x:v>
      </x:c>
      <x:c r="F978" s="31" t="str">
        <x:v>Do | Not</x:v>
      </x:c>
    </x:row>
    <x:row r="979" ht="30" customHeight="1">
      <x:c r="A979" s="30" t="str">
        <x:v>Consulting</x:v>
      </x:c>
      <x:c r="B979" s="30" t="str">
        <x:v>Separator / Other</x:v>
      </x:c>
      <x:c r="C979" s="30" t="str">
        <x:v>Interview Note</x:v>
      </x:c>
      <x:c r="D979" s="31" t="str">
        <x:v>Use</x:v>
      </x:c>
      <x:c r="E979" s="31" t="str">
        <x:v>A4</x:v>
      </x:c>
      <x:c r="F979" s="31" t="str">
        <x:v>Strictly | For | Internal</x:v>
      </x:c>
    </x:row>
    <x:row r="980" ht="30" customHeight="1">
      <x:c r="A980" s="30" t="str">
        <x:v>Consulting</x:v>
      </x:c>
      <x:c r="B980" s="30" t="str">
        <x:v>Separator / Other</x:v>
      </x:c>
      <x:c r="C980" s="30" t="str">
        <x:v>Interview Note</x:v>
      </x:c>
      <x:c r="D980" s="31" t="str">
        <x:v>with</x:v>
      </x:c>
      <x:c r="E980" s="31" t="str">
        <x:v>C4</x:v>
      </x:c>
      <x:c r="F980" s="31" t="str">
        <x:v>Do | Not | Share</x:v>
      </x:c>
    </x:row>
    <x:row r="981" ht="30" customHeight="1">
      <x:c r="A981" s="30" t="str">
        <x:v>Consulting</x:v>
      </x:c>
      <x:c r="B981" s="30" t="str">
        <x:v>Separator / Other</x:v>
      </x:c>
      <x:c r="C981" s="30" t="str">
        <x:v>Interview Note</x:v>
      </x:c>
      <x:c r="D981" s="31" t="str">
        <x:v>Only</x:v>
      </x:c>
      <x:c r="E981" s="31" t="str">
        <x:v>A5</x:v>
      </x:c>
      <x:c r="F981" s="31" t="str">
        <x:v>For | Internal | Use</x:v>
      </x:c>
    </x:row>
    <x:row r="982" ht="30" customHeight="1">
      <x:c r="A982" s="30" t="str">
        <x:v>Consulting</x:v>
      </x:c>
      <x:c r="B982" s="30" t="str">
        <x:v>Separator / Other</x:v>
      </x:c>
      <x:c r="C982" s="30" t="str">
        <x:v>Metadata</x:v>
      </x:c>
      <x:c r="D982" s="31" t="str">
        <x:v>Outsiders</x:v>
      </x:c>
      <x:c r="E982" s="31" t="str">
        <x:v>C5</x:v>
      </x:c>
      <x:c r="F982" s="31" t="str">
        <x:v>Not | Share | with</x:v>
      </x:c>
    </x:row>
    <x:row r="983" ht="30" customHeight="1">
      <x:c r="A983" s="30" t="str">
        <x:v>Consulting</x:v>
      </x:c>
      <x:c r="B983" s="30" t="str">
        <x:v>Separator / Other</x:v>
      </x:c>
      <x:c r="C983" s="30" t="str">
        <x:v>Metadata</x:v>
      </x:c>
      <x:c r="D983" s="31" t="str">
        <x:v>!!!</x:v>
      </x:c>
      <x:c r="E983" s="31" t="str">
        <x:v>A6</x:v>
      </x:c>
      <x:c r="F983" s="31" t="str">
        <x:v>Internal | Use | Only</x:v>
      </x:c>
    </x:row>
    <x:row r="984" ht="30" customHeight="1">
      <x:c r="A984" s="30" t="str">
        <x:v>Consulting</x:v>
      </x:c>
      <x:c r="B984" s="30" t="str">
        <x:v>Separator / Other</x:v>
      </x:c>
      <x:c r="C984" s="30" t="str">
        <x:v>Metadata</x:v>
      </x:c>
      <x:c r="D984" s="31" t="str">
        <x:v>!!!</x:v>
      </x:c>
      <x:c r="E984" s="31" t="str">
        <x:v>C6</x:v>
      </x:c>
      <x:c r="F984" s="31" t="str">
        <x:v>Share | with | Outsiders</x:v>
      </x:c>
    </x:row>
    <x:row r="985" ht="30" customHeight="1">
      <x:c r="A985" s="30" t="str">
        <x:v>Mckinsey</x:v>
      </x:c>
      <x:c r="B985" s="30" t="str">
        <x:v>Consulting</x:v>
      </x:c>
      <x:c r="C985" s="30" t="str">
        <x:v>Metadata</x:v>
      </x:c>
      <x:c r="D985" s="31" t="str">
        <x:v>2024 SA</x:v>
      </x:c>
      <x:c r="E985" s="31" t="str">
        <x:v>A1</x:v>
      </x:c>
      <x:c r="F985" s="31" t="str"/>
    </x:row>
    <x:row r="986" ht="30" customHeight="1">
      <x:c r="A986" s="30" t="str">
        <x:v>Mckinsey</x:v>
      </x:c>
      <x:c r="B986" s="30" t="str">
        <x:v>Consulting</x:v>
      </x:c>
      <x:c r="C986" s="30" t="str">
        <x:v>Metadata</x:v>
      </x:c>
      <x:c r="D986" s="31" t="str">
        <x:v>Regan</x:v>
      </x:c>
      <x:c r="E986" s="31" t="str">
        <x:v>A2</x:v>
      </x:c>
      <x:c r="F986" s="31" t="str">
        <x:v>2024 SA</x:v>
      </x:c>
    </x:row>
    <x:row r="987" ht="30" customHeight="1">
      <x:c r="A987" s="30" t="str">
        <x:v>Mckinsey</x:v>
      </x:c>
      <x:c r="B987" s="30" t="str">
        <x:v>Consulting</x:v>
      </x:c>
      <x:c r="C987" s="30" t="str">
        <x:v>Interview Note</x:v>
      </x:c>
      <x:c r="D987" s="31" t="str">
        <x:v>Mckinsey hr screening interview</x:v>
      </x:c>
      <x:c r="E987" s="31" t="str">
        <x:v>A3</x:v>
      </x:c>
      <x:c r="F987" s="31" t="str">
        <x:v>2024 SA | Regan</x:v>
      </x:c>
    </x:row>
    <x:row r="988" ht="30" customHeight="1">
      <x:c r="A988" s="30" t="str">
        <x:v>Mckinsey</x:v>
      </x:c>
      <x:c r="B988" s="30" t="str">
        <x:v>Consulting</x:v>
      </x:c>
      <x:c r="C988" s="30" t="str">
        <x:v>Interview Note</x:v>
      </x:c>
      <x:c r="D988" s="31" t="str">
        <x:v>Other than “people personality” why consulting</x:v>
      </x:c>
      <x:c r="E988" s="31" t="str">
        <x:v>A7</x:v>
      </x:c>
      <x:c r="F988" s="31" t="str">
        <x:v>Tell me about yourself | Give me an broad overview of ur cv | Why consulting not IBD</x:v>
      </x:c>
    </x:row>
    <x:row r="989" ht="46" customHeight="1">
      <x:c r="A989" s="30" t="str">
        <x:v>Mckinsey</x:v>
      </x:c>
      <x:c r="B989" s="30" t="str">
        <x:v>Consulting</x:v>
      </x:c>
      <x:c r="C989" s="30" t="str">
        <x:v>Metadata</x:v>
      </x:c>
      <x:c r="D989" s="31" t="str">
        <x:v>Any questions</x:v>
      </x:c>
      <x:c r="E989" s="31" t="str">
        <x:v>A9</x:v>
      </x:c>
      <x:c r="F989" s="31" t="str">
        <x:v>Why consulting not IBD | Other than “people personality” why consulting | Tell me about a time u worked in a team. Did u face any challenges? what was teamwork dynamic? What was number of people in the team? what backgrounds are they from?</x:v>
      </x:c>
    </x:row>
    <x:row r="990" ht="46" customHeight="1">
      <x:c r="A990" s="30" t="str">
        <x:v>Mckinsey</x:v>
      </x:c>
      <x:c r="B990" s="30" t="str">
        <x:v>Consulting</x:v>
      </x:c>
      <x:c r="C990" s="30" t="str">
        <x:v>Metadata</x:v>
      </x:c>
      <x:c r="D990" s="31" t="str">
        <x:v>2026 FT Kari</x:v>
      </x:c>
      <x:c r="E990" s="31" t="str">
        <x:v>A13</x:v>
      </x:c>
      <x:c r="F990" s="31" t="str">
        <x:v>Other than “people personality” why consulting | Tell me about a time u worked in a team. Did u face any challenges? what was teamwork dynamic? What was number of people in the team? what backgrounds are they from? | Any questions</x:v>
      </x:c>
    </x:row>
    <x:row r="991" ht="46" customHeight="1">
      <x:c r="A991" s="30" t="str">
        <x:v>Mckinsey</x:v>
      </x:c>
      <x:c r="B991" s="30" t="str">
        <x:v>Consulting</x:v>
      </x:c>
      <x:c r="C991" s="30" t="str">
        <x:v>Interview Note</x:v>
      </x:c>
      <x:c r="D991" s="31" t="str">
        <x:v>Pretalk 10.16 - Amy Weng / HR</x:v>
      </x:c>
      <x:c r="E991" s="31" t="str">
        <x:v>A14</x:v>
      </x:c>
      <x:c r="F991" s="31" t="str">
        <x:v>Tell me about a time u worked in a team. Did u face any challenges? what was teamwork dynamic? What was number of people in the team? what backgrounds are they from? | Any questions | 2026 FT Kari</x:v>
      </x:c>
    </x:row>
    <x:row r="992" ht="30" customHeight="1">
      <x:c r="A992" s="30" t="str">
        <x:v>Mckinsey</x:v>
      </x:c>
      <x:c r="B992" s="30" t="str">
        <x:v>Consulting</x:v>
      </x:c>
      <x:c r="C992" s="30" t="str">
        <x:v>Interview Note</x:v>
      </x:c>
      <x:c r="D992" s="31" t="str">
        <x:v>Introduction</x:v>
      </x:c>
      <x:c r="E992" s="31" t="str">
        <x:v>A15</x:v>
      </x:c>
      <x:c r="F992" s="31" t="str">
        <x:v>Any questions | 2026 FT Kari | Pretalk 10.16 - Amy Weng / HR</x:v>
      </x:c>
    </x:row>
    <x:row r="993" ht="30" customHeight="1">
      <x:c r="A993" s="30" t="str">
        <x:v>Mckinsey</x:v>
      </x:c>
      <x:c r="B993" s="30" t="str">
        <x:v>Consulting</x:v>
      </x:c>
      <x:c r="C993" s="30" t="str">
        <x:v>Interview Note</x:v>
      </x:c>
      <x:c r="D993" s="31" t="str">
        <x:v>PEI: Opposing opinions</x:v>
      </x:c>
      <x:c r="E993" s="31" t="str">
        <x:v>A16</x:v>
      </x:c>
      <x:c r="F993" s="31" t="str">
        <x:v>2026 FT Kari | Pretalk 10.16 - Amy Weng / HR | Introduction</x:v>
      </x:c>
    </x:row>
    <x:row r="994" ht="30" customHeight="1">
      <x:c r="A994" s="30" t="str">
        <x:v>Mckinsey</x:v>
      </x:c>
      <x:c r="B994" s="30" t="str">
        <x:v>Consulting</x:v>
      </x:c>
      <x:c r="C994" s="30" t="str">
        <x:v>Interview Note</x:v>
      </x:c>
      <x:c r="D994" s="31" t="str">
        <x:v>和Mck有哪些接触</x:v>
      </x:c>
      <x:c r="E994" s="31" t="str">
        <x:v>A18</x:v>
      </x:c>
      <x:c r="F994" s="31" t="str">
        <x:v>Introduction | PEI: Opposing opinions | MS return, summer?</x:v>
      </x:c>
    </x:row>
    <x:row r="995" ht="30" customHeight="1">
      <x:c r="A995" s="30" t="str">
        <x:v>Mckinsey</x:v>
      </x:c>
      <x:c r="B995" s="30" t="str">
        <x:v>Consulting</x:v>
      </x:c>
      <x:c r="C995" s="30" t="str">
        <x:v>Interview Note</x:v>
      </x:c>
      <x:c r="D995" s="31" t="str">
        <x:v>高考分数</x:v>
      </x:c>
      <x:c r="E995" s="31" t="str">
        <x:v>A19</x:v>
      </x:c>
      <x:c r="F995" s="31" t="str">
        <x:v>PEI: Opposing opinions | MS return, summer? | 和Mck有哪些接触</x:v>
      </x:c>
    </x:row>
    <x:row r="996" ht="30" customHeight="1">
      <x:c r="A996" s="30" t="str">
        <x:v>Mckinsey</x:v>
      </x:c>
      <x:c r="B996" s="30" t="str">
        <x:v>Consulting</x:v>
      </x:c>
      <x:c r="C996" s="30" t="str">
        <x:v>Interview Note</x:v>
      </x:c>
      <x:c r="D996" s="31" t="str">
        <x:v>Office preference</x:v>
      </x:c>
      <x:c r="E996" s="31" t="str">
        <x:v>A20</x:v>
      </x:c>
      <x:c r="F996" s="31" t="str">
        <x:v>MS return, summer? | 和Mck有哪些接触 | 高考分数</x:v>
      </x:c>
    </x:row>
    <x:row r="997" ht="30" customHeight="1">
      <x:c r="A997" s="30" t="str">
        <x:v>Mckinsey</x:v>
      </x:c>
      <x:c r="B997" s="30" t="str">
        <x:v>Consulting</x:v>
      </x:c>
      <x:c r="C997" s="30" t="str">
        <x:v>Interview Note</x:v>
      </x:c>
      <x:c r="D997" s="31" t="str">
        <x:v>目前面了哪些家</x:v>
      </x:c>
      <x:c r="E997" s="31" t="str">
        <x:v>A21</x:v>
      </x:c>
      <x:c r="F997" s="31" t="str">
        <x:v>和Mck有哪些接触 | 高考分数 | Office preference</x:v>
      </x:c>
    </x:row>
    <x:row r="998" ht="30" customHeight="1">
      <x:c r="A998" s="30" t="str">
        <x:v>Mckinsey</x:v>
      </x:c>
      <x:c r="B998" s="30" t="str">
        <x:v>Consulting</x:v>
      </x:c>
      <x:c r="C998" s="30" t="str">
        <x:v>Metadata</x:v>
      </x:c>
      <x:c r="D998" s="31" t="str">
        <x:v>Any questions</x:v>
      </x:c>
      <x:c r="E998" s="31" t="str">
        <x:v>A22</x:v>
      </x:c>
      <x:c r="F998" s="31" t="str">
        <x:v>高考分数 | Office preference | 目前面了哪些家</x:v>
      </x:c>
    </x:row>
    <x:row r="999" ht="30" customHeight="1">
      <x:c r="A999" s="30" t="str">
        <x:v>Mckinsey</x:v>
      </x:c>
      <x:c r="B999" s="30" t="str">
        <x:v>Consulting</x:v>
      </x:c>
      <x:c r="C999" s="30" t="str">
        <x:v>Metadata</x:v>
      </x:c>
      <x:c r="D999" s="31" t="str">
        <x:v>R1 10.28 - Yaqiao Wang / JEM</x:v>
      </x:c>
      <x:c r="E999" s="31" t="str">
        <x:v>A24</x:v>
      </x:c>
      <x:c r="F999" s="31" t="str">
        <x:v>Office preference | 目前面了哪些家 | Any questions</x:v>
      </x:c>
    </x:row>
    <x:row r="1000" ht="30" customHeight="1">
      <x:c r="A1000" s="30" t="str">
        <x:v>Mckinsey</x:v>
      </x:c>
      <x:c r="B1000" s="30" t="str">
        <x:v>Consulting</x:v>
      </x:c>
      <x:c r="C1000" s="30" t="str">
        <x:v>Metadata</x:v>
      </x:c>
      <x:c r="D1000" s="31" t="str">
        <x:v>R1 11.1 - Jane Haolu Zhang / EM</x:v>
      </x:c>
      <x:c r="E1000" s="31" t="str">
        <x:v>B24</x:v>
      </x:c>
      <x:c r="F1000" s="31" t="str"/>
    </x:row>
    <x:row r="1001" ht="30" customHeight="1">
      <x:c r="A1001" s="30" t="str">
        <x:v>Mckinsey</x:v>
      </x:c>
      <x:c r="B1001" s="30" t="str">
        <x:v>Consulting</x:v>
      </x:c>
      <x:c r="C1001" s="30" t="str">
        <x:v>Interview Note</x:v>
      </x:c>
      <x:c r="D1001" s="31" t="str">
        <x:v>PEI</x:v>
      </x:c>
      <x:c r="E1001" s="31" t="str">
        <x:v>A25</x:v>
      </x:c>
      <x:c r="F1001" s="31" t="str">
        <x:v>目前面了哪些家 | Any questions | R1 10.28 - Yaqiao Wang / JEM</x:v>
      </x:c>
    </x:row>
    <x:row r="1002" ht="30" customHeight="1">
      <x:c r="A1002" s="30" t="str">
        <x:v>Mckinsey</x:v>
      </x:c>
      <x:c r="B1002" s="30" t="str">
        <x:v>Consulting</x:v>
      </x:c>
      <x:c r="C1002" s="30" t="str">
        <x:v>Interview Note</x:v>
      </x:c>
      <x:c r="D1002" s="31" t="str">
        <x:v>Connection</x:v>
      </x:c>
      <x:c r="E1002" s="31" t="str">
        <x:v>A26</x:v>
      </x:c>
      <x:c r="F1002" s="31" t="str">
        <x:v>Any questions | R1 10.28 - Yaqiao Wang / JEM | PEI</x:v>
      </x:c>
    </x:row>
    <x:row r="1003" ht="30" customHeight="1">
      <x:c r="A1003" s="30" t="str">
        <x:v>Mckinsey</x:v>
      </x:c>
      <x:c r="B1003" s="30" t="str">
        <x:v>Consulting</x:v>
      </x:c>
      <x:c r="C1003" s="30" t="str">
        <x:v>Interview Note</x:v>
      </x:c>
      <x:c r="D1003" s="31" t="str">
        <x:v>PEI</x:v>
      </x:c>
      <x:c r="E1003" s="31" t="str">
        <x:v>B26</x:v>
      </x:c>
      <x:c r="F1003" s="31" t="str">
        <x:v>R1 11.1 - Jane Haolu Zhang / EM | 自我介绍</x:v>
      </x:c>
    </x:row>
    <x:row r="1004" ht="30" customHeight="1">
      <x:c r="A1004" s="30" t="str">
        <x:v>Mckinsey</x:v>
      </x:c>
      <x:c r="B1004" s="30" t="str">
        <x:v>Consulting</x:v>
      </x:c>
      <x:c r="C1004" s="30" t="str">
        <x:v>Metadata</x:v>
      </x:c>
      <x:c r="D1004" s="31" t="str">
        <x:v>Follow-up: Why challenging</x:v>
      </x:c>
      <x:c r="E1004" s="31" t="str">
        <x:v>A27</x:v>
      </x:c>
      <x:c r="F1004" s="31" t="str">
        <x:v>R1 10.28 - Yaqiao Wang / JEM | PEI | Connection</x:v>
      </x:c>
    </x:row>
    <x:row r="1005" ht="30" customHeight="1">
      <x:c r="A1005" s="30" t="str">
        <x:v>Mckinsey</x:v>
      </x:c>
      <x:c r="B1005" s="30" t="str">
        <x:v>Consulting</x:v>
      </x:c>
      <x:c r="C1005" s="30" t="str">
        <x:v>Interview Note</x:v>
      </x:c>
      <x:c r="D1005" s="31" t="str">
        <x:v>Growth</x:v>
      </x:c>
      <x:c r="E1005" s="31" t="str">
        <x:v>B27</x:v>
      </x:c>
      <x:c r="F1005" s="31" t="str">
        <x:v>R1 11.1 - Jane Haolu Zhang / EM | 自我介绍 | PEI</x:v>
      </x:c>
    </x:row>
    <x:row r="1006" ht="30" customHeight="1">
      <x:c r="A1006" s="30" t="str">
        <x:v>Mckinsey</x:v>
      </x:c>
      <x:c r="B1006" s="30" t="str">
        <x:v>Consulting</x:v>
      </x:c>
      <x:c r="C1006" s="30" t="str">
        <x:v>Metadata</x:v>
      </x:c>
      <x:c r="D1006" s="31" t="str">
        <x:v>Followup:</x:v>
      </x:c>
      <x:c r="E1006" s="31" t="str">
        <x:v>B28</x:v>
      </x:c>
      <x:c r="F1006" s="31" t="str">
        <x:v>自我介绍 | PEI | Growth</x:v>
      </x:c>
    </x:row>
    <x:row r="1007" ht="30" customHeight="1">
      <x:c r="A1007" s="30" t="str">
        <x:v>Mckinsey</x:v>
      </x:c>
      <x:c r="B1007" s="30" t="str">
        <x:v>Consulting</x:v>
      </x:c>
      <x:c r="C1007" s="30" t="str">
        <x:v>Metadata</x:v>
      </x:c>
      <x:c r="D1007" s="31" t="str">
        <x:v>反问 （中文）</x:v>
      </x:c>
      <x:c r="E1007" s="31" t="str">
        <x:v>A29</x:v>
      </x:c>
      <x:c r="F1007" s="31" t="str">
        <x:v>Connection | Follow-up: Why challenging | Case - Media, family owned company - sell / pass to next gen?</x:v>
      </x:c>
    </x:row>
    <x:row r="1008" ht="46" customHeight="1">
      <x:c r="A1008" s="30" t="str">
        <x:v>Mckinsey</x:v>
      </x:c>
      <x:c r="B1008" s="30" t="str">
        <x:v>Consulting</x:v>
      </x:c>
      <x:c r="C1008" s="30" t="str">
        <x:v>Metadata</x:v>
      </x:c>
      <x:c r="D1008" s="31" t="str">
        <x:v>反问 （中文）</x:v>
      </x:c>
      <x:c r="E1008" s="31" t="str">
        <x:v>B32</x:v>
      </x:c>
      <x:c r="F1008" s="31" t="str">
        <x:v>What formula you used | Did anyone else involved in this task? What did they do | Case - Sports wearing brand (like Lululemon) - switch products to ESG related?</x:v>
      </x:c>
    </x:row>
    <x:row r="1009" ht="30" customHeight="1">
      <x:c r="A1009" s="30" t="str">
        <x:v>Mckinsey</x:v>
      </x:c>
      <x:c r="B1009" s="30" t="str">
        <x:v>Consulting</x:v>
      </x:c>
      <x:c r="C1009" s="30" t="str">
        <x:v>Metadata</x:v>
      </x:c>
      <x:c r="D1009" s="31" t="str">
        <x:v>Final Round 11.5 - Minyu Xiao / AP (He's crazy... serious + no facial expressions + grill deeply to CV)</x:v>
      </x:c>
      <x:c r="E1009" s="31" t="str">
        <x:v>A35</x:v>
      </x:c>
      <x:c r="F1009" s="31" t="str">
        <x:v>Follow-up: Why challenging | Case - Media, family owned company - sell / pass to next gen? | 反问 （中文）</x:v>
      </x:c>
    </x:row>
    <x:row r="1010" ht="46" customHeight="1">
      <x:c r="A1010" s="30" t="str">
        <x:v>Mckinsey</x:v>
      </x:c>
      <x:c r="B1010" s="30" t="str">
        <x:v>Consulting</x:v>
      </x:c>
      <x:c r="C1010" s="30" t="str">
        <x:v>Metadata</x:v>
      </x:c>
      <x:c r="D1010" s="31" t="str">
        <x:v>Final Round 11.7 - Jia Zhou / Par</x:v>
      </x:c>
      <x:c r="E1010" s="31" t="str">
        <x:v>B35</x:v>
      </x:c>
      <x:c r="F1010" s="31" t="str">
        <x:v>Did anyone else involved in this task? What did they do | Case - Sports wearing brand (like Lululemon) - switch products to ESG related? | 反问 （中文）</x:v>
      </x:c>
    </x:row>
    <x:row r="1011" ht="30" customHeight="1">
      <x:c r="A1011" s="30" t="str">
        <x:v>Mckinsey</x:v>
      </x:c>
      <x:c r="B1011" s="30" t="str">
        <x:v>Consulting</x:v>
      </x:c>
      <x:c r="C1011" s="30" t="str">
        <x:v>Interview Note</x:v>
      </x:c>
      <x:c r="D1011" s="31" t="str">
        <x:v>在MS具体做了什么</x:v>
      </x:c>
      <x:c r="E1011" s="31" t="str">
        <x:v>A37</x:v>
      </x:c>
      <x:c r="F1011" s="31" t="str">
        <x:v>反问 （中文） | Final Round 11.5 - Minyu Xiao / AP (He's crazy... serious + no facial expressions + grill deeply to CV) | 自我介绍</x:v>
      </x:c>
    </x:row>
    <x:row r="1012" ht="30" customHeight="1">
      <x:c r="A1012" s="30" t="str">
        <x:v>Mckinsey</x:v>
      </x:c>
      <x:c r="B1012" s="30" t="str">
        <x:v>Consulting</x:v>
      </x:c>
      <x:c r="C1012" s="30" t="str">
        <x:v>Interview Note</x:v>
      </x:c>
      <x:c r="D1012" s="31" t="str">
        <x:v>在MS做了Chagee的IPO，怎么看Chagee这个公司</x:v>
      </x:c>
      <x:c r="E1012" s="31" t="str">
        <x:v>B37</x:v>
      </x:c>
      <x:c r="F1012" s="31" t="str">
        <x:v>反问 （中文） | Final Round 11.7 - Jia Zhou / Par | 自我介绍</x:v>
      </x:c>
    </x:row>
    <x:row r="1013" ht="30" customHeight="1">
      <x:c r="A1013" s="30" t="str">
        <x:v>Mckinsey</x:v>
      </x:c>
      <x:c r="B1013" s="30" t="str">
        <x:v>Consulting</x:v>
      </x:c>
      <x:c r="C1013" s="30" t="str">
        <x:v>Interview Note</x:v>
      </x:c>
      <x:c r="D1013" s="31" t="str">
        <x:v>Chagee和蜜雪二选一，你作为投资者会投哪个</x:v>
      </x:c>
      <x:c r="E1013" s="31" t="str">
        <x:v>B38</x:v>
      </x:c>
      <x:c r="F1013" s="31" t="str">
        <x:v>Final Round 11.7 - Jia Zhou / Par | 自我介绍 | 在MS做了Chagee的IPO，怎么看Chagee这个公司</x:v>
      </x:c>
    </x:row>
    <x:row r="1014" ht="30" customHeight="1">
      <x:c r="A1014" s="30" t="str">
        <x:v>Mckinsey</x:v>
      </x:c>
      <x:c r="B1014" s="30" t="str">
        <x:v>Consulting</x:v>
      </x:c>
      <x:c r="C1014" s="30" t="str">
        <x:v>Interview Note</x:v>
      </x:c>
      <x:c r="D1014" s="31" t="str">
        <x:v>认为蜜雪的competitive advantage是什么</x:v>
      </x:c>
      <x:c r="E1014" s="31" t="str">
        <x:v>B39</x:v>
      </x:c>
      <x:c r="F1014" s="31" t="str">
        <x:v>自我介绍 | 在MS做了Chagee的IPO，怎么看Chagee这个公司 | Chagee和蜜雪二选一，你作为投资者会投哪个</x:v>
      </x:c>
    </x:row>
    <x:row r="1015" ht="30" customHeight="1">
      <x:c r="A1015" s="30" t="str">
        <x:v>Mckinsey</x:v>
      </x:c>
      <x:c r="B1015" s="30" t="str">
        <x:v>Consulting</x:v>
      </x:c>
      <x:c r="C1015" s="30" t="str">
        <x:v>Interview Note</x:v>
      </x:c>
      <x:c r="D1015" s="31" t="str">
        <x:v>PEI</x:v>
      </x:c>
      <x:c r="E1015" s="31" t="str">
        <x:v>A40</x:v>
      </x:c>
      <x:c r="F1015" s="31" t="str">
        <x:v>在MS具体做了什么 | why not banking | why not coporate but consulting</x:v>
      </x:c>
    </x:row>
    <x:row r="1016" ht="30" customHeight="1">
      <x:c r="A1016" s="30" t="str">
        <x:v>Mckinsey</x:v>
      </x:c>
      <x:c r="B1016" s="30" t="str">
        <x:v>Consulting</x:v>
      </x:c>
      <x:c r="C1016" s="30" t="str">
        <x:v>Interview Note</x:v>
      </x:c>
      <x:c r="D1016" s="31" t="str">
        <x:v>Leadership</x:v>
      </x:c>
      <x:c r="E1016" s="31" t="str">
        <x:v>A41</x:v>
      </x:c>
      <x:c r="F1016" s="31" t="str">
        <x:v>why not banking | why not coporate but consulting | PEI</x:v>
      </x:c>
    </x:row>
    <x:row r="1017" ht="30" customHeight="1">
      <x:c r="A1017" s="30" t="str">
        <x:v>Mckinsey</x:v>
      </x:c>
      <x:c r="B1017" s="30" t="str">
        <x:v>Consulting</x:v>
      </x:c>
      <x:c r="C1017" s="30" t="str">
        <x:v>Interview Note</x:v>
      </x:c>
      <x:c r="D1017" s="31" t="str">
        <x:v>PEI</x:v>
      </x:c>
      <x:c r="E1017" s="31" t="str">
        <x:v>B41</x:v>
      </x:c>
      <x:c r="F1017" s="31" t="str">
        <x:v>Chagee和蜜雪二选一，你作为投资者会投哪个 | 认为蜜雪的competitive advantage是什么 | 为什么转consulting</x:v>
      </x:c>
    </x:row>
    <x:row r="1018" ht="30" customHeight="1">
      <x:c r="A1018" s="30" t="str">
        <x:v>Mckinsey</x:v>
      </x:c>
      <x:c r="B1018" s="30" t="str">
        <x:v>Consulting</x:v>
      </x:c>
      <x:c r="C1018" s="30" t="str">
        <x:v>Metadata</x:v>
      </x:c>
      <x:c r="D1018" s="31" t="str">
        <x:v>Followup:</x:v>
      </x:c>
      <x:c r="E1018" s="31" t="str">
        <x:v>A42</x:v>
      </x:c>
      <x:c r="F1018" s="31" t="str">
        <x:v>why not coporate but consulting | PEI | Leadership</x:v>
      </x:c>
    </x:row>
    <x:row r="1019" ht="30" customHeight="1">
      <x:c r="A1019" s="30" t="str">
        <x:v>Mckinsey</x:v>
      </x:c>
      <x:c r="B1019" s="30" t="str">
        <x:v>Consulting</x:v>
      </x:c>
      <x:c r="C1019" s="30" t="str">
        <x:v>Interview Note</x:v>
      </x:c>
      <x:c r="D1019" s="31" t="str">
        <x:v>Drive (明确要MS实习里经历过的事情)</x:v>
      </x:c>
      <x:c r="E1019" s="31" t="str">
        <x:v>B42</x:v>
      </x:c>
      <x:c r="F1019" s="31" t="str">
        <x:v>认为蜜雪的competitive advantage是什么 | 为什么转consulting | PEI</x:v>
      </x:c>
    </x:row>
    <x:row r="1020" ht="30" customHeight="1">
      <x:c r="A1020" s="30" t="str">
        <x:v>Mckinsey</x:v>
      </x:c>
      <x:c r="B1020" s="30" t="str">
        <x:v>Consulting</x:v>
      </x:c>
      <x:c r="C1020" s="30" t="str">
        <x:v>Interview Note</x:v>
      </x:c>
      <x:c r="D1020" s="31" t="str">
        <x:v>no follow-up, 说了一半就喊停了</x:v>
      </x:c>
      <x:c r="E1020" s="31" t="str">
        <x:v>B43</x:v>
      </x:c>
      <x:c r="F1020" s="31" t="str">
        <x:v>为什么转consulting | PEI | Drive (明确要MS实习里经历过的事情)</x:v>
      </x:c>
    </x:row>
    <x:row r="1021" ht="30" customHeight="1">
      <x:c r="A1021" s="30" t="str">
        <x:v>Mckinsey</x:v>
      </x:c>
      <x:c r="B1021" s="30" t="str">
        <x:v>Consulting</x:v>
      </x:c>
      <x:c r="C1021" s="30" t="str">
        <x:v>Interview Note</x:v>
      </x:c>
      <x:c r="D1021" s="31" t="str">
        <x:v>Case - Game / sports entertainment stores, VR / sports stimulator, 180 stores in the US</x:v>
      </x:c>
      <x:c r="E1021" s="31" t="str">
        <x:v>A45</x:v>
      </x:c>
      <x:c r="F1021" s="31" t="str">
        <x:v>Followup: | Why challenging | What's the score scale of the English exam in Yunnan provice</x:v>
      </x:c>
    </x:row>
    <x:row r="1022" ht="46" customHeight="1">
      <x:c r="A1022" s="30" t="str">
        <x:v>Mckinsey</x:v>
      </x:c>
      <x:c r="B1022" s="30" t="str">
        <x:v>Consulting</x:v>
      </x:c>
      <x:c r="C1022" s="30" t="str">
        <x:v>Interview Note</x:v>
      </x:c>
      <x:c r="D1022" s="31" t="str">
        <x:v>Q1 Causes of the variance of sports stimulator utilization over different locations</x:v>
      </x:c>
      <x:c r="E1022" s="31" t="str">
        <x:v>A46</x:v>
      </x:c>
      <x:c r="F1022" s="31" t="str">
        <x:v>Why challenging | What's the score scale of the English exam in Yunnan provice | Case - Game / sports entertainment stores, VR / sports stimulator, 180 stores in the US</x:v>
      </x:c>
    </x:row>
    <x:row r="1023" ht="62" customHeight="1">
      <x:c r="A1023" s="30" t="str">
        <x:v>Mckinsey</x:v>
      </x:c>
      <x:c r="B1023" s="30" t="str">
        <x:v>Consulting</x:v>
      </x:c>
      <x:c r="C1023" s="30" t="str">
        <x:v>Interview Note</x:v>
      </x:c>
      <x:c r="D1023" s="31" t="str">
        <x:v>(Need a very micro one, need to give the formula to calculate the % of production demand increase), then give the elements under each part of the formula</x:v>
      </x:c>
      <x:c r="E1023" s="31" t="str">
        <x:v>B46</x:v>
      </x:c>
      <x:c r="F1023" s="31" t="str">
        <x:v>no follow-up, 说了一半就喊停了 | Case - breakfast bar / snack mixes / beverage company, successfully opened online shopping trial for selected goods, should expand online and by how much? | Q1 By how much the company need to expand the productio...</x:v>
      </x:c>
    </x:row>
    <x:row r="1024" ht="46" customHeight="1">
      <x:c r="A1024" s="30" t="str">
        <x:v>Mckinsey</x:v>
      </x:c>
      <x:c r="B1024" s="30" t="str">
        <x:v>Consulting</x:v>
      </x:c>
      <x:c r="C1024" s="30" t="str">
        <x:v>Metadata</x:v>
      </x:c>
      <x:c r="D1024" s="31" t="str">
        <x:v>followup:</x:v>
      </x:c>
      <x:c r="E1024" s="31" t="str">
        <x:v>A47</x:v>
      </x:c>
      <x:c r="F1024" s="31" t="str">
        <x:v>What's the score scale of the English exam in Yunnan provice | Case - Game / sports entertainment stores, VR / sports stimulator, 180 stores in the US | Q1 Causes of the variance of sports stimulator utilization over different locations</x:v>
      </x:c>
    </x:row>
    <x:row r="1025" ht="62" customHeight="1">
      <x:c r="A1025" s="30" t="str">
        <x:v>Mckinsey</x:v>
      </x:c>
      <x:c r="B1025" s="30" t="str">
        <x:v>Consulting</x:v>
      </x:c>
      <x:c r="C1025" s="30" t="str">
        <x:v>Interview Note</x:v>
      </x:c>
      <x:c r="D1025" s="31" t="str">
        <x:v>Q2 Charts, insights to help prioritize online products, info of products' production &amp; demand, usage of mechine for each product, profit margin for each product</x:v>
      </x:c>
      <x:c r="E1025" s="31" t="str">
        <x:v>B47</x:v>
      </x:c>
      <x:c r="F1025" s="31" t="str">
        <x:v>Case - breakfast bar / snack mixes / beverage company, successfully opened online shopping trial for selected goods, should expand online and by how much? | Q1 By how much the company need to expand the production, what factors to consid...</x:v>
      </x:c>
    </x:row>
    <x:row r="1026" ht="46" customHeight="1">
      <x:c r="A1026" s="30" t="str">
        <x:v>Mckinsey</x:v>
      </x:c>
      <x:c r="B1026" s="30" t="str">
        <x:v>Consulting</x:v>
      </x:c>
      <x:c r="C1026" s="30" t="str">
        <x:v>Interview Note</x:v>
      </x:c>
      <x:c r="D1026" s="31" t="str">
        <x:v>for internal factor, if the problem is service, what data do you want to look at to analyze the difference</x:v>
      </x:c>
      <x:c r="E1026" s="31" t="str">
        <x:v>A49</x:v>
      </x:c>
      <x:c r="F1026" s="31" t="str">
        <x:v>Q1 Causes of the variance of sports stimulator utilization over different locations | followup: | which one of the external factor do you think is the most important？ why</x:v>
      </x:c>
    </x:row>
    <x:row r="1027" ht="62" customHeight="1">
      <x:c r="A1027" s="30" t="str">
        <x:v>Mckinsey</x:v>
      </x:c>
      <x:c r="B1027" s="30" t="str">
        <x:v>Consulting</x:v>
      </x:c>
      <x:c r="C1027" s="30" t="str">
        <x:v>Interview Note</x:v>
      </x:c>
      <x:c r="D1027" s="31" t="str">
        <x:v>(Need only the number, no process required)</x:v>
      </x:c>
      <x:c r="E1027" s="31" t="str">
        <x:v>B49</x:v>
      </x:c>
      <x:c r="F1027" s="31" t="str">
        <x:v>(Need a very micro one, need to give the formula to calculate the % of production demand increase), then give the elements under each part of the formula | Q2 Charts, insights to help prioritize online products, info of products' product...</x:v>
      </x:c>
    </x:row>
    <x:row r="1028" ht="46" customHeight="1">
      <x:c r="A1028" s="30" t="str">
        <x:v>Mckinsey</x:v>
      </x:c>
      <x:c r="B1028" s="30" t="str">
        <x:v>Consulting</x:v>
      </x:c>
      <x:c r="C1028" s="30" t="str">
        <x:v>Interview Note</x:v>
      </x:c>
      <x:c r="D1028" s="31" t="str">
        <x:v>Q2 Charts of consumer preferences of the device types including sports stimulator by age group, revenue by type for 3 locations, age group preference by type, revenue margin, spending power for each age group</x:v>
      </x:c>
      <x:c r="E1028" s="31" t="str">
        <x:v>A50</x:v>
      </x:c>
      <x:c r="F1028" s="31" t="str">
        <x:v>followup: | which one of the external factor do you think is the most important？ why | for internal factor, if the problem is service, what data do you want to look at to analyze the difference</x:v>
      </x:c>
    </x:row>
    <x:row r="1029" ht="62" customHeight="1">
      <x:c r="A1029" s="30" t="str">
        <x:v>Mckinsey</x:v>
      </x:c>
      <x:c r="B1029" s="30" t="str">
        <x:v>Consulting</x:v>
      </x:c>
      <x:c r="C1029" s="30" t="str">
        <x:v>Metadata</x:v>
      </x:c>
      <x:c r="D1029" s="31" t="str">
        <x:v>反问 （中文）</x:v>
      </x:c>
      <x:c r="E1029" s="31" t="str">
        <x:v>B50</x:v>
      </x:c>
      <x:c r="F1029" s="31" t="str">
        <x:v>Q2 Charts, insights to help prioritize online products, info of products' production &amp; demand, usage of mechine for each product, profit margin for each product | Q3 Given breakfact bar &amp; snack mixes share the same cutting mechine, to de...</x:v>
      </x:c>
    </x:row>
    <x:row r="1030" ht="62" customHeight="1">
      <x:c r="A1030" s="30" t="str">
        <x:v>Mckinsey</x:v>
      </x:c>
      <x:c r="B1030" s="30" t="str">
        <x:v>Consulting</x:v>
      </x:c>
      <x:c r="C1030" s="30" t="str">
        <x:v>Metadata</x:v>
      </x:c>
      <x:c r="D1030" s="31" t="str">
        <x:v>followup:</x:v>
      </x:c>
      <x:c r="E1030" s="31" t="str">
        <x:v>A51</x:v>
      </x:c>
      <x:c r="F1030" s="31" t="str">
        <x:v>which one of the external factor do you think is the most important？ why | for internal factor, if the problem is service, what data do you want to look at to analyze the difference | Q2 Charts of consumer preferences of the device types...</x:v>
      </x:c>
    </x:row>
    <x:row r="1031" ht="62" customHeight="1">
      <x:c r="A1031" s="30" t="str">
        <x:v>Mckinsey</x:v>
      </x:c>
      <x:c r="B1031" s="30" t="str">
        <x:v>Consulting</x:v>
      </x:c>
      <x:c r="C1031" s="30" t="str">
        <x:v>Interview Note</x:v>
      </x:c>
      <x:c r="D1031" s="31" t="str">
        <x:v>if you're the owner, what will you do to improve location B's performance (the worst performed one)</x:v>
      </x:c>
      <x:c r="E1031" s="31" t="str">
        <x:v>A53</x:v>
      </x:c>
      <x:c r="F1031" s="31" t="str">
        <x:v>Q2 Charts of consumer preferences of the device types including sports stimulator by age group, revenue by type for 3 locations, age group preference by type, revenue margin, spending power for each age group | followup: | over the 3 loc...</x:v>
      </x:c>
    </x:row>
    <x:row r="1032" ht="46" customHeight="1">
      <x:c r="A1032" s="30" t="str">
        <x:v>Mckinsey</x:v>
      </x:c>
      <x:c r="B1032" s="30" t="str">
        <x:v>Consulting</x:v>
      </x:c>
      <x:c r="C1032" s="30" t="str">
        <x:v>Metadata</x:v>
      </x:c>
      <x:c r="D1032" s="31" t="str">
        <x:v>反问 （中文）</x:v>
      </x:c>
      <x:c r="E1032" s="31" t="str">
        <x:v>A54</x:v>
      </x:c>
      <x:c r="F1032" s="31" t="str">
        <x:v>followup: | over the 3 locations, which do you think performs the best and why? | if you're the owner, what will you do to improve location B's performance (the worst performed one)</x:v>
      </x:c>
    </x:row>
    <x:row r="1033" ht="30" customHeight="1">
      <x:c r="A1033" s="30" t="str">
        <x:v>BCG</x:v>
      </x:c>
      <x:c r="B1033" s="30" t="str">
        <x:v>Consulting</x:v>
      </x:c>
      <x:c r="C1033" s="30" t="str">
        <x:v>Metadata</x:v>
      </x:c>
      <x:c r="D1033" s="31" t="str">
        <x:v>2025 FT Emily</x:v>
      </x:c>
      <x:c r="E1033" s="31" t="str">
        <x:v>A1</x:v>
      </x:c>
      <x:c r="F1033" s="31" t="str"/>
    </x:row>
    <x:row r="1034" ht="30" customHeight="1">
      <x:c r="A1034" s="30" t="str">
        <x:v>BCG</x:v>
      </x:c>
      <x:c r="B1034" s="30" t="str">
        <x:v>Consulting</x:v>
      </x:c>
      <x:c r="C1034" s="30" t="str">
        <x:v>Interview Note</x:v>
      </x:c>
      <x:c r="D1034" s="31" t="str">
        <x:v>24 Winson Chen</x:v>
      </x:c>
      <x:c r="E1034" s="31" t="str">
        <x:v>A2</x:v>
      </x:c>
      <x:c r="F1034" s="31" t="str">
        <x:v>2025 FT Emily</x:v>
      </x:c>
    </x:row>
    <x:row r="1035" ht="46" customHeight="1">
      <x:c r="A1035" s="30" t="str">
        <x:v>BCG</x:v>
      </x:c>
      <x:c r="B1035" s="30" t="str">
        <x:v>Consulting</x:v>
      </x:c>
      <x:c r="C1035" s="30" t="str">
        <x:v>Metadata</x:v>
      </x:c>
      <x:c r="D1035" s="31" t="str">
        <x:v>Follow-up regarding that</x:v>
      </x:c>
      <x:c r="E1035" s="31" t="str">
        <x:v>A5</x:v>
      </x:c>
      <x:c r="F1035" s="31" t="str">
        <x:v>24 Winson Chen | Self intro | Tell me a time where you added added the most value/learnt the most? 2-3 takeaways/add value points</x:v>
      </x:c>
    </x:row>
    <x:row r="1036" ht="46" customHeight="1">
      <x:c r="A1036" s="30" t="str">
        <x:v>BCG</x:v>
      </x:c>
      <x:c r="B1036" s="30" t="str">
        <x:v>Consulting</x:v>
      </x:c>
      <x:c r="C1036" s="30" t="str">
        <x:v>Metadata</x:v>
      </x:c>
      <x:c r="D1036" s="31" t="str">
        <x:v>Questions</x:v>
      </x:c>
      <x:c r="E1036" s="31" t="str">
        <x:v>A7</x:v>
      </x:c>
      <x:c r="F1036" s="31" t="str">
        <x:v>Tell me a time where you added added the most value/learnt the most? 2-3 takeaways/add value points | Follow-up regarding that | Market entry and market sizing case question of an OEM manufacturer</x:v>
      </x:c>
    </x:row>
    <x:row r="1037" ht="30" customHeight="1">
      <x:c r="A1037" s="30" t="str">
        <x:v>BCG</x:v>
      </x:c>
      <x:c r="B1037" s="30" t="str">
        <x:v>Consulting</x:v>
      </x:c>
      <x:c r="C1037" s="30" t="str">
        <x:v>Metadata</x:v>
      </x:c>
      <x:c r="D1037" s="31" t="str">
        <x:v>2026 FT Kari</x:v>
      </x:c>
      <x:c r="E1037" s="31" t="str">
        <x:v>A9</x:v>
      </x:c>
      <x:c r="F1037" s="31" t="str">
        <x:v>Follow-up regarding that | Market entry and market sizing case question of an OEM manufacturer | Questions</x:v>
      </x:c>
    </x:row>
    <x:row r="1038" ht="30" customHeight="1">
      <x:c r="A1038" s="30" t="str">
        <x:v>BCG</x:v>
      </x:c>
      <x:c r="B1038" s="30" t="str">
        <x:v>Consulting</x:v>
      </x:c>
      <x:c r="C1038" s="30" t="str">
        <x:v>Metadata</x:v>
      </x:c>
      <x:c r="D1038" s="31" t="str">
        <x:v>R1 10/31 Mengjie Sun</x:v>
      </x:c>
      <x:c r="E1038" s="31" t="str">
        <x:v>A10</x:v>
      </x:c>
      <x:c r="F1038" s="31" t="str">
        <x:v>Market entry and market sizing case question of an OEM manufacturer | Questions | 2026 FT Kari</x:v>
      </x:c>
    </x:row>
    <x:row r="1039" ht="30" customHeight="1">
      <x:c r="A1039" s="30" t="str">
        <x:v>BCG</x:v>
      </x:c>
      <x:c r="B1039" s="30" t="str">
        <x:v>Consulting</x:v>
      </x:c>
      <x:c r="C1039" s="30" t="str">
        <x:v>Interview Note</x:v>
      </x:c>
      <x:c r="D1039" s="31" t="str">
        <x:v>challenging situation + solve</x:v>
      </x:c>
      <x:c r="E1039" s="31" t="str">
        <x:v>A12</x:v>
      </x:c>
      <x:c r="F1039" s="31" t="str">
        <x:v>2026 FT Kari | R1 10/31 Mengjie Sun | self-intro</x:v>
      </x:c>
    </x:row>
    <x:row r="1040" ht="30" customHeight="1">
      <x:c r="A1040" s="30" t="str">
        <x:v>BCG</x:v>
      </x:c>
      <x:c r="B1040" s="30" t="str">
        <x:v>Consulting</x:v>
      </x:c>
      <x:c r="C1040" s="30" t="str">
        <x:v>Interview Note</x:v>
      </x:c>
      <x:c r="D1040" s="31" t="str">
        <x:v>音响企业销售额下滑</x:v>
      </x:c>
      <x:c r="E1040" s="31" t="str">
        <x:v>A13</x:v>
      </x:c>
      <x:c r="F1040" s="31" t="str">
        <x:v>R1 10/31 Mengjie Sun | self-intro | challenging situation + solve</x:v>
      </x:c>
    </x:row>
    <x:row r="1041" ht="30" customHeight="1">
      <x:c r="A1041" s="30" t="str">
        <x:v>BCG</x:v>
      </x:c>
      <x:c r="B1041" s="30" t="str">
        <x:v>Consulting</x:v>
      </x:c>
      <x:c r="C1041" s="30" t="str">
        <x:v>Metadata</x:v>
      </x:c>
      <x:c r="D1041" s="31" t="str">
        <x:v>R2 11/14 Brian Lam</x:v>
      </x:c>
      <x:c r="E1041" s="31" t="str">
        <x:v>A15</x:v>
      </x:c>
      <x:c r="F1041" s="31" t="str">
        <x:v>self-intro | challenging situation + solve | 音响企业销售额下滑</x:v>
      </x:c>
    </x:row>
    <x:row r="1042" ht="30" customHeight="1">
      <x:c r="A1042" s="30" t="str">
        <x:v>BCG</x:v>
      </x:c>
      <x:c r="B1042" s="30" t="str">
        <x:v>Consulting</x:v>
      </x:c>
      <x:c r="C1042" s="30" t="str">
        <x:v>Interview Note</x:v>
      </x:c>
      <x:c r="D1042" s="31" t="str">
        <x:v>case, 晶片生产企业收入下滑（计算payback period）</x:v>
      </x:c>
      <x:c r="E1042" s="31" t="str">
        <x:v>A18</x:v>
      </x:c>
      <x:c r="F1042" s="31" t="str">
        <x:v>R2 11/14 Brian Lam | 自我介绍 | 为什么做咨询</x:v>
      </x:c>
    </x:row>
    <x:row r="1043" ht="30" customHeight="1">
      <x:c r="A1043" s="30" t="str">
        <x:v>BCG</x:v>
      </x:c>
      <x:c r="B1043" s="30" t="str">
        <x:v>Consulting</x:v>
      </x:c>
      <x:c r="C1043" s="30" t="str">
        <x:v>Metadata</x:v>
      </x:c>
      <x:c r="D1043" s="31" t="str">
        <x:v>Final 1.7 Charlie Reid</x:v>
      </x:c>
      <x:c r="E1043" s="31" t="str">
        <x:v>A20</x:v>
      </x:c>
      <x:c r="F1043" s="31" t="str">
        <x:v>自我介绍 | 为什么做咨询 | case, 晶片生产企业收入下滑（计算payback period）</x:v>
      </x:c>
    </x:row>
    <x:row r="1044" ht="30" customHeight="1">
      <x:c r="A1044" s="30" t="str">
        <x:v>BCG</x:v>
      </x:c>
      <x:c r="B1044" s="30" t="str">
        <x:v>Consulting</x:v>
      </x:c>
      <x:c r="C1044" s="30" t="str">
        <x:v>Interview Note</x:v>
      </x:c>
      <x:c r="D1044" s="31" t="str">
        <x:v>consumer retail shop boost rev</x:v>
      </x:c>
      <x:c r="E1044" s="31" t="str">
        <x:v>A22</x:v>
      </x:c>
      <x:c r="F1044" s="31" t="str">
        <x:v>case, 晶片生产企业收入下滑（计算payback period） | Final 1.7 Charlie Reid | self-intro + why not banking</x:v>
      </x:c>
    </x:row>
    <x:row r="1045" ht="30" customHeight="1">
      <x:c r="A1045" s="30" t="str">
        <x:v>BCG</x:v>
      </x:c>
      <x:c r="B1045" s="30" t="str">
        <x:v>Consulting</x:v>
      </x:c>
      <x:c r="C1045" s="30" t="str">
        <x:v>Metadata</x:v>
      </x:c>
      <x:c r="D1045" s="31" t="str">
        <x:v>Questions</x:v>
      </x:c>
      <x:c r="E1045" s="31" t="str">
        <x:v>A23</x:v>
      </x:c>
      <x:c r="F1045" s="31" t="str">
        <x:v>Final 1.7 Charlie Reid | self-intro + why not banking | consumer retail shop boost rev</x:v>
      </x:c>
    </x:row>
    <x:row r="1046" ht="30" customHeight="1">
      <x:c r="A1046" s="30" t="str">
        <x:v>Bain &amp; Company</x:v>
      </x:c>
      <x:c r="B1046" s="30" t="str">
        <x:v>Consulting</x:v>
      </x:c>
      <x:c r="C1046" s="30" t="str">
        <x:v>Interview Note</x:v>
      </x:c>
      <x:c r="D1046" s="31" t="str">
        <x:v>PTA 2025 November</x:v>
      </x:c>
      <x:c r="E1046" s="31" t="str">
        <x:v>A1</x:v>
      </x:c>
      <x:c r="F1046" s="31" t="str"/>
    </x:row>
    <x:row r="1047" ht="30" customHeight="1">
      <x:c r="A1047" s="30" t="str">
        <x:v>Bain &amp; Company</x:v>
      </x:c>
      <x:c r="B1047" s="30" t="str">
        <x:v>Consulting</x:v>
      </x:c>
      <x:c r="C1047" s="30" t="str">
        <x:v>Metadata</x:v>
      </x:c>
      <x:c r="D1047" s="31" t="str">
        <x:v>Jim</x:v>
      </x:c>
      <x:c r="E1047" s="31" t="str">
        <x:v>A2</x:v>
      </x:c>
      <x:c r="F1047" s="31" t="str">
        <x:v>PTA 2025 November</x:v>
      </x:c>
    </x:row>
    <x:row r="1048" ht="30" customHeight="1">
      <x:c r="A1048" s="30" t="str">
        <x:v>Bain &amp; Company</x:v>
      </x:c>
      <x:c r="B1048" s="30" t="str">
        <x:v>Consulting</x:v>
      </x:c>
      <x:c r="C1048" s="30" t="str">
        <x:v>Interview Note</x:v>
      </x:c>
      <x:c r="D1048" s="31" t="str">
        <x:v>估摸模型的增长假设是怎么做的</x:v>
      </x:c>
      <x:c r="E1048" s="31" t="str">
        <x:v>A5</x:v>
      </x:c>
      <x:c r="F1048" s="31" t="str">
        <x:v>Jim | 自我介绍 | 讲一下最近一段实习经历</x:v>
      </x:c>
    </x:row>
    <x:row r="1049" ht="30" customHeight="1">
      <x:c r="A1049" s="30" t="str">
        <x:v>Bain &amp; Company</x:v>
      </x:c>
      <x:c r="B1049" s="30" t="str">
        <x:v>Consulting</x:v>
      </x:c>
      <x:c r="C1049" s="30" t="str">
        <x:v>Interview Note</x:v>
      </x:c>
      <x:c r="D1049" s="31" t="str">
        <x:v>专家访谈具体是咋做的，流程是什么，你的角色是什么，遇到了什么困难，如何解决</x:v>
      </x:c>
      <x:c r="E1049" s="31" t="str">
        <x:v>A6</x:v>
      </x:c>
      <x:c r="F1049" s="31" t="str">
        <x:v>自我介绍 | 讲一下最近一段实习经历 | 估摸模型的增长假设是怎么做的</x:v>
      </x:c>
    </x:row>
    <x:row r="1050" ht="30" customHeight="1">
      <x:c r="A1050" s="30" t="str">
        <x:v>Bain &amp; Company</x:v>
      </x:c>
      <x:c r="B1050" s="30" t="str">
        <x:v>Consulting</x:v>
      </x:c>
      <x:c r="C1050" s="30" t="str">
        <x:v>Interview Note</x:v>
      </x:c>
      <x:c r="D1050" s="31" t="str">
        <x:v>excel的具体technical skills</x:v>
      </x:c>
      <x:c r="E1050" s="31" t="str">
        <x:v>A7</x:v>
      </x:c>
      <x:c r="F1050" s="31" t="str">
        <x:v>讲一下最近一段实习经历 | 估摸模型的增长假设是怎么做的 | 专家访谈具体是咋做的，流程是什么，你的角色是什么，遇到了什么困难，如何解决</x:v>
      </x:c>
    </x:row>
    <x:row r="1051" ht="30" customHeight="1">
      <x:c r="A1051" s="30" t="str">
        <x:v>Bain &amp; Company</x:v>
      </x:c>
      <x:c r="B1051" s="30" t="str">
        <x:v>Consulting</x:v>
      </x:c>
      <x:c r="C1051" s="30" t="str">
        <x:v>Interview Note</x:v>
      </x:c>
      <x:c r="D1051" s="31" t="str">
        <x:v>除此之外，可能遇到的问题可能有，拆解case，why Bain， Why consulting</x:v>
      </x:c>
      <x:c r="E1051" s="31" t="str">
        <x:v>A9</x:v>
      </x:c>
      <x:c r="F1051" s="31" t="str">
        <x:v>估摸模型的增长假设是怎么做的 | 专家访谈具体是咋做的，流程是什么，你的角色是什么，遇到了什么困难，如何解决 | excel的具体technical skills</x:v>
      </x:c>
    </x:row>
    <x:row r="1052" ht="30" customHeight="1">
      <x:c r="A1052" s="30" t="str">
        <x:v>S&amp;T &gt;&gt;&gt;</x:v>
      </x:c>
      <x:c r="B1052" s="30" t="str">
        <x:v>Separator / Other</x:v>
      </x:c>
      <x:c r="C1052" s="30" t="str">
        <x:v>Metadata</x:v>
      </x:c>
      <x:c r="D1052" s="31" t="str">
        <x:v>Strictly</x:v>
      </x:c>
      <x:c r="E1052" s="31" t="str">
        <x:v>A1</x:v>
      </x:c>
      <x:c r="F1052" s="31" t="str"/>
    </x:row>
    <x:row r="1053" ht="30" customHeight="1">
      <x:c r="A1053" s="30" t="str">
        <x:v>S&amp;T &gt;&gt;&gt;</x:v>
      </x:c>
      <x:c r="B1053" s="30" t="str">
        <x:v>Separator / Other</x:v>
      </x:c>
      <x:c r="C1053" s="30" t="str">
        <x:v>Interview Note</x:v>
      </x:c>
      <x:c r="D1053" s="31" t="str">
        <x:v>Do</x:v>
      </x:c>
      <x:c r="E1053" s="31" t="str">
        <x:v>C1</x:v>
      </x:c>
      <x:c r="F1053" s="31" t="str"/>
    </x:row>
    <x:row r="1054" ht="30" customHeight="1">
      <x:c r="A1054" s="30" t="str">
        <x:v>S&amp;T &gt;&gt;&gt;</x:v>
      </x:c>
      <x:c r="B1054" s="30" t="str">
        <x:v>Separator / Other</x:v>
      </x:c>
      <x:c r="C1054" s="30" t="str">
        <x:v>Interview Note</x:v>
      </x:c>
      <x:c r="D1054" s="31" t="str">
        <x:v>For</x:v>
      </x:c>
      <x:c r="E1054" s="31" t="str">
        <x:v>A2</x:v>
      </x:c>
      <x:c r="F1054" s="31" t="str">
        <x:v>Strictly</x:v>
      </x:c>
    </x:row>
    <x:row r="1055" ht="30" customHeight="1">
      <x:c r="A1055" s="30" t="str">
        <x:v>S&amp;T &gt;&gt;&gt;</x:v>
      </x:c>
      <x:c r="B1055" s="30" t="str">
        <x:v>Separator / Other</x:v>
      </x:c>
      <x:c r="C1055" s="30" t="str">
        <x:v>Interview Note</x:v>
      </x:c>
      <x:c r="D1055" s="31" t="str">
        <x:v>Not</x:v>
      </x:c>
      <x:c r="E1055" s="31" t="str">
        <x:v>C2</x:v>
      </x:c>
      <x:c r="F1055" s="31" t="str">
        <x:v>Do</x:v>
      </x:c>
    </x:row>
    <x:row r="1056" ht="30" customHeight="1">
      <x:c r="A1056" s="30" t="str">
        <x:v>S&amp;T &gt;&gt;&gt;</x:v>
      </x:c>
      <x:c r="B1056" s="30" t="str">
        <x:v>Separator / Other</x:v>
      </x:c>
      <x:c r="C1056" s="30" t="str">
        <x:v>Interview Note</x:v>
      </x:c>
      <x:c r="D1056" s="31" t="str">
        <x:v>Internal</x:v>
      </x:c>
      <x:c r="E1056" s="31" t="str">
        <x:v>A3</x:v>
      </x:c>
      <x:c r="F1056" s="31" t="str">
        <x:v>Strictly | For</x:v>
      </x:c>
    </x:row>
    <x:row r="1057" ht="30" customHeight="1">
      <x:c r="A1057" s="30" t="str">
        <x:v>S&amp;T &gt;&gt;&gt;</x:v>
      </x:c>
      <x:c r="B1057" s="30" t="str">
        <x:v>Separator / Other</x:v>
      </x:c>
      <x:c r="C1057" s="30" t="str">
        <x:v>Interview Note</x:v>
      </x:c>
      <x:c r="D1057" s="31" t="str">
        <x:v>Share</x:v>
      </x:c>
      <x:c r="E1057" s="31" t="str">
        <x:v>C3</x:v>
      </x:c>
      <x:c r="F1057" s="31" t="str">
        <x:v>Do | Not</x:v>
      </x:c>
    </x:row>
    <x:row r="1058" ht="30" customHeight="1">
      <x:c r="A1058" s="30" t="str">
        <x:v>S&amp;T &gt;&gt;&gt;</x:v>
      </x:c>
      <x:c r="B1058" s="30" t="str">
        <x:v>Separator / Other</x:v>
      </x:c>
      <x:c r="C1058" s="30" t="str">
        <x:v>Interview Note</x:v>
      </x:c>
      <x:c r="D1058" s="31" t="str">
        <x:v>Use</x:v>
      </x:c>
      <x:c r="E1058" s="31" t="str">
        <x:v>A4</x:v>
      </x:c>
      <x:c r="F1058" s="31" t="str">
        <x:v>Strictly | For | Internal</x:v>
      </x:c>
    </x:row>
    <x:row r="1059" ht="30" customHeight="1">
      <x:c r="A1059" s="30" t="str">
        <x:v>S&amp;T &gt;&gt;&gt;</x:v>
      </x:c>
      <x:c r="B1059" s="30" t="str">
        <x:v>Separator / Other</x:v>
      </x:c>
      <x:c r="C1059" s="30" t="str">
        <x:v>Interview Note</x:v>
      </x:c>
      <x:c r="D1059" s="31" t="str">
        <x:v>with</x:v>
      </x:c>
      <x:c r="E1059" s="31" t="str">
        <x:v>C4</x:v>
      </x:c>
      <x:c r="F1059" s="31" t="str">
        <x:v>Do | Not | Share</x:v>
      </x:c>
    </x:row>
    <x:row r="1060" ht="30" customHeight="1">
      <x:c r="A1060" s="30" t="str">
        <x:v>S&amp;T &gt;&gt;&gt;</x:v>
      </x:c>
      <x:c r="B1060" s="30" t="str">
        <x:v>Separator / Other</x:v>
      </x:c>
      <x:c r="C1060" s="30" t="str">
        <x:v>Interview Note</x:v>
      </x:c>
      <x:c r="D1060" s="31" t="str">
        <x:v>Only</x:v>
      </x:c>
      <x:c r="E1060" s="31" t="str">
        <x:v>A5</x:v>
      </x:c>
      <x:c r="F1060" s="31" t="str">
        <x:v>For | Internal | Use</x:v>
      </x:c>
    </x:row>
    <x:row r="1061" ht="30" customHeight="1">
      <x:c r="A1061" s="30" t="str">
        <x:v>S&amp;T &gt;&gt;&gt;</x:v>
      </x:c>
      <x:c r="B1061" s="30" t="str">
        <x:v>Separator / Other</x:v>
      </x:c>
      <x:c r="C1061" s="30" t="str">
        <x:v>Metadata</x:v>
      </x:c>
      <x:c r="D1061" s="31" t="str">
        <x:v>Outsiders</x:v>
      </x:c>
      <x:c r="E1061" s="31" t="str">
        <x:v>C5</x:v>
      </x:c>
      <x:c r="F1061" s="31" t="str">
        <x:v>Not | Share | with</x:v>
      </x:c>
    </x:row>
    <x:row r="1062" ht="30" customHeight="1">
      <x:c r="A1062" s="30" t="str">
        <x:v>S&amp;T &gt;&gt;&gt;</x:v>
      </x:c>
      <x:c r="B1062" s="30" t="str">
        <x:v>Separator / Other</x:v>
      </x:c>
      <x:c r="C1062" s="30" t="str">
        <x:v>Metadata</x:v>
      </x:c>
      <x:c r="D1062" s="31" t="str">
        <x:v>!!!</x:v>
      </x:c>
      <x:c r="E1062" s="31" t="str">
        <x:v>A6</x:v>
      </x:c>
      <x:c r="F1062" s="31" t="str">
        <x:v>Internal | Use | Only</x:v>
      </x:c>
    </x:row>
    <x:row r="1063" ht="30" customHeight="1">
      <x:c r="A1063" s="30" t="str">
        <x:v>S&amp;T &gt;&gt;&gt;</x:v>
      </x:c>
      <x:c r="B1063" s="30" t="str">
        <x:v>Separator / Other</x:v>
      </x:c>
      <x:c r="C1063" s="30" t="str">
        <x:v>Metadata</x:v>
      </x:c>
      <x:c r="D1063" s="31" t="str">
        <x:v>!!!</x:v>
      </x:c>
      <x:c r="E1063" s="31" t="str">
        <x:v>C6</x:v>
      </x:c>
      <x:c r="F1063" s="31" t="str">
        <x:v>Share | with | Outsiders</x:v>
      </x:c>
    </x:row>
    <x:row r="1064" ht="30" customHeight="1">
      <x:c r="A1064" s="30" t="str">
        <x:v>MS IED</x:v>
      </x:c>
      <x:c r="B1064" s="30" t="str">
        <x:v>Sales &amp; Trading</x:v>
      </x:c>
      <x:c r="C1064" s="30" t="str">
        <x:v>Metadata</x:v>
      </x:c>
      <x:c r="D1064" s="31" t="str">
        <x:v>2025 SA/IP IED</x:v>
      </x:c>
      <x:c r="E1064" s="31" t="str">
        <x:v>A1</x:v>
      </x:c>
      <x:c r="F1064" s="31" t="str"/>
    </x:row>
    <x:row r="1065" ht="30" customHeight="1">
      <x:c r="A1065" s="30" t="str">
        <x:v>MS IED</x:v>
      </x:c>
      <x:c r="B1065" s="30" t="str">
        <x:v>Sales &amp; Trading</x:v>
      </x:c>
      <x:c r="C1065" s="30" t="str">
        <x:v>Metadata</x:v>
      </x:c>
      <x:c r="D1065" s="31" t="str">
        <x:v>Round 1 (Mike &amp; Micheal Wong)</x:v>
      </x:c>
      <x:c r="E1065" s="31" t="str">
        <x:v>A2</x:v>
      </x:c>
      <x:c r="F1065" s="31" t="str">
        <x:v>2025 SA/IP IED</x:v>
      </x:c>
    </x:row>
    <x:row r="1066" ht="30" customHeight="1">
      <x:c r="A1066" s="30" t="str">
        <x:v>MS IED</x:v>
      </x:c>
      <x:c r="B1066" s="30" t="str">
        <x:v>Sales &amp; Trading</x:v>
      </x:c>
      <x:c r="C1066" s="30" t="str">
        <x:v>Metadata</x:v>
      </x:c>
      <x:c r="D1066" s="31" t="str">
        <x:v>Round 2 (Akshat &amp; Anitej)</x:v>
      </x:c>
      <x:c r="E1066" s="31" t="str">
        <x:v>I2</x:v>
      </x:c>
      <x:c r="F1066" s="31" t="str"/>
    </x:row>
    <x:row r="1067" ht="46" customHeight="1">
      <x:c r="A1067" s="30" t="str">
        <x:v>MS IED</x:v>
      </x:c>
      <x:c r="B1067" s="30" t="str">
        <x:v>Sales &amp; Trading</x:v>
      </x:c>
      <x:c r="C1067" s="30" t="str">
        <x:v>Metadata</x:v>
      </x:c>
      <x:c r="D1067" s="31" t="str">
        <x:v>follow up questions about stock pitch (mine was on china so many china related questions)</x:v>
      </x:c>
      <x:c r="E1067" s="31" t="str">
        <x:v>A4</x:v>
      </x:c>
      <x:c r="F1067" s="31" t="str">
        <x:v>2025 SA/IP IED | Round 1 (Mike &amp; Micheal Wong) | Pitch a stock for 10 mins (45 mins prep time + reading materials inclduing general house view + MS stock picks)</x:v>
      </x:c>
    </x:row>
    <x:row r="1068" ht="30" customHeight="1">
      <x:c r="A1068" s="30" t="str">
        <x:v>MS IED</x:v>
      </x:c>
      <x:c r="B1068" s="30" t="str">
        <x:v>Sales &amp; Trading</x:v>
      </x:c>
      <x:c r="C1068" s="30" t="str">
        <x:v>Interview Note</x:v>
      </x:c>
      <x:c r="D1068" s="31" t="str">
        <x:v>some CV questions</x:v>
      </x:c>
      <x:c r="E1068" s="31" t="str">
        <x:v>I4</x:v>
      </x:c>
      <x:c r="F1068" s="31" t="str">
        <x:v>Round 2 (Akshat &amp; Anitej) | introduce yourself</x:v>
      </x:c>
    </x:row>
    <x:row r="1069" ht="30" customHeight="1">
      <x:c r="A1069" s="30" t="str">
        <x:v>MS IED</x:v>
      </x:c>
      <x:c r="B1069" s="30" t="str">
        <x:v>Sales &amp; Trading</x:v>
      </x:c>
      <x:c r="C1069" s="30" t="str">
        <x:v>Interview Note</x:v>
      </x:c>
      <x:c r="D1069" s="31" t="str">
        <x:v>as portfolio manager what would u consider to do</x:v>
      </x:c>
      <x:c r="E1069" s="31" t="str">
        <x:v>B6</x:v>
      </x:c>
      <x:c r="F1069" s="31" t="str">
        <x:v>do u forsee any geopolitical concerns</x:v>
      </x:c>
    </x:row>
    <x:row r="1070" ht="30" customHeight="1">
      <x:c r="A1070" s="30" t="str">
        <x:v>MS IED</x:v>
      </x:c>
      <x:c r="B1070" s="30" t="str">
        <x:v>Sales &amp; Trading</x:v>
      </x:c>
      <x:c r="C1070" s="30" t="str">
        <x:v>Interview Note</x:v>
      </x:c>
      <x:c r="D1070" s="31" t="str">
        <x:v>biggest strength and weakness</x:v>
      </x:c>
      <x:c r="E1070" s="31" t="str">
        <x:v>I6</x:v>
      </x:c>
      <x:c r="F1070" s="31" t="str">
        <x:v>introduce yourself | some CV questions | can u code in KGB</x:v>
      </x:c>
    </x:row>
    <x:row r="1071" ht="46" customHeight="1">
      <x:c r="A1071" s="30" t="str">
        <x:v>MS IED</x:v>
      </x:c>
      <x:c r="B1071" s="30" t="str">
        <x:v>Sales &amp; Trading</x:v>
      </x:c>
      <x:c r="C1071" s="30" t="str">
        <x:v>Metadata</x:v>
      </x:c>
      <x:c r="D1071" s="31" t="str">
        <x:v>follow up questions on essay question (would recommend to continuously follow on what u wrote cuz idk how to ans when they asked)</x:v>
      </x:c>
      <x:c r="E1071" s="31" t="str">
        <x:v>I7</x:v>
      </x:c>
      <x:c r="F1071" s="31" t="str">
        <x:v>some CV questions | can u code in KGB | biggest strength and weakness</x:v>
      </x:c>
    </x:row>
    <x:row r="1072" ht="46" customHeight="1">
      <x:c r="A1072" s="30" t="str">
        <x:v>MS IED</x:v>
      </x:c>
      <x:c r="B1072" s="30" t="str">
        <x:v>Sales &amp; Trading</x:v>
      </x:c>
      <x:c r="C1072" s="30" t="str">
        <x:v>Interview Note</x:v>
      </x:c>
      <x:c r="D1072" s="31" t="str">
        <x:v>sales or trading</x:v>
      </x:c>
      <x:c r="E1072" s="31" t="str">
        <x:v>I8</x:v>
      </x:c>
      <x:c r="F1072" s="31" t="str">
        <x:v>can u code in KGB | biggest strength and weakness | follow up questions on essay question (would recommend to continuously follow on what u wrote cuz idk how to ans when they asked)</x:v>
      </x:c>
    </x:row>
    <x:row r="1073" ht="62" customHeight="1">
      <x:c r="A1073" s="30" t="str">
        <x:v>MS IED</x:v>
      </x:c>
      <x:c r="B1073" s="30" t="str">
        <x:v>Sales &amp; Trading</x:v>
      </x:c>
      <x:c r="C1073" s="30" t="str">
        <x:v>Interview Note</x:v>
      </x:c>
      <x:c r="D1073" s="31" t="str">
        <x:v>if you could ask a senior sales person a question what would you ask</x:v>
      </x:c>
      <x:c r="E1073" s="31" t="str">
        <x:v>A10</x:v>
      </x:c>
      <x:c r="F1073" s="31" t="str">
        <x:v>Pitch a stock for 10 mins (45 mins prep time + reading materials inclduing general house view + MS stock picks) | follow up questions about stock pitch (mine was on china so many china related questions) | how to turn annualized risk int...</x:v>
      </x:c>
    </x:row>
    <x:row r="1074" ht="46" customHeight="1">
      <x:c r="A1074" s="30" t="str">
        <x:v>MS IED</x:v>
      </x:c>
      <x:c r="B1074" s="30" t="str">
        <x:v>Sales &amp; Trading</x:v>
      </x:c>
      <x:c r="C1074" s="30" t="str">
        <x:v>Interview Note</x:v>
      </x:c>
      <x:c r="D1074" s="31" t="str">
        <x:v>if u were to get an offer from other banks what would be your key consideration</x:v>
      </x:c>
      <x:c r="E1074" s="31" t="str">
        <x:v>I10</x:v>
      </x:c>
      <x:c r="F1074" s="31" t="str">
        <x:v>follow up questions on essay question (would recommend to continuously follow on what u wrote cuz idk how to ans when they asked) | sales or trading | what do you think differentiates MS from the other banks</x:v>
      </x:c>
    </x:row>
    <x:row r="1075" ht="46" customHeight="1">
      <x:c r="A1075" s="30" t="str">
        <x:v>MS IED</x:v>
      </x:c>
      <x:c r="B1075" s="30" t="str">
        <x:v>Sales &amp; Trading</x:v>
      </x:c>
      <x:c r="C1075" s="30" t="str">
        <x:v>Interview Note</x:v>
      </x:c>
      <x:c r="D1075" s="31" t="str">
        <x:v>some CV questions &amp; why good fit to be a sales</x:v>
      </x:c>
      <x:c r="E1075" s="31" t="str">
        <x:v>A11</x:v>
      </x:c>
      <x:c r="F1075" s="31" t="str">
        <x:v>follow up questions about stock pitch (mine was on china so many china related questions) | how to turn annualized risk into daily risk to measure pnl | if you could ask a senior sales person a question what would you ask</x:v>
      </x:c>
    </x:row>
    <x:row r="1076" ht="46" customHeight="1">
      <x:c r="A1076" s="30" t="str">
        <x:v>MS IED</x:v>
      </x:c>
      <x:c r="B1076" s="30" t="str">
        <x:v>Sales &amp; Trading</x:v>
      </x:c>
      <x:c r="C1076" s="30" t="str">
        <x:v>Interview Note</x:v>
      </x:c>
      <x:c r="D1076" s="31" t="str">
        <x:v>considering ur background in qfin which is more technical, why do u want to do more of the fundamental side of things</x:v>
      </x:c>
      <x:c r="E1076" s="31" t="str">
        <x:v>I11</x:v>
      </x:c>
      <x:c r="F1076" s="31" t="str">
        <x:v>sales or trading | what do you think differentiates MS from the other banks | if u were to get an offer from other banks what would be your key consideration</x:v>
      </x:c>
    </x:row>
    <x:row r="1077" ht="62" customHeight="1">
      <x:c r="A1077" s="30" t="str">
        <x:v>MS IED</x:v>
      </x:c>
      <x:c r="B1077" s="30" t="str">
        <x:v>Sales &amp; Trading</x:v>
      </x:c>
      <x:c r="C1077" s="30" t="str">
        <x:v>Interview Note</x:v>
      </x:c>
      <x:c r="D1077" s="31" t="str">
        <x:v>talking about my previous boss and asked me to talk about his life story and how he is lmao</x:v>
      </x:c>
      <x:c r="E1077" s="31" t="str">
        <x:v>I12</x:v>
      </x:c>
      <x:c r="F1077" s="31" t="str">
        <x:v>what do you think differentiates MS from the other banks | if u were to get an offer from other banks what would be your key consideration | considering ur background in qfin which is more technical, why do u want to do more of the funda...</x:v>
      </x:c>
    </x:row>
    <x:row r="1078" ht="46" customHeight="1">
      <x:c r="A1078" s="30" t="str">
        <x:v>MS IED</x:v>
      </x:c>
      <x:c r="B1078" s="30" t="str">
        <x:v>Sales &amp; Trading</x:v>
      </x:c>
      <x:c r="C1078" s="30" t="str">
        <x:v>Metadata</x:v>
      </x:c>
      <x:c r="D1078" s="31" t="str">
        <x:v>Hazel</x:v>
      </x:c>
      <x:c r="E1078" s="31" t="str">
        <x:v>A15</x:v>
      </x:c>
      <x:c r="F1078" s="31" t="str">
        <x:v>if you could ask a senior sales person a question what would you ask | some CV questions &amp; why good fit to be a sales | behavourial on what would u do if client is mad at u and boss is away from desk</x:v>
      </x:c>
    </x:row>
    <x:row r="1079" ht="46" customHeight="1">
      <x:c r="A1079" s="30" t="str">
        <x:v>MS IED</x:v>
      </x:c>
      <x:c r="B1079" s="30" t="str">
        <x:v>Sales &amp; Trading</x:v>
      </x:c>
      <x:c r="C1079" s="30" t="str">
        <x:v>Metadata</x:v>
      </x:c>
      <x:c r="D1079" s="31" t="str">
        <x:v>Round 1 (Riccardo - cross product sales)</x:v>
      </x:c>
      <x:c r="E1079" s="31" t="str">
        <x:v>A16</x:v>
      </x:c>
      <x:c r="F1079" s="31" t="str">
        <x:v>some CV questions &amp; why good fit to be a sales | behavourial on what would u do if client is mad at u and boss is away from desk | Hazel</x:v>
      </x:c>
    </x:row>
    <x:row r="1080" ht="62" customHeight="1">
      <x:c r="A1080" s="30" t="str">
        <x:v>MS IED</x:v>
      </x:c>
      <x:c r="B1080" s="30" t="str">
        <x:v>Sales &amp; Trading</x:v>
      </x:c>
      <x:c r="C1080" s="30" t="str">
        <x:v>Metadata</x:v>
      </x:c>
      <x:c r="D1080" s="31" t="str">
        <x:v>Round 2 (Joanna - securities financing)</x:v>
      </x:c>
      <x:c r="E1080" s="31" t="str">
        <x:v>I16</x:v>
      </x:c>
      <x:c r="F1080" s="31" t="str">
        <x:v>if u were to get an offer from other banks what would be your key consideration | considering ur background in qfin which is more technical, why do u want to do more of the fundamental side of things | talking about my previous boss and ...</x:v>
      </x:c>
    </x:row>
    <x:row r="1081" ht="30" customHeight="1">
      <x:c r="A1081" s="30" t="str">
        <x:v>MS IED</x:v>
      </x:c>
      <x:c r="B1081" s="30" t="str">
        <x:v>Sales &amp; Trading</x:v>
      </x:c>
      <x:c r="C1081" s="30" t="str">
        <x:v>Metadata</x:v>
      </x:c>
      <x:c r="D1081" s="31" t="str">
        <x:v>Followup 1 (Sean - cross producy sales)</x:v>
      </x:c>
      <x:c r="E1081" s="31" t="str">
        <x:v>N16</x:v>
      </x:c>
      <x:c r="F1081" s="31" t="str"/>
    </x:row>
    <x:row r="1082" ht="30" customHeight="1">
      <x:c r="A1082" s="30" t="str">
        <x:v>MS IED</x:v>
      </x:c>
      <x:c r="B1082" s="30" t="str">
        <x:v>Sales &amp; Trading</x:v>
      </x:c>
      <x:c r="C1082" s="30" t="str">
        <x:v>Metadata</x:v>
      </x:c>
      <x:c r="D1082" s="31" t="str">
        <x:v>Followup 2 (Anqi Jiang)</x:v>
      </x:c>
      <x:c r="E1082" s="31" t="str">
        <x:v>R16</x:v>
      </x:c>
      <x:c r="F1082" s="31" t="str"/>
    </x:row>
    <x:row r="1083" ht="30" customHeight="1">
      <x:c r="A1083" s="30" t="str">
        <x:v>MS IED</x:v>
      </x:c>
      <x:c r="B1083" s="30" t="str">
        <x:v>Sales &amp; Trading</x:v>
      </x:c>
      <x:c r="C1083" s="30" t="str">
        <x:v>Metadata</x:v>
      </x:c>
      <x:c r="D1083" s="31" t="str">
        <x:v>follow up on stock pitch</x:v>
      </x:c>
      <x:c r="E1083" s="31" t="str">
        <x:v>A18#1</x:v>
      </x:c>
      <x:c r="F1083" s="31" t="str">
        <x:v>Hazel | Round 1 (Riccardo - cross product sales) | Stock Pitch (45min prep + 10min pre + 5min Q&amp;A)</x:v>
      </x:c>
    </x:row>
    <x:row r="1084" ht="46" customHeight="1">
      <x:c r="A1084" s="30" t="str">
        <x:v>MS IED</x:v>
      </x:c>
      <x:c r="B1084" s="30" t="str">
        <x:v>Sales &amp; Trading</x:v>
      </x:c>
      <x:c r="C1084" s="30" t="str">
        <x:v>Interview Note</x:v>
      </x:c>
      <x:c r="D1084" s="31" t="str">
        <x:v>US election impact on the China's consumption sector</x:v>
      </x:c>
      <x:c r="E1084" s="31" t="str">
        <x:v>A18#3</x:v>
      </x:c>
      <x:c r="F1084" s="31" t="str">
        <x:v>Stock Pitch (45min prep + 10min pre + 5min Q&amp;A) | follow up on stock pitch | why pitch Ctrip but not Meituan since they're all China consumption sector</x:v>
      </x:c>
    </x:row>
    <x:row r="1085" ht="46" customHeight="1">
      <x:c r="A1085" s="30" t="str">
        <x:v>MS IED</x:v>
      </x:c>
      <x:c r="B1085" s="30" t="str">
        <x:v>Sales &amp; Trading</x:v>
      </x:c>
      <x:c r="C1085" s="30" t="str">
        <x:v>Interview Note</x:v>
      </x:c>
      <x:c r="D1085" s="31" t="str">
        <x:v>CV - student club related question</x:v>
      </x:c>
      <x:c r="E1085" s="31" t="str">
        <x:v>I18</x:v>
      </x:c>
      <x:c r="F1085" s="31" t="str">
        <x:v>talking about my previous boss and asked me to talk about his life story and how he is lmao | Round 2 (Joanna - securities financing) | self introduction</x:v>
      </x:c>
    </x:row>
    <x:row r="1086" ht="30" customHeight="1">
      <x:c r="A1086" s="30" t="str">
        <x:v>MS IED</x:v>
      </x:c>
      <x:c r="B1086" s="30" t="str">
        <x:v>Sales &amp; Trading</x:v>
      </x:c>
      <x:c r="C1086" s="30" t="str">
        <x:v>Interview Note</x:v>
      </x:c>
      <x:c r="D1086" s="31" t="str">
        <x:v>CV based questions</x:v>
      </x:c>
      <x:c r="E1086" s="31" t="str">
        <x:v>N18</x:v>
      </x:c>
      <x:c r="F1086" s="31" t="str">
        <x:v>Followup 1 (Sean - cross producy sales) | self introduction</x:v>
      </x:c>
    </x:row>
    <x:row r="1087" ht="30" customHeight="1">
      <x:c r="A1087" s="30" t="str">
        <x:v>MS IED</x:v>
      </x:c>
      <x:c r="B1087" s="30" t="str">
        <x:v>Sales &amp; Trading</x:v>
      </x:c>
      <x:c r="C1087" s="30" t="str">
        <x:v>Interview Note</x:v>
      </x:c>
      <x:c r="D1087" s="31" t="str">
        <x:v>One market headline ur following</x:v>
      </x:c>
      <x:c r="E1087" s="31" t="str">
        <x:v>N19</x:v>
      </x:c>
      <x:c r="F1087" s="31" t="str">
        <x:v>Followup 1 (Sean - cross producy sales) | self introduction | CV based questions</x:v>
      </x:c>
    </x:row>
    <x:row r="1088" ht="30" customHeight="1">
      <x:c r="A1088" s="30" t="str">
        <x:v>MS IED</x:v>
      </x:c>
      <x:c r="B1088" s="30" t="str">
        <x:v>Sales &amp; Trading</x:v>
      </x:c>
      <x:c r="C1088" s="30" t="str">
        <x:v>Interview Note</x:v>
      </x:c>
      <x:c r="D1088" s="31" t="str">
        <x:v>preference within IED (sales, trading, or structuring)</x:v>
      </x:c>
      <x:c r="E1088" s="31" t="str">
        <x:v>N21</x:v>
      </x:c>
      <x:c r="F1088" s="31" t="str">
        <x:v>CV based questions | One market headline ur following | what do you think are your adv and disadv</x:v>
      </x:c>
    </x:row>
    <x:row r="1089" ht="46" customHeight="1">
      <x:c r="A1089" s="30" t="str">
        <x:v>MS IED</x:v>
      </x:c>
      <x:c r="B1089" s="30" t="str">
        <x:v>Sales &amp; Trading</x:v>
      </x:c>
      <x:c r="C1089" s="30" t="str">
        <x:v>Metadata</x:v>
      </x:c>
      <x:c r="D1089" s="31" t="str">
        <x:v>Question for the interviewer</x:v>
      </x:c>
      <x:c r="E1089" s="31" t="str">
        <x:v>I22</x:v>
      </x:c>
      <x:c r="F1089" s="31" t="str">
        <x:v>Introduce one recent headline that you follow (in mandarin) | Stock pitch (in mandarin) | what roles within IED do u prefer</x:v>
      </x:c>
    </x:row>
    <x:row r="1090" ht="46" customHeight="1">
      <x:c r="A1090" s="30" t="str">
        <x:v>MS IED</x:v>
      </x:c>
      <x:c r="B1090" s="30" t="str">
        <x:v>Sales &amp; Trading</x:v>
      </x:c>
      <x:c r="C1090" s="30" t="str">
        <x:v>Metadata</x:v>
      </x:c>
      <x:c r="D1090" s="31" t="str">
        <x:v>2026 SA/IP IED</x:v>
      </x:c>
      <x:c r="E1090" s="31" t="str">
        <x:v>A25</x:v>
      </x:c>
      <x:c r="F1090" s="31" t="str">
        <x:v>Give me one investment idea | Asset allocation (client profile is the interviewer himself) | Technical (bond coupon and interest rate related)</x:v>
      </x:c>
    </x:row>
    <x:row r="1091" ht="46" customHeight="1">
      <x:c r="A1091" s="30" t="str">
        <x:v>MS IED</x:v>
      </x:c>
      <x:c r="B1091" s="30" t="str">
        <x:v>Sales &amp; Trading</x:v>
      </x:c>
      <x:c r="C1091" s="30" t="str">
        <x:v>Metadata</x:v>
      </x:c>
      <x:c r="D1091" s="31" t="str">
        <x:v>John</x:v>
      </x:c>
      <x:c r="E1091" s="31" t="str">
        <x:v>A26</x:v>
      </x:c>
      <x:c r="F1091" s="31" t="str">
        <x:v>Asset allocation (client profile is the interviewer himself) | Technical (bond coupon and interest rate related) | 2026 SA/IP IED</x:v>
      </x:c>
    </x:row>
    <x:row r="1092" ht="30" customHeight="1">
      <x:c r="A1092" s="30" t="str">
        <x:v>MS IED</x:v>
      </x:c>
      <x:c r="B1092" s="30" t="str">
        <x:v>Sales &amp; Trading</x:v>
      </x:c>
      <x:c r="C1092" s="30" t="str">
        <x:v>Metadata</x:v>
      </x:c>
      <x:c r="D1092" s="31" t="str">
        <x:v>Round 1 (David - ? and ? - EQ Sales)</x:v>
      </x:c>
      <x:c r="E1092" s="31" t="str">
        <x:v>A27</x:v>
      </x:c>
      <x:c r="F1092" s="31" t="str">
        <x:v>Technical (bond coupon and interest rate related) | 2026 SA/IP IED | John</x:v>
      </x:c>
    </x:row>
    <x:row r="1093" ht="30" customHeight="1">
      <x:c r="A1093" s="30" t="str">
        <x:v>MS IED</x:v>
      </x:c>
      <x:c r="B1093" s="30" t="str">
        <x:v>Sales &amp; Trading</x:v>
      </x:c>
      <x:c r="C1093" s="30" t="str">
        <x:v>Interview Note</x:v>
      </x:c>
      <x:c r="D1093" s="31" t="str">
        <x:v>Reading Material is essentially one piece of the MS's most updated ER reports - mine is about the Asia Defence Sector</x:v>
      </x:c>
      <x:c r="E1093" s="31" t="str">
        <x:v>A29</x:v>
      </x:c>
      <x:c r="F1093" s="31" t="str">
        <x:v>John | Round 1 (David - ? and ? - EQ Sales) | Stock Pitch (30min prep + 10min pre + 5min Q&amp;A)</x:v>
      </x:c>
    </x:row>
    <x:row r="1094" ht="46" customHeight="1">
      <x:c r="A1094" s="30" t="str">
        <x:v>MS IED</x:v>
      </x:c>
      <x:c r="B1094" s="30" t="str">
        <x:v>Sales &amp; Trading</x:v>
      </x:c>
      <x:c r="C1094" s="30" t="str">
        <x:v>Metadata</x:v>
      </x:c>
      <x:c r="D1094" s="31" t="str">
        <x:v>Follow-up Qs on the stock pitch</x:v>
      </x:c>
      <x:c r="E1094" s="31" t="str">
        <x:v>A30</x:v>
      </x:c>
      <x:c r="F1094" s="31" t="str">
        <x:v>Round 1 (David - ? and ? - EQ Sales) | Stock Pitch (30min prep + 10min pre + 5min Q&amp;A) | Reading Material is essentially one piece of the MS's most updated ER reports - mine is about the Asia Defence Sector</x:v>
      </x:c>
    </x:row>
    <x:row r="1095" ht="46" customHeight="1">
      <x:c r="A1095" s="30" t="str">
        <x:v>MS IED</x:v>
      </x:c>
      <x:c r="B1095" s="30" t="str">
        <x:v>Sales &amp; Trading</x:v>
      </x:c>
      <x:c r="C1095" s="30" t="str">
        <x:v>Interview Note</x:v>
      </x:c>
      <x:c r="D1095" s="31" t="str">
        <x:v>General Qs:</x:v>
      </x:c>
      <x:c r="E1095" s="31" t="str">
        <x:v>A35</x:v>
      </x:c>
      <x:c r="F1095" s="31" t="str">
        <x:v>Stock Pitch (30min prep + 10min pre + 5min Q&amp;A) | Reading Material is essentially one piece of the MS's most updated ER reports - mine is about the Asia Defence Sector | Follow-up Qs on the stock pitch</x:v>
      </x:c>
    </x:row>
    <x:row r="1096" ht="46" customHeight="1">
      <x:c r="A1096" s="30" t="str">
        <x:v>MS IED</x:v>
      </x:c>
      <x:c r="B1096" s="30" t="str">
        <x:v>Sales &amp; Trading</x:v>
      </x:c>
      <x:c r="C1096" s="30" t="str">
        <x:v>Metadata</x:v>
      </x:c>
      <x:c r="D1096" s="31" t="str">
        <x:v>Follow-up: you said you can start making the investment with the 1 mn today to generate a 6-7% annual return. How do you invest and what's your strategy?</x:v>
      </x:c>
      <x:c r="E1096" s="31" t="str">
        <x:v>A37</x:v>
      </x:c>
      <x:c r="F1096" s="31" t="str">
        <x:v>Follow-up Qs on the stock pitch | General Qs: | Give you 1 mn today, or 100k per year for the rest of your life, which one do you prefer?</x:v>
      </x:c>
    </x:row>
    <x:row r="1097" ht="62" customHeight="1">
      <x:c r="A1097" s="30" t="str">
        <x:v>MS IED</x:v>
      </x:c>
      <x:c r="B1097" s="30" t="str">
        <x:v>Sales &amp; Trading</x:v>
      </x:c>
      <x:c r="C1097" s="30" t="str">
        <x:v>Metadata</x:v>
      </x:c>
      <x:c r="D1097" s="31" t="str">
        <x:v>Round 2 (Sharon Sham - ED, Ele Trading)</x:v>
      </x:c>
      <x:c r="E1097" s="31" t="str">
        <x:v>A41</x:v>
      </x:c>
      <x:c r="F1097" s="31" t="str">
        <x:v>Follow-up: you said you can start making the investment with the 1 mn today to generate a 6-7% annual return. How do you invest and what's your strategy? | What's your passion for your future career? | What's the stock price of MS today ...</x:v>
      </x:c>
    </x:row>
    <x:row r="1098" ht="46" customHeight="1">
      <x:c r="A1098" s="30" t="str">
        <x:v>MS IED</x:v>
      </x:c>
      <x:c r="B1098" s="30" t="str">
        <x:v>Sales &amp; Trading</x:v>
      </x:c>
      <x:c r="C1098" s="30" t="str">
        <x:v>Metadata</x:v>
      </x:c>
      <x:c r="D1098" s="31" t="str">
        <x:v>Follow-up: any risk factors or possible headwinds for this company?</x:v>
      </x:c>
      <x:c r="E1098" s="31" t="str">
        <x:v>A44</x:v>
      </x:c>
      <x:c r="F1098" s="31" t="str">
        <x:v>Round 2 (Sharon Sham - ED, Ele Trading) | Walk me through you CV | Tell me about you PA account - what's the stock that you most want to buy? (essentially a stock pitch)</x:v>
      </x:c>
    </x:row>
    <x:row r="1099" ht="62" customHeight="1">
      <x:c r="A1099" s="30" t="str">
        <x:v>MS IED</x:v>
      </x:c>
      <x:c r="B1099" s="30" t="str">
        <x:v>Sales &amp; Trading</x:v>
      </x:c>
      <x:c r="C1099" s="30" t="str">
        <x:v>Interview Note</x:v>
      </x:c>
      <x:c r="D1099" s="31" t="str">
        <x:v>Asked about an intern project that I did before (on my CV)</x:v>
      </x:c>
      <x:c r="E1099" s="31" t="str">
        <x:v>A47</x:v>
      </x:c>
      <x:c r="F1099" s="31" t="str">
        <x:v>Follow-up: any risk factors or possible headwinds for this company? | Some questions related to my hobbies. How do you balance that with your study/interviews? | Give me a case when you were doing a project and got stuck with it? How did...</x:v>
      </x:c>
    </x:row>
    <x:row r="1100" ht="46" customHeight="1">
      <x:c r="A1100" s="30" t="str">
        <x:v>MS IED</x:v>
      </x:c>
      <x:c r="B1100" s="30" t="str">
        <x:v>Sales &amp; Trading</x:v>
      </x:c>
      <x:c r="C1100" s="30" t="str">
        <x:v>Interview Note</x:v>
      </x:c>
      <x:c r="D1100" s="31" t="str">
        <x:v>Qs for the interviewer</x:v>
      </x:c>
      <x:c r="E1100" s="31" t="str">
        <x:v>A50</x:v>
      </x:c>
      <x:c r="F1100" s="31" t="str">
        <x:v>Asked about an intern project that I did before (on my CV) | What do you think are the important qualities to become a successful salesperson? | What roles you are intereted in within the IED business?</x:v>
      </x:c>
    </x:row>
    <x:row r="1101" ht="30" customHeight="1">
      <x:c r="A1101" s="30" t="str">
        <x:v>Barclays GM</x:v>
      </x:c>
      <x:c r="B1101" s="30" t="str">
        <x:v>Sales &amp; Trading</x:v>
      </x:c>
      <x:c r="C1101" s="30" t="str">
        <x:v>Metadata</x:v>
      </x:c>
      <x:c r="D1101" s="31" t="str">
        <x:v>2026 Summer Analyst</x:v>
      </x:c>
      <x:c r="E1101" s="31" t="str">
        <x:v>A1</x:v>
      </x:c>
      <x:c r="F1101" s="31" t="str"/>
    </x:row>
    <x:row r="1102" ht="30" customHeight="1">
      <x:c r="A1102" s="30" t="str">
        <x:v>Barclays GM</x:v>
      </x:c>
      <x:c r="B1102" s="30" t="str">
        <x:v>Sales &amp; Trading</x:v>
      </x:c>
      <x:c r="C1102" s="30" t="str">
        <x:v>Metadata</x:v>
      </x:c>
      <x:c r="D1102" s="31" t="str">
        <x:v>First Round - Cash Equity Team</x:v>
      </x:c>
      <x:c r="E1102" s="31" t="str">
        <x:v>A2</x:v>
      </x:c>
      <x:c r="F1102" s="31" t="str">
        <x:v>2026 Summer Analyst</x:v>
      </x:c>
    </x:row>
    <x:row r="1103" ht="30" customHeight="1">
      <x:c r="A1103" s="30" t="str">
        <x:v>Barclays GM</x:v>
      </x:c>
      <x:c r="B1103" s="30" t="str">
        <x:v>Sales &amp; Trading</x:v>
      </x:c>
      <x:c r="C1103" s="30" t="str">
        <x:v>Metadata</x:v>
      </x:c>
      <x:c r="D1103" s="31" t="str">
        <x:v>John</x:v>
      </x:c>
      <x:c r="E1103" s="31" t="str">
        <x:v>A3</x:v>
      </x:c>
      <x:c r="F1103" s="31" t="str">
        <x:v>2026 Summer Analyst | First Round - Cash Equity Team</x:v>
      </x:c>
    </x:row>
    <x:row r="1104" ht="46" customHeight="1">
      <x:c r="A1104" s="30" t="str">
        <x:v>Barclays GM</x:v>
      </x:c>
      <x:c r="B1104" s="30" t="str">
        <x:v>Sales &amp; Trading</x:v>
      </x:c>
      <x:c r="C1104" s="30" t="str">
        <x:v>Metadata</x:v>
      </x:c>
      <x:c r="D1104" s="31" t="str">
        <x:v>反问</x:v>
      </x:c>
      <x:c r="E1104" s="31" t="str">
        <x:v>A13</x:v>
      </x:c>
      <x:c r="F1104" s="31" t="str">
        <x:v>How do u usually keep updated with the market? | Do you the difference between High Touch, Low Touch, and PT (Portfolio Trading)? | Previously you did lots of sales and research roles, any idea about trading roles?</x:v>
      </x:c>
    </x:row>
    <x:row r="1105" ht="30" customHeight="1">
      <x:c r="A1105" s="30" t="str">
        <x:v>BofA (GM)</x:v>
      </x:c>
      <x:c r="B1105" s="30" t="str">
        <x:v>Sales &amp; Trading</x:v>
      </x:c>
      <x:c r="C1105" s="30" t="str">
        <x:v>Metadata</x:v>
      </x:c>
      <x:c r="D1105" s="31" t="str">
        <x:v>2025 SA</x:v>
      </x:c>
      <x:c r="E1105" s="31" t="str">
        <x:v>A1</x:v>
      </x:c>
      <x:c r="F1105" s="31" t="str"/>
    </x:row>
    <x:row r="1106" ht="30" customHeight="1">
      <x:c r="A1106" s="30" t="str">
        <x:v>BofA (GM)</x:v>
      </x:c>
      <x:c r="B1106" s="30" t="str">
        <x:v>Sales &amp; Trading</x:v>
      </x:c>
      <x:c r="C1106" s="30" t="str">
        <x:v>Metadata</x:v>
      </x:c>
      <x:c r="D1106" s="31" t="str">
        <x:v>John</x:v>
      </x:c>
      <x:c r="E1106" s="31" t="str">
        <x:v>A2</x:v>
      </x:c>
      <x:c r="F1106" s="31" t="str">
        <x:v>2025 SA</x:v>
      </x:c>
    </x:row>
    <x:row r="1107" ht="30" customHeight="1">
      <x:c r="A1107" s="30" t="str">
        <x:v>BofA (GM)</x:v>
      </x:c>
      <x:c r="B1107" s="30" t="str">
        <x:v>Sales &amp; Trading</x:v>
      </x:c>
      <x:c r="C1107" s="30" t="str">
        <x:v>Metadata</x:v>
      </x:c>
      <x:c r="D1107" s="31" t="str">
        <x:v>First Round</x:v>
      </x:c>
      <x:c r="E1107" s="31" t="str">
        <x:v>A3</x:v>
      </x:c>
      <x:c r="F1107" s="31" t="str">
        <x:v>2025 SA | John</x:v>
      </x:c>
    </x:row>
    <x:row r="1108" ht="30" customHeight="1">
      <x:c r="A1108" s="30" t="str">
        <x:v>BofA (GM)</x:v>
      </x:c>
      <x:c r="B1108" s="30" t="str">
        <x:v>Sales &amp; Trading</x:v>
      </x:c>
      <x:c r="C1108" s="30" t="str">
        <x:v>Interview Note</x:v>
      </x:c>
      <x:c r="D1108" s="31" t="str">
        <x:v>24 with Equities Trading - Christelle Nachar, Director (Developed Markets Index)</x:v>
      </x:c>
      <x:c r="E1108" s="31" t="str">
        <x:v>A4</x:v>
      </x:c>
      <x:c r="F1108" s="31" t="str">
        <x:v>2025 SA | John | First Round</x:v>
      </x:c>
    </x:row>
    <x:row r="1109" ht="46" customHeight="1">
      <x:c r="A1109" s="30" t="str">
        <x:v>BofA (GM)</x:v>
      </x:c>
      <x:c r="B1109" s="30" t="str">
        <x:v>Sales &amp; Trading</x:v>
      </x:c>
      <x:c r="C1109" s="30" t="str">
        <x:v>Metadata</x:v>
      </x:c>
      <x:c r="D1109" s="31" t="str">
        <x:v>反问</x:v>
      </x:c>
      <x:c r="E1109" s="31" t="str">
        <x:v>A12</x:v>
      </x:c>
      <x:c r="F1109" s="31" t="str">
        <x:v>What do you think the sales role are doing? | Then why do you believe you can become a successful sales in BofA? | Tell me more about your self (besides the finance side), like hobbies?</x:v>
      </x:c>
    </x:row>
    <x:row r="1110" ht="46" customHeight="1">
      <x:c r="A1110" s="30" t="str">
        <x:v>BofA (GM)</x:v>
      </x:c>
      <x:c r="B1110" s="30" t="str">
        <x:v>Sales &amp; Trading</x:v>
      </x:c>
      <x:c r="C1110" s="30" t="str">
        <x:v>Interview Note</x:v>
      </x:c>
      <x:c r="D1110" s="31" t="str">
        <x:v>28 with Equities Sales - Stacy He, Associate (Prime Brokerage)</x:v>
      </x:c>
      <x:c r="E1110" s="31" t="str">
        <x:v>A15</x:v>
      </x:c>
      <x:c r="F1110" s="31" t="str">
        <x:v>Tell me more about your self (besides the finance side), like hobbies? | 反问 | What's the collaborative environment in BofA look like?</x:v>
      </x:c>
    </x:row>
    <x:row r="1111" ht="46" customHeight="1">
      <x:c r="A1111" s="30" t="str">
        <x:v>BofA (GM)</x:v>
      </x:c>
      <x:c r="B1111" s="30" t="str">
        <x:v>Sales &amp; Trading</x:v>
      </x:c>
      <x:c r="C1111" s="30" t="str">
        <x:v>Metadata</x:v>
      </x:c>
      <x:c r="D1111" s="31" t="str">
        <x:v>Follow up: Is there any multitasking examples? What do you set the priorities for different tasks?</x:v>
      </x:c>
      <x:c r="E1111" s="31" t="str">
        <x:v>A18</x:v>
      </x:c>
      <x:c r="F1111" s="31" t="str">
        <x:v>28 with Equities Sales - Stacy He, Associate (Prime Brokerage) | self intro | CV based: First related internship, what did you do and what did you learn from it?</x:v>
      </x:c>
    </x:row>
    <x:row r="1112" ht="46" customHeight="1">
      <x:c r="A1112" s="30" t="str">
        <x:v>BofA (GM)</x:v>
      </x:c>
      <x:c r="B1112" s="30" t="str">
        <x:v>Sales &amp; Trading</x:v>
      </x:c>
      <x:c r="C1112" s="30" t="str">
        <x:v>Metadata</x:v>
      </x:c>
      <x:c r="D1112" s="31" t="str">
        <x:v>Follow up: What if two sales give you tasks and need to be handled within 30 mins?</x:v>
      </x:c>
      <x:c r="E1112" s="31" t="str">
        <x:v>A19</x:v>
      </x:c>
      <x:c r="F1112" s="31" t="str">
        <x:v>self intro | CV based: First related internship, what did you do and what did you learn from it? | Follow up: Is there any multitasking examples? What do you set the priorities for different tasks?</x:v>
      </x:c>
    </x:row>
    <x:row r="1113" ht="62" customHeight="1">
      <x:c r="A1113" s="30" t="str">
        <x:v>BofA (GM)</x:v>
      </x:c>
      <x:c r="B1113" s="30" t="str">
        <x:v>Sales &amp; Trading</x:v>
      </x:c>
      <x:c r="C1113" s="30" t="str">
        <x:v>Metadata</x:v>
      </x:c>
      <x:c r="D1113" s="31" t="str">
        <x:v>反问</x:v>
      </x:c>
      <x:c r="E1113" s="31" t="str">
        <x:v>A21</x:v>
      </x:c>
      <x:c r="F1113" s="31" t="str">
        <x:v>Follow up: Is there any multitasking examples? What do you set the priorities for different tasks? | Follow up: What if two sales give you tasks and need to be handled within 30 mins? | CV based: Second related internship, what did you d...</x:v>
      </x:c>
    </x:row>
    <x:row r="1114" ht="46" customHeight="1">
      <x:c r="A1114" s="30" t="str">
        <x:v>BofA (GM)</x:v>
      </x:c>
      <x:c r="B1114" s="30" t="str">
        <x:v>Sales &amp; Trading</x:v>
      </x:c>
      <x:c r="C1114" s="30" t="str">
        <x:v>Metadata</x:v>
      </x:c>
      <x:c r="D1114" s="31" t="str">
        <x:v>Follow up: Is there any final presentation for the case competitiom?</x:v>
      </x:c>
      <x:c r="E1114" s="31" t="str">
        <x:v>A23</x:v>
      </x:c>
      <x:c r="F1114" s="31" t="str">
        <x:v>CV based: Second related internship, what did you do and what did you learn from it? | 反问 | Any example for working under stress?</x:v>
      </x:c>
    </x:row>
    <x:row r="1115" ht="30" customHeight="1">
      <x:c r="A1115" s="30" t="str">
        <x:v>BofA (GM)</x:v>
      </x:c>
      <x:c r="B1115" s="30" t="str">
        <x:v>Sales &amp; Trading</x:v>
      </x:c>
      <x:c r="C1115" s="30" t="str">
        <x:v>Metadata</x:v>
      </x:c>
      <x:c r="D1115" s="31" t="str">
        <x:v>Follow up: What are the feedbacks for the judges?</x:v>
      </x:c>
      <x:c r="E1115" s="31" t="str">
        <x:v>A24</x:v>
      </x:c>
      <x:c r="F1115" s="31" t="str">
        <x:v>反问 | Any example for working under stress? | Follow up: Is there any final presentation for the case competitiom?</x:v>
      </x:c>
    </x:row>
    <x:row r="1116" ht="46" customHeight="1">
      <x:c r="A1116" s="30" t="str">
        <x:v>BofA (GM)</x:v>
      </x:c>
      <x:c r="B1116" s="30" t="str">
        <x:v>Sales &amp; Trading</x:v>
      </x:c>
      <x:c r="C1116" s="30" t="str">
        <x:v>Metadata</x:v>
      </x:c>
      <x:c r="D1116" s="31" t="str">
        <x:v>反问</x:v>
      </x:c>
      <x:c r="E1116" s="31" t="str">
        <x:v>A25</x:v>
      </x:c>
      <x:c r="F1116" s="31" t="str">
        <x:v>Any example for working under stress? | Follow up: Is there any final presentation for the case competitiom? | Follow up: What are the feedbacks for the judges?</x:v>
      </x:c>
    </x:row>
    <x:row r="1117" ht="46" customHeight="1">
      <x:c r="A1117" s="30" t="str">
        <x:v>BofA (GM)</x:v>
      </x:c>
      <x:c r="B1117" s="30" t="str">
        <x:v>Sales &amp; Trading</x:v>
      </x:c>
      <x:c r="C1117" s="30" t="str">
        <x:v>Metadata</x:v>
      </x:c>
      <x:c r="D1117" s="31" t="str">
        <x:v>SPD</x:v>
      </x:c>
      <x:c r="E1117" s="31" t="str">
        <x:v>A28</x:v>
      </x:c>
      <x:c r="F1117" s="31" t="str">
        <x:v>Follow up: Is there any final presentation for the case competitiom? | Follow up: What are the feedbacks for the judges? | 反问</x:v>
      </x:c>
    </x:row>
    <x:row r="1118" ht="30" customHeight="1">
      <x:c r="A1118" s="30" t="str">
        <x:v>BofA (GM)</x:v>
      </x:c>
      <x:c r="B1118" s="30" t="str">
        <x:v>Sales &amp; Trading</x:v>
      </x:c>
      <x:c r="C1118" s="30" t="str">
        <x:v>Interview Note</x:v>
      </x:c>
      <x:c r="D1118" s="31" t="str">
        <x:v>27 with Gordon Lai – Director, Equities Sales</x:v>
      </x:c>
      <x:c r="E1118" s="31" t="str">
        <x:v>A29</x:v>
      </x:c>
      <x:c r="F1118" s="31" t="str">
        <x:v>Follow up: What are the feedbacks for the judges? | 反问 | SPD</x:v>
      </x:c>
    </x:row>
    <x:row r="1119" ht="30" customHeight="1">
      <x:c r="A1119" s="30" t="str">
        <x:v>BofA (GM)</x:v>
      </x:c>
      <x:c r="B1119" s="30" t="str">
        <x:v>Sales &amp; Trading</x:v>
      </x:c>
      <x:c r="C1119" s="30" t="str">
        <x:v>Metadata</x:v>
      </x:c>
      <x:c r="D1119" s="31" t="str">
        <x:v>Follow up: What are the competitors of that stock?</x:v>
      </x:c>
      <x:c r="E1119" s="31" t="str">
        <x:v>A33</x:v>
      </x:c>
      <x:c r="F1119" s="31" t="str">
        <x:v>self-intro | Do you have your own investment account? | Any trading ideas now? Any market/asset class/single stock.</x:v>
      </x:c>
    </x:row>
    <x:row r="1120" ht="62" customHeight="1">
      <x:c r="A1120" s="30" t="str">
        <x:v>BofA (GM)</x:v>
      </x:c>
      <x:c r="B1120" s="30" t="str">
        <x:v>Sales &amp; Trading</x:v>
      </x:c>
      <x:c r="C1120" s="30" t="str">
        <x:v>Metadata</x:v>
      </x:c>
      <x:c r="D1120" s="31" t="str">
        <x:v>反问</x:v>
      </x:c>
      <x:c r="E1120" s="31" t="str">
        <x:v>A39</x:v>
      </x:c>
      <x:c r="F1120" s="31" t="str">
        <x:v>How do you deal with an ethical dillemma or "grey area"? | Situational Q: if you expect a 20% in gold price rally in the future, what investment target will you choose: Gold; gold-mining companies - leading and big market player or small...</x:v>
      </x:c>
    </x:row>
    <x:row r="1121" ht="62" customHeight="1">
      <x:c r="A1121" s="30" t="str">
        <x:v>BofA (GM)</x:v>
      </x:c>
      <x:c r="B1121" s="30" t="str">
        <x:v>Sales &amp; Trading</x:v>
      </x:c>
      <x:c r="C1121" s="30" t="str">
        <x:v>Interview Note</x:v>
      </x:c>
      <x:c r="D1121" s="31" t="str">
        <x:v>27 with David Sbarro – Managing Director, FICC Trading</x:v>
      </x:c>
      <x:c r="E1121" s="31" t="str">
        <x:v>A41</x:v>
      </x:c>
      <x:c r="F1121" s="31" t="str">
        <x:v>Situational Q: if you expect a 20% in gold price rally in the future, what investment target will you choose: Gold; gold-mining companies - leading and big market player or small and just break-even one. | What kinds of skill sets do you...</x:v>
      </x:c>
    </x:row>
    <x:row r="1122" ht="46" customHeight="1">
      <x:c r="A1122" s="30" t="str">
        <x:v>BofA (GM)</x:v>
      </x:c>
      <x:c r="B1122" s="30" t="str">
        <x:v>Sales &amp; Trading</x:v>
      </x:c>
      <x:c r="C1122" s="30" t="str">
        <x:v>Metadata</x:v>
      </x:c>
      <x:c r="D1122" s="31" t="str">
        <x:v>反问</x:v>
      </x:c>
      <x:c r="E1122" s="31" t="str">
        <x:v>A52</x:v>
      </x:c>
      <x:c r="F1122" s="31" t="str">
        <x:v>How is EBITDA derived? | Is there any particularly project that you're doing and find interesting during the current internship? | Anything you particularly want to highlight on your CV?</x:v>
      </x:c>
    </x:row>
    <x:row r="1123" ht="46" customHeight="1">
      <x:c r="A1123" s="30" t="str">
        <x:v>BofA (GM)</x:v>
      </x:c>
      <x:c r="B1123" s="30" t="str">
        <x:v>Sales &amp; Trading</x:v>
      </x:c>
      <x:c r="C1123" s="30" t="str">
        <x:v>Interview Note</x:v>
      </x:c>
      <x:c r="D1123" s="31" t="str">
        <x:v>27 with Qilin Wei – Managing Director, FICC Trading</x:v>
      </x:c>
      <x:c r="E1123" s="31" t="str">
        <x:v>A54</x:v>
      </x:c>
      <x:c r="F1123" s="31" t="str">
        <x:v>Is there any particularly project that you're doing and find interesting during the current internship? | Anything you particularly want to highlight on your CV? | 反问</x:v>
      </x:c>
    </x:row>
    <x:row r="1124" ht="46" customHeight="1">
      <x:c r="A1124" s="30" t="str">
        <x:v>BofA (GM)</x:v>
      </x:c>
      <x:c r="B1124" s="30" t="str">
        <x:v>Sales &amp; Trading</x:v>
      </x:c>
      <x:c r="C1124" s="30" t="str">
        <x:v>Metadata</x:v>
      </x:c>
      <x:c r="D1124" s="31" t="str">
        <x:v>Follow up: What about in the longer term?</x:v>
      </x:c>
      <x:c r="E1124" s="31" t="str">
        <x:v>A59</x:v>
      </x:c>
      <x:c r="F1124" s="31" t="str">
        <x:v>Are you from Shanghai? | Why come to HK for University? | What's your view on the Chinese macroeconomy? (I said neutral in the short run)</x:v>
      </x:c>
    </x:row>
    <x:row r="1125" ht="46" customHeight="1">
      <x:c r="A1125" s="30" t="str">
        <x:v>BofA (GM)</x:v>
      </x:c>
      <x:c r="B1125" s="30" t="str">
        <x:v>Sales &amp; Trading</x:v>
      </x:c>
      <x:c r="C1125" s="30" t="str">
        <x:v>Metadata</x:v>
      </x:c>
      <x:c r="D1125" s="31" t="str">
        <x:v>反问</x:v>
      </x:c>
      <x:c r="E1125" s="31" t="str">
        <x:v>A61</x:v>
      </x:c>
      <x:c r="F1125" s="31" t="str">
        <x:v>What's your view on the Chinese macroeconomy? (I said neutral in the short run) | Follow up: What about in the longer term? | Seems like you are more keen on the sales side. Why?</x:v>
      </x:c>
    </x:row>
    <x:row r="1126" ht="30" customHeight="1">
      <x:c r="A1126" s="30" t="str">
        <x:v>HSBC (GM)</x:v>
      </x:c>
      <x:c r="B1126" s="30" t="str">
        <x:v>Sales &amp; Trading</x:v>
      </x:c>
      <x:c r="C1126" s="30" t="str">
        <x:v>Metadata</x:v>
      </x:c>
      <x:c r="D1126" s="31" t="str">
        <x:v>2025 SA</x:v>
      </x:c>
      <x:c r="E1126" s="31" t="str">
        <x:v>A1</x:v>
      </x:c>
      <x:c r="F1126" s="31" t="str"/>
    </x:row>
    <x:row r="1127" ht="30" customHeight="1">
      <x:c r="A1127" s="30" t="str">
        <x:v>HSBC (GM)</x:v>
      </x:c>
      <x:c r="B1127" s="30" t="str">
        <x:v>Sales &amp; Trading</x:v>
      </x:c>
      <x:c r="C1127" s="30" t="str">
        <x:v>Metadata</x:v>
      </x:c>
      <x:c r="D1127" s="31" t="str">
        <x:v>Round 1 (Erik from High Touch Sales)</x:v>
      </x:c>
      <x:c r="E1127" s="31" t="str">
        <x:v>A2</x:v>
      </x:c>
      <x:c r="F1127" s="31" t="str">
        <x:v>2025 SA</x:v>
      </x:c>
    </x:row>
    <x:row r="1128" ht="30" customHeight="1">
      <x:c r="A1128" s="30" t="str">
        <x:v>HSBC (GM)</x:v>
      </x:c>
      <x:c r="B1128" s="30" t="str">
        <x:v>Sales &amp; Trading</x:v>
      </x:c>
      <x:c r="C1128" s="30" t="str">
        <x:v>Metadata</x:v>
      </x:c>
      <x:c r="D1128" s="31" t="str">
        <x:v>Hazel - Round 1 (equity derivative trading)</x:v>
      </x:c>
      <x:c r="E1128" s="31" t="str">
        <x:v>L2</x:v>
      </x:c>
      <x:c r="F1128" s="31" t="str"/>
    </x:row>
    <x:row r="1129" ht="30" customHeight="1">
      <x:c r="A1129" s="30" t="str">
        <x:v>HSBC (GM)</x:v>
      </x:c>
      <x:c r="B1129" s="30" t="str">
        <x:v>Sales &amp; Trading</x:v>
      </x:c>
      <x:c r="C1129" s="30" t="str">
        <x:v>Interview Note</x:v>
      </x:c>
      <x:c r="D1129" s="31" t="str">
        <x:v>1.6 math calculation</x:v>
      </x:c>
      <x:c r="E1129" s="31" t="str">
        <x:v>L6</x:v>
      </x:c>
      <x:c r="F1129" s="31" t="str">
        <x:v>self introduction | why HSBC? | Consider AMPB major, why u want to do SnT?</x:v>
      </x:c>
    </x:row>
    <x:row r="1130" ht="46" customHeight="1">
      <x:c r="A1130" s="30" t="str">
        <x:v>HSBC (GM)</x:v>
      </x:c>
      <x:c r="B1130" s="30" t="str">
        <x:v>Sales &amp; Trading</x:v>
      </x:c>
      <x:c r="C1130" s="30" t="str">
        <x:v>Interview Note</x:v>
      </x:c>
      <x:c r="D1130" s="31" t="str">
        <x:v>brain teasor: if u have 2 ropes and each rope takes 1 hour to burn but wont burn equally, some places burn faster and some slower, how to measure exactly 45 mins</x:v>
      </x:c>
      <x:c r="E1130" s="31" t="str">
        <x:v>A8</x:v>
      </x:c>
      <x:c r="F1130" s="31" t="str">
        <x:v>what does gold mean as safe haven asset and what other assets are also safe haven | tell me 2 main drivers of the market recently and where do u see markets going in the future | behavourial on client asking u to do something illegal</x:v>
      </x:c>
    </x:row>
    <x:row r="1131" ht="62" customHeight="1">
      <x:c r="A1131" s="30" t="str">
        <x:v>HSBC (GM)</x:v>
      </x:c>
      <x:c r="B1131" s="30" t="str">
        <x:v>Sales &amp; Trading</x:v>
      </x:c>
      <x:c r="C1131" s="30" t="str">
        <x:v>Interview Note</x:v>
      </x:c>
      <x:c r="D1131" s="31" t="str">
        <x:v>sales or trading</x:v>
      </x:c>
      <x:c r="E1131" s="31" t="str">
        <x:v>A9</x:v>
      </x:c>
      <x:c r="F1131" s="31" t="str">
        <x:v>tell me 2 main drivers of the market recently and where do u see markets going in the future | behavourial on client asking u to do something illegal | brain teasor: if u have 2 ropes and each rope takes 1 hour to burn but wont burn equa...</x:v>
      </x:c>
    </x:row>
    <x:row r="1132" ht="46" customHeight="1">
      <x:c r="A1132" s="30" t="str">
        <x:v>HSBC (GM)</x:v>
      </x:c>
      <x:c r="B1132" s="30" t="str">
        <x:v>Sales &amp; Trading</x:v>
      </x:c>
      <x:c r="C1132" s="30" t="str">
        <x:v>Interview Note</x:v>
      </x:c>
      <x:c r="D1132" s="31" t="str">
        <x:v>a brainteaser about balls in drawers</x:v>
      </x:c>
      <x:c r="E1132" s="31" t="str">
        <x:v>L9</x:v>
      </x:c>
      <x:c r="F1132" s="31" t="str">
        <x:v>1.6 math calculation | what do you think drives the financial market in the last 6 months and what will be the drivers for the next 6 months | why is gold safe heaven asset and what are assets can be considered safe heaven</x:v>
      </x:c>
    </x:row>
    <x:row r="1133" ht="46" customHeight="1">
      <x:c r="A1133" s="30" t="str">
        <x:v>HSBC (GM)</x:v>
      </x:c>
      <x:c r="B1133" s="30" t="str">
        <x:v>Sales &amp; Trading</x:v>
      </x:c>
      <x:c r="C1133" s="30" t="str">
        <x:v>Interview Note</x:v>
      </x:c>
      <x:c r="D1133" s="31" t="str">
        <x:v>brain teasor: probability of rolling 2 dice and getting odd number on both dices</x:v>
      </x:c>
      <x:c r="E1133" s="31" t="str">
        <x:v>A10</x:v>
      </x:c>
      <x:c r="F1133" s="31" t="str">
        <x:v>behavourial on client asking u to do something illegal | brain teasor: if u have 2 ropes and each rope takes 1 hour to burn but wont burn equally, some places burn faster and some slower, how to measure exactly 45 mins | sales or trading</x:v>
      </x:c>
    </x:row>
    <x:row r="1134" ht="46" customHeight="1">
      <x:c r="A1134" s="30" t="str">
        <x:v>HSBC (GM)</x:v>
      </x:c>
      <x:c r="B1134" s="30" t="str">
        <x:v>Sales &amp; Trading</x:v>
      </x:c>
      <x:c r="C1134" s="30" t="str">
        <x:v>Interview Note</x:v>
      </x:c>
      <x:c r="D1134" s="31" t="str">
        <x:v>ethical challenge</x:v>
      </x:c>
      <x:c r="E1134" s="31" t="str">
        <x:v>L10</x:v>
      </x:c>
      <x:c r="F1134" s="31" t="str">
        <x:v>what do you think drives the financial market in the last 6 months and what will be the drivers for the next 6 months | why is gold safe heaven asset and what are assets can be considered safe heaven | a brainteaser about balls in drawers</x:v>
      </x:c>
    </x:row>
    <x:row r="1135" ht="62" customHeight="1">
      <x:c r="A1135" s="30" t="str">
        <x:v>HSBC (GM)</x:v>
      </x:c>
      <x:c r="B1135" s="30" t="str">
        <x:v>Sales &amp; Trading</x:v>
      </x:c>
      <x:c r="C1135" s="30" t="str">
        <x:v>Metadata</x:v>
      </x:c>
      <x:c r="D1135" s="31" t="str">
        <x:v>any questions for me? (very very nice guy)</x:v>
      </x:c>
      <x:c r="E1135" s="31" t="str">
        <x:v>A11</x:v>
      </x:c>
      <x:c r="F1135" s="31" t="str">
        <x:v>brain teasor: if u have 2 ropes and each rope takes 1 hour to burn but wont burn equally, some places burn faster and some slower, how to measure exactly 45 mins | sales or trading | brain teasor: probability of rolling 2 dice and gettin...</x:v>
      </x:c>
    </x:row>
    <x:row r="1136" ht="46" customHeight="1">
      <x:c r="A1136" s="30" t="str">
        <x:v>HSBC (GM)</x:v>
      </x:c>
      <x:c r="B1136" s="30" t="str">
        <x:v>Sales &amp; Trading</x:v>
      </x:c>
      <x:c r="C1136" s="30" t="str">
        <x:v>Metadata</x:v>
      </x:c>
      <x:c r="D1136" s="31" t="str">
        <x:v>question for the interviewer</x:v>
      </x:c>
      <x:c r="E1136" s="31" t="str">
        <x:v>L11</x:v>
      </x:c>
      <x:c r="F1136" s="31" t="str">
        <x:v>why is gold safe heaven asset and what are assets can be considered safe heaven | a brainteaser about balls in drawers | ethical challenge</x:v>
      </x:c>
    </x:row>
    <x:row r="1137" ht="46" customHeight="1">
      <x:c r="A1137" s="30" t="str">
        <x:v>HSBC (GM)</x:v>
      </x:c>
      <x:c r="B1137" s="30" t="str">
        <x:v>Sales &amp; Trading</x:v>
      </x:c>
      <x:c r="C1137" s="30" t="str">
        <x:v>Metadata</x:v>
      </x:c>
      <x:c r="D1137" s="31" t="str">
        <x:v>Round 2 (Bohu from Private Credit Trading)</x:v>
      </x:c>
      <x:c r="E1137" s="31" t="str">
        <x:v>A13</x:v>
      </x:c>
      <x:c r="F1137" s="31" t="str">
        <x:v>sales or trading | brain teasor: probability of rolling 2 dice and getting odd number on both dices | any questions for me? (very very nice guy)</x:v>
      </x:c>
    </x:row>
    <x:row r="1138" ht="30" customHeight="1">
      <x:c r="A1138" s="30" t="str">
        <x:v>HSBC (GM)</x:v>
      </x:c>
      <x:c r="B1138" s="30" t="str">
        <x:v>Sales &amp; Trading</x:v>
      </x:c>
      <x:c r="C1138" s="30" t="str">
        <x:v>Metadata</x:v>
      </x:c>
      <x:c r="D1138" s="31" t="str">
        <x:v>Round 2 (fx and rates trading)</x:v>
      </x:c>
      <x:c r="E1138" s="31" t="str">
        <x:v>L13</x:v>
      </x:c>
      <x:c r="F1138" s="31" t="str">
        <x:v>a brainteaser about balls in drawers | ethical challenge | question for the interviewer</x:v>
      </x:c>
    </x:row>
    <x:row r="1139" ht="46" customHeight="1">
      <x:c r="A1139" s="30" t="str">
        <x:v>HSBC (GM)</x:v>
      </x:c>
      <x:c r="B1139" s="30" t="str">
        <x:v>Sales &amp; Trading</x:v>
      </x:c>
      <x:c r="C1139" s="30" t="str">
        <x:v>Interview Note</x:v>
      </x:c>
      <x:c r="D1139" s="31" t="str">
        <x:v>shes scary af hahaha</x:v>
      </x:c>
      <x:c r="E1139" s="31" t="str">
        <x:v>A14</x:v>
      </x:c>
      <x:c r="F1139" s="31" t="str">
        <x:v>brain teasor: probability of rolling 2 dice and getting odd number on both dices | any questions for me? (very very nice guy) | Round 2 (Bohu from Private Credit Trading)</x:v>
      </x:c>
    </x:row>
    <x:row r="1140" ht="30" customHeight="1">
      <x:c r="A1140" s="30" t="str">
        <x:v>HSBC (GM)</x:v>
      </x:c>
      <x:c r="B1140" s="30" t="str">
        <x:v>Sales &amp; Trading</x:v>
      </x:c>
      <x:c r="C1140" s="30" t="str">
        <x:v>Interview Note</x:v>
      </x:c>
      <x:c r="D1140" s="31" t="str">
        <x:v>some questions for warm up (wont be assessed)</x:v>
      </x:c>
      <x:c r="E1140" s="31" t="str">
        <x:v>A15</x:v>
      </x:c>
      <x:c r="F1140" s="31" t="str">
        <x:v>any questions for me? (very very nice guy) | Round 2 (Bohu from Private Credit Trading) | shes scary af hahaha</x:v>
      </x:c>
    </x:row>
    <x:row r="1141" ht="30" customHeight="1">
      <x:c r="A1141" s="30" t="str">
        <x:v>HSBC (GM)</x:v>
      </x:c>
      <x:c r="B1141" s="30" t="str">
        <x:v>Sales &amp; Trading</x:v>
      </x:c>
      <x:c r="C1141" s="30" t="str">
        <x:v>Interview Note</x:v>
      </x:c>
      <x:c r="D1141" s="31" t="str">
        <x:v>interests &amp; student clubs in CV</x:v>
      </x:c>
      <x:c r="E1141" s="31" t="str">
        <x:v>L15</x:v>
      </x:c>
      <x:c r="F1141" s="31" t="str">
        <x:v>question for the interviewer | Round 2 (fx and rates trading) | self introduction</x:v>
      </x:c>
    </x:row>
    <x:row r="1142" ht="30" customHeight="1">
      <x:c r="A1142" s="30" t="str">
        <x:v>HSBC (GM)</x:v>
      </x:c>
      <x:c r="B1142" s="30" t="str">
        <x:v>Sales &amp; Trading</x:v>
      </x:c>
      <x:c r="C1142" s="30" t="str">
        <x:v>Interview Note</x:v>
      </x:c>
      <x:c r="D1142" s="31" t="str">
        <x:v>if ECB were to tighten monetary policy now what is the effect on FX rates and equities</x:v>
      </x:c>
      <x:c r="E1142" s="31" t="str">
        <x:v>A16</x:v>
      </x:c>
      <x:c r="F1142" s="31" t="str">
        <x:v>Round 2 (Bohu from Private Credit Trading) | shes scary af hahaha | some questions for warm up (wont be assessed)</x:v>
      </x:c>
    </x:row>
    <x:row r="1143" ht="46" customHeight="1">
      <x:c r="A1143" s="30" t="str">
        <x:v>HSBC (GM)</x:v>
      </x:c>
      <x:c r="B1143" s="30" t="str">
        <x:v>Sales &amp; Trading</x:v>
      </x:c>
      <x:c r="C1143" s="30" t="str">
        <x:v>Interview Note</x:v>
      </x:c>
      <x:c r="D1143" s="31" t="str">
        <x:v>i said tighten rates then FX increase</x:v>
      </x:c>
      <x:c r="E1143" s="31" t="str">
        <x:v>A17</x:v>
      </x:c>
      <x:c r="F1143" s="31" t="str">
        <x:v>shes scary af hahaha | some questions for warm up (wont be assessed) | if ECB were to tighten monetary policy now what is the effect on FX rates and equities</x:v>
      </x:c>
    </x:row>
    <x:row r="1144" ht="30" customHeight="1">
      <x:c r="A1144" s="30" t="str">
        <x:v>HSBC (GM)</x:v>
      </x:c>
      <x:c r="B1144" s="30" t="str">
        <x:v>Sales &amp; Trading</x:v>
      </x:c>
      <x:c r="C1144" s="30" t="str">
        <x:v>Metadata</x:v>
      </x:c>
      <x:c r="D1144" s="31" t="str">
        <x:v>follow up: but turkey has high interest rates but why is their FX doing so bad</x:v>
      </x:c>
      <x:c r="E1144" s="31" t="str">
        <x:v>B18</x:v>
      </x:c>
      <x:c r="F1144" s="31" t="str"/>
    </x:row>
    <x:row r="1145" ht="46" customHeight="1">
      <x:c r="A1145" s="30" t="str">
        <x:v>HSBC (GM)</x:v>
      </x:c>
      <x:c r="B1145" s="30" t="str">
        <x:v>Sales &amp; Trading</x:v>
      </x:c>
      <x:c r="C1145" s="30" t="str">
        <x:v>Interview Note</x:v>
      </x:c>
      <x:c r="D1145" s="31" t="str">
        <x:v>brainteaser about revenue up and down</x:v>
      </x:c>
      <x:c r="E1145" s="31" t="str">
        <x:v>L20</x:v>
      </x:c>
      <x:c r="F1145" s="31" t="str">
        <x:v>how do you think your major has benefited you | do you know why credit suisse failed | who is the new CEO of HSBC and what risks do you recommend this person to look at</x:v>
      </x:c>
    </x:row>
    <x:row r="1146" ht="46" customHeight="1">
      <x:c r="A1146" s="30" t="str">
        <x:v>HSBC (GM)</x:v>
      </x:c>
      <x:c r="B1146" s="30" t="str">
        <x:v>Sales &amp; Trading</x:v>
      </x:c>
      <x:c r="C1146" s="30" t="str">
        <x:v>Interview Note</x:v>
      </x:c>
      <x:c r="D1146" s="31" t="str">
        <x:v>another brainteaser (forget the question but need to know GBPUSD rate)</x:v>
      </x:c>
      <x:c r="E1146" s="31" t="str">
        <x:v>L21</x:v>
      </x:c>
      <x:c r="F1146" s="31" t="str">
        <x:v>do you know why credit suisse failed | who is the new CEO of HSBC and what risks do you recommend this person to look at | brainteaser about revenue up and down</x:v>
      </x:c>
    </x:row>
    <x:row r="1147" ht="46" customHeight="1">
      <x:c r="A1147" s="30" t="str">
        <x:v>HSBC (GM)</x:v>
      </x:c>
      <x:c r="B1147" s="30" t="str">
        <x:v>Sales &amp; Trading</x:v>
      </x:c>
      <x:c r="C1147" s="30" t="str">
        <x:v>Interview Note</x:v>
      </x:c>
      <x:c r="D1147" s="31" t="str">
        <x:v>Something u do that makes you consider the long-term impact</x:v>
      </x:c>
      <x:c r="E1147" s="31" t="str">
        <x:v>L22</x:v>
      </x:c>
      <x:c r="F1147" s="31" t="str">
        <x:v>who is the new CEO of HSBC and what risks do you recommend this person to look at | brainteaser about revenue up and down | another brainteaser (forget the question but need to know GBPUSD rate)</x:v>
      </x:c>
    </x:row>
    <x:row r="1148" ht="46" customHeight="1">
      <x:c r="A1148" s="30" t="str">
        <x:v>HSBC (GM)</x:v>
      </x:c>
      <x:c r="B1148" s="30" t="str">
        <x:v>Sales &amp; Trading</x:v>
      </x:c>
      <x:c r="C1148" s="30" t="str">
        <x:v>Metadata</x:v>
      </x:c>
      <x:c r="D1148" s="31" t="str">
        <x:v>Round3 (corporate sales)</x:v>
      </x:c>
      <x:c r="E1148" s="31" t="str">
        <x:v>L24</x:v>
      </x:c>
      <x:c r="F1148" s="31" t="str">
        <x:v>brainteaser about revenue up and down | another brainteaser (forget the question but need to know GBPUSD rate) | Something u do that makes you consider the long-term impact</x:v>
      </x:c>
    </x:row>
    <x:row r="1149" ht="62" customHeight="1">
      <x:c r="A1149" s="30" t="str">
        <x:v>HSBC (GM)</x:v>
      </x:c>
      <x:c r="B1149" s="30" t="str">
        <x:v>Sales &amp; Trading</x:v>
      </x:c>
      <x:c r="C1149" s="30" t="str">
        <x:v>Metadata</x:v>
      </x:c>
      <x:c r="D1149" s="31" t="str">
        <x:v>any questions for me?</x:v>
      </x:c>
      <x:c r="E1149" s="31" t="str">
        <x:v>A25</x:v>
      </x:c>
      <x:c r="F1149" s="31" t="str">
        <x:v>brain teaser: roll a dice and payoff is whatever u roll, u have the option of rolling again if u dont like your payoff, how much would u pay me so u wont loose or earn | brain teaser: 5/8 100 sterling or 75% 100 dollars (forgot the actua...</x:v>
      </x:c>
    </x:row>
    <x:row r="1150" ht="30" customHeight="1">
      <x:c r="A1150" s="30" t="str">
        <x:v>HSBC (GM)</x:v>
      </x:c>
      <x:c r="B1150" s="30" t="str">
        <x:v>Sales &amp; Trading</x:v>
      </x:c>
      <x:c r="C1150" s="30" t="str">
        <x:v>Interview Note</x:v>
      </x:c>
      <x:c r="D1150" s="31" t="str">
        <x:v>sales or trading</x:v>
      </x:c>
      <x:c r="E1150" s="31" t="str">
        <x:v>L26</x:v>
      </x:c>
      <x:c r="F1150" s="31" t="str">
        <x:v>Something u do that makes you consider the long-term impact | Round3 (corporate sales) | self intro</x:v>
      </x:c>
    </x:row>
    <x:row r="1151" ht="46" customHeight="1">
      <x:c r="A1151" s="30" t="str">
        <x:v>HSBC (GM)</x:v>
      </x:c>
      <x:c r="B1151" s="30" t="str">
        <x:v>Sales &amp; Trading</x:v>
      </x:c>
      <x:c r="C1151" s="30" t="str">
        <x:v>Metadata</x:v>
      </x:c>
      <x:c r="D1151" s="31" t="str">
        <x:v>Round 3 (Billy from Inst Sales)</x:v>
      </x:c>
      <x:c r="E1151" s="31" t="str">
        <x:v>A27</x:v>
      </x:c>
      <x:c r="F1151" s="31" t="str">
        <x:v>brain teaser: 5/8 100 sterling or 75% 100 dollars (forgot the actual number but key is to convert) | behavourial: is fairness importnt to you in a team setting and what would u do to ensure fairness if it is impt for u | any questions fo...</x:v>
      </x:c>
    </x:row>
    <x:row r="1152" ht="30" customHeight="1">
      <x:c r="A1152" s="30" t="str">
        <x:v>HSBC (GM)</x:v>
      </x:c>
      <x:c r="B1152" s="30" t="str">
        <x:v>Sales &amp; Trading</x:v>
      </x:c>
      <x:c r="C1152" s="30" t="str">
        <x:v>Interview Note</x:v>
      </x:c>
      <x:c r="D1152" s="31" t="str">
        <x:v>CV question</x:v>
      </x:c>
      <x:c r="E1152" s="31" t="str">
        <x:v>L27</x:v>
      </x:c>
      <x:c r="F1152" s="31" t="str">
        <x:v>Round3 (corporate sales) | self intro | sales or trading</x:v>
      </x:c>
    </x:row>
    <x:row r="1153" ht="30" customHeight="1">
      <x:c r="A1153" s="30" t="str">
        <x:v>HSBC (GM)</x:v>
      </x:c>
      <x:c r="B1153" s="30" t="str">
        <x:v>Sales &amp; Trading</x:v>
      </x:c>
      <x:c r="C1153" s="30" t="str">
        <x:v>Interview Note</x:v>
      </x:c>
      <x:c r="D1153" s="31" t="str">
        <x:v>asked abit about hobby and why i liked film pohtograhy</x:v>
      </x:c>
      <x:c r="E1153" s="31" t="str">
        <x:v>A29</x:v>
      </x:c>
      <x:c r="F1153" s="31" t="str">
        <x:v>any questions for me? | Round 3 (Billy from Inst Sales) | introduce urself</x:v>
      </x:c>
    </x:row>
    <x:row r="1154" ht="30" customHeight="1">
      <x:c r="A1154" s="30" t="str">
        <x:v>HSBC (GM)</x:v>
      </x:c>
      <x:c r="B1154" s="30" t="str">
        <x:v>Sales &amp; Trading</x:v>
      </x:c>
      <x:c r="C1154" s="30" t="str">
        <x:v>Interview Note</x:v>
      </x:c>
      <x:c r="D1154" s="31" t="str">
        <x:v>brainteaser (lily pound)</x:v>
      </x:c>
      <x:c r="E1154" s="31" t="str">
        <x:v>L30</x:v>
      </x:c>
      <x:c r="F1154" s="31" t="str">
        <x:v>CV question | how interest rate affects the global markets and different assets | 1mil asset allocation</x:v>
      </x:c>
    </x:row>
    <x:row r="1155" ht="30" customHeight="1">
      <x:c r="A1155" s="30" t="str">
        <x:v>HSBC (GM)</x:v>
      </x:c>
      <x:c r="B1155" s="30" t="str">
        <x:v>Sales &amp; Trading</x:v>
      </x:c>
      <x:c r="C1155" s="30" t="str">
        <x:v>Interview Note</x:v>
      </x:c>
      <x:c r="D1155" s="31" t="str">
        <x:v>biggest challenge</x:v>
      </x:c>
      <x:c r="E1155" s="31" t="str">
        <x:v>L32</x:v>
      </x:c>
      <x:c r="F1155" s="31" t="str">
        <x:v>1mil asset allocation | brainteaser (lily pound) | what do you want to take away from this internship experience</x:v>
      </x:c>
    </x:row>
    <x:row r="1156" ht="30" customHeight="1">
      <x:c r="A1156" s="30" t="str">
        <x:v>HSBC (GM)</x:v>
      </x:c>
      <x:c r="B1156" s="30" t="str">
        <x:v>Sales &amp; Trading</x:v>
      </x:c>
      <x:c r="C1156" s="30" t="str">
        <x:v>Interview Note</x:v>
      </x:c>
      <x:c r="D1156" s="31" t="str">
        <x:v>use of AI in a bank</x:v>
      </x:c>
      <x:c r="E1156" s="31" t="str">
        <x:v>A33</x:v>
      </x:c>
      <x:c r="F1156" s="31" t="str">
        <x:v>whats ur view on oil in the medium term | why HSBC | discuss about how to optimize efficiency in an organization</x:v>
      </x:c>
    </x:row>
    <x:row r="1157" ht="30" customHeight="1">
      <x:c r="A1157" s="30" t="str">
        <x:v>HSBC (GM)</x:v>
      </x:c>
      <x:c r="B1157" s="30" t="str">
        <x:v>Sales &amp; Trading</x:v>
      </x:c>
      <x:c r="C1157" s="30" t="str">
        <x:v>Metadata</x:v>
      </x:c>
      <x:c r="D1157" s="31" t="str">
        <x:v>question for the interviewer</x:v>
      </x:c>
      <x:c r="E1157" s="31" t="str">
        <x:v>L33</x:v>
      </x:c>
      <x:c r="F1157" s="31" t="str">
        <x:v>brainteaser (lily pound) | what do you want to take away from this internship experience | biggest challenge</x:v>
      </x:c>
    </x:row>
    <x:row r="1158" ht="30" customHeight="1">
      <x:c r="A1158" s="30" t="str">
        <x:v>JPM (GM)</x:v>
      </x:c>
      <x:c r="B1158" s="30" t="str">
        <x:v>Sales &amp; Trading</x:v>
      </x:c>
      <x:c r="C1158" s="30" t="str">
        <x:v>Interview Note</x:v>
      </x:c>
      <x:c r="D1158" s="31" t="str">
        <x:v>CN Equity Sales Superday (Henry)</x:v>
      </x:c>
      <x:c r="E1158" s="31" t="str">
        <x:v>A1</x:v>
      </x:c>
      <x:c r="F1158" s="31" t="str"/>
    </x:row>
    <x:row r="1159" ht="30" customHeight="1">
      <x:c r="A1159" s="30" t="str">
        <x:v>JPM (GM)</x:v>
      </x:c>
      <x:c r="B1159" s="30" t="str">
        <x:v>Sales &amp; Trading</x:v>
      </x:c>
      <x:c r="C1159" s="30" t="str">
        <x:v>Interview Note</x:v>
      </x:c>
      <x:c r="D1159" s="31" t="str">
        <x:v>Just Chat (But they prefer Candidates less aggresive &amp; from Mainland China schools)</x:v>
      </x:c>
      <x:c r="E1159" s="31" t="str">
        <x:v>A2</x:v>
      </x:c>
      <x:c r="F1159" s="31" t="str">
        <x:v>CN Equity Sales Superday (Henry)</x:v>
      </x:c>
    </x:row>
    <x:row r="1160" ht="30" customHeight="1">
      <x:c r="A1160" s="30" t="str">
        <x:v>JPM (GM)</x:v>
      </x:c>
      <x:c r="B1160" s="30" t="str">
        <x:v>Sales &amp; Trading</x:v>
      </x:c>
      <x:c r="C1160" s="30" t="str">
        <x:v>Interview Note</x:v>
      </x:c>
      <x:c r="D1160" s="31" t="str">
        <x:v>US NYC Sales Superday (Michael, Asuka, Elliotte)</x:v>
      </x:c>
      <x:c r="E1160" s="31" t="str">
        <x:v>A4</x:v>
      </x:c>
      <x:c r="F1160" s="31" t="str">
        <x:v>CN Equity Sales Superday (Henry) | Just Chat (But they prefer Candidates less aggresive &amp; from Mainland China schools)</x:v>
      </x:c>
    </x:row>
    <x:row r="1161" ht="46" customHeight="1">
      <x:c r="A1161" s="30" t="str">
        <x:v>JPM (GM)</x:v>
      </x:c>
      <x:c r="B1161" s="30" t="str">
        <x:v>Sales &amp; Trading</x:v>
      </x:c>
      <x:c r="C1161" s="30" t="str">
        <x:v>Interview Note</x:v>
      </x:c>
      <x:c r="D1161" s="31" t="str">
        <x:v>They have a Question List:</x:v>
      </x:c>
      <x:c r="E1161" s="31" t="str">
        <x:v>A5</x:v>
      </x:c>
      <x:c r="F1161" s="31" t="str">
        <x:v>CN Equity Sales Superday (Henry) | Just Chat (But they prefer Candidates less aggresive &amp; from Mainland China schools) | US NYC Sales Superday (Michael, Asuka, Elliotte)</x:v>
      </x:c>
    </x:row>
    <x:row r="1162" ht="30" customHeight="1">
      <x:c r="A1162" s="30" t="str">
        <x:v>JPM (GM)</x:v>
      </x:c>
      <x:c r="B1162" s="30" t="str">
        <x:v>Sales &amp; Trading</x:v>
      </x:c>
      <x:c r="C1162" s="30" t="str">
        <x:v>Interview Note</x:v>
      </x:c>
      <x:c r="D1162" s="31" t="str">
        <x:v>Most challenging project</x:v>
      </x:c>
      <x:c r="E1162" s="31" t="str">
        <x:v>A7</x:v>
      </x:c>
      <x:c r="F1162" s="31" t="str">
        <x:v>US NYC Sales Superday (Michael, Asuka, Elliotte) | They have a Question List: | Self Intro</x:v>
      </x:c>
    </x:row>
    <x:row r="1163" ht="46" customHeight="1">
      <x:c r="A1163" s="30" t="str">
        <x:v>JPM (GM)</x:v>
      </x:c>
      <x:c r="B1163" s="30" t="str">
        <x:v>Sales &amp; Trading</x:v>
      </x:c>
      <x:c r="C1163" s="30" t="str">
        <x:v>Interview Note</x:v>
      </x:c>
      <x:c r="D1163" s="31" t="str">
        <x:v>A Math brainteaser giving me two simple portfolios to choose (test on Sharpe Ratio understanding)</x:v>
      </x:c>
      <x:c r="E1163" s="31" t="str">
        <x:v>A10</x:v>
      </x:c>
      <x:c r="F1163" s="31" t="str">
        <x:v>Most challenging project | Walk through Market (with Elliotte - 20mins on this) | Given Market situation, invest in fixed / floating rate now?</x:v>
      </x:c>
    </x:row>
    <x:row r="1164" ht="30" customHeight="1">
      <x:c r="A1164" s="30" t="str">
        <x:v>UBS(GM Off cycle)</x:v>
      </x:c>
      <x:c r="B1164" s="30" t="str">
        <x:v>Sales &amp; Trading</x:v>
      </x:c>
      <x:c r="C1164" s="30" t="str">
        <x:v>Metadata</x:v>
      </x:c>
      <x:c r="D1164" s="31" t="str">
        <x:v>2026 Off Cycle</x:v>
      </x:c>
      <x:c r="E1164" s="31" t="str">
        <x:v>A1</x:v>
      </x:c>
      <x:c r="F1164" s="31" t="str"/>
    </x:row>
    <x:row r="1165" ht="30" customHeight="1">
      <x:c r="A1165" s="30" t="str">
        <x:v>UBS(GM Off cycle)</x:v>
      </x:c>
      <x:c r="B1165" s="30" t="str">
        <x:v>Sales &amp; Trading</x:v>
      </x:c>
      <x:c r="C1165" s="30" t="str">
        <x:v>Interview Note</x:v>
      </x:c>
      <x:c r="D1165" s="31" t="str">
        <x:v>Andy Wong</x:v>
      </x:c>
      <x:c r="E1165" s="31" t="str">
        <x:v>A2</x:v>
      </x:c>
      <x:c r="F1165" s="31" t="str">
        <x:v>2026 Off Cycle</x:v>
      </x:c>
    </x:row>
    <x:row r="1166" ht="30" customHeight="1">
      <x:c r="A1166" s="30" t="str">
        <x:v>UBS(GM Off cycle)</x:v>
      </x:c>
      <x:c r="B1166" s="30" t="str">
        <x:v>Sales &amp; Trading</x:v>
      </x:c>
      <x:c r="C1166" s="30" t="str">
        <x:v>Metadata</x:v>
      </x:c>
      <x:c r="D1166" s="31" t="str">
        <x:v>First Round (Capital Market Financing)</x:v>
      </x:c>
      <x:c r="E1166" s="31" t="str">
        <x:v>A5</x:v>
      </x:c>
      <x:c r="F1166" s="31" t="str">
        <x:v>2026 Off Cycle | Andy Wong</x:v>
      </x:c>
    </x:row>
    <x:row r="1167" ht="30" customHeight="1">
      <x:c r="A1167" s="30" t="str">
        <x:v>UBS(GM Off cycle)</x:v>
      </x:c>
      <x:c r="B1167" s="30" t="str">
        <x:v>Sales &amp; Trading</x:v>
      </x:c>
      <x:c r="C1167" s="30" t="str">
        <x:v>Interview Note</x:v>
      </x:c>
      <x:c r="D1167" s="31" t="str">
        <x:v>Sandra Zeng and Jonny Moorhead</x:v>
      </x:c>
      <x:c r="E1167" s="31" t="str">
        <x:v>A6</x:v>
      </x:c>
      <x:c r="F1167" s="31" t="str">
        <x:v>2026 Off Cycle | Andy Wong | First Round (Capital Market Financing)</x:v>
      </x:c>
    </x:row>
    <x:row r="1168" ht="30" customHeight="1">
      <x:c r="A1168" s="30" t="str">
        <x:v>UBS(GM Off cycle)</x:v>
      </x:c>
      <x:c r="B1168" s="30" t="str">
        <x:v>Sales &amp; Trading</x:v>
      </x:c>
      <x:c r="C1168" s="30" t="str">
        <x:v>Metadata</x:v>
      </x:c>
      <x:c r="D1168" s="31" t="str">
        <x:v>45 mins with Jonny</x:v>
      </x:c>
      <x:c r="E1168" s="31" t="str">
        <x:v>A8</x:v>
      </x:c>
      <x:c r="F1168" s="31" t="str">
        <x:v>Andy Wong | First Round (Capital Market Financing) | Sandra Zeng and Jonny Moorhead</x:v>
      </x:c>
    </x:row>
    <x:row r="1169" ht="30" customHeight="1">
      <x:c r="A1169" s="30" t="str">
        <x:v>UBS(GM Off cycle)</x:v>
      </x:c>
      <x:c r="B1169" s="30" t="str">
        <x:v>Sales &amp; Trading</x:v>
      </x:c>
      <x:c r="C1169" s="30" t="str">
        <x:v>Interview Note</x:v>
      </x:c>
      <x:c r="D1169" s="31" t="str">
        <x:v>8-10 behaviourals questions, seems like he have a list of general behavioural questions</x:v>
      </x:c>
      <x:c r="E1169" s="31" t="str">
        <x:v>A9</x:v>
      </x:c>
      <x:c r="F1169" s="31" t="str">
        <x:v>First Round (Capital Market Financing) | Sandra Zeng and Jonny Moorhead | 45 mins with Jonny</x:v>
      </x:c>
    </x:row>
    <x:row r="1170" ht="46" customHeight="1">
      <x:c r="A1170" s="30" t="str">
        <x:v>UBS(GM Off cycle)</x:v>
      </x:c>
      <x:c r="B1170" s="30" t="str">
        <x:v>Sales &amp; Trading</x:v>
      </x:c>
      <x:c r="C1170" s="30" t="str">
        <x:v>Interview Note</x:v>
      </x:c>
      <x:c r="D1170" s="31" t="str">
        <x:v>Also asked about UBS Sustainability Commitment, how do I think I would be a great fit for UBS Sustainability initiatives</x:v>
      </x:c>
      <x:c r="E1170" s="31" t="str">
        <x:v>A10</x:v>
      </x:c>
      <x:c r="F1170" s="31" t="str">
        <x:v>Sandra Zeng and Jonny Moorhead | 45 mins with Jonny | 8-10 behaviourals questions, seems like he have a list of general behavioural questions</x:v>
      </x:c>
    </x:row>
    <x:row r="1171" ht="46" customHeight="1">
      <x:c r="A1171" s="30" t="str">
        <x:v>UBS(GM Off cycle)</x:v>
      </x:c>
      <x:c r="B1171" s="30" t="str">
        <x:v>Sales &amp; Trading</x:v>
      </x:c>
      <x:c r="C1171" s="30" t="str">
        <x:v>Metadata</x:v>
      </x:c>
      <x:c r="D1171" s="31" t="str">
        <x:v>45 mins with Sandra</x:v>
      </x:c>
      <x:c r="E1171" s="31" t="str">
        <x:v>A12</x:v>
      </x:c>
      <x:c r="F1171" s="31" t="str">
        <x:v>45 mins with Jonny | 8-10 behaviourals questions, seems like he have a list of general behavioural questions | Also asked about UBS Sustainability Commitment, how do I think I would be a great fit for UBS Sustainability initiatives</x:v>
      </x:c>
    </x:row>
    <x:row r="1172" ht="46" customHeight="1">
      <x:c r="A1172" s="30" t="str">
        <x:v>UBS(GM Off cycle)</x:v>
      </x:c>
      <x:c r="B1172" s="30" t="str">
        <x:v>Sales &amp; Trading</x:v>
      </x:c>
      <x:c r="C1172" s="30" t="str">
        <x:v>Metadata</x:v>
      </x:c>
      <x:c r="D1172" s="31" t="str">
        <x:v>30 mins CV grill</x:v>
      </x:c>
      <x:c r="E1172" s="31" t="str">
        <x:v>A13</x:v>
      </x:c>
      <x:c r="F1172" s="31" t="str">
        <x:v>8-10 behaviourals questions, seems like he have a list of general behavioural questions | Also asked about UBS Sustainability Commitment, how do I think I would be a great fit for UBS Sustainability initiatives | 45 mins with Sandra</x:v>
      </x:c>
    </x:row>
    <x:row r="1173" ht="30" customHeight="1">
      <x:c r="A1173" s="30" t="str">
        <x:v>UBS(GM Off cycle)</x:v>
      </x:c>
      <x:c r="B1173" s="30" t="str">
        <x:v>Sales &amp; Trading</x:v>
      </x:c>
      <x:c r="C1173" s="30" t="str">
        <x:v>Metadata</x:v>
      </x:c>
      <x:c r="D1173" s="31" t="str">
        <x:v>First Round (Derivatives and Solutions)</x:v>
      </x:c>
      <x:c r="E1173" s="31" t="str">
        <x:v>A16</x:v>
      </x:c>
      <x:c r="F1173" s="31" t="str">
        <x:v>45 mins with Sandra | 30 mins CV grill | Coding proficiency, any project experience with python</x:v>
      </x:c>
    </x:row>
    <x:row r="1174" ht="30" customHeight="1">
      <x:c r="A1174" s="30" t="str">
        <x:v>UBS(GM Off cycle)</x:v>
      </x:c>
      <x:c r="B1174" s="30" t="str">
        <x:v>Sales &amp; Trading</x:v>
      </x:c>
      <x:c r="C1174" s="30" t="str">
        <x:v>Interview Note</x:v>
      </x:c>
      <x:c r="D1174" s="31" t="str">
        <x:v>Claire Li and Mandy Ip</x:v>
      </x:c>
      <x:c r="E1174" s="31" t="str">
        <x:v>A17</x:v>
      </x:c>
      <x:c r="F1174" s="31" t="str">
        <x:v>30 mins CV grill | Coding proficiency, any project experience with python | First Round (Derivatives and Solutions)</x:v>
      </x:c>
    </x:row>
    <x:row r="1175" ht="30" customHeight="1">
      <x:c r="A1175" s="30" t="str">
        <x:v>UBS(GM Off cycle)</x:v>
      </x:c>
      <x:c r="B1175" s="30" t="str">
        <x:v>Sales &amp; Trading</x:v>
      </x:c>
      <x:c r="C1175" s="30" t="str">
        <x:v>Interview Note</x:v>
      </x:c>
      <x:c r="D1175" s="31" t="str">
        <x:v>Any automation experience</x:v>
      </x:c>
      <x:c r="E1175" s="31" t="str">
        <x:v>A19</x:v>
      </x:c>
      <x:c r="F1175" s="31" t="str">
        <x:v>First Round (Derivatives and Solutions) | Claire Li and Mandy Ip | Self intro</x:v>
      </x:c>
    </x:row>
    <x:row r="1176" ht="30" customHeight="1">
      <x:c r="A1176" s="30" t="str">
        <x:v>UBS(GM Off cycle)</x:v>
      </x:c>
      <x:c r="B1176" s="30" t="str">
        <x:v>Sales &amp; Trading</x:v>
      </x:c>
      <x:c r="C1176" s="30" t="str">
        <x:v>Interview Note</x:v>
      </x:c>
      <x:c r="D1176" s="31" t="str">
        <x:v>Gave me a case of automation, what would be my solution if I need to streamline the workflow</x:v>
      </x:c>
      <x:c r="E1176" s="31" t="str">
        <x:v>A20</x:v>
      </x:c>
      <x:c r="F1176" s="31" t="str">
        <x:v>Claire Li and Mandy Ip | Self intro | Any automation experience</x:v>
      </x:c>
    </x:row>
    <x:row r="1177" ht="46" customHeight="1">
      <x:c r="A1177" s="30" t="str">
        <x:v>UBS(GM Off cycle)</x:v>
      </x:c>
      <x:c r="B1177" s="30" t="str">
        <x:v>Sales &amp; Trading</x:v>
      </x:c>
      <x:c r="C1177" s="30" t="str">
        <x:v>Interview Note</x:v>
      </x:c>
      <x:c r="D1177" s="31" t="str">
        <x:v>CV grill</x:v>
      </x:c>
      <x:c r="E1177" s="31" t="str">
        <x:v>A21</x:v>
      </x:c>
      <x:c r="F1177" s="31" t="str">
        <x:v>Self intro | Any automation experience | Gave me a case of automation, what would be my solution if I need to streamline the workflow</x:v>
      </x:c>
    </x:row>
    <x:row r="1178" ht="46" customHeight="1">
      <x:c r="A1178" s="30" t="str">
        <x:v>UBS(GM Off cycle)</x:v>
      </x:c>
      <x:c r="B1178" s="30" t="str">
        <x:v>Sales &amp; Trading</x:v>
      </x:c>
      <x:c r="C1178" s="30" t="str">
        <x:v>Metadata</x:v>
      </x:c>
      <x:c r="D1178" s="31" t="str">
        <x:v>Super day (Derivatives and Solutions)</x:v>
      </x:c>
      <x:c r="E1178" s="31" t="str">
        <x:v>A23</x:v>
      </x:c>
      <x:c r="F1178" s="31" t="str">
        <x:v>Any automation experience | Gave me a case of automation, what would be my solution if I need to streamline the workflow | CV grill</x:v>
      </x:c>
    </x:row>
    <x:row r="1179" ht="46" customHeight="1">
      <x:c r="A1179" s="30" t="str">
        <x:v>UBS(GM Off cycle)</x:v>
      </x:c>
      <x:c r="B1179" s="30" t="str">
        <x:v>Sales &amp; Trading</x:v>
      </x:c>
      <x:c r="C1179" s="30" t="str">
        <x:v>Interview Note</x:v>
      </x:c>
      <x:c r="D1179" s="31" t="str">
        <x:v>Thomas Wang &amp; Sheen Liu</x:v>
      </x:c>
      <x:c r="E1179" s="31" t="str">
        <x:v>A24</x:v>
      </x:c>
      <x:c r="F1179" s="31" t="str">
        <x:v>Gave me a case of automation, what would be my solution if I need to streamline the workflow | CV grill | Super day (Derivatives and Solutions)</x:v>
      </x:c>
    </x:row>
    <x:row r="1180" ht="30" customHeight="1">
      <x:c r="A1180" s="30" t="str">
        <x:v>UBS(GM Off cycle)</x:v>
      </x:c>
      <x:c r="B1180" s="30" t="str">
        <x:v>Sales &amp; Trading</x:v>
      </x:c>
      <x:c r="C1180" s="30" t="str">
        <x:v>Interview Note</x:v>
      </x:c>
      <x:c r="D1180" s="31" t="str">
        <x:v>CV grill</x:v>
      </x:c>
      <x:c r="E1180" s="31" t="str">
        <x:v>A26</x:v>
      </x:c>
      <x:c r="F1180" s="31" t="str">
        <x:v>Super day (Derivatives and Solutions) | Thomas Wang &amp; Sheen Liu | Self intro</x:v>
      </x:c>
    </x:row>
    <x:row r="1181" ht="30" customHeight="1">
      <x:c r="A1181" s="30" t="str">
        <x:v>UBS(GM Off cycle)</x:v>
      </x:c>
      <x:c r="B1181" s="30" t="str">
        <x:v>Sales &amp; Trading</x:v>
      </x:c>
      <x:c r="C1181" s="30" t="str">
        <x:v>Interview Note</x:v>
      </x:c>
      <x:c r="D1181" s="31" t="str">
        <x:v>Mechanism of hedging and delta one</x:v>
      </x:c>
      <x:c r="E1181" s="31" t="str">
        <x:v>A27</x:v>
      </x:c>
      <x:c r="F1181" s="31" t="str">
        <x:v>Thomas Wang &amp; Sheen Liu | Self intro | CV grill</x:v>
      </x:c>
    </x:row>
    <x:row r="1182" ht="62" customHeight="1">
      <x:c r="A1182" s="30" t="str">
        <x:v>UBS(GM Off cycle)</x:v>
      </x:c>
      <x:c r="B1182" s="30" t="str">
        <x:v>Sales &amp; Trading</x:v>
      </x:c>
      <x:c r="C1182" s="30" t="str">
        <x:v>Interview Note</x:v>
      </x:c>
      <x:c r="D1182" s="31" t="str">
        <x:v>My ans: 5x0.5 (first throw 4,5,6) + 3.5x0.5(first throw 1,2,3 —&gt; throw again)</x:v>
      </x:c>
      <x:c r="E1182" s="31" t="str">
        <x:v>A31</x:v>
      </x:c>
      <x:c r="F1182" s="31" t="str">
        <x:v>What risk metrics are most important when managing a portfolio | If the desk is managing a long short pair for client, what actions to take(TRS) | Brain Teaser: 1 dice, throw twice, if not satisfied with the result of first throw, can th...</x:v>
      </x:c>
    </x:row>
    <x:row r="1183" ht="30" customHeight="1">
      <x:c r="A1183" s="30" t="str">
        <x:v>ER</x:v>
      </x:c>
      <x:c r="B1183" s="30" t="str">
        <x:v>Separator / Other</x:v>
      </x:c>
      <x:c r="C1183" s="30" t="str">
        <x:v>Metadata</x:v>
      </x:c>
      <x:c r="D1183" s="31" t="str">
        <x:v>Strictly</x:v>
      </x:c>
      <x:c r="E1183" s="31" t="str">
        <x:v>A1</x:v>
      </x:c>
      <x:c r="F1183" s="31" t="str"/>
    </x:row>
    <x:row r="1184" ht="30" customHeight="1">
      <x:c r="A1184" s="30" t="str">
        <x:v>ER</x:v>
      </x:c>
      <x:c r="B1184" s="30" t="str">
        <x:v>Separator / Other</x:v>
      </x:c>
      <x:c r="C1184" s="30" t="str">
        <x:v>Interview Note</x:v>
      </x:c>
      <x:c r="D1184" s="31" t="str">
        <x:v>Do</x:v>
      </x:c>
      <x:c r="E1184" s="31" t="str">
        <x:v>C1</x:v>
      </x:c>
      <x:c r="F1184" s="31" t="str"/>
    </x:row>
    <x:row r="1185" ht="30" customHeight="1">
      <x:c r="A1185" s="30" t="str">
        <x:v>ER</x:v>
      </x:c>
      <x:c r="B1185" s="30" t="str">
        <x:v>Separator / Other</x:v>
      </x:c>
      <x:c r="C1185" s="30" t="str">
        <x:v>Interview Note</x:v>
      </x:c>
      <x:c r="D1185" s="31" t="str">
        <x:v>For</x:v>
      </x:c>
      <x:c r="E1185" s="31" t="str">
        <x:v>A2</x:v>
      </x:c>
      <x:c r="F1185" s="31" t="str">
        <x:v>Strictly</x:v>
      </x:c>
    </x:row>
    <x:row r="1186" ht="30" customHeight="1">
      <x:c r="A1186" s="30" t="str">
        <x:v>ER</x:v>
      </x:c>
      <x:c r="B1186" s="30" t="str">
        <x:v>Separator / Other</x:v>
      </x:c>
      <x:c r="C1186" s="30" t="str">
        <x:v>Interview Note</x:v>
      </x:c>
      <x:c r="D1186" s="31" t="str">
        <x:v>Not</x:v>
      </x:c>
      <x:c r="E1186" s="31" t="str">
        <x:v>C2</x:v>
      </x:c>
      <x:c r="F1186" s="31" t="str">
        <x:v>Do</x:v>
      </x:c>
    </x:row>
    <x:row r="1187" ht="30" customHeight="1">
      <x:c r="A1187" s="30" t="str">
        <x:v>ER</x:v>
      </x:c>
      <x:c r="B1187" s="30" t="str">
        <x:v>Separator / Other</x:v>
      </x:c>
      <x:c r="C1187" s="30" t="str">
        <x:v>Interview Note</x:v>
      </x:c>
      <x:c r="D1187" s="31" t="str">
        <x:v>Internal</x:v>
      </x:c>
      <x:c r="E1187" s="31" t="str">
        <x:v>A3</x:v>
      </x:c>
      <x:c r="F1187" s="31" t="str">
        <x:v>Strictly | For</x:v>
      </x:c>
    </x:row>
    <x:row r="1188" ht="30" customHeight="1">
      <x:c r="A1188" s="30" t="str">
        <x:v>ER</x:v>
      </x:c>
      <x:c r="B1188" s="30" t="str">
        <x:v>Separator / Other</x:v>
      </x:c>
      <x:c r="C1188" s="30" t="str">
        <x:v>Interview Note</x:v>
      </x:c>
      <x:c r="D1188" s="31" t="str">
        <x:v>Share</x:v>
      </x:c>
      <x:c r="E1188" s="31" t="str">
        <x:v>C3</x:v>
      </x:c>
      <x:c r="F1188" s="31" t="str">
        <x:v>Do | Not</x:v>
      </x:c>
    </x:row>
    <x:row r="1189" ht="30" customHeight="1">
      <x:c r="A1189" s="30" t="str">
        <x:v>ER</x:v>
      </x:c>
      <x:c r="B1189" s="30" t="str">
        <x:v>Separator / Other</x:v>
      </x:c>
      <x:c r="C1189" s="30" t="str">
        <x:v>Interview Note</x:v>
      </x:c>
      <x:c r="D1189" s="31" t="str">
        <x:v>Use</x:v>
      </x:c>
      <x:c r="E1189" s="31" t="str">
        <x:v>A4</x:v>
      </x:c>
      <x:c r="F1189" s="31" t="str">
        <x:v>Strictly | For | Internal</x:v>
      </x:c>
    </x:row>
    <x:row r="1190" ht="30" customHeight="1">
      <x:c r="A1190" s="30" t="str">
        <x:v>ER</x:v>
      </x:c>
      <x:c r="B1190" s="30" t="str">
        <x:v>Separator / Other</x:v>
      </x:c>
      <x:c r="C1190" s="30" t="str">
        <x:v>Interview Note</x:v>
      </x:c>
      <x:c r="D1190" s="31" t="str">
        <x:v>with</x:v>
      </x:c>
      <x:c r="E1190" s="31" t="str">
        <x:v>C4</x:v>
      </x:c>
      <x:c r="F1190" s="31" t="str">
        <x:v>Do | Not | Share</x:v>
      </x:c>
    </x:row>
    <x:row r="1191" ht="30" customHeight="1">
      <x:c r="A1191" s="30" t="str">
        <x:v>ER</x:v>
      </x:c>
      <x:c r="B1191" s="30" t="str">
        <x:v>Separator / Other</x:v>
      </x:c>
      <x:c r="C1191" s="30" t="str">
        <x:v>Interview Note</x:v>
      </x:c>
      <x:c r="D1191" s="31" t="str">
        <x:v>Only</x:v>
      </x:c>
      <x:c r="E1191" s="31" t="str">
        <x:v>A5</x:v>
      </x:c>
      <x:c r="F1191" s="31" t="str">
        <x:v>For | Internal | Use</x:v>
      </x:c>
    </x:row>
    <x:row r="1192" ht="30" customHeight="1">
      <x:c r="A1192" s="30" t="str">
        <x:v>ER</x:v>
      </x:c>
      <x:c r="B1192" s="30" t="str">
        <x:v>Separator / Other</x:v>
      </x:c>
      <x:c r="C1192" s="30" t="str">
        <x:v>Metadata</x:v>
      </x:c>
      <x:c r="D1192" s="31" t="str">
        <x:v>Outsiders</x:v>
      </x:c>
      <x:c r="E1192" s="31" t="str">
        <x:v>C5</x:v>
      </x:c>
      <x:c r="F1192" s="31" t="str">
        <x:v>Not | Share | with</x:v>
      </x:c>
    </x:row>
    <x:row r="1193" ht="30" customHeight="1">
      <x:c r="A1193" s="30" t="str">
        <x:v>ER</x:v>
      </x:c>
      <x:c r="B1193" s="30" t="str">
        <x:v>Separator / Other</x:v>
      </x:c>
      <x:c r="C1193" s="30" t="str">
        <x:v>Metadata</x:v>
      </x:c>
      <x:c r="D1193" s="31" t="str">
        <x:v>!!!</x:v>
      </x:c>
      <x:c r="E1193" s="31" t="str">
        <x:v>A6</x:v>
      </x:c>
      <x:c r="F1193" s="31" t="str">
        <x:v>Internal | Use | Only</x:v>
      </x:c>
    </x:row>
    <x:row r="1194" ht="30" customHeight="1">
      <x:c r="A1194" s="30" t="str">
        <x:v>ER</x:v>
      </x:c>
      <x:c r="B1194" s="30" t="str">
        <x:v>Separator / Other</x:v>
      </x:c>
      <x:c r="C1194" s="30" t="str">
        <x:v>Metadata</x:v>
      </x:c>
      <x:c r="D1194" s="31" t="str">
        <x:v>!!!</x:v>
      </x:c>
      <x:c r="E1194" s="31" t="str">
        <x:v>C6</x:v>
      </x:c>
      <x:c r="F1194" s="31" t="str">
        <x:v>Share | with | Outsiders</x:v>
      </x:c>
    </x:row>
    <x:row r="1195" ht="30" customHeight="1">
      <x:c r="A1195" s="30" t="str">
        <x:v>Others (eg. PE, CB...)</x:v>
      </x:c>
      <x:c r="B1195" s="30" t="str">
        <x:v>PE / VC / Other</x:v>
      </x:c>
      <x:c r="C1195" s="30" t="str">
        <x:v>Interview Note</x:v>
      </x:c>
      <x:c r="D1195" s="31" t="str">
        <x:v>Hony Capital (Cindy)</x:v>
      </x:c>
      <x:c r="E1195" s="31" t="str">
        <x:v>A1</x:v>
      </x:c>
      <x:c r="F1195" s="31" t="str"/>
    </x:row>
    <x:row r="1196" ht="30" customHeight="1">
      <x:c r="A1196" s="30" t="str">
        <x:v>Others (eg. PE, CB...)</x:v>
      </x:c>
      <x:c r="B1196" s="30" t="str">
        <x:v>PE / VC / Other</x:v>
      </x:c>
      <x:c r="C1196" s="30" t="str">
        <x:v>Interview Note</x:v>
      </x:c>
      <x:c r="D1196" s="31" t="str">
        <x:v>Pamalican (Regina)</x:v>
      </x:c>
      <x:c r="E1196" s="31" t="str">
        <x:v>E1</x:v>
      </x:c>
      <x:c r="F1196" s="31" t="str"/>
    </x:row>
    <x:row r="1197" ht="30" customHeight="1">
      <x:c r="A1197" s="30" t="str">
        <x:v>Others (eg. PE, CB...)</x:v>
      </x:c>
      <x:c r="B1197" s="30" t="str">
        <x:v>PE / VC / Other</x:v>
      </x:c>
      <x:c r="C1197" s="30" t="str">
        <x:v>Interview Note</x:v>
      </x:c>
      <x:c r="D1197" s="31" t="str">
        <x:v>45742</x:v>
      </x:c>
      <x:c r="E1197" s="31" t="str">
        <x:v>A2</x:v>
      </x:c>
      <x:c r="F1197" s="31" t="str">
        <x:v>Hony Capital (Cindy)</x:v>
      </x:c>
    </x:row>
    <x:row r="1198" ht="30" customHeight="1">
      <x:c r="A1198" s="30" t="str">
        <x:v>Others (eg. PE, CB...)</x:v>
      </x:c>
      <x:c r="B1198" s="30" t="str">
        <x:v>PE / VC / Other</x:v>
      </x:c>
      <x:c r="C1198" s="30" t="str">
        <x:v>Interview Note</x:v>
      </x:c>
      <x:c r="D1198" s="31" t="str">
        <x:v>March 31st 2025</x:v>
      </x:c>
      <x:c r="E1198" s="31" t="str">
        <x:v>E2</x:v>
      </x:c>
      <x:c r="F1198" s="31" t="str">
        <x:v>Pamalican (Regina)</x:v>
      </x:c>
    </x:row>
    <x:row r="1199" ht="30" customHeight="1">
      <x:c r="A1199" s="30" t="str">
        <x:v>Others (eg. PE, CB...)</x:v>
      </x:c>
      <x:c r="B1199" s="30" t="str">
        <x:v>PE / VC / Other</x:v>
      </x:c>
      <x:c r="C1199" s="30" t="str">
        <x:v>Interview Note</x:v>
      </x:c>
      <x:c r="D1199" s="31" t="str">
        <x:v>CV questions (all related to what's on CV)</x:v>
      </x:c>
      <x:c r="E1199" s="31" t="str">
        <x:v>E4</x:v>
      </x:c>
      <x:c r="F1199" s="31" t="str">
        <x:v>Pamalican (Regina) | March 31st 2025 | Self intro</x:v>
      </x:c>
    </x:row>
    <x:row r="1200" ht="30" customHeight="1">
      <x:c r="A1200" s="30" t="str">
        <x:v>Others (eg. PE, CB...)</x:v>
      </x:c>
      <x:c r="B1200" s="30" t="str">
        <x:v>PE / VC / Other</x:v>
      </x:c>
      <x:c r="C1200" s="30" t="str">
        <x:v>Interview Note</x:v>
      </x:c>
      <x:c r="D1200" s="31" t="str">
        <x:v>Recent deals</x:v>
      </x:c>
      <x:c r="E1200" s="31" t="str">
        <x:v>E5</x:v>
      </x:c>
      <x:c r="F1200" s="31" t="str">
        <x:v>March 31st 2025 | Self intro | CV questions (all related to what's on CV)</x:v>
      </x:c>
    </x:row>
    <x:row r="1201" ht="46" customHeight="1">
      <x:c r="A1201" s="30" t="str">
        <x:v>Others (eg. PE, CB...)</x:v>
      </x:c>
      <x:c r="B1201" s="30" t="str">
        <x:v>PE / VC / Other</x:v>
      </x:c>
      <x:c r="C1201" s="30" t="str">
        <x:v>Interview Note</x:v>
      </x:c>
      <x:c r="D1201" s="31" t="str">
        <x:v>Difference between sellside and buyside</x:v>
      </x:c>
      <x:c r="E1201" s="31" t="str">
        <x:v>A7</x:v>
      </x:c>
      <x:c r="F1201" s="31" t="str">
        <x:v>What did you do in Huatai Investment Banking, any deals | what do you know about this industry the company is in | Tell me about how you value the company (DCF, PE)</x:v>
      </x:c>
    </x:row>
    <x:row r="1202" ht="30" customHeight="1">
      <x:c r="A1202" s="30" t="str">
        <x:v>Others (eg. PE, CB...)</x:v>
      </x:c>
      <x:c r="B1202" s="30" t="str">
        <x:v>PE / VC / Other</x:v>
      </x:c>
      <x:c r="C1202" s="30" t="str">
        <x:v>Interview Note</x:v>
      </x:c>
      <x:c r="D1202" s="31" t="str">
        <x:v>Career plan</x:v>
      </x:c>
      <x:c r="E1202" s="31" t="str">
        <x:v>E7</x:v>
      </x:c>
      <x:c r="F1202" s="31" t="str">
        <x:v>CV questions (all related to what's on CV) | Recent deals | Hobbies outside work &amp; school</x:v>
      </x:c>
    </x:row>
    <x:row r="1203" ht="46" customHeight="1">
      <x:c r="A1203" s="30" t="str">
        <x:v>Others (eg. PE, CB...)</x:v>
      </x:c>
      <x:c r="B1203" s="30" t="str">
        <x:v>PE / VC / Other</x:v>
      </x:c>
      <x:c r="C1203" s="30" t="str">
        <x:v>Interview Note</x:v>
      </x:c>
      <x:c r="D1203" s="31" t="str">
        <x:v>Three words to describe yourself</x:v>
      </x:c>
      <x:c r="E1203" s="31" t="str">
        <x:v>A8</x:v>
      </x:c>
      <x:c r="F1203" s="31" t="str">
        <x:v>what do you know about this industry the company is in | Tell me about how you value the company (DCF, PE) | Difference between sellside and buyside</x:v>
      </x:c>
    </x:row>
    <x:row r="1204" ht="30" customHeight="1">
      <x:c r="A1204" s="30" t="str">
        <x:v>Others (eg. PE, CB...)</x:v>
      </x:c>
      <x:c r="B1204" s="30" t="str">
        <x:v>PE / VC / Other</x:v>
      </x:c>
      <x:c r="C1204" s="30" t="str">
        <x:v>Metadata</x:v>
      </x:c>
      <x:c r="D1204" s="31" t="str">
        <x:v>Questions for him</x:v>
      </x:c>
      <x:c r="E1204" s="31" t="str">
        <x:v>E8</x:v>
      </x:c>
      <x:c r="F1204" s="31" t="str">
        <x:v>Recent deals | Hobbies outside work &amp; school | Career plan</x:v>
      </x:c>
    </x:row>
    <x:row r="1205" ht="46" customHeight="1">
      <x:c r="A1205" s="30" t="str">
        <x:v>Others (eg. PE, CB...)</x:v>
      </x:c>
      <x:c r="B1205" s="30" t="str">
        <x:v>PE / VC / Other</x:v>
      </x:c>
      <x:c r="C1205" s="30" t="str">
        <x:v>Interview Note</x:v>
      </x:c>
      <x:c r="D1205" s="31" t="str">
        <x:v>Career plan</x:v>
      </x:c>
      <x:c r="E1205" s="31" t="str">
        <x:v>A9</x:v>
      </x:c>
      <x:c r="F1205" s="31" t="str">
        <x:v>Tell me about how you value the company (DCF, PE) | Difference between sellside and buyside | Three words to describe yourself</x:v>
      </x:c>
    </x:row>
    <x:row r="1206" ht="30" customHeight="1">
      <x:c r="A1206" s="30" t="str">
        <x:v>Others (eg. PE, CB...)</x:v>
      </x:c>
      <x:c r="B1206" s="30" t="str">
        <x:v>PE / VC / Other</x:v>
      </x:c>
      <x:c r="C1206" s="30" t="str">
        <x:v>Metadata</x:v>
      </x:c>
      <x:c r="D1206" s="31" t="str">
        <x:v>Questions for him</x:v>
      </x:c>
      <x:c r="E1206" s="31" t="str">
        <x:v>A10</x:v>
      </x:c>
      <x:c r="F1206" s="31" t="str">
        <x:v>Difference between sellside and buyside | Three words to describe yourself | Career plan</x:v>
      </x:c>
    </x:row>
    <x:row r="1207" ht="30" customHeight="1">
      <x:c r="A1207" s="30" t="str">
        <x:v>Others (eg. PE, CB...)</x:v>
      </x:c>
      <x:c r="B1207" s="30" t="str">
        <x:v>PE / VC / Other</x:v>
      </x:c>
      <x:c r="C1207" s="30" t="str">
        <x:v>Interview Note</x:v>
      </x:c>
      <x:c r="D1207" s="31" t="str">
        <x:v>(all in English)</x:v>
      </x:c>
      <x:c r="E1207" s="31" t="str">
        <x:v>E10</x:v>
      </x:c>
      <x:c r="F1207" s="31" t="str">
        <x:v>Career plan | Questions for him | Recent stock pitch</x:v>
      </x:c>
    </x:row>
    <x:row r="1208" ht="30" customHeight="1">
      <x:c r="A1208" s="30" t="str">
        <x:v>Neuberger Berman</x:v>
      </x:c>
      <x:c r="B1208" s="30" t="str">
        <x:v>PWM / AM</x:v>
      </x:c>
      <x:c r="C1208" s="30" t="str">
        <x:v>Metadata</x:v>
      </x:c>
      <x:c r="D1208" s="31" t="str">
        <x:v>2025 H2 Off-cycle Kate</x:v>
      </x:c>
      <x:c r="E1208" s="31" t="str">
        <x:v>A1</x:v>
      </x:c>
      <x:c r="F1208" s="31" t="str"/>
    </x:row>
    <x:row r="1209" ht="30" customHeight="1">
      <x:c r="A1209" s="30" t="str">
        <x:v>Neuberger Berman</x:v>
      </x:c>
      <x:c r="B1209" s="30" t="str">
        <x:v>PWM / AM</x:v>
      </x:c>
      <x:c r="C1209" s="30" t="str">
        <x:v>Metadata</x:v>
      </x:c>
      <x:c r="D1209" s="31" t="str">
        <x:v>First round was with Anna Wong, all CV qs and chat</x:v>
      </x:c>
      <x:c r="E1209" s="31" t="str">
        <x:v>A2</x:v>
      </x:c>
      <x:c r="F1209" s="31" t="str">
        <x:v>2025 H2 Off-cycle Kate</x:v>
      </x:c>
    </x:row>
    <x:row r="1210" ht="30" customHeight="1">
      <x:c r="A1210" s="30" t="str">
        <x:v>Neuberger Berman</x:v>
      </x:c>
      <x:c r="B1210" s="30" t="str">
        <x:v>PWM / AM</x:v>
      </x:c>
      <x:c r="C1210" s="30" t="str">
        <x:v>Metadata</x:v>
      </x:c>
      <x:c r="D1210" s="31" t="str">
        <x:v>2nd round</x:v>
      </x:c>
      <x:c r="E1210" s="31" t="str">
        <x:v>A4</x:v>
      </x:c>
      <x:c r="F1210" s="31" t="str">
        <x:v>2025 H2 Off-cycle Kate | First round was with Anna Wong, all CV qs and chat</x:v>
      </x:c>
    </x:row>
    <x:row r="1211" ht="30" customHeight="1">
      <x:c r="A1211" s="30" t="str">
        <x:v>Neuberger Berman</x:v>
      </x:c>
      <x:c r="B1211" s="30" t="str">
        <x:v>PWM / AM</x:v>
      </x:c>
      <x:c r="C1211" s="30" t="str">
        <x:v>Interview Note</x:v>
      </x:c>
      <x:c r="D1211" s="31" t="str">
        <x:v>Personal trait why pick you</x:v>
      </x:c>
      <x:c r="E1211" s="31" t="str">
        <x:v>A10</x:v>
      </x:c>
      <x:c r="F1211" s="31" t="str">
        <x:v>What is a good target for PE | How US tariff would affect PE &amp; share a market event | What is a good IPO candidate</x:v>
      </x:c>
    </x:row>
    <x:row r="1212" ht="46" customHeight="1">
      <x:c r="A1212" s="30" t="str">
        <x:v>Neuberger Berman</x:v>
      </x:c>
      <x:c r="B1212" s="30" t="str">
        <x:v>PWM / AM</x:v>
      </x:c>
      <x:c r="C1212" s="30" t="str">
        <x:v>Metadata</x:v>
      </x:c>
      <x:c r="D1212" s="31" t="str">
        <x:v>Final round was with a HR - just chat and a bit fit questions, I thought that was an offer call however I got rejected afterwards :0</x:v>
      </x:c>
      <x:c r="E1212" s="31" t="str">
        <x:v>A14</x:v>
      </x:c>
      <x:c r="F1212" s="31" t="str">
        <x:v>Personal trait why pick you | What's you fav and least fav park of your current internship | Why want to work here</x:v>
      </x:c>
    </x:row>
    <x:row r="1213" ht="30" customHeight="1">
      <x:c r="A1213" s="30" t="str">
        <x:v>UBS AM</x:v>
      </x:c>
      <x:c r="B1213" s="30" t="str">
        <x:v>PWM / AM</x:v>
      </x:c>
      <x:c r="C1213" s="30" t="str">
        <x:v>Metadata</x:v>
      </x:c>
      <x:c r="D1213" s="31" t="str">
        <x:v>2025</x:v>
      </x:c>
      <x:c r="E1213" s="31" t="str">
        <x:v>A1</x:v>
      </x:c>
      <x:c r="F1213" s="31" t="str"/>
    </x:row>
    <x:row r="1214" ht="30" customHeight="1">
      <x:c r="A1214" s="30" t="str">
        <x:v>UBS AM</x:v>
      </x:c>
      <x:c r="B1214" s="30" t="str">
        <x:v>PWM / AM</x:v>
      </x:c>
      <x:c r="C1214" s="30" t="str">
        <x:v>Interview Note</x:v>
      </x:c>
      <x:c r="D1214" s="31" t="str">
        <x:v>UBS AM SPD</x:v>
      </x:c>
      <x:c r="E1214" s="31" t="str">
        <x:v>A2</x:v>
      </x:c>
      <x:c r="F1214" s="31" t="str">
        <x:v>2025</x:v>
      </x:c>
    </x:row>
    <x:row r="1215" ht="30" customHeight="1">
      <x:c r="A1215" s="30" t="str">
        <x:v>UBS AM</x:v>
      </x:c>
      <x:c r="B1215" s="30" t="str">
        <x:v>PWM / AM</x:v>
      </x:c>
      <x:c r="C1215" s="30" t="str">
        <x:v>Metadata</x:v>
      </x:c>
      <x:c r="D1215" s="31" t="str">
        <x:v>Behavioural</x:v>
      </x:c>
      <x:c r="E1215" s="31" t="str">
        <x:v>A3</x:v>
      </x:c>
      <x:c r="F1215" s="31" t="str">
        <x:v>2025 | UBS AM SPD</x:v>
      </x:c>
    </x:row>
    <x:row r="1216" ht="30" customHeight="1">
      <x:c r="A1216" s="30" t="str">
        <x:v>UBS AM</x:v>
      </x:c>
      <x:c r="B1216" s="30" t="str">
        <x:v>PWM / AM</x:v>
      </x:c>
      <x:c r="C1216" s="30" t="str">
        <x:v>Interview Note</x:v>
      </x:c>
      <x:c r="D1216" s="31" t="str">
        <x:v>Technical</x:v>
      </x:c>
      <x:c r="E1216" s="31" t="str">
        <x:v>A14</x:v>
      </x:c>
      <x:c r="F1216" s="31" t="str">
        <x:v>A feedback you received and how you dealt with it? | What do you do in IBC? | A time you made a risky decision?</x:v>
      </x:c>
    </x:row>
    <x:row r="1217" ht="30" customHeight="1">
      <x:c r="A1217" s="30" t="str">
        <x:v>UBS AM</x:v>
      </x:c>
      <x:c r="B1217" s="30" t="str">
        <x:v>PWM / AM</x:v>
      </x:c>
      <x:c r="C1217" s="30" t="str">
        <x:v>Interview Note</x:v>
      </x:c>
      <x:c r="D1217" s="31" t="str">
        <x:v>(He mentioned it issued bonds in Oslo, not sure if it was a question)</x:v>
      </x:c>
      <x:c r="E1217" s="31" t="str">
        <x:v>A19</x:v>
      </x:c>
      <x:c r="F1217" s="31" t="str">
        <x:v>Why AM? | Pitch me an investment idea | How is the company funded, and how is the leverage and ROA like?</x:v>
      </x:c>
    </x:row>
    <x:row r="1218" ht="30" customHeight="1">
      <x:c r="A1218" s="30" t="str">
        <x:v>Fountainvest</x:v>
      </x:c>
      <x:c r="B1218" s="30" t="str">
        <x:v>PE / VC / Other</x:v>
      </x:c>
      <x:c r="C1218" s="30" t="str">
        <x:v>Metadata</x:v>
      </x:c>
      <x:c r="D1218" s="31" t="str">
        <x:v>2025 BJ offcycle (Emily)\</x:v>
      </x:c>
      <x:c r="E1218" s="31" t="str">
        <x:v>A1</x:v>
      </x:c>
      <x:c r="F1218" s="31" t="str"/>
    </x:row>
    <x:row r="1219" ht="30" customHeight="1">
      <x:c r="A1219" s="30" t="str">
        <x:v>Fountainvest</x:v>
      </x:c>
      <x:c r="B1219" s="30" t="str">
        <x:v>PE / VC / Other</x:v>
      </x:c>
      <x:c r="C1219" s="30" t="str">
        <x:v>Metadata</x:v>
      </x:c>
      <x:c r="D1219" s="31" t="str">
        <x:v>2025 SH offcycle (Emily)</x:v>
      </x:c>
      <x:c r="E1219" s="31" t="str">
        <x:v>B1</x:v>
      </x:c>
      <x:c r="F1219" s="31" t="str"/>
    </x:row>
    <x:row r="1220" ht="30" customHeight="1">
      <x:c r="A1220" s="30" t="str">
        <x:v>Fountainvest</x:v>
      </x:c>
      <x:c r="B1220" s="30" t="str">
        <x:v>PE / VC / Other</x:v>
      </x:c>
      <x:c r="C1220" s="30" t="str">
        <x:v>Interview Note</x:v>
      </x:c>
      <x:c r="D1220" s="31" t="str">
        <x:v>45607</x:v>
      </x:c>
      <x:c r="E1220" s="31" t="str">
        <x:v>A2</x:v>
      </x:c>
      <x:c r="F1220" s="31" t="str">
        <x:v>2025 BJ offcycle (Emily)\</x:v>
      </x:c>
    </x:row>
    <x:row r="1221" ht="30" customHeight="1">
      <x:c r="A1221" s="30" t="str">
        <x:v>Fountainvest</x:v>
      </x:c>
      <x:c r="B1221" s="30" t="str">
        <x:v>PE / VC / Other</x:v>
      </x:c>
      <x:c r="C1221" s="30" t="str">
        <x:v>Metadata</x:v>
      </x:c>
      <x:c r="D1221" s="31" t="str">
        <x:v>Written test</x:v>
      </x:c>
      <x:c r="E1221" s="31" t="str">
        <x:v>A3</x:v>
      </x:c>
      <x:c r="F1221" s="31" t="str">
        <x:v>2025 BJ offcycle (Emily)\ | 45607</x:v>
      </x:c>
    </x:row>
    <x:row r="1222" ht="30" customHeight="1">
      <x:c r="A1222" s="30" t="str">
        <x:v>Fountainvest</x:v>
      </x:c>
      <x:c r="B1222" s="30" t="str">
        <x:v>PE / VC / Other</x:v>
      </x:c>
      <x:c r="C1222" s="30" t="str">
        <x:v>Metadata</x:v>
      </x:c>
      <x:c r="D1222" s="31" t="str">
        <x:v>Test Overview:</x:v>
      </x:c>
      <x:c r="E1222" s="31" t="str">
        <x:v>A4</x:v>
      </x:c>
      <x:c r="F1222" s="31" t="str">
        <x:v>2025 BJ offcycle (Emily)\ | 45607 | Written test</x:v>
      </x:c>
    </x:row>
    <x:row r="1223" ht="46" customHeight="1">
      <x:c r="A1223" s="30" t="str">
        <x:v>Fountainvest</x:v>
      </x:c>
      <x:c r="B1223" s="30" t="str">
        <x:v>PE / VC / Other</x:v>
      </x:c>
      <x:c r="C1223" s="30" t="str">
        <x:v>Interview Note</x:v>
      </x:c>
      <x:c r="D1223" s="31" t="str">
        <x:v>Instruction:</x:v>
      </x:c>
      <x:c r="E1223" s="31" t="str">
        <x:v>A6</x:v>
      </x:c>
      <x:c r="F1223" s="31" t="str">
        <x:v>Written test | Test Overview: | Please complete a company analysis report for 乐歌股份 (300729). The analysis report should consist of industry analysis, business attractiveness, financials and valuation.</x:v>
      </x:c>
    </x:row>
    <x:row r="1224" ht="46" customHeight="1">
      <x:c r="A1224" s="30" t="str">
        <x:v>Fountainvest</x:v>
      </x:c>
      <x:c r="B1224" s="30" t="str">
        <x:v>PE / VC / Other</x:v>
      </x:c>
      <x:c r="C1224" s="30" t="str">
        <x:v>Interview Note</x:v>
      </x:c>
      <x:c r="D1224" s="31" t="str">
        <x:v>The ppt deck should be no more than 10 pages.</x:v>
      </x:c>
      <x:c r="E1224" s="31" t="str">
        <x:v>A7</x:v>
      </x:c>
      <x:c r="F1224" s="31" t="str">
        <x:v>Test Overview: | Please complete a company analysis report for 乐歌股份 (300729). The analysis report should consist of industry analysis, business attractiveness, financials and valuation. | Instruction:</x:v>
      </x:c>
    </x:row>
    <x:row r="1225" ht="46" customHeight="1">
      <x:c r="A1225" s="30" t="str">
        <x:v>Fountainvest</x:v>
      </x:c>
      <x:c r="B1225" s="30" t="str">
        <x:v>PE / VC / Other</x:v>
      </x:c>
      <x:c r="C1225" s="30" t="str">
        <x:v>Interview Note</x:v>
      </x:c>
      <x:c r="D1225" s="31" t="str">
        <x:v>Please complete the test in English.</x:v>
      </x:c>
      <x:c r="E1225" s="31" t="str">
        <x:v>A8</x:v>
      </x:c>
      <x:c r="F1225" s="31" t="str">
        <x:v>Please complete a company analysis report for 乐歌股份 (300729). The analysis report should consist of industry analysis, business attractiveness, financials and valuation. | Instruction: | The ppt deck should be no more than 10 pages.</x:v>
      </x:c>
    </x:row>
    <x:row r="1226" ht="30" customHeight="1">
      <x:c r="A1226" s="30" t="str">
        <x:v>Fountainvest</x:v>
      </x:c>
      <x:c r="B1226" s="30" t="str">
        <x:v>PE / VC / Other</x:v>
      </x:c>
      <x:c r="C1226" s="30" t="str">
        <x:v>Interview Note</x:v>
      </x:c>
      <x:c r="D1226" s="31" t="str">
        <x:v>Showcase your original thinking and unique perspective on the company's potential as an investment opportunity.</x:v>
      </x:c>
      <x:c r="E1226" s="31" t="str">
        <x:v>A9</x:v>
      </x:c>
      <x:c r="F1226" s="31" t="str">
        <x:v>Instruction: | The ppt deck should be no more than 10 pages. | Please complete the test in English.</x:v>
      </x:c>
    </x:row>
    <x:row r="1227" ht="46" customHeight="1">
      <x:c r="A1227" s="30" t="str">
        <x:v>Fountainvest</x:v>
      </x:c>
      <x:c r="B1227" s="30" t="str">
        <x:v>PE / VC / Other</x:v>
      </x:c>
      <x:c r="C1227" s="30" t="str">
        <x:v>Metadata</x:v>
      </x:c>
      <x:c r="D1227" s="31" t="str">
        <x:v>1st round Michael Li (All putonghua)</x:v>
      </x:c>
      <x:c r="E1227" s="31" t="str">
        <x:v>A11</x:v>
      </x:c>
      <x:c r="F1227" s="31" t="str">
        <x:v>The ppt deck should be no more than 10 pages. | Please complete the test in English. | Showcase your original thinking and unique perspective on the company's potential as an investment opportunity.</x:v>
      </x:c>
    </x:row>
    <x:row r="1228" ht="30" customHeight="1">
      <x:c r="A1228" s="30" t="str">
        <x:v>Centrium</x:v>
      </x:c>
      <x:c r="B1228" s="30" t="str">
        <x:v>PE / VC / Other</x:v>
      </x:c>
      <x:c r="C1228" s="30" t="str">
        <x:v>Metadata</x:v>
      </x:c>
      <x:c r="D1228" s="31" t="str">
        <x:v>2025 offcycle (Emily)</x:v>
      </x:c>
      <x:c r="E1228" s="31" t="str">
        <x:v>A1</x:v>
      </x:c>
      <x:c r="F1228" s="31" t="str"/>
    </x:row>
    <x:row r="1229" ht="30" customHeight="1">
      <x:c r="A1229" s="30" t="str">
        <x:v>Centrium</x:v>
      </x:c>
      <x:c r="B1229" s="30" t="str">
        <x:v>PE / VC / Other</x:v>
      </x:c>
      <x:c r="C1229" s="30" t="str">
        <x:v>Interview Note</x:v>
      </x:c>
      <x:c r="D1229" s="31" t="str">
        <x:v>45608</x:v>
      </x:c>
      <x:c r="E1229" s="31" t="str">
        <x:v>A2</x:v>
      </x:c>
      <x:c r="F1229" s="31" t="str">
        <x:v>2025 offcycle (Emily)</x:v>
      </x:c>
    </x:row>
    <x:row r="1230" ht="30" customHeight="1">
      <x:c r="A1230" s="30" t="str">
        <x:v>MSPEA</x:v>
      </x:c>
      <x:c r="B1230" s="30" t="str">
        <x:v>PE / VC / Other</x:v>
      </x:c>
      <x:c r="C1230" s="30" t="str">
        <x:v>Metadata</x:v>
      </x:c>
      <x:c r="D1230" s="31" t="str">
        <x:v>2025 offcycle (Emily): process: written test, 1st round interview with 2 analyst, final round with a VP/ED</x:v>
      </x:c>
      <x:c r="E1230" s="31" t="str">
        <x:v>A1</x:v>
      </x:c>
      <x:c r="F1230" s="31" t="str"/>
    </x:row>
    <x:row r="1231" ht="30" customHeight="1">
      <x:c r="A1231" s="30" t="str">
        <x:v>MSPEA</x:v>
      </x:c>
      <x:c r="B1231" s="30" t="str">
        <x:v>PE / VC / Other</x:v>
      </x:c>
      <x:c r="C1231" s="30" t="str">
        <x:v>Interview Note</x:v>
      </x:c>
      <x:c r="D1231" s="31" t="str">
        <x:v>1st interviewer</x:v>
      </x:c>
      <x:c r="E1231" s="31" t="str">
        <x:v>A2</x:v>
      </x:c>
      <x:c r="F1231" s="31" t="str">
        <x:v>2025 offcycle (Emily): process: written test, 1st round interview with 2 analyst, final round with a VP/ED</x:v>
      </x:c>
    </x:row>
    <x:row r="1232" ht="30" customHeight="1">
      <x:c r="A1232" s="30" t="str">
        <x:v>MSPEA</x:v>
      </x:c>
      <x:c r="B1232" s="30" t="str">
        <x:v>PE / VC / Other</x:v>
      </x:c>
      <x:c r="C1232" s="30" t="str">
        <x:v>Metadata</x:v>
      </x:c>
      <x:c r="D1232" s="31" t="str">
        <x:v>Final round</x:v>
      </x:c>
      <x:c r="E1232" s="31" t="str">
        <x:v>B2</x:v>
      </x:c>
      <x:c r="F1232" s="31" t="str"/>
    </x:row>
    <x:row r="1233" ht="46" customHeight="1">
      <x:c r="A1233" s="30" t="str">
        <x:v>MSPEA</x:v>
      </x:c>
      <x:c r="B1233" s="30" t="str">
        <x:v>PE / VC / Other</x:v>
      </x:c>
      <x:c r="C1233" s="30" t="str">
        <x:v>Interview Note</x:v>
      </x:c>
      <x:c r="D1233" s="31" t="str">
        <x:v>From here all Chinese</x:v>
      </x:c>
      <x:c r="E1233" s="31" t="str">
        <x:v>A4</x:v>
      </x:c>
      <x:c r="F1233" s="31" t="str">
        <x:v>2025 offcycle (Emily): process: written test, 1st round interview with 2 analyst, final round with a VP/ED | 1st interviewer | self introduction</x:v>
      </x:c>
    </x:row>
    <x:row r="1234" ht="30" customHeight="1">
      <x:c r="A1234" s="30" t="str">
        <x:v>MSPEA</x:v>
      </x:c>
      <x:c r="B1234" s="30" t="str">
        <x:v>PE / VC / Other</x:v>
      </x:c>
      <x:c r="C1234" s="30" t="str">
        <x:v>Metadata</x:v>
      </x:c>
      <x:c r="D1234" s="31" t="str">
        <x:v>Interviewer 2:</x:v>
      </x:c>
      <x:c r="E1234" s="31" t="str">
        <x:v>A18</x:v>
      </x:c>
      <x:c r="F1234" s="31" t="str">
        <x:v>收入差距是因为？ | 油船公司有什么技术上的优势/方法？（I told him the diff is business model) | 国内国外公司？</x:v>
      </x:c>
    </x:row>
    <x:row r="1235" ht="46" customHeight="1">
      <x:c r="A1235" s="30" t="str">
        <x:v>MSPEA</x:v>
      </x:c>
      <x:c r="B1235" s="30" t="str">
        <x:v>PE / VC / Other</x:v>
      </x:c>
      <x:c r="C1235" s="30" t="str">
        <x:v>Metadata</x:v>
      </x:c>
      <x:c r="D1235" s="31" t="str">
        <x:v>2025 Off-cycle Shenzhen spring batch - David: Process: Written test; 1st round interview</x:v>
      </x:c>
      <x:c r="E1235" s="31" t="str">
        <x:v>A23</x:v>
      </x:c>
      <x:c r="F1235" s="31" t="str">
        <x:v>EV: market cap use which one? Diluted market cap? Total market cap? Floating market caps | Where to find each part of EV/ EBITDA breakdown from capiq | If there’s no reports about this company, how would u find comps of this company?</x:v>
      </x:c>
    </x:row>
    <x:row r="1236" ht="30" customHeight="1">
      <x:c r="A1236" s="30" t="str">
        <x:v>Warburg Pincus</x:v>
      </x:c>
      <x:c r="B1236" s="30" t="str">
        <x:v>PE / VC / Other</x:v>
      </x:c>
      <x:c r="C1236" s="30" t="str">
        <x:v>Metadata</x:v>
      </x:c>
      <x:c r="D1236" s="31" t="str">
        <x:v>2025 offcycle FIG</x:v>
      </x:c>
      <x:c r="E1236" s="31" t="str">
        <x:v>A1</x:v>
      </x:c>
      <x:c r="F1236" s="31" t="str"/>
    </x:row>
    <x:row r="1237" ht="30" customHeight="1">
      <x:c r="A1237" s="30" t="str">
        <x:v>IDG Capital</x:v>
      </x:c>
      <x:c r="B1237" s="30" t="str">
        <x:v>PE / VC / Other</x:v>
      </x:c>
      <x:c r="C1237" s="30" t="str">
        <x:v>Metadata</x:v>
      </x:c>
      <x:c r="D1237" s="31" t="str">
        <x:v>2025 offcycle (Emily)</x:v>
      </x:c>
      <x:c r="E1237" s="31" t="str">
        <x:v>A1</x:v>
      </x:c>
      <x:c r="F1237" s="31" t="str"/>
    </x:row>
    <x:row r="1238" ht="30" customHeight="1">
      <x:c r="A1238" s="30" t="str">
        <x:v>CDH</x:v>
      </x:c>
      <x:c r="B1238" s="30" t="str">
        <x:v>PE / VC / Other</x:v>
      </x:c>
      <x:c r="C1238" s="30" t="str">
        <x:v>Metadata</x:v>
      </x:c>
      <x:c r="D1238" s="31" t="str">
        <x:v>2025 Off cycle</x:v>
      </x:c>
      <x:c r="E1238" s="31" t="str">
        <x:v>A1</x:v>
      </x:c>
      <x:c r="F1238" s="31" t="str"/>
    </x:row>
    <x:row r="1239" ht="30" customHeight="1">
      <x:c r="A1239" s="30" t="str">
        <x:v>CDH</x:v>
      </x:c>
      <x:c r="B1239" s="30" t="str">
        <x:v>PE / VC / Other</x:v>
      </x:c>
      <x:c r="C1239" s="30" t="str">
        <x:v>Metadata</x:v>
      </x:c>
      <x:c r="D1239" s="31" t="str">
        <x:v>1st round</x:v>
      </x:c>
      <x:c r="E1239" s="31" t="str">
        <x:v>A2</x:v>
      </x:c>
      <x:c r="F1239" s="31" t="str">
        <x:v>2025 Off cycle</x:v>
      </x:c>
    </x:row>
    <x:row r="1240" ht="30" customHeight="1">
      <x:c r="A1240" s="30" t="str">
        <x:v>CDH</x:v>
      </x:c>
      <x:c r="B1240" s="30" t="str">
        <x:v>PE / VC / Other</x:v>
      </x:c>
      <x:c r="C1240" s="30" t="str">
        <x:v>Metadata</x:v>
      </x:c>
      <x:c r="D1240" s="31" t="str">
        <x:v>3 mins self intro and career goals and why buyside</x:v>
      </x:c>
      <x:c r="E1240" s="31" t="str">
        <x:v>A3</x:v>
      </x:c>
      <x:c r="F1240" s="31" t="str">
        <x:v>2025 Off cycle | 1st round</x:v>
      </x:c>
    </x:row>
    <x:row r="1241" ht="30" customHeight="1">
      <x:c r="A1241" s="30" t="str">
        <x:v>HKEX</x:v>
      </x:c>
      <x:c r="B1241" s="30" t="str">
        <x:v>PE / VC / Other</x:v>
      </x:c>
      <x:c r="C1241" s="30" t="str">
        <x:v>Metadata</x:v>
      </x:c>
      <x:c r="D1241" s="31" t="str">
        <x:v>2025 HKEX group strategy</x:v>
      </x:c>
      <x:c r="E1241" s="31" t="str">
        <x:v>A1</x:v>
      </x:c>
      <x:c r="F1241" s="31" t="str"/>
    </x:row>
    <x:row r="1242" ht="30" customHeight="1">
      <x:c r="A1242" s="30" t="str">
        <x:v>HKEX</x:v>
      </x:c>
      <x:c r="B1242" s="30" t="str">
        <x:v>PE / VC / Other</x:v>
      </x:c>
      <x:c r="C1242" s="30" t="str">
        <x:v>Metadata</x:v>
      </x:c>
      <x:c r="D1242" s="31" t="str">
        <x:v>1st round (2 interviewers):</x:v>
      </x:c>
      <x:c r="E1242" s="31" t="str">
        <x:v>A2</x:v>
      </x:c>
      <x:c r="F1242" s="31" t="str">
        <x:v>2025 HKEX group strategy</x:v>
      </x:c>
    </x:row>
    <x:row r="1243" ht="46" customHeight="1">
      <x:c r="A1243" s="30" t="str">
        <x:v>HKEX</x:v>
      </x:c>
      <x:c r="B1243" s="30" t="str">
        <x:v>PE / VC / Other</x:v>
      </x:c>
      <x:c r="C1243" s="30" t="str">
        <x:v>Interview Note</x:v>
      </x:c>
      <x:c r="D1243" s="31" t="str">
        <x:v>CV questions (mainly about your contribution, instead of modeling kind of stuff)</x:v>
      </x:c>
      <x:c r="E1243" s="31" t="str">
        <x:v>A5</x:v>
      </x:c>
      <x:c r="F1243" s="31" t="str">
        <x:v>1st round (2 interviewers): | Why HKEX, what are the major income sources of HKEX? | Tell me your understanding of our department, what does group strategy do?</x:v>
      </x:c>
    </x:row>
    <x:row r="1244" ht="46" customHeight="1">
      <x:c r="A1244" s="30" t="str">
        <x:v>HKEX</x:v>
      </x:c>
      <x:c r="B1244" s="30" t="str">
        <x:v>PE / VC / Other</x:v>
      </x:c>
      <x:c r="C1244" s="30" t="str">
        <x:v>Interview Note</x:v>
      </x:c>
      <x:c r="D1244" s="31" t="str">
        <x:v>Propose a strategy for HKEX, give a 1min presentation to illustrate your idea, what are the critical components in a thorough strategy (you may consider background information, macroeconomics… and don’t forget risks)</x:v>
      </x:c>
      <x:c r="E1244" s="31" t="str">
        <x:v>A7</x:v>
      </x:c>
      <x:c r="F1244" s="31" t="str">
        <x:v>Tell me your understanding of our department, what does group strategy do? | CV questions (mainly about your contribution, instead of modeling kind of stuff) | What is the comparative advantage of HKEX?</x:v>
      </x:c>
    </x:row>
    <x:row r="1245" ht="62" customHeight="1">
      <x:c r="A1245" s="30" t="str">
        <x:v>HKEX</x:v>
      </x:c>
      <x:c r="B1245" s="30" t="str">
        <x:v>PE / VC / Other</x:v>
      </x:c>
      <x:c r="C1245" s="30" t="str">
        <x:v>Metadata</x:v>
      </x:c>
      <x:c r="D1245" s="31" t="str">
        <x:v>2nd round (1 manager):</x:v>
      </x:c>
      <x:c r="E1245" s="31" t="str">
        <x:v>A9</x:v>
      </x:c>
      <x:c r="F1245" s="31" t="str">
        <x:v>CV questions (mainly about your contribution, instead of modeling kind of stuff) | What is the comparative advantage of HKEX? | Propose a strategy for HKEX, give a 1min presentation to illustrate your idea, what are the critical componen...</x:v>
      </x:c>
    </x:row>
    <x:row r="1246" ht="62" customHeight="1">
      <x:c r="A1246" s="30" t="str">
        <x:v>HKEX</x:v>
      </x:c>
      <x:c r="B1246" s="30" t="str">
        <x:v>PE / VC / Other</x:v>
      </x:c>
      <x:c r="C1246" s="30" t="str">
        <x:v>Interview Note</x:v>
      </x:c>
      <x:c r="D1246" s="31" t="str">
        <x:v>One of the heads of group strategy is English, so be prepared for English accent</x:v>
      </x:c>
      <x:c r="E1246" s="31" t="str">
        <x:v>A10</x:v>
      </x:c>
      <x:c r="F1246" s="31" t="str">
        <x:v>What is the comparative advantage of HKEX? | Propose a strategy for HKEX, give a 1min presentation to illustrate your idea, what are the critical components in a thorough strategy (you may consider background information, macroeconomics…...</x:v>
      </x:c>
    </x:row>
    <x:row r="1247" ht="62" customHeight="1">
      <x:c r="A1247" s="30" t="str">
        <x:v>HKEX</x:v>
      </x:c>
      <x:c r="B1247" s="30" t="str">
        <x:v>PE / VC / Other</x:v>
      </x:c>
      <x:c r="C1247" s="30" t="str">
        <x:v>Metadata</x:v>
      </x:c>
      <x:c r="D1247" s="31" t="str">
        <x:v>2026 HKEX global client development - Anna</x:v>
      </x:c>
      <x:c r="E1247" s="31" t="str">
        <x:v>A20</x:v>
      </x:c>
      <x:c r="F1247" s="31" t="str">
        <x:v>What are the differences between HKEX, SSE, SZSE, NASDAQ, NYSE in terms of their scope of business, pros and cons. Why would a company choose HKEX? (consider not only listing, but also the derivative market, preferences of different indu...</x:v>
      </x:c>
    </x:row>
    <x:row r="1248" ht="62" customHeight="1">
      <x:c r="A1248" s="30" t="str">
        <x:v>HKEX</x:v>
      </x:c>
      <x:c r="B1248" s="30" t="str">
        <x:v>PE / VC / Other</x:v>
      </x:c>
      <x:c r="C1248" s="30" t="str">
        <x:v>Interview Note</x:v>
      </x:c>
      <x:c r="D1248" s="31" t="str">
        <x:v>Had only one round interview with SVP, very conversational with a focus on CV deep dive, including working process, my role, improvements</x:v>
      </x:c>
      <x:c r="E1248" s="31" t="str">
        <x:v>A21</x:v>
      </x:c>
      <x:c r="F1248" s="31" t="str">
        <x:v>Tell me about a recent news event and your understanding of its impact on HKEX. | Notes: HKEX’s website is very informative, look up as much information as you can before the interview, show your familiarity with the company to the inter...</x:v>
      </x:c>
    </x:row>
    <x:row r="1249" ht="62" customHeight="1">
      <x:c r="A1249" s="30" t="str">
        <x:v>HKEX</x:v>
      </x:c>
      <x:c r="B1249" s="30" t="str">
        <x:v>PE / VC / Other</x:v>
      </x:c>
      <x:c r="C1249" s="30" t="str">
        <x:v>Interview Note</x:v>
      </x:c>
      <x:c r="D1249" s="31" t="str">
        <x:v>Good to look into new product launches by HKEX as can be referred to during interview</x:v>
      </x:c>
      <x:c r="E1249" s="31" t="str">
        <x:v>A23</x:v>
      </x:c>
      <x:c r="F1249" s="31" t="str">
        <x:v>2026 HKEX global client development - Anna | Had only one round interview with SVP, very conversational with a focus on CV deep dive, including working process, my role, improvements | Asked about my view on HK IPOs, as I wrote about A1 ...</x:v>
      </x:c>
    </x:row>
    <x:row r="1250" ht="62" customHeight="1">
      <x:c r="A1250" s="30" t="str">
        <x:v>HKEX</x:v>
      </x:c>
      <x:c r="B1250" s="30" t="str">
        <x:v>PE / VC / Other</x:v>
      </x:c>
      <x:c r="C1250" s="30" t="str">
        <x:v>Interview Note</x:v>
      </x:c>
      <x:c r="D1250" s="31" t="str">
        <x:v>The manager highlighted "detail-oriented" as a key standout among candidates (need to be very certain of every word written on our CV and get ready to explain each line in detail)</x:v>
      </x:c>
      <x:c r="E1250" s="31" t="str">
        <x:v>A24</x:v>
      </x:c>
      <x:c r="F1250" s="31" t="str">
        <x:v>Had only one round interview with SVP, very conversational with a focus on CV deep dive, including working process, my role, improvements | Asked about my view on HK IPOs, as I wrote about A1 filings in my current experience | Good to lo...</x:v>
      </x:c>
    </x:row>
    <x:row r="1251" ht="30" customHeight="1">
      <x:c r="A1251" s="30" t="str">
        <x:v>JPM Payment</x:v>
      </x:c>
      <x:c r="B1251" s="30" t="str">
        <x:v>PE / VC / Other</x:v>
      </x:c>
      <x:c r="C1251" s="30" t="str">
        <x:v>Metadata</x:v>
      </x:c>
      <x:c r="D1251" s="31" t="str">
        <x:v>2026 SA JPM Payment (Veronica)</x:v>
      </x:c>
      <x:c r="E1251" s="31" t="str">
        <x:v>A1</x:v>
      </x:c>
      <x:c r="F1251" s="31" t="str"/>
    </x:row>
    <x:row r="1252" ht="30" customHeight="1">
      <x:c r="A1252" s="30" t="str">
        <x:v>JPM Payment</x:v>
      </x:c>
      <x:c r="B1252" s="30" t="str">
        <x:v>PE / VC / Other</x:v>
      </x:c>
      <x:c r="C1252" s="30" t="str">
        <x:v>Metadata</x:v>
      </x:c>
      <x:c r="D1252" s="31" t="str">
        <x:v>First Round with 2 VPs</x:v>
      </x:c>
      <x:c r="E1252" s="31" t="str">
        <x:v>A2</x:v>
      </x:c>
      <x:c r="F1252" s="31" t="str">
        <x:v>2026 SA JPM Payment (Veronica)</x:v>
      </x:c>
    </x:row>
    <x:row r="1253" ht="46" customHeight="1">
      <x:c r="A1253" s="30" t="str">
        <x:v>JPM Payment</x:v>
      </x:c>
      <x:c r="B1253" s="30" t="str">
        <x:v>PE / VC / Other</x:v>
      </x:c>
      <x:c r="C1253" s="30" t="str">
        <x:v>Interview Note</x:v>
      </x:c>
      <x:c r="D1253" s="31" t="str">
        <x:v>Several behaviroual Qs with follow-ups (Complex task, group work quality not good, something against your value, working styles with different ppl)</x:v>
      </x:c>
      <x:c r="E1253" s="31" t="str">
        <x:v>A3</x:v>
      </x:c>
      <x:c r="F1253" s="31" t="str">
        <x:v>2026 SA JPM Payment (Veronica) | First Round with 2 VPs</x:v>
      </x:c>
    </x:row>
    <x:row r="1254" ht="46" customHeight="1">
      <x:c r="A1254" s="30" t="str">
        <x:v>JPM Payment</x:v>
      </x:c>
      <x:c r="B1254" s="30" t="str">
        <x:v>PE / VC / Other</x:v>
      </x:c>
      <x:c r="C1254" s="30" t="str">
        <x:v>Metadata</x:v>
      </x:c>
      <x:c r="D1254" s="31" t="str">
        <x:v>30min</x:v>
      </x:c>
      <x:c r="E1254" s="31" t="str">
        <x:v>A5</x:v>
      </x:c>
      <x:c r="F1254" s="31" t="str">
        <x:v>First Round with 2 VPs | Several behaviroual Qs with follow-ups (Complex task, group work quality not good, something against your value, working styles with different ppl) | Motivation Qs: why payment?</x:v>
      </x:c>
    </x:row>
    <x:row r="1255" ht="46" customHeight="1">
      <x:c r="A1255" s="30" t="str">
        <x:v>JPM Payment</x:v>
      </x:c>
      <x:c r="B1255" s="30" t="str">
        <x:v>PE / VC / Other</x:v>
      </x:c>
      <x:c r="C1255" s="30" t="str">
        <x:v>Metadata</x:v>
      </x:c>
      <x:c r="D1255" s="31" t="str">
        <x:v>SPD</x:v>
      </x:c>
      <x:c r="E1255" s="31" t="str">
        <x:v>A7</x:v>
      </x:c>
      <x:c r="F1255" s="31" t="str">
        <x:v>Several behaviroual Qs with follow-ups (Complex task, group work quality not good, something against your value, working styles with different ppl) | Motivation Qs: why payment? | 30min</x:v>
      </x:c>
    </x:row>
    <x:row r="1256" ht="46" customHeight="1">
      <x:c r="A1256" s="30" t="str">
        <x:v>JPM Payment</x:v>
      </x:c>
      <x:c r="B1256" s="30" t="str">
        <x:v>PE / VC / Other</x:v>
      </x:c>
      <x:c r="C1256" s="30" t="str">
        <x:v>Interview Note</x:v>
      </x:c>
      <x:c r="D1256" s="31" t="str">
        <x:v>onsite half-day superday with case study, group discussion, individual interviews with Directors, networking lunch session</x:v>
      </x:c>
      <x:c r="E1256" s="31" t="str">
        <x:v>A8</x:v>
      </x:c>
      <x:c r="F1256" s="31" t="str">
        <x:v>Motivation Qs: why payment? | 30min | SPD</x:v>
      </x:c>
    </x:row>
    <x:row r="1257" ht="46" customHeight="1">
      <x:c r="A1257" s="30" t="str">
        <x:v>JPM Payment</x:v>
      </x:c>
      <x:c r="B1257" s="30" t="str">
        <x:v>PE / VC / Other</x:v>
      </x:c>
      <x:c r="C1257" s="30" t="str">
        <x:v>Interview Note</x:v>
      </x:c>
      <x:c r="D1257" s="31" t="str">
        <x:v>10 candidates in total, split into 2 groups</x:v>
      </x:c>
      <x:c r="E1257" s="31" t="str">
        <x:v>A9</x:v>
      </x:c>
      <x:c r="F1257" s="31" t="str">
        <x:v>30min | SPD | onsite half-day superday with case study, group discussion, individual interviews with Directors, networking lunch session</x:v>
      </x:c>
    </x:row>
    <x:row r="1258" ht="46" customHeight="1">
      <x:c r="A1258" s="30" t="str">
        <x:v>JPM Payment</x:v>
      </x:c>
      <x:c r="B1258" s="30" t="str">
        <x:v>PE / VC / Other</x:v>
      </x:c>
      <x:c r="C1258" s="30" t="str">
        <x:v>Interview Note</x:v>
      </x:c>
      <x:c r="D1258" s="31" t="str">
        <x:v>case study: knowledge on payment &amp; payment products, fintech</x:v>
      </x:c>
      <x:c r="E1258" s="31" t="str">
        <x:v>A10</x:v>
      </x:c>
      <x:c r="F1258" s="31" t="str">
        <x:v>SPD | onsite half-day superday with case study, group discussion, individual interviews with Directors, networking lunch session | 10 candidates in total, split into 2 groups</x:v>
      </x:c>
    </x:row>
    <x:row r="1259" ht="30" customHeight="1">
      <x:c r="A1259" s="30" t="str">
        <x:v>HSBC CMB</x:v>
      </x:c>
      <x:c r="B1259" s="30" t="str">
        <x:v>PE / VC / Other</x:v>
      </x:c>
      <x:c r="C1259" s="30" t="str">
        <x:v>Interview Note</x:v>
      </x:c>
      <x:c r="D1259" s="31" t="str">
        <x:v>HSBC CMB large coporate client coverage team</x:v>
      </x:c>
      <x:c r="E1259" s="31" t="str">
        <x:v>A1</x:v>
      </x:c>
      <x:c r="F1259" s="31" t="str"/>
    </x:row>
    <x:row r="1260" ht="30" customHeight="1">
      <x:c r="A1260" s="30" t="str">
        <x:v>HSBC CMB</x:v>
      </x:c>
      <x:c r="B1260" s="30" t="str">
        <x:v>PE / VC / Other</x:v>
      </x:c>
      <x:c r="C1260" s="30" t="str">
        <x:v>Metadata</x:v>
      </x:c>
      <x:c r="D1260" s="31" t="str">
        <x:v>Jim</x:v>
      </x:c>
      <x:c r="E1260" s="31" t="str">
        <x:v>A2</x:v>
      </x:c>
      <x:c r="F1260" s="31" t="str">
        <x:v>HSBC CMB large coporate client coverage team</x:v>
      </x:c>
    </x:row>
    <x:row r="1261" ht="30" customHeight="1">
      <x:c r="A1261" s="30" t="str">
        <x:v>HSBC CMB</x:v>
      </x:c>
      <x:c r="B1261" s="30" t="str">
        <x:v>PE / VC / Other</x:v>
      </x:c>
      <x:c r="C1261" s="30" t="str">
        <x:v>Interview Note</x:v>
      </x:c>
      <x:c r="D1261" s="31" t="str">
        <x:v>This is a necessary condition and u may fail becase of it, they will test u</x:v>
      </x:c>
      <x:c r="E1261" s="31" t="str">
        <x:v>C3</x:v>
      </x:c>
      <x:c r="F1261" s="31" t="str"/>
    </x:row>
    <x:row r="1262" ht="30" customHeight="1">
      <x:c r="A1262" s="30" t="str">
        <x:v>HSBC CMB</x:v>
      </x:c>
      <x:c r="B1262" s="30" t="str">
        <x:v>PE / VC / Other</x:v>
      </x:c>
      <x:c r="C1262" s="30" t="str">
        <x:v>Interview Note</x:v>
      </x:c>
      <x:c r="D1262" s="31" t="str">
        <x:v>Specific products of HSBC CMB</x:v>
      </x:c>
      <x:c r="E1262" s="31" t="str">
        <x:v>A4</x:v>
      </x:c>
      <x:c r="F1262" s="31" t="str">
        <x:v>HSBC CMB large coporate client coverage team | Jim | Do you speak catonese</x:v>
      </x:c>
    </x:row>
    <x:row r="1263" ht="30" customHeight="1">
      <x:c r="A1263" s="30" t="str">
        <x:v>HSBC CMB</x:v>
      </x:c>
      <x:c r="B1263" s="30" t="str">
        <x:v>PE / VC / Other</x:v>
      </x:c>
      <x:c r="C1263" s="30" t="str">
        <x:v>Interview Note</x:v>
      </x:c>
      <x:c r="D1263" s="31" t="str">
        <x:v>You are an AMPB student but why do u want to work in CMB</x:v>
      </x:c>
      <x:c r="E1263" s="31" t="str">
        <x:v>A6</x:v>
      </x:c>
      <x:c r="F1263" s="31" t="str">
        <x:v>Do you speak catonese | Specific products of HSBC CMB | What advantage could you bring to our team</x:v>
      </x:c>
    </x:row>
    <x:row r="1264" ht="46" customHeight="1">
      <x:c r="A1264" s="30" t="str">
        <x:v>HSBC CMB</x:v>
      </x:c>
      <x:c r="B1264" s="30" t="str">
        <x:v>PE / VC / Other</x:v>
      </x:c>
      <x:c r="C1264" s="30" t="str">
        <x:v>Interview Note</x:v>
      </x:c>
      <x:c r="D1264" s="31" t="str">
        <x:v>market news</x:v>
      </x:c>
      <x:c r="E1264" s="31" t="str">
        <x:v>A7</x:v>
      </x:c>
      <x:c r="F1264" s="31" t="str">
        <x:v>Specific products of HSBC CMB | What advantage could you bring to our team | You are an AMPB student but why do u want to work in CMB</x:v>
      </x:c>
    </x:row>
    <x:row r="1265" ht="30" customHeight="1">
      <x:c r="A1265" s="30" t="str">
        <x:v>HSBC CMB</x:v>
      </x:c>
      <x:c r="B1265" s="30" t="str">
        <x:v>PE / VC / Other</x:v>
      </x:c>
      <x:c r="C1265" s="30" t="str">
        <x:v>Interview Note</x:v>
      </x:c>
      <x:c r="D1265" s="31" t="str">
        <x:v>Methodology of Market Research</x:v>
      </x:c>
      <x:c r="E1265" s="31" t="str">
        <x:v>A8</x:v>
      </x:c>
      <x:c r="F1265" s="31" t="str">
        <x:v>What advantage could you bring to our team | You are an AMPB student but why do u want to work in CMB | market news</x:v>
      </x:c>
    </x:row>
    <x:row r="1266" ht="30" customHeight="1">
      <x:c r="A1266" s="30" t="str">
        <x:v>HSBC CMB</x:v>
      </x:c>
      <x:c r="B1266" s="30" t="str">
        <x:v>PE / VC / Other</x:v>
      </x:c>
      <x:c r="C1266" s="30" t="str">
        <x:v>Metadata</x:v>
      </x:c>
      <x:c r="D1266" s="31" t="str">
        <x:v>behavioral and motivation questions add up to 50% of the interview</x:v>
      </x:c>
      <x:c r="E1266" s="31" t="str">
        <x:v>A11</x:v>
      </x:c>
      <x:c r="F1266" s="31" t="str">
        <x:v>market news | Methodology of Market Research | How to use AI</x:v>
      </x:c>
    </x:row>
    <x:row r="1267" ht="30" customHeight="1">
      <x:c r="A1267" s="30" t="str">
        <x:v>Mindworks Capital</x:v>
      </x:c>
      <x:c r="B1267" s="30" t="str">
        <x:v>PE / VC / Other</x:v>
      </x:c>
      <x:c r="C1267" s="30" t="str">
        <x:v>Metadata</x:v>
      </x:c>
      <x:c r="D1267" s="31" t="str">
        <x:v>Jim</x:v>
      </x:c>
      <x:c r="E1267" s="31" t="str">
        <x:v>A1</x:v>
      </x:c>
      <x:c r="F1267" s="31" t="str"/>
    </x:row>
    <x:row r="1268" ht="30" customHeight="1">
      <x:c r="A1268" s="30" t="str">
        <x:v>Mindworks Capital</x:v>
      </x:c>
      <x:c r="B1268" s="30" t="str">
        <x:v>PE / VC / Other</x:v>
      </x:c>
      <x:c r="C1268" s="30" t="str">
        <x:v>Interview Note</x:v>
      </x:c>
      <x:c r="D1268" s="31" t="str">
        <x:v>千万不要轻敌</x:v>
      </x:c>
      <x:c r="E1268" s="31" t="str">
        <x:v>A2</x:v>
      </x:c>
      <x:c r="F1268" s="31" t="str">
        <x:v>Jim</x:v>
      </x:c>
    </x:row>
    <x:row r="1269" ht="30" customHeight="1">
      <x:c r="A1269" s="30" t="str">
        <x:v>Mindworks Capital</x:v>
      </x:c>
      <x:c r="B1269" s="30" t="str">
        <x:v>PE / VC / Other</x:v>
      </x:c>
      <x:c r="C1269" s="30" t="str">
        <x:v>Interview Note</x:v>
      </x:c>
      <x:c r="D1269" s="31" t="str">
        <x:v>Really hard</x:v>
      </x:c>
      <x:c r="E1269" s="31" t="str">
        <x:v>E2</x:v>
      </x:c>
      <x:c r="F1269" s="31" t="str"/>
    </x:row>
    <x:row r="1270" ht="30" customHeight="1">
      <x:c r="A1270" s="30" t="str">
        <x:v>Mindworks Capital</x:v>
      </x:c>
      <x:c r="B1270" s="30" t="str">
        <x:v>PE / VC / Other</x:v>
      </x:c>
      <x:c r="C1270" s="30" t="str">
        <x:v>Interview Note</x:v>
      </x:c>
      <x:c r="D1270" s="31" t="str">
        <x:v>学院面试</x:v>
      </x:c>
      <x:c r="E1270" s="31" t="str">
        <x:v>A3</x:v>
      </x:c>
      <x:c r="F1270" s="31" t="str">
        <x:v>Jim | 千万不要轻敌</x:v>
      </x:c>
    </x:row>
    <x:row r="1271" ht="30" customHeight="1">
      <x:c r="A1271" s="30" t="str">
        <x:v>Mindworks Capital</x:v>
      </x:c>
      <x:c r="B1271" s="30" t="str">
        <x:v>PE / VC / Other</x:v>
      </x:c>
      <x:c r="C1271" s="30" t="str">
        <x:v>Metadata</x:v>
      </x:c>
      <x:c r="D1271" s="31" t="str">
        <x:v>Analyst interview</x:v>
      </x:c>
      <x:c r="E1271" s="31" t="str">
        <x:v>C3</x:v>
      </x:c>
      <x:c r="F1271" s="31" t="str"/>
    </x:row>
    <x:row r="1272" ht="30" customHeight="1">
      <x:c r="A1272" s="30" t="str">
        <x:v>Mindworks Capital</x:v>
      </x:c>
      <x:c r="B1272" s="30" t="str">
        <x:v>PE / VC / Other</x:v>
      </x:c>
      <x:c r="C1272" s="30" t="str">
        <x:v>Interview Note</x:v>
      </x:c>
      <x:c r="D1272" s="31" t="str">
        <x:v>Technical interview</x:v>
      </x:c>
      <x:c r="E1272" s="31" t="str">
        <x:v>E3</x:v>
      </x:c>
      <x:c r="F1272" s="31" t="str">
        <x:v>Really hard</x:v>
      </x:c>
    </x:row>
    <x:row r="1273" ht="30" customHeight="1">
      <x:c r="A1273" s="30" t="str">
        <x:v>Mindworks Capital</x:v>
      </x:c>
      <x:c r="B1273" s="30" t="str">
        <x:v>PE / VC / Other</x:v>
      </x:c>
      <x:c r="C1273" s="30" t="str">
        <x:v>Interview Note</x:v>
      </x:c>
      <x:c r="D1273" s="31" t="str">
        <x:v>Understanding of VC</x:v>
      </x:c>
      <x:c r="E1273" s="31" t="str">
        <x:v>A5</x:v>
      </x:c>
      <x:c r="F1273" s="31" t="str">
        <x:v>千万不要轻敌 | 学院面试 | Why Mindworks</x:v>
      </x:c>
    </x:row>
    <x:row r="1274" ht="30" customHeight="1">
      <x:c r="A1274" s="30" t="str">
        <x:v>Mindworks Capital</x:v>
      </x:c>
      <x:c r="B1274" s="30" t="str">
        <x:v>PE / VC / Other</x:v>
      </x:c>
      <x:c r="C1274" s="30" t="str">
        <x:v>Interview Note</x:v>
      </x:c>
      <x:c r="D1274" s="31" t="str">
        <x:v>understanding of a specific industry</x:v>
      </x:c>
      <x:c r="E1274" s="31" t="str">
        <x:v>C6</x:v>
      </x:c>
      <x:c r="F1274" s="31" t="str">
        <x:v>Analyst interview | Pitch me a company | some basic market sizing questions</x:v>
      </x:c>
    </x:row>
    <x:row r="1275" ht="62" customHeight="1">
      <x:c r="A1275" s="30" t="str">
        <x:v>Mindworks Capital</x:v>
      </x:c>
      <x:c r="B1275" s="30" t="str">
        <x:v>PE / VC / Other</x:v>
      </x:c>
      <x:c r="C1275" s="30" t="str">
        <x:v>Interview Note</x:v>
      </x:c>
      <x:c r="D1275" s="31" t="str">
        <x:v>AI and internet is not permitted</x:v>
      </x:c>
      <x:c r="E1275" s="31" t="str">
        <x:v>E6</x:v>
      </x:c>
      <x:c r="F1275" s="31" t="str">
        <x:v>Technical interview | Two super long market sizing questions, 5 minutes for thinking and calculation and then present it | A super super long company pitch material for u to read, use 15 minutes to analyze this company, and calculate som...</x:v>
      </x:c>
    </x:row>
    <x:row r="1276" ht="30" customHeight="1">
      <x:c r="A1276" s="30" t="str">
        <x:v>Mindworks Capital</x:v>
      </x:c>
      <x:c r="B1276" s="30" t="str">
        <x:v>PE / VC / Other</x:v>
      </x:c>
      <x:c r="C1276" s="30" t="str">
        <x:v>Interview Note</x:v>
      </x:c>
      <x:c r="D1276" s="31" t="str">
        <x:v>mostly motivation and behavorial</x:v>
      </x:c>
      <x:c r="E1276" s="31" t="str">
        <x:v>A7</x:v>
      </x:c>
      <x:c r="F1276" s="31" t="str">
        <x:v>Why Mindworks | Understanding of VC | What did u do in previous internship</x:v>
      </x:c>
    </x:row>
    <x:row r="1277" ht="30" customHeight="1">
      <x:c r="A1277" s="30" t="str">
        <x:v>Mindworks Capital</x:v>
      </x:c>
      <x:c r="B1277" s="30" t="str">
        <x:v>PE / VC / Other</x:v>
      </x:c>
      <x:c r="C1277" s="30" t="str">
        <x:v>Interview Note</x:v>
      </x:c>
      <x:c r="D1277" s="31" t="str">
        <x:v>Partner interview</x:v>
      </x:c>
      <x:c r="E1277" s="31" t="str">
        <x:v>A9</x:v>
      </x:c>
      <x:c r="F1277" s="31" t="str">
        <x:v>Understanding of VC | What did u do in previous internship | mostly motivation and behavorial</x:v>
      </x:c>
    </x:row>
    <x:row r="1278" ht="30" customHeight="1">
      <x:c r="A1278" s="30" t="str">
        <x:v>Mindworks Capital</x:v>
      </x:c>
      <x:c r="B1278" s="30" t="str">
        <x:v>PE / VC / Other</x:v>
      </x:c>
      <x:c r="C1278" s="30" t="str">
        <x:v>Interview Note</x:v>
      </x:c>
      <x:c r="D1278" s="31" t="str">
        <x:v>会问你的出身，故事以及个人兴趣爱好</x:v>
      </x:c>
      <x:c r="E1278" s="31" t="str">
        <x:v>A10</x:v>
      </x:c>
      <x:c r="F1278" s="31" t="str">
        <x:v>What did u do in previous internship | mostly motivation and behavorial | Partner interview</x:v>
      </x:c>
    </x:row>
    <x:row r="1279" ht="30" customHeight="1">
      <x:c r="A1279" s="30" t="str">
        <x:v>Mindworks Capital</x:v>
      </x:c>
      <x:c r="B1279" s="30" t="str">
        <x:v>PE / VC / Other</x:v>
      </x:c>
      <x:c r="C1279" s="30" t="str">
        <x:v>Interview Note</x:v>
      </x:c>
      <x:c r="D1279" s="31" t="str">
        <x:v>要特别了解他们的portfolio，你最感兴趣哪一个，最差的是哪一个，最好的是哪一个，为什么</x:v>
      </x:c>
      <x:c r="E1279" s="31" t="str">
        <x:v>A11</x:v>
      </x:c>
      <x:c r="F1279" s="31" t="str">
        <x:v>mostly motivation and behavorial | Partner interview | 会问你的出身，故事以及个人兴趣爱好</x:v>
      </x:c>
    </x:row>
    <x:row r="1280" ht="30" customHeight="1">
      <x:c r="A1280" s="30" t="str">
        <x:v>Mindworks Capital</x:v>
      </x:c>
      <x:c r="B1280" s="30" t="str">
        <x:v>PE / VC / Other</x:v>
      </x:c>
      <x:c r="C1280" s="30" t="str">
        <x:v>Interview Note</x:v>
      </x:c>
      <x:c r="D1280" s="31" t="str">
        <x:v>给你1000万美元要如何投资</x:v>
      </x:c>
      <x:c r="E1280" s="31" t="str">
        <x:v>A12</x:v>
      </x:c>
      <x:c r="F1280" s="31" t="str">
        <x:v>Partner interview | 会问你的出身，故事以及个人兴趣爱好 | 要特别了解他们的portfolio，你最感兴趣哪一个，最差的是哪一个，最好的是哪一个，为什么</x:v>
      </x:c>
    </x:row>
    <x:row r="1281" ht="30" customHeight="1">
      <x:c r="A1281" s="30" t="str">
        <x:v>Mindworks Capital</x:v>
      </x:c>
      <x:c r="B1281" s="30" t="str">
        <x:v>PE / VC / Other</x:v>
      </x:c>
      <x:c r="C1281" s="30" t="str">
        <x:v>Interview Note</x:v>
      </x:c>
      <x:c r="D1281" s="31" t="str">
        <x:v>会问你之前研究过的公司，投资逻辑是什么</x:v>
      </x:c>
      <x:c r="E1281" s="31" t="str">
        <x:v>A13</x:v>
      </x:c>
      <x:c r="F1281" s="31" t="str">
        <x:v>会问你的出身，故事以及个人兴趣爱好 | 要特别了解他们的portfolio，你最感兴趣哪一个，最差的是哪一个，最好的是哪一个，为什么 | 给你1000万美元要如何投资</x:v>
      </x:c>
    </x:row>
    <x:row r="1282" ht="62" customHeight="1">
      <x:c r="A1282" s="30" t="str">
        <x:v>Mindworks Capital</x:v>
      </x:c>
      <x:c r="B1282" s="30" t="str">
        <x:v>PE / VC / Other</x:v>
      </x:c>
      <x:c r="C1282" s="30" t="str">
        <x:v>Interview Note</x:v>
      </x:c>
      <x:c r="D1282" s="31" t="str">
        <x:v>小总结</x:v>
      </x:c>
      <x:c r="E1282" s="31" t="str">
        <x:v>E14</x:v>
      </x:c>
      <x:c r="F1282" s="31" t="str">
        <x:v>Two super long market sizing questions, 5 minutes for thinking and calculation and then present it | A super super long company pitch material for u to read, use 15 minutes to analyze this company, and calculate some unit economies and V...</x:v>
      </x:c>
    </x:row>
    <x:row r="1283" ht="30" customHeight="1">
      <x:c r="A1283" s="30" t="str">
        <x:v>Mindworks Capital</x:v>
      </x:c>
      <x:c r="B1283" s="30" t="str">
        <x:v>PE / VC / Other</x:v>
      </x:c>
      <x:c r="C1283" s="30" t="str">
        <x:v>Interview Note</x:v>
      </x:c>
      <x:c r="D1283" s="31" t="str">
        <x:v>如果你之前答出了具体的portfolio company，有概率进行追问</x:v>
      </x:c>
      <x:c r="E1283" s="31" t="str">
        <x:v>A15</x:v>
      </x:c>
      <x:c r="F1283" s="31" t="str">
        <x:v>给你1000万美元要如何投资 | 会问你之前研究过的公司，投资逻辑是什么 | 如何看某个行业</x:v>
      </x:c>
    </x:row>
    <x:row r="1284" ht="46" customHeight="1">
      <x:c r="A1284" s="30" t="str">
        <x:v>Mindworks Capital</x:v>
      </x:c>
      <x:c r="B1284" s="30" t="str">
        <x:v>PE / VC / Other</x:v>
      </x:c>
      <x:c r="C1284" s="30" t="str">
        <x:v>Interview Note</x:v>
      </x:c>
      <x:c r="D1284" s="31" t="str">
        <x:v>VC更多是要和他们去聊赛道，聊行业，比如大家都是看Fintech的，大家有共同感兴趣的东西，更容易过</x:v>
      </x:c>
      <x:c r="E1284" s="31" t="str">
        <x:v>E15</x:v>
      </x:c>
      <x:c r="F1284" s="31" t="str">
        <x:v>A super super long company pitch material for u to read, use 15 minutes to analyze this company, and calculate some unit economies and VC-focus accouting. Use 15 minutes to present your investment thesis. | AI and internet is not permitt...</x:v>
      </x:c>
    </x:row>
    <x:row r="1285" ht="30" customHeight="1">
      <x:c r="A1285" s="30" t="str">
        <x:v>Mindworks Capital</x:v>
      </x:c>
      <x:c r="B1285" s="30" t="str">
        <x:v>PE / VC / Other</x:v>
      </x:c>
      <x:c r="C1285" s="30" t="str">
        <x:v>Interview Note</x:v>
      </x:c>
      <x:c r="D1285" s="31" t="str">
        <x:v>未来的职业发展</x:v>
      </x:c>
      <x:c r="E1285" s="31" t="str">
        <x:v>A16</x:v>
      </x:c>
      <x:c r="F1285" s="31" t="str">
        <x:v>会问你之前研究过的公司，投资逻辑是什么 | 如何看某个行业 | 如果你之前答出了具体的portfolio company，有概率进行追问</x:v>
      </x:c>
    </x:row>
    <x:row r="1286" ht="30" customHeight="1">
      <x:c r="A1286" s="30" t="str">
        <x:v>Mindworks Capital</x:v>
      </x:c>
      <x:c r="B1286" s="30" t="str">
        <x:v>PE / VC / Other</x:v>
      </x:c>
      <x:c r="C1286" s="30" t="str">
        <x:v>Interview Note</x:v>
      </x:c>
      <x:c r="D1286" s="31" t="str">
        <x:v>也可以看一下VC的特定估值方法</x:v>
      </x:c>
      <x:c r="E1286" s="31" t="str">
        <x:v>E16</x:v>
      </x:c>
      <x:c r="F1286" s="31" t="str">
        <x:v>AI and internet is not permitted | 小总结 | VC更多是要和他们去聊赛道，聊行业，比如大家都是看Fintech的，大家有共同感兴趣的东西，更容易过</x:v>
      </x:c>
    </x:row>
    <x:row r="1287" ht="30" customHeight="1">
      <x:c r="A1287" s="30" t="str">
        <x:v>Mindworks Capital</x:v>
      </x:c>
      <x:c r="B1287" s="30" t="str">
        <x:v>PE / VC / Other</x:v>
      </x:c>
      <x:c r="C1287" s="30" t="str">
        <x:v>Interview Note</x:v>
      </x:c>
      <x:c r="D1287" s="31" t="str">
        <x:v>其他的其实更多是闲聊，但一定要know the company</x:v>
      </x:c>
      <x:c r="E1287" s="31" t="str">
        <x:v>A18</x:v>
      </x:c>
      <x:c r="F1287" s="31" t="str">
        <x:v>如果你之前答出了具体的portfolio company，有概率进行追问 | 未来的职业发展 | 如何看待AI对行业的影响</x:v>
      </x:c>
    </x:row>
  </x:sheetData>
  <x:mergeCells>
    <x:mergeCell ref="A1:F1"/>
    <x:mergeCell ref="A2:F2"/>
  </x:mergeCells>
  <x:pageMargins left="0.7" right="0.7" top="0.75" bottom="0.75" header="0.3" footer="0.3"/>
  <x:tableParts count="1">
    <x:tablePart xmlns:r="http://schemas.openxmlformats.org/officeDocument/2006/relationships" r:id="Reff0374075064f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Fit &amp; Motivation</x:v>
      </x:c>
      <x:c r="B1" s="3"/>
      <x:c r="C1" s="3"/>
      <x:c r="D1" s="3"/>
      <x:c r="E1" s="3"/>
      <x:c r="F1" s="3"/>
      <x:c r="G1" s="3"/>
      <x:c r="H1" s="3"/>
      <x:c r="I1" s="3"/>
      <x:c r="J1" s="3"/>
    </x:row>
    <x:row r="2" ht="30" customHeight="1">
      <x:c r="A2" s="7" t="str">
        <x:v>Preparation list for Fit &amp; Motivation.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QB0017</x:v>
      </x:c>
      <x:c r="B5" s="30" t="str">
        <x:v>MS IBD</x:v>
      </x:c>
      <x:c r="C5" s="30" t="str">
        <x:v>IBD / GCM</x:v>
      </x:c>
      <x:c r="D5" s="31" t="str">
        <x:v>Why Morgan Stanley?</x:v>
      </x:c>
      <x:c r="E5" s="31" t="str">
        <x:v>Why this firm?</x:v>
      </x:c>
      <x:c r="F5" s="31" t="str">
        <x:v>Fit &amp; Motivation</x:v>
      </x:c>
      <x:c r="G5" s="30" t="str">
        <x:v>CL0002</x:v>
      </x:c>
      <x:c r="H5" s="32" t="n">
        <x:f>COUNTIF($G$5:$G$288,G5)</x:f>
        <x:v>39</x:v>
      </x:c>
      <x:c r="I5" s="30" t="str">
        <x:v>A5</x:v>
      </x:c>
      <x:c r="J5" s="31" t="str">
        <x:v>First Round | Emily | Walk me through your resume and tell me about yourself</x:v>
      </x:c>
    </x:row>
    <x:row r="6" ht="32" customHeight="1">
      <x:c r="A6" s="30" t="str">
        <x:v>QB0037</x:v>
      </x:c>
      <x:c r="B6" s="30" t="str">
        <x:v>MS IBD</x:v>
      </x:c>
      <x:c r="C6" s="30" t="str">
        <x:v>IBD / GCM</x:v>
      </x:c>
      <x:c r="D6" s="31" t="str">
        <x:v>Self Intro + Why IBD</x:v>
      </x:c>
      <x:c r="E6" s="31" t="str">
        <x:v>Tell me about yourself / walk me through your resume</x:v>
      </x:c>
      <x:c r="F6" s="31" t="str">
        <x:v>Fit &amp; Motivation</x:v>
      </x:c>
      <x:c r="G6" s="30" t="str">
        <x:v>CL0001</x:v>
      </x:c>
      <x:c r="H6" s="32" t="n">
        <x:f>COUNTIF($G$5:$G$288,G6)</x:f>
        <x:v>16</x:v>
      </x:c>
      <x:c r="I6" s="30" t="str">
        <x:v>C21</x:v>
      </x:c>
      <x:c r="J6" s="31" t="str">
        <x:v>1st round 8/9 Germaine (Ray Hu from Real Estate)</x:v>
      </x:c>
    </x:row>
    <x:row r="7" ht="32" customHeight="1">
      <x:c r="A7" s="30" t="str">
        <x:v>QB0042</x:v>
      </x:c>
      <x:c r="B7" s="30" t="str">
        <x:v>MS IBD</x:v>
      </x:c>
      <x:c r="C7" s="30" t="str">
        <x:v>IBD / GCM</x:v>
      </x:c>
      <x:c r="D7" s="31" t="str">
        <x:v>Are u native mainland Chinese</x:v>
      </x:c>
      <x:c r="E7" s="31" t="str">
        <x:v>Are u native mainland Chinese</x:v>
      </x:c>
      <x:c r="F7" s="31" t="str">
        <x:v>Fit &amp; Motivation</x:v>
      </x:c>
      <x:c r="G7" s="30" t="str">
        <x:v>CL0132</x:v>
      </x:c>
      <x:c r="H7" s="32" t="n">
        <x:f>COUNTIF($G$5:$G$288,G7)</x:f>
        <x:v>1</x:v>
      </x:c>
      <x:c r="I7" s="30" t="str">
        <x:v>A22</x:v>
      </x:c>
      <x:c r="J7" s="31" t="str">
        <x:v>First Round | 1st round 13/9 Daisy (Dennis Liu from Financial Sponsor Group) | Self-intro</x:v>
      </x:c>
    </x:row>
    <x:row r="8" ht="48" customHeight="1">
      <x:c r="A8" s="30" t="str">
        <x:v>QB0044</x:v>
      </x:c>
      <x:c r="B8" s="30" t="str">
        <x:v>MS IBD</x:v>
      </x:c>
      <x:c r="C8" s="30" t="str">
        <x:v>IBD / GCM</x:v>
      </x:c>
      <x:c r="D8" s="31" t="str">
        <x:v>Why sell-side but not buy-side</x:v>
      </x:c>
      <x:c r="E8" s="31" t="str">
        <x:v>Why sell-side but not buy-side</x:v>
      </x:c>
      <x:c r="F8" s="31" t="str">
        <x:v>Fit &amp; Motivation</x:v>
      </x:c>
      <x:c r="G8" s="30" t="str">
        <x:v>CL1164</x:v>
      </x:c>
      <x:c r="H8" s="32" t="n">
        <x:f>COUNTIF($G$5:$G$288,G8)</x:f>
        <x:v>1</x:v>
      </x:c>
      <x:c r="I8" s="30" t="str">
        <x:v>E22</x:v>
      </x:c>
      <x:c r="J8" s="31" t="str">
        <x:v>1st round 4/9 Beata (Peter Law, VP from HK Coverage) | Self introduction/ walk me through your resume</x:v>
      </x:c>
    </x:row>
    <x:row r="9" ht="32" customHeight="1">
      <x:c r="A9" s="30" t="str">
        <x:v>QB0045</x:v>
      </x:c>
      <x:c r="B9" s="30" t="str">
        <x:v>MS IBD</x:v>
      </x:c>
      <x:c r="C9" s="30" t="str">
        <x:v>IBD / GCM</x:v>
      </x:c>
      <x:c r="D9" s="31" t="str">
        <x:v>You have internships in other areas, why IBD?</x:v>
      </x:c>
      <x:c r="E9" s="31" t="str">
        <x:v>Why investment banking?</x:v>
      </x:c>
      <x:c r="F9" s="31" t="str">
        <x:v>Fit &amp; Motivation</x:v>
      </x:c>
      <x:c r="G9" s="30" t="str">
        <x:v>CL0003</x:v>
      </x:c>
      <x:c r="H9" s="32" t="n">
        <x:f>COUNTIF($G$5:$G$288,G9)</x:f>
        <x:v>34</x:v>
      </x:c>
      <x:c r="I9" s="30" t="str">
        <x:v>F22</x:v>
      </x:c>
      <x:c r="J9" s="31" t="str">
        <x:v>1st round 2/10 Leo (Jason Tse, Asso from Financial Sponsor Group) | Self-intro</x:v>
      </x:c>
    </x:row>
    <x:row r="10" ht="48" customHeight="1">
      <x:c r="A10" s="30" t="str">
        <x:v>QB0048</x:v>
      </x:c>
      <x:c r="B10" s="30" t="str">
        <x:v>MS IBD</x:v>
      </x:c>
      <x:c r="C10" s="30" t="str">
        <x:v>IBD / GCM</x:v>
      </x:c>
      <x:c r="D10" s="31" t="str">
        <x:v>Why doing college in Hong Kong</x:v>
      </x:c>
      <x:c r="E10" s="31" t="str">
        <x:v>Why doing college in Hong Kong</x:v>
      </x:c>
      <x:c r="F10" s="31" t="str">
        <x:v>Fit &amp; Motivation</x:v>
      </x:c>
      <x:c r="G10" s="30" t="str">
        <x:v>CL1132</x:v>
      </x:c>
      <x:c r="H10" s="32" t="n">
        <x:f>COUNTIF($G$5:$G$288,G10)</x:f>
        <x:v>1</x:v>
      </x:c>
      <x:c r="I10" s="30" t="str">
        <x:v>A23</x:v>
      </x:c>
      <x:c r="J10" s="31" t="str">
        <x:v>1st round 13/9 Daisy (Dennis Liu from Financial Sponsor Group) | Self-intro | Are u native mainland Chinese</x:v>
      </x:c>
    </x:row>
    <x:row r="11" ht="48" customHeight="1">
      <x:c r="A11" s="30" t="str">
        <x:v>QB0050</x:v>
      </x:c>
      <x:c r="B11" s="30" t="str">
        <x:v>MS IBD</x:v>
      </x:c>
      <x:c r="C11" s="30" t="str">
        <x:v>IBD / GCM</x:v>
      </x:c>
      <x:c r="D11" s="31" t="str">
        <x:v>Why investment banking but not consulting</x:v>
      </x:c>
      <x:c r="E11" s="31" t="str">
        <x:v>Why investment banking?</x:v>
      </x:c>
      <x:c r="F11" s="31" t="str">
        <x:v>Fit &amp; Motivation</x:v>
      </x:c>
      <x:c r="G11" s="30" t="str">
        <x:v>CL0003</x:v>
      </x:c>
      <x:c r="H11" s="32" t="n">
        <x:f>COUNTIF($G$5:$G$288,G11)</x:f>
        <x:v>34</x:v>
      </x:c>
      <x:c r="I11" s="30" t="str">
        <x:v>E23</x:v>
      </x:c>
      <x:c r="J11" s="31" t="str">
        <x:v>1st round 4/9 Beata (Peter Law, VP from HK Coverage) | Self introduction/ walk me through your resume | Why sell-side but not buy-side</x:v>
      </x:c>
    </x:row>
    <x:row r="12" ht="48" customHeight="1">
      <x:c r="A12" s="30" t="str">
        <x:v>QB0051</x:v>
      </x:c>
      <x:c r="B12" s="30" t="str">
        <x:v>MS IBD</x:v>
      </x:c>
      <x:c r="C12" s="30" t="str">
        <x:v>IBD / GCM</x:v>
      </x:c>
      <x:c r="D12" s="31" t="str">
        <x:v>Why MS?</x:v>
      </x:c>
      <x:c r="E12" s="31" t="str">
        <x:v>Why this firm?</x:v>
      </x:c>
      <x:c r="F12" s="31" t="str">
        <x:v>Fit &amp; Motivation</x:v>
      </x:c>
      <x:c r="G12" s="30" t="str">
        <x:v>CL0002</x:v>
      </x:c>
      <x:c r="H12" s="32" t="n">
        <x:f>COUNTIF($G$5:$G$288,G12)</x:f>
        <x:v>39</x:v>
      </x:c>
      <x:c r="I12" s="30" t="str">
        <x:v>F23</x:v>
      </x:c>
      <x:c r="J12" s="31" t="str">
        <x:v>1st round 2/10 Leo (Jason Tse, Asso from Financial Sponsor Group) | Self-intro | You have internships in other areas, why IBD?</x:v>
      </x:c>
    </x:row>
    <x:row r="13" ht="68" customHeight="1">
      <x:c r="A13" s="30" t="str">
        <x:v>QB0080</x:v>
      </x:c>
      <x:c r="B13" s="30" t="str">
        <x:v>MS IBD</x:v>
      </x:c>
      <x:c r="C13" s="30" t="str">
        <x:v>IBD / GCM</x:v>
      </x:c>
      <x:c r="D13" s="31" t="str">
        <x:v>Why is minority interest included?</x:v>
      </x:c>
      <x:c r="E13" s="31" t="str">
        <x:v>Why is minority interest included</x:v>
      </x:c>
      <x:c r="F13" s="31" t="str">
        <x:v>Fit &amp; Motivation</x:v>
      </x:c>
      <x:c r="G13" s="30" t="str">
        <x:v>CL1147</x:v>
      </x:c>
      <x:c r="H13" s="32" t="n">
        <x:f>COUNTIF($G$5:$G$288,G13)</x:f>
        <x:v>1</x:v>
      </x:c>
      <x:c r="I13" s="30" t="str">
        <x:v>E28</x:v>
      </x:c>
      <x:c r="J13" s="31" t="str">
        <x:v>Did you do DCF before | Walk me through a DCF, suppose you’re doing for a Chinese EV manufacturer, what would you look at? | How do you find its equity value (from enterprise value)?</x:v>
      </x:c>
    </x:row>
    <x:row r="14" ht="68" customHeight="1">
      <x:c r="A14" s="30" t="str">
        <x:v>QB0102</x:v>
      </x:c>
      <x:c r="B14" s="30" t="str">
        <x:v>MS IBD</x:v>
      </x:c>
      <x:c r="C14" s="30" t="str">
        <x:v>IBD / GCM</x:v>
      </x:c>
      <x:c r="D14" s="31" t="str">
        <x:v>why do companies want to do M&amp;A</x:v>
      </x:c>
      <x:c r="E14" s="31" t="str">
        <x:v>Why do companies want to do M&amp;A</x:v>
      </x:c>
      <x:c r="F14" s="31" t="str">
        <x:v>Fit &amp; Motivation</x:v>
      </x:c>
      <x:c r="G14" s="30" t="str">
        <x:v>CL1124</x:v>
      </x:c>
      <x:c r="H14" s="32" t="n">
        <x:f>COUNTIF($G$5:$G$288,G14)</x:f>
        <x:v>1</x:v>
      </x:c>
      <x:c r="I14" s="30" t="str">
        <x:v>A32</x:v>
      </x:c>
      <x:c r="J14" s="31" t="str">
        <x:v>If a company has negative and unstable cash flow, how will you value it | How will an increase in debt affect enterprise value and equity value | get enterprise value from equity value</x:v>
      </x:c>
    </x:row>
    <x:row r="15" ht="32" customHeight="1">
      <x:c r="A15" s="30" t="str">
        <x:v>QB0130</x:v>
      </x:c>
      <x:c r="B15" s="30" t="str">
        <x:v>MS IBD</x:v>
      </x:c>
      <x:c r="C15" s="30" t="str">
        <x:v>IBD / GCM</x:v>
      </x:c>
      <x:c r="D15" s="31" t="str">
        <x:v>Why MS/Why IBD not consulting/PE</x:v>
      </x:c>
      <x:c r="E15" s="31" t="str">
        <x:v>Why this firm?</x:v>
      </x:c>
      <x:c r="F15" s="31" t="str">
        <x:v>Fit &amp; Motivation</x:v>
      </x:c>
      <x:c r="G15" s="30" t="str">
        <x:v>CL0002</x:v>
      </x:c>
      <x:c r="H15" s="32" t="n">
        <x:f>COUNTIF($G$5:$G$288,G15)</x:f>
        <x:v>39</x:v>
      </x:c>
      <x:c r="I15" s="30" t="str">
        <x:v>A45</x:v>
      </x:c>
      <x:c r="J15" s="31" t="str">
        <x:v>Phone interview | Kari 9/9 (Jason Tse, Asso) | Yourself</x:v>
      </x:c>
    </x:row>
    <x:row r="16" ht="92" customHeight="1">
      <x:c r="A16" s="30" t="str">
        <x:v>QB0152</x:v>
      </x:c>
      <x:c r="B16" s="30" t="str">
        <x:v>MS IBD</x:v>
      </x:c>
      <x:c r="C16" s="30" t="str">
        <x:v>IBD / GCM</x:v>
      </x:c>
      <x:c r="D16" s="31" t="str">
        <x:v>⁠Why not PB, regulatory work or consulting since you did those internships before</x:v>
      </x:c>
      <x:c r="E16" s="31" t="str">
        <x:v>⁠Why not PB, regulatory work or consulting since you did those internships before</x:v>
      </x:c>
      <x:c r="F16" s="31" t="str">
        <x:v>Fit &amp; Motivation</x:v>
      </x:c>
      <x:c r="G16" s="30" t="str">
        <x:v>CL1158</x:v>
      </x:c>
      <x:c r="H16" s="32" t="n">
        <x:f>COUNTIF($G$5:$G$288,G16)</x:f>
        <x:v>1</x:v>
      </x:c>
      <x:c r="I16" s="30" t="str">
        <x:v>A62</x:v>
      </x:c>
      <x:c r="J16" s="31" t="str">
        <x:v>Talked for 5 mins about his background (e.g. he used to do law and then switched with MBA) | ⁠Asked me to introduce myself - walk through resume, why IBD, why me, why MS, anything you know about MS recent deals using 5 minutes as well (s...</x:v>
      </x:c>
    </x:row>
    <x:row r="17" ht="92" customHeight="1">
      <x:c r="A17" s="30" t="str">
        <x:v>QB0154</x:v>
      </x:c>
      <x:c r="B17" s="30" t="str">
        <x:v>MS IBD</x:v>
      </x:c>
      <x:c r="C17" s="30" t="str">
        <x:v>IBD / GCM</x:v>
      </x:c>
      <x:c r="D17" s="31" t="str">
        <x:v>As you can see, you are in the same round as two Masters student, and usually the superday applicant pool is full of people with direct ibd experience already but you don't have a lot, why should MS pick you</x:v>
      </x:c>
      <x:c r="E17" s="31" t="str">
        <x:v>As you can see, you are in the same round as two Masters student, and usually the superday applicant pool is full of people with direct ibd experience already but you don't have a lot, why should MS pick you</x:v>
      </x:c>
      <x:c r="F17" s="31" t="str">
        <x:v>Fit &amp; Motivation</x:v>
      </x:c>
      <x:c r="G17" s="30" t="str">
        <x:v>CL0141</x:v>
      </x:c>
      <x:c r="H17" s="32" t="n">
        <x:f>COUNTIF($G$5:$G$288,G17)</x:f>
        <x:v>1</x:v>
      </x:c>
      <x:c r="I17" s="30" t="str">
        <x:v>A63</x:v>
      </x:c>
      <x:c r="J17" s="31" t="str">
        <x:v>⁠Asked me to introduce myself - walk through resume, why IBD, why me, why MS, anything you know about MS recent deals using 5 minutes as well (super conversational) | Who i talked to in MS before, who was my first round interviewer | ⁠Wh...</x:v>
      </x:c>
    </x:row>
    <x:row r="18" ht="48" customHeight="1">
      <x:c r="A18" s="30" t="str">
        <x:v>QB0169</x:v>
      </x:c>
      <x:c r="B18" s="30" t="str">
        <x:v>MS IBD</x:v>
      </x:c>
      <x:c r="C18" s="30" t="str">
        <x:v>IBD / GCM</x:v>
      </x:c>
      <x:c r="D18" s="31" t="str">
        <x:v>Same revenue to profit for a coffee shop question again (coz they all just flip through the same question bank lol) except this time the coffee shop is in MS</x:v>
      </x:c>
      <x:c r="E18" s="31" t="str">
        <x:v>Same revenue to profit for a coffee shop question again (coz they all just flip through the same question bank lol) except this time the coffee shop is in MS</x:v>
      </x:c>
      <x:c r="F18" s="31" t="str">
        <x:v>Fit &amp; Motivation</x:v>
      </x:c>
      <x:c r="G18" s="30" t="str">
        <x:v>CL0666</x:v>
      </x:c>
      <x:c r="H18" s="32" t="n">
        <x:f>COUNTIF($G$5:$G$288,G18)</x:f>
        <x:v>1</x:v>
      </x:c>
      <x:c r="I18" s="30" t="str">
        <x:v>A71</x:v>
      </x:c>
      <x:c r="J18" s="31" t="str">
        <x:v>He said he is supposed to test my mandarin but don't have time so leave to next interviewer LOL | M&amp;A VP | Self Intro</x:v>
      </x:c>
    </x:row>
    <x:row r="19" ht="92" customHeight="1">
      <x:c r="A19" s="30" t="str">
        <x:v>QB0175</x:v>
      </x:c>
      <x:c r="B19" s="30" t="str">
        <x:v>MS IBD</x:v>
      </x:c>
      <x:c r="C19" s="30" t="str">
        <x:v>IBD / GCM</x:v>
      </x:c>
      <x:c r="D19" s="31" t="str">
        <x:v>What is the difference in motivations for finding a strategic vs financial buyer</x:v>
      </x:c>
      <x:c r="E19" s="31" t="str">
        <x:v>What is the difference in motivations for finding a strategic vs financial buyer</x:v>
      </x:c>
      <x:c r="F19" s="31" t="str">
        <x:v>Fit &amp; Motivation</x:v>
      </x:c>
      <x:c r="G19" s="30" t="str">
        <x:v>CL0979</x:v>
      </x:c>
      <x:c r="H19" s="32" t="n">
        <x:f>COUNTIF($G$5:$G$288,G19)</x:f>
        <x:v>1</x:v>
      </x:c>
      <x:c r="I19" s="30" t="str">
        <x:v>A74</x:v>
      </x:c>
      <x:c r="J19" s="31" t="str">
        <x:v>Same revenue to profit for a coffee shop question again (coz they all just flip through the same question bank lol) except this time the coffee shop is in MS | Walk me through the sell side M&amp;A that you did during your previous internshi...</x:v>
      </x:c>
    </x:row>
    <x:row r="20" ht="68" customHeight="1">
      <x:c r="A20" s="30" t="str">
        <x:v>QB0177</x:v>
      </x:c>
      <x:c r="B20" s="30" t="str">
        <x:v>MS IBD</x:v>
      </x:c>
      <x:c r="C20" s="30" t="str">
        <x:v>IBD / GCM</x:v>
      </x:c>
      <x:c r="D20" s="31" t="str">
        <x:v>Can you speak mandarin? (she just asked and then checked the box on my evaluation and then didn't ask me to try speaking at all lol)</x:v>
      </x:c>
      <x:c r="E20" s="31" t="str">
        <x:v>Can you speak mandarin? (she just asked and then checked the box on my evaluation and then didn't ask me to try speaking at all lol)</x:v>
      </x:c>
      <x:c r="F20" s="31" t="str">
        <x:v>Fit &amp; Motivation</x:v>
      </x:c>
      <x:c r="G20" s="30" t="str">
        <x:v>CL0189</x:v>
      </x:c>
      <x:c r="H20" s="32" t="n">
        <x:f>COUNTIF($G$5:$G$288,G20)</x:f>
        <x:v>1</x:v>
      </x:c>
      <x:c r="I20" s="30" t="str">
        <x:v>A75</x:v>
      </x:c>
      <x:c r="J20" s="31" t="str">
        <x:v>Walk me through the sell side M&amp;A that you did during your previous internship | Was it a strategic or financial buyer that you were looking for? | What is the difference in motivations for finding a strategic vs financial buyer</x:v>
      </x:c>
    </x:row>
    <x:row r="21" ht="92" customHeight="1">
      <x:c r="A21" s="30" t="str">
        <x:v>QB0179</x:v>
      </x:c>
      <x:c r="B21" s="30" t="str">
        <x:v>MS IBD</x:v>
      </x:c>
      <x:c r="C21" s="30" t="str">
        <x:v>IBD / GCM</x:v>
      </x:c>
      <x:c r="D21" s="31" t="str">
        <x:v>Around 7 minutes of conversation afterwards on her M&amp;A experience and I said I also wanna do M&amp;A and she asked why and stuff</x:v>
      </x:c>
      <x:c r="E21" s="31" t="str">
        <x:v>Around 7 minutes of conversation afterwards on her M&amp;A experience and I said I also wanna do M&amp;A and she asked why and stuff</x:v>
      </x:c>
      <x:c r="F21" s="31" t="str">
        <x:v>Fit &amp; Motivation</x:v>
      </x:c>
      <x:c r="G21" s="30" t="str">
        <x:v>CL0138</x:v>
      </x:c>
      <x:c r="H21" s="32" t="n">
        <x:f>COUNTIF($G$5:$G$288,G21)</x:f>
        <x:v>1</x:v>
      </x:c>
      <x:c r="I21" s="30" t="str">
        <x:v>A76</x:v>
      </x:c>
      <x:c r="J21" s="31" t="str">
        <x:v>Was it a strategic or financial buyer that you were looking for? | What is the difference in motivations for finding a strategic vs financial buyer | Can you speak mandarin? (she just asked and then checked the box on my evaluation and t...</x:v>
      </x:c>
    </x:row>
    <x:row r="22" ht="48" customHeight="1">
      <x:c r="A22" s="30" t="str">
        <x:v>QB0180</x:v>
      </x:c>
      <x:c r="B22" s="30" t="str">
        <x:v>MS IBD</x:v>
      </x:c>
      <x:c r="C22" s="30" t="str">
        <x:v>IBD / GCM</x:v>
      </x:c>
      <x:c r="D22" s="31" t="str">
        <x:v>Pick 2 deals of MS, talk about my views on why the deal would happen</x:v>
      </x:c>
      <x:c r="E22" s="31" t="str">
        <x:v>Discuss a recent deal completed by this firm</x:v>
      </x:c>
      <x:c r="F22" s="31" t="str">
        <x:v>Fit &amp; Motivation</x:v>
      </x:c>
      <x:c r="G22" s="30" t="str">
        <x:v>CL0008</x:v>
      </x:c>
      <x:c r="H22" s="32" t="n">
        <x:f>COUNTIF($G$5:$G$288,G22)</x:f>
        <x:v>1</x:v>
      </x:c>
      <x:c r="I22" s="30" t="str">
        <x:v>C76</x:v>
      </x:c>
      <x:c r="J22" s="31" t="str">
        <x:v>Capital Markets vs IBD | Was I allocated or I chose Capital Market at Nomura | Recent deals done by MS</x:v>
      </x:c>
    </x:row>
    <x:row r="23" ht="48" customHeight="1">
      <x:c r="A23" s="30" t="str">
        <x:v>QB0195</x:v>
      </x:c>
      <x:c r="B23" s="30" t="str">
        <x:v>MS IBD</x:v>
      </x:c>
      <x:c r="C23" s="30" t="str">
        <x:v>IBD / GCM</x:v>
      </x:c>
      <x:c r="D23" s="31" t="str">
        <x:v>Do you plan on doing IBD for a long time? Or will you plan to switch careers like a lot of juniors?</x:v>
      </x:c>
      <x:c r="E23" s="31" t="str">
        <x:v>Do you plan on doing IBD for a long time? Or will you plan to switch careers like a lot of juniors</x:v>
      </x:c>
      <x:c r="F23" s="31" t="str">
        <x:v>Fit &amp; Motivation</x:v>
      </x:c>
      <x:c r="G23" s="30" t="str">
        <x:v>CL0286</x:v>
      </x:c>
      <x:c r="H23" s="32" t="n">
        <x:f>COUNTIF($G$5:$G$288,G23)</x:f>
        <x:v>1</x:v>
      </x:c>
      <x:c r="I23" s="30" t="str">
        <x:v>A84</x:v>
      </x:c>
      <x:c r="J23" s="31" t="str">
        <x:v>What I did at Bain | Guesstimate since I did Bain: estimate number of taxis in HK | Top three sector teams in MS and why</x:v>
      </x:c>
    </x:row>
    <x:row r="24" ht="48" customHeight="1">
      <x:c r="A24" s="30" t="str">
        <x:v>QB0200</x:v>
      </x:c>
      <x:c r="B24" s="30" t="str">
        <x:v>MS IBD</x:v>
      </x:c>
      <x:c r="C24" s="30" t="str">
        <x:v>IBD / GCM</x:v>
      </x:c>
      <x:c r="D24" s="31" t="str">
        <x:v>How good is your mandarin</x:v>
      </x:c>
      <x:c r="E24" s="31" t="str">
        <x:v>How good is your mandarin</x:v>
      </x:c>
      <x:c r="F24" s="31" t="str">
        <x:v>Fit &amp; Motivation</x:v>
      </x:c>
      <x:c r="G24" s="30" t="str">
        <x:v>CL0440</x:v>
      </x:c>
      <x:c r="H24" s="32" t="n">
        <x:f>COUNTIF($G$5:$G$288,G24)</x:f>
        <x:v>1</x:v>
      </x:c>
      <x:c r="I24" s="30" t="str">
        <x:v>C88</x:v>
      </x:c>
      <x:c r="J24" s="31" t="str">
        <x:v>Cost of equity or cost of debt higher, why? | When will cost of debt be higher | What is cost of equity</x:v>
      </x:c>
    </x:row>
    <x:row r="25" ht="32" customHeight="1">
      <x:c r="A25" s="30" t="str">
        <x:v>QB0203</x:v>
      </x:c>
      <x:c r="B25" s="30" t="str">
        <x:v>MS IBD</x:v>
      </x:c>
      <x:c r="C25" s="30" t="str">
        <x:v>IBD / GCM</x:v>
      </x:c>
      <x:c r="D25" s="31" t="str">
        <x:v>What are the important qualities to be a good investment banker</x:v>
      </x:c>
      <x:c r="E25" s="31" t="str">
        <x:v>What are the important qualities to be a good investment banker</x:v>
      </x:c>
      <x:c r="F25" s="31" t="str">
        <x:v>Fit &amp; Motivation</x:v>
      </x:c>
      <x:c r="G25" s="30" t="str">
        <x:v>CL0882</x:v>
      </x:c>
      <x:c r="H25" s="32" t="n">
        <x:f>COUNTIF($G$5:$G$288,G25)</x:f>
        <x:v>1</x:v>
      </x:c>
      <x:c r="I25" s="30" t="str">
        <x:v>C92</x:v>
      </x:c>
      <x:c r="J25" s="31" t="str">
        <x:v>How good is your mandarin | 3 M&amp;A VP | Self Intro</x:v>
      </x:c>
    </x:row>
    <x:row r="26" ht="32" customHeight="1">
      <x:c r="A26" s="30" t="str">
        <x:v>QB0204</x:v>
      </x:c>
      <x:c r="B26" s="30" t="str">
        <x:v>MS IBD</x:v>
      </x:c>
      <x:c r="C26" s="30" t="str">
        <x:v>IBD / GCM</x:v>
      </x:c>
      <x:c r="D26" s="31" t="str">
        <x:v>Whats your one area of improvement</x:v>
      </x:c>
      <x:c r="E26" s="31" t="str">
        <x:v>Whats your one area of improvement</x:v>
      </x:c>
      <x:c r="F26" s="31" t="str">
        <x:v>Fit &amp; Motivation</x:v>
      </x:c>
      <x:c r="G26" s="30" t="str">
        <x:v>CL1077</x:v>
      </x:c>
      <x:c r="H26" s="32" t="n">
        <x:f>COUNTIF($G$5:$G$288,G26)</x:f>
        <x:v>1</x:v>
      </x:c>
      <x:c r="I26" s="30" t="str">
        <x:v>C93</x:v>
      </x:c>
      <x:c r="J26" s="31" t="str">
        <x:v>3 M&amp;A VP | Self Intro | What are the important qualities to be a good investment banker</x:v>
      </x:c>
    </x:row>
    <x:row r="27" ht="92" customHeight="1">
      <x:c r="A27" s="30" t="str">
        <x:v>QB0212</x:v>
      </x:c>
      <x:c r="B27" s="30" t="str">
        <x:v>MS IBD</x:v>
      </x:c>
      <x:c r="C27" s="30" t="str">
        <x:v>IBD / GCM</x:v>
      </x:c>
      <x:c r="D27" s="31" t="str">
        <x:v>Why HK, why MS, how do you see the market down the road</x:v>
      </x:c>
      <x:c r="E27" s="31" t="str">
        <x:v>Why HK, why MS, how do you see the market down the road</x:v>
      </x:c>
      <x:c r="F27" s="31" t="str">
        <x:v>Fit &amp; Motivation</x:v>
      </x:c>
      <x:c r="G27" s="30" t="str">
        <x:v>CL1137</x:v>
      </x:c>
      <x:c r="H27" s="32" t="n">
        <x:f>COUNTIF($G$5:$G$288,G27)</x:f>
        <x:v>1</x:v>
      </x:c>
      <x:c r="I27" s="30" t="str">
        <x:v>C101</x:v>
      </x:c>
      <x:c r="J27" s="31" t="str">
        <x:v>How about now its 2026, and the multiple is 9x, what should you use | (I acc didnt quite get the answer, but she said its the most common mistake - that we should use the projected EBITDA as well - like use 2029's EBITDA to arrive at the...</x:v>
      </x:c>
    </x:row>
    <x:row r="28" ht="92" customHeight="1">
      <x:c r="A28" s="30" t="str">
        <x:v>QB0213</x:v>
      </x:c>
      <x:c r="B28" s="30" t="str">
        <x:v>MS IBD</x:v>
      </x:c>
      <x:c r="C28" s="30" t="str">
        <x:v>IBD / GCM</x:v>
      </x:c>
      <x:c r="D28" s="31" t="str">
        <x:v>Any team preference, why?</x:v>
      </x:c>
      <x:c r="E28" s="31" t="str">
        <x:v>Any team preference, why</x:v>
      </x:c>
      <x:c r="F28" s="31" t="str">
        <x:v>Fit &amp; Motivation</x:v>
      </x:c>
      <x:c r="G28" s="30" t="str">
        <x:v>CL0125</x:v>
      </x:c>
      <x:c r="H28" s="32" t="n">
        <x:f>COUNTIF($G$5:$G$288,G28)</x:f>
        <x:v>1</x:v>
      </x:c>
      <x:c r="I28" s="30" t="str">
        <x:v>C102</x:v>
      </x:c>
      <x:c r="J28" s="31" t="str">
        <x:v>(I acc didnt quite get the answer, but she said its the most common mistake - that we should use the projected EBITDA as well - like use 2029's EBITDA to arrive at the exit multiple) | How does debt affect WACC | Why HK, why MS, how do y...</x:v>
      </x:c>
    </x:row>
    <x:row r="29" ht="32" customHeight="1">
      <x:c r="A29" s="30" t="str">
        <x:v>QB0220</x:v>
      </x:c>
      <x:c r="B29" s="30" t="str">
        <x:v>MS IBD</x:v>
      </x:c>
      <x:c r="C29" s="30" t="str">
        <x:v>IBD / GCM</x:v>
      </x:c>
      <x:c r="D29" s="31" t="str">
        <x:v>Self-intro, why you are here</x:v>
      </x:c>
      <x:c r="E29" s="31" t="str">
        <x:v>Tell me about yourself / walk me through your resume</x:v>
      </x:c>
      <x:c r="F29" s="31" t="str">
        <x:v>Fit &amp; Motivation</x:v>
      </x:c>
      <x:c r="G29" s="30" t="str">
        <x:v>CL0001</x:v>
      </x:c>
      <x:c r="H29" s="32" t="n">
        <x:f>COUNTIF($G$5:$G$288,G29)</x:f>
        <x:v>16</x:v>
      </x:c>
      <x:c r="I29" s="30" t="str">
        <x:v>A109</x:v>
      </x:c>
      <x:c r="J29" s="31" t="str">
        <x:v>2026 SA | First Round | 1st round 8/10 Anna (Lingxuan Li from IBD)</x:v>
      </x:c>
    </x:row>
    <x:row r="30" ht="92" customHeight="1">
      <x:c r="A30" s="30" t="str">
        <x:v>QB0221</x:v>
      </x:c>
      <x:c r="B30" s="30" t="str">
        <x:v>MS IBD</x:v>
      </x:c>
      <x:c r="C30" s="30" t="str">
        <x:v>IBD / GCM</x:v>
      </x:c>
      <x:c r="D30"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E30"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F30" s="31" t="str">
        <x:v>Fit &amp; Motivation</x:v>
      </x:c>
      <x:c r="G30" s="30" t="str">
        <x:v>CL0566</x:v>
      </x:c>
      <x:c r="H30" s="32" t="n">
        <x:f>COUNTIF($G$5:$G$288,G30)</x:f>
        <x:v>1</x:v>
      </x:c>
      <x:c r="I30" s="30" t="str">
        <x:v>C109</x:v>
      </x:c>
      <x:c r="J30" s="31" t="str">
        <x:v>What industries am I interested in | Q&amp;A | 1st round 9/9 Kate (Sam Lee, Tech Asso)</x:v>
      </x:c>
    </x:row>
    <x:row r="31" ht="68" customHeight="1">
      <x:c r="A31" s="30" t="str">
        <x:v>QB0224</x:v>
      </x:c>
      <x:c r="B31" s="30" t="str">
        <x:v>MS IBD</x:v>
      </x:c>
      <x:c r="C31" s="30" t="str">
        <x:v>IBD / GCM</x:v>
      </x:c>
      <x:c r="D31" s="31" t="str">
        <x:v>Why MS, not Goldman? Name 3 recent MS deals</x:v>
      </x:c>
      <x:c r="E31" s="31" t="str">
        <x:v>Why this firm?</x:v>
      </x:c>
      <x:c r="F31" s="31" t="str">
        <x:v>Fit &amp; Motivation</x:v>
      </x:c>
      <x:c r="G31" s="30" t="str">
        <x:v>CL0002</x:v>
      </x:c>
      <x:c r="H31" s="32" t="n">
        <x:f>COUNTIF($G$5:$G$288,G31)</x:f>
        <x:v>39</x:v>
      </x:c>
      <x:c r="I31" s="30" t="str">
        <x:v>A111</x:v>
      </x:c>
      <x:c r="J31" s="31" t="str">
        <x:v>1st round 8/10 Anna (Lingxuan Li from IBD) | Self-intro, why you are here | About last internship: prospectus, your role, solvency ratios, DSCR, protective covenants</x:v>
      </x:c>
    </x:row>
    <x:row r="32" ht="32" customHeight="1">
      <x:c r="A32" s="30" t="str">
        <x:v>QB0243</x:v>
      </x:c>
      <x:c r="B32" s="30" t="str">
        <x:v>MS GCM</x:v>
      </x:c>
      <x:c r="C32" s="30" t="str">
        <x:v>IBD / GCM</x:v>
      </x:c>
      <x:c r="D32" s="31" t="str">
        <x:v>Self Intro, why GCM, why MS</x:v>
      </x:c>
      <x:c r="E32" s="31" t="str">
        <x:v>Tell me about yourself / walk me through your resume</x:v>
      </x:c>
      <x:c r="F32" s="31" t="str">
        <x:v>Fit &amp; Motivation</x:v>
      </x:c>
      <x:c r="G32" s="30" t="str">
        <x:v>CL0001</x:v>
      </x:c>
      <x:c r="H32" s="32" t="n">
        <x:f>COUNTIF($G$5:$G$288,G32)</x:f>
        <x:v>16</x:v>
      </x:c>
      <x:c r="I32" s="30" t="str">
        <x:v>C5</x:v>
      </x:c>
      <x:c r="J32" s="31" t="str">
        <x:v>19 MS GCM SPD Emily | Dick Lee</x:v>
      </x:c>
    </x:row>
    <x:row r="33" ht="32" customHeight="1">
      <x:c r="A33" s="30" t="str">
        <x:v>QB0245</x:v>
      </x:c>
      <x:c r="B33" s="30" t="str">
        <x:v>MS GCM</x:v>
      </x:c>
      <x:c r="C33" s="30" t="str">
        <x:v>IBD / GCM</x:v>
      </x:c>
      <x:c r="D33" s="31" t="str">
        <x:v>why GCM not IBD</x:v>
      </x:c>
      <x:c r="E33" s="31" t="str">
        <x:v>Why global capital markets?</x:v>
      </x:c>
      <x:c r="F33" s="31" t="str">
        <x:v>Fit &amp; Motivation</x:v>
      </x:c>
      <x:c r="G33" s="30" t="str">
        <x:v>CL0009</x:v>
      </x:c>
      <x:c r="H33" s="32" t="n">
        <x:f>COUNTIF($G$5:$G$288,G33)</x:f>
        <x:v>14</x:v>
      </x:c>
      <x:c r="I33" s="30" t="str">
        <x:v>C6</x:v>
      </x:c>
      <x:c r="J33" s="31" t="str">
        <x:v>19 MS GCM SPD Emily | Dick Lee | Self Intro, why GCM, why MS</x:v>
      </x:c>
    </x:row>
    <x:row r="34" ht="32" customHeight="1">
      <x:c r="A34" s="30" t="str">
        <x:v>QB0249</x:v>
      </x:c>
      <x:c r="B34" s="30" t="str">
        <x:v>MS GCM</x:v>
      </x:c>
      <x:c r="C34" s="30" t="str">
        <x:v>IBD / GCM</x:v>
      </x:c>
      <x:c r="D34" s="31" t="str">
        <x:v>Which team do you prefer</x:v>
      </x:c>
      <x:c r="E34" s="31" t="str">
        <x:v>Which team do you prefer</x:v>
      </x:c>
      <x:c r="F34" s="31" t="str">
        <x:v>Fit &amp; Motivation</x:v>
      </x:c>
      <x:c r="G34" s="30" t="str">
        <x:v>CL0050</x:v>
      </x:c>
      <x:c r="H34" s="32" t="n">
        <x:f>COUNTIF($G$5:$G$288,G34)</x:f>
        <x:v>2</x:v>
      </x:c>
      <x:c r="I34" s="30" t="str">
        <x:v>C8</x:v>
      </x:c>
      <x:c r="J34" s="31" t="str">
        <x:v>Self Intro, why GCM, why MS | why GCM not IBD | Tell me about a deal done by MS</x:v>
      </x:c>
    </x:row>
    <x:row r="35" ht="68" customHeight="1">
      <x:c r="A35" s="30" t="str">
        <x:v>QB0252</x:v>
      </x:c>
      <x:c r="B35" s="30" t="str">
        <x:v>MS GCM</x:v>
      </x:c>
      <x:c r="C35" s="30" t="str">
        <x:v>IBD / GCM</x:v>
      </x:c>
      <x:c r="D35" s="31" t="str">
        <x:v>Why are there huge cut in tech and bank jobs, but unemployment data is still very low</x:v>
      </x:c>
      <x:c r="E35" s="31" t="str">
        <x:v>Why are there huge cut in tech and bank jobs, but unemployment data is still very low</x:v>
      </x:c>
      <x:c r="F35" s="31" t="str">
        <x:v>Fit &amp; Motivation</x:v>
      </x:c>
      <x:c r="G35" s="30" t="str">
        <x:v>CL1113</x:v>
      </x:c>
      <x:c r="H35" s="32" t="n">
        <x:f>COUNTIF($G$5:$G$288,G35)</x:f>
        <x:v>1</x:v>
      </x:c>
      <x:c r="I35" s="30" t="str">
        <x:v>A10</x:v>
      </x:c>
      <x:c r="J35" s="31" t="str">
        <x:v>中文: Why is there AH share premium (for SMEs) | US interest rate forecast | Will Fed look at nonfarm payroll data vs unemployment rate to decide for interest rate</x:v>
      </x:c>
    </x:row>
    <x:row r="36" ht="32" customHeight="1">
      <x:c r="A36" s="30" t="str">
        <x:v>QB0258</x:v>
      </x:c>
      <x:c r="B36" s="30" t="str">
        <x:v>MS GCM</x:v>
      </x:c>
      <x:c r="C36" s="30" t="str">
        <x:v>IBD / GCM</x:v>
      </x:c>
      <x:c r="D36" s="31" t="str">
        <x:v>Why GCM</x:v>
      </x:c>
      <x:c r="E36" s="31" t="str">
        <x:v>Why global capital markets?</x:v>
      </x:c>
      <x:c r="F36" s="31" t="str">
        <x:v>Fit &amp; Motivation</x:v>
      </x:c>
      <x:c r="G36" s="30" t="str">
        <x:v>CL0009</x:v>
      </x:c>
      <x:c r="H36" s="32" t="n">
        <x:f>COUNTIF($G$5:$G$288,G36)</x:f>
        <x:v>14</x:v>
      </x:c>
      <x:c r="I36" s="30" t="str">
        <x:v>C16</x:v>
      </x:c>
      <x:c r="J36" s="31" t="str">
        <x:v>Markets outlook? | Fenix Wang | Self Intro</x:v>
      </x:c>
    </x:row>
    <x:row r="37" ht="32" customHeight="1">
      <x:c r="A37" s="30" t="str">
        <x:v>QB0259</x:v>
      </x:c>
      <x:c r="B37" s="30" t="str">
        <x:v>MS GCM</x:v>
      </x:c>
      <x:c r="C37" s="30" t="str">
        <x:v>IBD / GCM</x:v>
      </x:c>
      <x:c r="D37" s="31" t="str">
        <x:v>Which team would you prefer</x:v>
      </x:c>
      <x:c r="E37" s="31" t="str">
        <x:v>Which team would you prefer</x:v>
      </x:c>
      <x:c r="F37" s="31" t="str">
        <x:v>Fit &amp; Motivation</x:v>
      </x:c>
      <x:c r="G37" s="30" t="str">
        <x:v>CL1105</x:v>
      </x:c>
      <x:c r="H37" s="32" t="n">
        <x:f>COUNTIF($G$5:$G$288,G37)</x:f>
        <x:v>1</x:v>
      </x:c>
      <x:c r="I37" s="30" t="str">
        <x:v>C17</x:v>
      </x:c>
      <x:c r="J37" s="31" t="str">
        <x:v>Fenix Wang | Self Intro | Why GCM</x:v>
      </x:c>
    </x:row>
    <x:row r="38" ht="48" customHeight="1">
      <x:c r="A38" s="30" t="str">
        <x:v>QB0268</x:v>
      </x:c>
      <x:c r="B38" s="30" t="str">
        <x:v>MS GCM</x:v>
      </x:c>
      <x:c r="C38" s="30" t="str">
        <x:v>IBD / GCM</x:v>
      </x:c>
      <x:c r="D38" s="31" t="str">
        <x:v>Why GCM ?</x:v>
      </x:c>
      <x:c r="E38" s="31" t="str">
        <x:v>Why global capital markets?</x:v>
      </x:c>
      <x:c r="F38" s="31" t="str">
        <x:v>Fit &amp; Motivation</x:v>
      </x:c>
      <x:c r="G38" s="30" t="str">
        <x:v>CL0009</x:v>
      </x:c>
      <x:c r="H38" s="32" t="n">
        <x:f>COUNTIF($G$5:$G$288,G38)</x:f>
        <x:v>14</x:v>
      </x:c>
      <x:c r="I38" s="30" t="str">
        <x:v>C27</x:v>
      </x:c>
      <x:c r="J38" s="31" t="str">
        <x:v>What are some inputs in calculating the price of convertible bonds | John Lee | (say canto when I'm come in quite chill)</x:v>
      </x:c>
    </x:row>
    <x:row r="39" ht="32" customHeight="1">
      <x:c r="A39" s="30" t="str">
        <x:v>QB0270</x:v>
      </x:c>
      <x:c r="B39" s="30" t="str">
        <x:v>MS GCM</x:v>
      </x:c>
      <x:c r="C39" s="30" t="str">
        <x:v>IBD / GCM</x:v>
      </x:c>
      <x:c r="D39" s="31" t="str">
        <x:v>Why MS</x:v>
      </x:c>
      <x:c r="E39" s="31" t="str">
        <x:v>Why this firm?</x:v>
      </x:c>
      <x:c r="F39" s="31" t="str">
        <x:v>Fit &amp; Motivation</x:v>
      </x:c>
      <x:c r="G39" s="30" t="str">
        <x:v>CL0002</x:v>
      </x:c>
      <x:c r="H39" s="32" t="n">
        <x:f>COUNTIF($G$5:$G$288,G39)</x:f>
        <x:v>39</x:v>
      </x:c>
      <x:c r="I39" s="30" t="str">
        <x:v>C29</x:v>
      </x:c>
      <x:c r="J39" s="31" t="str">
        <x:v>(say canto when I'm come in quite chill) | Why GCM ? | Diff between IBD and GCM</x:v>
      </x:c>
    </x:row>
    <x:row r="40" ht="32" customHeight="1">
      <x:c r="A40" s="30" t="str">
        <x:v>QB0271</x:v>
      </x:c>
      <x:c r="B40" s="30" t="str">
        <x:v>MS GCM</x:v>
      </x:c>
      <x:c r="C40" s="30" t="str">
        <x:v>IBD / GCM</x:v>
      </x:c>
      <x:c r="D40" s="31" t="str">
        <x:v>Why MS not GS</x:v>
      </x:c>
      <x:c r="E40" s="31" t="str">
        <x:v>Why this firm?</x:v>
      </x:c>
      <x:c r="F40" s="31" t="str">
        <x:v>Fit &amp; Motivation</x:v>
      </x:c>
      <x:c r="G40" s="30" t="str">
        <x:v>CL0002</x:v>
      </x:c>
      <x:c r="H40" s="32" t="n">
        <x:f>COUNTIF($G$5:$G$288,G40)</x:f>
        <x:v>39</x:v>
      </x:c>
      <x:c r="I40" s="30" t="str">
        <x:v>C30</x:v>
      </x:c>
      <x:c r="J40" s="31" t="str">
        <x:v>Why GCM ? | Diff between IBD and GCM | Why MS</x:v>
      </x:c>
    </x:row>
    <x:row r="41" ht="32" customHeight="1">
      <x:c r="A41" s="30" t="str">
        <x:v>QB0272</x:v>
      </x:c>
      <x:c r="B41" s="30" t="str">
        <x:v>MS GCM</x:v>
      </x:c>
      <x:c r="C41" s="30" t="str">
        <x:v>IBD / GCM</x:v>
      </x:c>
      <x:c r="D41" s="31" t="str">
        <x:v>Pretend I am GS interviewer, why GS</x:v>
      </x:c>
      <x:c r="E41" s="31" t="str">
        <x:v>Pretend I am GS interviewer, why GS</x:v>
      </x:c>
      <x:c r="F41" s="31" t="str">
        <x:v>Fit &amp; Motivation</x:v>
      </x:c>
      <x:c r="G41" s="30" t="str">
        <x:v>CL0650</x:v>
      </x:c>
      <x:c r="H41" s="32" t="n">
        <x:f>COUNTIF($G$5:$G$288,G41)</x:f>
        <x:v>1</x:v>
      </x:c>
      <x:c r="I41" s="30" t="str">
        <x:v>C31</x:v>
      </x:c>
      <x:c r="J41" s="31" t="str">
        <x:v>Diff between IBD and GCM | Why MS | Why MS not GS</x:v>
      </x:c>
    </x:row>
    <x:row r="42" ht="68" customHeight="1">
      <x:c r="A42" s="30" t="str">
        <x:v>QB0285</x:v>
      </x:c>
      <x:c r="B42" s="30" t="str">
        <x:v>MS GCM</x:v>
      </x:c>
      <x:c r="C42" s="30" t="str">
        <x:v>IBD / GCM</x:v>
      </x:c>
      <x:c r="D42" s="31" t="str">
        <x:v>why GCM, not IBD</x:v>
      </x:c>
      <x:c r="E42" s="31" t="str">
        <x:v>Why global capital markets?</x:v>
      </x:c>
      <x:c r="F42" s="31" t="str">
        <x:v>Fit &amp; Motivation</x:v>
      </x:c>
      <x:c r="G42" s="30" t="str">
        <x:v>CL0009</x:v>
      </x:c>
      <x:c r="H42" s="32" t="n">
        <x:f>COUNTIF($G$5:$G$288,G42)</x:f>
        <x:v>14</x:v>
      </x:c>
      <x:c r="I42" s="30" t="str">
        <x:v>C42</x:v>
      </x:c>
      <x:c r="J42" s="31" t="str">
        <x:v>Biggest growth for investment bank in Asia? ( he told me to look into australia and Korea, China is still strong don't get faked) | Kari 10/10 Kan GU, (no information on linkedIn) | Intro;</x:v>
      </x:c>
    </x:row>
    <x:row r="43" ht="32" customHeight="1">
      <x:c r="A43" s="30" t="str">
        <x:v>QB0286</x:v>
      </x:c>
      <x:c r="B43" s="30" t="str">
        <x:v>MS GCM</x:v>
      </x:c>
      <x:c r="C43" s="30" t="str">
        <x:v>IBD / GCM</x:v>
      </x:c>
      <x:c r="D43" s="31" t="str">
        <x:v>why not consulting, PE</x:v>
      </x:c>
      <x:c r="E43" s="31" t="str">
        <x:v>Why this role instead of another career path?</x:v>
      </x:c>
      <x:c r="F43" s="31" t="str">
        <x:v>Fit &amp; Motivation</x:v>
      </x:c>
      <x:c r="G43" s="30" t="str">
        <x:v>CL0020</x:v>
      </x:c>
      <x:c r="H43" s="32" t="n">
        <x:f>COUNTIF($G$5:$G$288,G43)</x:f>
        <x:v>4</x:v>
      </x:c>
      <x:c r="I43" s="30" t="str">
        <x:v>C43</x:v>
      </x:c>
      <x:c r="J43" s="31" t="str">
        <x:v>Kari 10/10 Kan GU, (no information on linkedIn) | Intro; | why GCM, not IBD</x:v>
      </x:c>
    </x:row>
    <x:row r="44" ht="68" customHeight="1">
      <x:c r="A44" s="30" t="str">
        <x:v>QB0296</x:v>
      </x:c>
      <x:c r="B44" s="30" t="str">
        <x:v>MS GCM</x:v>
      </x:c>
      <x:c r="C44" s="30" t="str">
        <x:v>IBD / GCM</x:v>
      </x:c>
      <x:c r="D44" s="31" t="str">
        <x:v>中文回答：you mentioned swap facility, why central bank doesn’t give cash, but use swap (我没回答出来，请教他，他说是货币基础的问题)</x:v>
      </x:c>
      <x:c r="E44" s="31" t="str">
        <x:v>中文回答：you mentioned swap facility, why central bank doesn’t give cash, but use swap (我没回答出来，请教他，他说是货币基础的问题)</x:v>
      </x:c>
      <x:c r="F44" s="31" t="str">
        <x:v>Fit &amp; Motivation</x:v>
      </x:c>
      <x:c r="G44" s="30" t="str">
        <x:v>CL1217</x:v>
      </x:c>
      <x:c r="H44" s="32" t="n">
        <x:f>COUNTIF($G$5:$G$288,G44)</x:f>
        <x:v>1</x:v>
      </x:c>
      <x:c r="I44" s="30" t="str">
        <x:v>C48</x:v>
      </x:c>
      <x:c r="J44" s="31" t="str">
        <x:v>what traits do you think a GCM banker should have | you mention market skills, could you please share some news about Chinese markets? | what your perspectives in short-run &amp; long-run</x:v>
      </x:c>
    </x:row>
    <x:row r="45" ht="32" customHeight="1">
      <x:c r="A45" s="30" t="str">
        <x:v>QB0305</x:v>
      </x:c>
      <x:c r="B45" s="30" t="str">
        <x:v>MS GCM</x:v>
      </x:c>
      <x:c r="C45" s="30" t="str">
        <x:v>IBD / GCM</x:v>
      </x:c>
      <x:c r="D45" s="31" t="str">
        <x:v>why gcm;</x:v>
      </x:c>
      <x:c r="E45" s="31" t="str">
        <x:v>Why global capital markets?</x:v>
      </x:c>
      <x:c r="F45" s="31" t="str">
        <x:v>Fit &amp; Motivation</x:v>
      </x:c>
      <x:c r="G45" s="30" t="str">
        <x:v>CL0009</x:v>
      </x:c>
      <x:c r="H45" s="32" t="n">
        <x:f>COUNTIF($G$5:$G$288,G45)</x:f>
        <x:v>14</x:v>
      </x:c>
      <x:c r="I45" s="30" t="str">
        <x:v>C57</x:v>
      </x:c>
      <x:c r="J45" s="31" t="str">
        <x:v>Kari 10/23 | interviewer 1, Sang Kim, male, hk, ED: | intro;</x:v>
      </x:c>
    </x:row>
    <x:row r="46" ht="32" customHeight="1">
      <x:c r="A46" s="30" t="str">
        <x:v>QB0306</x:v>
      </x:c>
      <x:c r="B46" s="30" t="str">
        <x:v>MS GCM</x:v>
      </x:c>
      <x:c r="C46" s="30" t="str">
        <x:v>IBD / GCM</x:v>
      </x:c>
      <x:c r="D46" s="31" t="str">
        <x:v>why MS;</x:v>
      </x:c>
      <x:c r="E46" s="31" t="str">
        <x:v>Why this firm?</x:v>
      </x:c>
      <x:c r="F46" s="31" t="str">
        <x:v>Fit &amp; Motivation</x:v>
      </x:c>
      <x:c r="G46" s="30" t="str">
        <x:v>CL0002</x:v>
      </x:c>
      <x:c r="H46" s="32" t="n">
        <x:f>COUNTIF($G$5:$G$288,G46)</x:f>
        <x:v>39</x:v>
      </x:c>
      <x:c r="I46" s="30" t="str">
        <x:v>C58</x:v>
      </x:c>
      <x:c r="J46" s="31" t="str">
        <x:v>interviewer 1, Sang Kim, male, hk, ED: | intro; | why gcm;</x:v>
      </x:c>
    </x:row>
    <x:row r="47" ht="32" customHeight="1">
      <x:c r="A47" s="30" t="str">
        <x:v>QB0307</x:v>
      </x:c>
      <x:c r="B47" s="30" t="str">
        <x:v>MS GCM</x:v>
      </x:c>
      <x:c r="C47" s="30" t="str">
        <x:v>IBD / GCM</x:v>
      </x:c>
      <x:c r="D47" s="31" t="str">
        <x:v>why HK</x:v>
      </x:c>
      <x:c r="E47" s="31" t="str">
        <x:v>Why HK</x:v>
      </x:c>
      <x:c r="F47" s="31" t="str">
        <x:v>Fit &amp; Motivation</x:v>
      </x:c>
      <x:c r="G47" s="30" t="str">
        <x:v>CL1134</x:v>
      </x:c>
      <x:c r="H47" s="32" t="n">
        <x:f>COUNTIF($G$5:$G$288,G47)</x:f>
        <x:v>1</x:v>
      </x:c>
      <x:c r="I47" s="30" t="str">
        <x:v>C59</x:v>
      </x:c>
      <x:c r="J47" s="31" t="str">
        <x:v>intro; | why gcm; | why MS;</x:v>
      </x:c>
    </x:row>
    <x:row r="48" ht="48" customHeight="1">
      <x:c r="A48" s="30" t="str">
        <x:v>QB0314</x:v>
      </x:c>
      <x:c r="B48" s="30" t="str">
        <x:v>MS GCM</x:v>
      </x:c>
      <x:c r="C48" s="30" t="str">
        <x:v>IBD / GCM</x:v>
      </x:c>
      <x:c r="D48" s="31" t="str">
        <x:v>why GCM;</x:v>
      </x:c>
      <x:c r="E48" s="31" t="str">
        <x:v>Why global capital markets?</x:v>
      </x:c>
      <x:c r="F48" s="31" t="str">
        <x:v>Fit &amp; Motivation</x:v>
      </x:c>
      <x:c r="G48" s="30" t="str">
        <x:v>CL0009</x:v>
      </x:c>
      <x:c r="H48" s="32" t="n">
        <x:f>COUNTIF($G$5:$G$288,G48)</x:f>
        <x:v>14</x:v>
      </x:c>
      <x:c r="I48" s="30" t="str">
        <x:v>C67</x:v>
      </x:c>
      <x:c r="J48" s="31" t="str">
        <x:v>do you have some challenging time in your life? Share your story | interviewer 2, Eugene Say, male, Singapore, ED: | intro;</x:v>
      </x:c>
    </x:row>
    <x:row r="49" ht="32" customHeight="1">
      <x:c r="A49" s="30" t="str">
        <x:v>QB0315</x:v>
      </x:c>
      <x:c r="B49" s="30" t="str">
        <x:v>MS GCM</x:v>
      </x:c>
      <x:c r="C49" s="30" t="str">
        <x:v>IBD / GCM</x:v>
      </x:c>
      <x:c r="D49" s="31" t="str">
        <x:v>why banking;</x:v>
      </x:c>
      <x:c r="E49" s="31" t="str">
        <x:v>Why investment banking?</x:v>
      </x:c>
      <x:c r="F49" s="31" t="str">
        <x:v>Fit &amp; Motivation</x:v>
      </x:c>
      <x:c r="G49" s="30" t="str">
        <x:v>CL0003</x:v>
      </x:c>
      <x:c r="H49" s="32" t="n">
        <x:f>COUNTIF($G$5:$G$288,G49)</x:f>
        <x:v>34</x:v>
      </x:c>
      <x:c r="I49" s="30" t="str">
        <x:v>C68</x:v>
      </x:c>
      <x:c r="J49" s="31" t="str">
        <x:v>interviewer 2, Eugene Say, male, Singapore, ED: | intro; | why GCM;</x:v>
      </x:c>
    </x:row>
    <x:row r="50" ht="32" customHeight="1">
      <x:c r="A50" s="30" t="str">
        <x:v>QB0316</x:v>
      </x:c>
      <x:c r="B50" s="30" t="str">
        <x:v>MS GCM</x:v>
      </x:c>
      <x:c r="C50" s="30" t="str">
        <x:v>IBD / GCM</x:v>
      </x:c>
      <x:c r="D50" s="31" t="str">
        <x:v>why hk not Yunnan;</x:v>
      </x:c>
      <x:c r="E50" s="31" t="str">
        <x:v>Why hk not Yunnan</x:v>
      </x:c>
      <x:c r="F50" s="31" t="str">
        <x:v>Fit &amp; Motivation</x:v>
      </x:c>
      <x:c r="G50" s="30" t="str">
        <x:v>CL1136</x:v>
      </x:c>
      <x:c r="H50" s="32" t="n">
        <x:f>COUNTIF($G$5:$G$288,G50)</x:f>
        <x:v>1</x:v>
      </x:c>
      <x:c r="I50" s="30" t="str">
        <x:v>C69</x:v>
      </x:c>
      <x:c r="J50" s="31" t="str">
        <x:v>intro; | why GCM; | why banking;</x:v>
      </x:c>
    </x:row>
    <x:row r="51" ht="32" customHeight="1">
      <x:c r="A51" s="30" t="str">
        <x:v>QB0324</x:v>
      </x:c>
      <x:c r="B51" s="30" t="str">
        <x:v>MS GCM</x:v>
      </x:c>
      <x:c r="C51" s="30" t="str">
        <x:v>IBD / GCM</x:v>
      </x:c>
      <x:c r="D51" s="31" t="str">
        <x:v>why GCM</x:v>
      </x:c>
      <x:c r="E51" s="31" t="str">
        <x:v>Why global capital markets?</x:v>
      </x:c>
      <x:c r="F51" s="31" t="str">
        <x:v>Fit &amp; Motivation</x:v>
      </x:c>
      <x:c r="G51" s="30" t="str">
        <x:v>CL0009</x:v>
      </x:c>
      <x:c r="H51" s="32" t="n">
        <x:f>COUNTIF($G$5:$G$288,G51)</x:f>
        <x:v>14</x:v>
      </x:c>
      <x:c r="I51" s="30" t="str">
        <x:v>C78</x:v>
      </x:c>
      <x:c r="J51" s="31" t="str">
        <x:v>反问； | interviewer 3, Melody Wang, female, hk, vp: | intro</x:v>
      </x:c>
    </x:row>
    <x:row r="52" ht="32" customHeight="1">
      <x:c r="A52" s="30" t="str">
        <x:v>QB0346</x:v>
      </x:c>
      <x:c r="B52" s="30" t="str">
        <x:v>MS GCM</x:v>
      </x:c>
      <x:c r="C52" s="30" t="str">
        <x:v>IBD / GCM</x:v>
      </x:c>
      <x:c r="D52" s="31" t="str">
        <x:v>Why GCM not GM?</x:v>
      </x:c>
      <x:c r="E52" s="31" t="str">
        <x:v>Why global capital markets?</x:v>
      </x:c>
      <x:c r="F52" s="31" t="str">
        <x:v>Fit &amp; Motivation</x:v>
      </x:c>
      <x:c r="G52" s="30" t="str">
        <x:v>CL0009</x:v>
      </x:c>
      <x:c r="H52" s="32" t="n">
        <x:f>COUNTIF($G$5:$G$288,G52)</x:f>
        <x:v>14</x:v>
      </x:c>
      <x:c r="I52" s="30" t="str">
        <x:v>A96</x:v>
      </x:c>
      <x:c r="J52" s="31" t="str">
        <x:v>John | With Para Zhao, Leveraged Finance, VP/D? | Walk me through your CV</x:v>
      </x:c>
    </x:row>
    <x:row r="53" ht="32" customHeight="1">
      <x:c r="A53" s="30" t="str">
        <x:v>QB0347</x:v>
      </x:c>
      <x:c r="B53" s="30" t="str">
        <x:v>MS GCM</x:v>
      </x:c>
      <x:c r="C53" s="30" t="str">
        <x:v>IBD / GCM</x:v>
      </x:c>
      <x:c r="D53" s="31" t="str">
        <x:v>why GCM instead of IBD/PE</x:v>
      </x:c>
      <x:c r="E53" s="31" t="str">
        <x:v>Why global capital markets?</x:v>
      </x:c>
      <x:c r="F53" s="31" t="str">
        <x:v>Fit &amp; Motivation</x:v>
      </x:c>
      <x:c r="G53" s="30" t="str">
        <x:v>CL0009</x:v>
      </x:c>
      <x:c r="H53" s="32" t="n">
        <x:f>COUNTIF($G$5:$G$288,G53)</x:f>
        <x:v>14</x:v>
      </x:c>
      <x:c r="I53" s="30" t="str">
        <x:v>C96</x:v>
      </x:c>
      <x:c r="J53" s="31" t="str">
        <x:v>Veronica | Interviewer: Dick Lee (he is very chill) | Self intro</x:v>
      </x:c>
    </x:row>
    <x:row r="54" ht="32" customHeight="1">
      <x:c r="A54" s="30" t="str">
        <x:v>QB0370</x:v>
      </x:c>
      <x:c r="B54" s="30" t="str">
        <x:v>MS GCM</x:v>
      </x:c>
      <x:c r="C54" s="30" t="str">
        <x:v>IBD / GCM</x:v>
      </x:c>
      <x:c r="D54" s="31" t="str">
        <x:v>Why GCM not GM?</x:v>
      </x:c>
      <x:c r="E54" s="31" t="str">
        <x:v>Why global capital markets?</x:v>
      </x:c>
      <x:c r="F54" s="31" t="str">
        <x:v>Fit &amp; Motivation</x:v>
      </x:c>
      <x:c r="G54" s="30" t="str">
        <x:v>CL0009</x:v>
      </x:c>
      <x:c r="H54" s="32" t="n">
        <x:f>COUNTIF($G$5:$G$288,G54)</x:f>
        <x:v>14</x:v>
      </x:c>
      <x:c r="I54" s="30" t="str">
        <x:v>A112</x:v>
      </x:c>
      <x:c r="J54" s="31" t="str">
        <x:v>John | Danny Lam, HR? COO? | Mostly very common behavioral ones. Chill and easy to handle</x:v>
      </x:c>
    </x:row>
    <x:row r="55" ht="32" customHeight="1">
      <x:c r="A55" s="30" t="str">
        <x:v>QB0371</x:v>
      </x:c>
      <x:c r="B55" s="30" t="str">
        <x:v>MS GCM</x:v>
      </x:c>
      <x:c r="C55" s="30" t="str">
        <x:v>IBD / GCM</x:v>
      </x:c>
      <x:c r="D55" s="31" t="str">
        <x:v>Why GCM instead of other divisions?</x:v>
      </x:c>
      <x:c r="E55" s="31" t="str">
        <x:v>Why global capital markets?</x:v>
      </x:c>
      <x:c r="F55" s="31" t="str">
        <x:v>Fit &amp; Motivation</x:v>
      </x:c>
      <x:c r="G55" s="30" t="str">
        <x:v>CL0009</x:v>
      </x:c>
      <x:c r="H55" s="32" t="n">
        <x:f>COUNTIF($G$5:$G$288,G55)</x:f>
        <x:v>14</x:v>
      </x:c>
      <x:c r="I55" s="30" t="str">
        <x:v>C112</x:v>
      </x:c>
      <x:c r="J55" s="31" t="str">
        <x:v>Veronica | Interviewer 1: Melody Wang (ED, ECM) she is very scary | self intro</x:v>
      </x:c>
    </x:row>
    <x:row r="56" ht="48" customHeight="1">
      <x:c r="A56" s="30" t="str">
        <x:v>QB0372</x:v>
      </x:c>
      <x:c r="B56" s="30" t="str">
        <x:v>MS GCM</x:v>
      </x:c>
      <x:c r="C56" s="30" t="str">
        <x:v>IBD / GCM</x:v>
      </x:c>
      <x:c r="D56" s="31" t="str">
        <x:v>What's your hours on the trading floor? - Banking side has long hours, be prepared.</x:v>
      </x:c>
      <x:c r="E56" s="31" t="str">
        <x:v>What's your hours on the trading floor? - Banking side has long hours, be prepared</x:v>
      </x:c>
      <x:c r="F56" s="31" t="str">
        <x:v>Fit &amp; Motivation</x:v>
      </x:c>
      <x:c r="G56" s="30" t="str">
        <x:v>CL1064</x:v>
      </x:c>
      <x:c r="H56" s="32" t="n">
        <x:f>COUNTIF($G$5:$G$288,G56)</x:f>
        <x:v>1</x:v>
      </x:c>
      <x:c r="I56" s="30" t="str">
        <x:v>A113</x:v>
      </x:c>
      <x:c r="J56" s="31" t="str">
        <x:v>Danny Lam, HR? COO? | Mostly very common behavioral ones. Chill and easy to handle | Why GCM not GM?</x:v>
      </x:c>
    </x:row>
    <x:row r="57" ht="48" customHeight="1">
      <x:c r="A57" s="30" t="str">
        <x:v>QB0373</x:v>
      </x:c>
      <x:c r="B57" s="30" t="str">
        <x:v>MS GCM</x:v>
      </x:c>
      <x:c r="C57" s="30" t="str">
        <x:v>IBD / GCM</x:v>
      </x:c>
      <x:c r="D57" s="31" t="str">
        <x:v>Why not ER?</x:v>
      </x:c>
      <x:c r="E57" s="31" t="str">
        <x:v>Why this role instead of another career path?</x:v>
      </x:c>
      <x:c r="F57" s="31" t="str">
        <x:v>Fit &amp; Motivation</x:v>
      </x:c>
      <x:c r="G57" s="30" t="str">
        <x:v>CL0020</x:v>
      </x:c>
      <x:c r="H57" s="32" t="n">
        <x:f>COUNTIF($G$5:$G$288,G57)</x:f>
        <x:v>4</x:v>
      </x:c>
      <x:c r="I57" s="30" t="str">
        <x:v>C113</x:v>
      </x:c>
      <x:c r="J57" s="31" t="str">
        <x:v>Interviewer 1: Melody Wang (ED, ECM) she is very scary | self intro | Why GCM instead of other divisions?</x:v>
      </x:c>
    </x:row>
    <x:row r="58" ht="48" customHeight="1">
      <x:c r="A58" s="30" t="str">
        <x:v>QB0389</x:v>
      </x:c>
      <x:c r="B58" s="30" t="str">
        <x:v>MS GCM</x:v>
      </x:c>
      <x:c r="C58" s="30" t="str">
        <x:v>IBD / GCM</x:v>
      </x:c>
      <x:c r="D58" s="31" t="str">
        <x:v>Why GCM?</x:v>
      </x:c>
      <x:c r="E58" s="31" t="str">
        <x:v>Why global capital markets?</x:v>
      </x:c>
      <x:c r="F58" s="31" t="str">
        <x:v>Fit &amp; Motivation</x:v>
      </x:c>
      <x:c r="G58" s="30" t="str">
        <x:v>CL0009</x:v>
      </x:c>
      <x:c r="H58" s="32" t="n">
        <x:f>COUNTIF($G$5:$G$288,G58)</x:f>
        <x:v>14</x:v>
      </x:c>
      <x:c r="I58" s="30" t="str">
        <x:v>A122</x:v>
      </x:c>
      <x:c r="J58" s="31" t="str">
        <x:v>Walk me through a typical process of a HK IPO | What are the pros and cons of raising capital through equity/debt? | Tell me about a deal done by MS</x:v>
      </x:c>
    </x:row>
    <x:row r="59" ht="48" customHeight="1">
      <x:c r="A59" s="30" t="str">
        <x:v>QB0398</x:v>
      </x:c>
      <x:c r="B59" s="30" t="str">
        <x:v>MS GCM</x:v>
      </x:c>
      <x:c r="C59" s="30" t="str">
        <x:v>IBD / GCM</x:v>
      </x:c>
      <x:c r="D59" s="31" t="str">
        <x:v>Which team do you prefer</x:v>
      </x:c>
      <x:c r="E59" s="31" t="str">
        <x:v>Which team do you prefer</x:v>
      </x:c>
      <x:c r="F59" s="31" t="str">
        <x:v>Fit &amp; Motivation</x:v>
      </x:c>
      <x:c r="G59" s="30" t="str">
        <x:v>CL0050</x:v>
      </x:c>
      <x:c r="H59" s="32" t="n">
        <x:f>COUNTIF($G$5:$G$288,G59)</x:f>
        <x:v>2</x:v>
      </x:c>
      <x:c r="I59" s="30" t="str">
        <x:v>A128</x:v>
      </x:c>
      <x:c r="J59" s="31" t="str">
        <x:v>Dick Lee, MD and APAC Head of Corporate Equity Derivatives | Self intro | Tell me about a deal done by MS</x:v>
      </x:c>
    </x:row>
    <x:row r="60" ht="32" customHeight="1">
      <x:c r="A60" s="30" t="str">
        <x:v>QB0401</x:v>
      </x:c>
      <x:c r="B60" s="30" t="str">
        <x:v>MS GCM</x:v>
      </x:c>
      <x:c r="C60" s="30" t="str">
        <x:v>IBD / GCM</x:v>
      </x:c>
      <x:c r="D60" s="31" t="str">
        <x:v>why GCM, why not IBD/PE</x:v>
      </x:c>
      <x:c r="E60" s="31" t="str">
        <x:v>Why global capital markets?</x:v>
      </x:c>
      <x:c r="F60" s="31" t="str">
        <x:v>Fit &amp; Motivation</x:v>
      </x:c>
      <x:c r="G60" s="30" t="str">
        <x:v>CL0009</x:v>
      </x:c>
      <x:c r="H60" s="32" t="n">
        <x:f>COUNTIF($G$5:$G$288,G60)</x:f>
        <x:v>14</x:v>
      </x:c>
      <x:c r="I60" s="30" t="str">
        <x:v>C129</x:v>
      </x:c>
      <x:c r="J60" s="31" t="str">
        <x:v>No Q&amp;A | Interviewer 2: Nicki Zhong (ED, ECM) she is chiller | self intro</x:v>
      </x:c>
    </x:row>
    <x:row r="61" ht="48" customHeight="1">
      <x:c r="A61" s="30" t="str">
        <x:v>QB0402</x:v>
      </x:c>
      <x:c r="B61" s="30" t="str">
        <x:v>MS GCM</x:v>
      </x:c>
      <x:c r="C61" s="30" t="str">
        <x:v>IBD / GCM</x:v>
      </x:c>
      <x:c r="D61" s="31" t="str">
        <x:v>(i said honestly no, but i do know that the convertible market in Asia in on a upward trend cuz it has lots of benefits)</x:v>
      </x:c>
      <x:c r="E61" s="31" t="str">
        <x:v>Explain convertible bonds and why an issuer might use them</x:v>
      </x:c>
      <x:c r="F61" s="31" t="str">
        <x:v>Fit &amp; Motivation</x:v>
      </x:c>
      <x:c r="G61" s="30" t="str">
        <x:v>CL0016</x:v>
      </x:c>
      <x:c r="H61" s="32" t="n">
        <x:f>COUNTIF($G$5:$G$288,G61)</x:f>
        <x:v>1</x:v>
      </x:c>
      <x:c r="I61" s="30" t="str">
        <x:v>A130</x:v>
      </x:c>
      <x:c r="J61" s="31" t="str">
        <x:v>Tell me about a deal done by MS | Which team do you prefer | I am doing convertibles - any ideas or have been following any updates in this field?</x:v>
      </x:c>
    </x:row>
    <x:row r="62" ht="32" customHeight="1">
      <x:c r="A62" s="30" t="str">
        <x:v>QB0437</x:v>
      </x:c>
      <x:c r="B62" s="30" t="str">
        <x:v>UBS IBD</x:v>
      </x:c>
      <x:c r="C62" s="30" t="str">
        <x:v>IBD / GCM</x:v>
      </x:c>
      <x:c r="D62" s="31" t="str">
        <x:v>Why UBS</x:v>
      </x:c>
      <x:c r="E62" s="31" t="str">
        <x:v>Why this firm?</x:v>
      </x:c>
      <x:c r="F62" s="31" t="str">
        <x:v>Fit &amp; Motivation</x:v>
      </x:c>
      <x:c r="G62" s="30" t="str">
        <x:v>CL0002</x:v>
      </x:c>
      <x:c r="H62" s="32" t="n">
        <x:f>COUNTIF($G$5:$G$288,G62)</x:f>
        <x:v>39</x:v>
      </x:c>
      <x:c r="I62" s="30" t="str">
        <x:v>G4</x:v>
      </x:c>
      <x:c r="J62" s="31" t="str">
        <x:v>24 Emily Call with Emily and Horce | Self Into</x:v>
      </x:c>
    </x:row>
    <x:row r="63" ht="32" customHeight="1">
      <x:c r="A63" s="30" t="str">
        <x:v>QB0442</x:v>
      </x:c>
      <x:c r="B63" s="30" t="str">
        <x:v>UBS IBD</x:v>
      </x:c>
      <x:c r="C63" s="30" t="str">
        <x:v>IBD / GCM</x:v>
      </x:c>
      <x:c r="D63" s="31" t="str">
        <x:v>Why IBD how do you compare it with other industries</x:v>
      </x:c>
      <x:c r="E63" s="31" t="str">
        <x:v>Why investment banking?</x:v>
      </x:c>
      <x:c r="F63" s="31" t="str">
        <x:v>Fit &amp; Motivation</x:v>
      </x:c>
      <x:c r="G63" s="30" t="str">
        <x:v>CL0003</x:v>
      </x:c>
      <x:c r="H63" s="32" t="n">
        <x:f>COUNTIF($G$5:$G$288,G63)</x:f>
        <x:v>34</x:v>
      </x:c>
      <x:c r="I63" s="30" t="str">
        <x:v>K5</x:v>
      </x:c>
      <x:c r="J63" s="31" t="str">
        <x:v>28 Phone Interview (Beata) with Flora Lin | How's your holiday | Self Intro</x:v>
      </x:c>
    </x:row>
    <x:row r="64" ht="32" customHeight="1">
      <x:c r="A64" s="30" t="str">
        <x:v>QB0443</x:v>
      </x:c>
      <x:c r="B64" s="30" t="str">
        <x:v>UBS IBD</x:v>
      </x:c>
      <x:c r="C64" s="30" t="str">
        <x:v>IBD / GCM</x:v>
      </x:c>
      <x:c r="D64" s="31" t="str">
        <x:v>Why afterwards HKEX and Equity research?</x:v>
      </x:c>
      <x:c r="E64" s="31" t="str">
        <x:v>Why afterwards HKEX and Equity research</x:v>
      </x:c>
      <x:c r="F64" s="31" t="str">
        <x:v>Fit &amp; Motivation</x:v>
      </x:c>
      <x:c r="G64" s="30" t="str">
        <x:v>CL1112</x:v>
      </x:c>
      <x:c r="H64" s="32" t="n">
        <x:f>COUNTIF($G$5:$G$288,G64)</x:f>
        <x:v>1</x:v>
      </x:c>
      <x:c r="I64" s="30" t="str">
        <x:v>A6</x:v>
      </x:c>
      <x:c r="J64" s="31" t="str">
        <x:v>Emily - Anqi Xu | Self intro | Walk me thru ur first deal, closed?</x:v>
      </x:c>
    </x:row>
    <x:row r="65" ht="48" customHeight="1">
      <x:c r="A65" s="30" t="str">
        <x:v>QB0451</x:v>
      </x:c>
      <x:c r="B65" s="30" t="str">
        <x:v>UBS IBD</x:v>
      </x:c>
      <x:c r="C65" s="30" t="str">
        <x:v>IBD / GCM</x:v>
      </x:c>
      <x:c r="D65" s="31" t="str">
        <x:v>Why UBS?</x:v>
      </x:c>
      <x:c r="E65" s="31" t="str">
        <x:v>Why this firm?</x:v>
      </x:c>
      <x:c r="F65" s="31" t="str">
        <x:v>Fit &amp; Motivation</x:v>
      </x:c>
      <x:c r="G65" s="30" t="str">
        <x:v>CL0002</x:v>
      </x:c>
      <x:c r="H65" s="32" t="n">
        <x:f>COUNTIF($G$5:$G$288,G65)</x:f>
        <x:v>39</x:v>
      </x:c>
      <x:c r="I65" s="30" t="str">
        <x:v>A8</x:v>
      </x:c>
      <x:c r="J65" s="31" t="str">
        <x:v>Walk me thru ur first deal, closed? | Why afterwards HKEX and Equity research? | What's ur strength and weaknesses</x:v>
      </x:c>
    </x:row>
    <x:row r="66" ht="48" customHeight="1">
      <x:c r="A66" s="30" t="str">
        <x:v>QB0489</x:v>
      </x:c>
      <x:c r="B66" s="30" t="str">
        <x:v>UBS IBD</x:v>
      </x:c>
      <x:c r="C66" s="30" t="str">
        <x:v>IBD / GCM</x:v>
      </x:c>
      <x:c r="D66" s="31" t="str">
        <x:v>Why IBD not PE</x:v>
      </x:c>
      <x:c r="E66" s="31" t="str">
        <x:v>Why investment banking?</x:v>
      </x:c>
      <x:c r="F66" s="31" t="str">
        <x:v>Fit &amp; Motivation</x:v>
      </x:c>
      <x:c r="G66" s="30" t="str">
        <x:v>CL0003</x:v>
      </x:c>
      <x:c r="H66" s="32" t="n">
        <x:f>COUNTIF($G$5:$G$288,G66)</x:f>
        <x:v>34</x:v>
      </x:c>
      <x:c r="I66" s="30" t="str">
        <x:v>A23</x:v>
      </x:c>
      <x:c r="J66" s="31" t="str">
        <x:v>Walk me through the DCF for the biotech company u looked at | How many years did you project it | Tell me about a recent piece of news in Chinese</x:v>
      </x:c>
    </x:row>
    <x:row r="67" ht="68" customHeight="1">
      <x:c r="A67" s="30" t="str">
        <x:v>QB0495</x:v>
      </x:c>
      <x:c r="B67" s="30" t="str">
        <x:v>UBS IBD</x:v>
      </x:c>
      <x:c r="C67" s="30" t="str">
        <x:v>IBD / GCM</x:v>
      </x:c>
      <x:c r="D67" s="31" t="str">
        <x:v>Why do you think the company is undervalued</x:v>
      </x:c>
      <x:c r="E67" s="31" t="str">
        <x:v>Why do you think the company is undervalued</x:v>
      </x:c>
      <x:c r="F67" s="31" t="str">
        <x:v>Fit &amp; Motivation</x:v>
      </x:c>
      <x:c r="G67" s="30" t="str">
        <x:v>CL1130</x:v>
      </x:c>
      <x:c r="H67" s="32" t="n">
        <x:f>COUNTIF($G$5:$G$288,G67)</x:f>
        <x:v>1</x:v>
      </x:c>
      <x:c r="I67" s="30" t="str">
        <x:v>D26</x:v>
      </x:c>
      <x:c r="J67" s="31" t="str">
        <x:v>What if there are like 4 MDs reaching out to you, what would you do? | Case study | (I fucked up really badly so he is just asking wtf r u doing lol and guiding me to solve it)</x:v>
      </x:c>
    </x:row>
    <x:row r="68" ht="48" customHeight="1">
      <x:c r="A68" s="30" t="str">
        <x:v>QB0496</x:v>
      </x:c>
      <x:c r="B68" s="30" t="str">
        <x:v>UBS IBD</x:v>
      </x:c>
      <x:c r="C68" s="30" t="str">
        <x:v>IBD / GCM</x:v>
      </x:c>
      <x:c r="D68" s="31" t="str">
        <x:v>why ubs</x:v>
      </x:c>
      <x:c r="E68" s="31" t="str">
        <x:v>Why this firm?</x:v>
      </x:c>
      <x:c r="F68" s="31" t="str">
        <x:v>Fit &amp; Motivation</x:v>
      </x:c>
      <x:c r="G68" s="30" t="str">
        <x:v>CL0002</x:v>
      </x:c>
      <x:c r="H68" s="32" t="n">
        <x:f>COUNTIF($G$5:$G$288,G68)</x:f>
        <x:v>39</x:v>
      </x:c>
      <x:c r="I68" s="30" t="str">
        <x:v>A27</x:v>
      </x:c>
      <x:c r="J68" s="31" t="str">
        <x:v>Best feedback vs worst feedback u received | Any questions | if ubs and barclays both gave you an offer, which would you choose</x:v>
      </x:c>
    </x:row>
    <x:row r="69" ht="48" customHeight="1">
      <x:c r="A69" s="30" t="str">
        <x:v>QB0517</x:v>
      </x:c>
      <x:c r="B69" s="30" t="str">
        <x:v>UBS IBD</x:v>
      </x:c>
      <x:c r="C69" s="30" t="str">
        <x:v>IBD / GCM</x:v>
      </x:c>
      <x:c r="D69" s="31" t="str">
        <x:v>Do you think it's going to be effective? Why would this round of policy stimulus be different?</x:v>
      </x:c>
      <x:c r="E69" s="31" t="str">
        <x:v>Do you think it's going to be effective? Why would this round of policy stimulus be different</x:v>
      </x:c>
      <x:c r="F69" s="31" t="str">
        <x:v>Fit &amp; Motivation</x:v>
      </x:c>
      <x:c r="G69" s="30" t="str">
        <x:v>CL0295</x:v>
      </x:c>
      <x:c r="H69" s="32" t="n">
        <x:f>COUNTIF($G$5:$G$288,G69)</x:f>
        <x:v>1</x:v>
      </x:c>
      <x:c r="I69" s="30" t="str">
        <x:v>A48</x:v>
      </x:c>
      <x:c r="J69" s="31" t="str">
        <x:v>Commercial (idk she just said her name is Catherine lol) | Self Intro | What new policies did China just implement? (rate cuts, lower rrr etc)</x:v>
      </x:c>
    </x:row>
    <x:row r="70" ht="68" customHeight="1">
      <x:c r="A70" s="30" t="str">
        <x:v>QB0518</x:v>
      </x:c>
      <x:c r="B70" s="30" t="str">
        <x:v>UBS IBD</x:v>
      </x:c>
      <x:c r="C70" s="30" t="str">
        <x:v>IBD / GCM</x:v>
      </x:c>
      <x:c r="D70" s="31" t="str">
        <x:v>China Real Estate - why is tackling this important?</x:v>
      </x:c>
      <x:c r="E70" s="31" t="str">
        <x:v>China Real Estate - why is tackling this important</x:v>
      </x:c>
      <x:c r="F70" s="31" t="str">
        <x:v>Fit &amp; Motivation</x:v>
      </x:c>
      <x:c r="G70" s="30" t="str">
        <x:v>CL0198</x:v>
      </x:c>
      <x:c r="H70" s="32" t="n">
        <x:f>COUNTIF($G$5:$G$288,G70)</x:f>
        <x:v>1</x:v>
      </x:c>
      <x:c r="I70" s="30" t="str">
        <x:v>A49</x:v>
      </x:c>
      <x:c r="J70" s="31" t="str">
        <x:v>Self Intro | What new policies did China just implement? (rate cuts, lower rrr etc) | Do you think it's going to be effective? Why would this round of policy stimulus be different?</x:v>
      </x:c>
    </x:row>
    <x:row r="71" ht="48" customHeight="1">
      <x:c r="A71" s="30" t="str">
        <x:v>QB0528</x:v>
      </x:c>
      <x:c r="B71" s="30" t="str">
        <x:v>UBS IBD</x:v>
      </x:c>
      <x:c r="C71" s="30" t="str">
        <x:v>IBD / GCM</x:v>
      </x:c>
      <x:c r="D71" s="31" t="str">
        <x:v>PwC ESG Challenge - why this case competition? do you care a lot about ESG?</x:v>
      </x:c>
      <x:c r="E71" s="31" t="str">
        <x:v>Tell me about a challenge, setback, or failure</x:v>
      </x:c>
      <x:c r="F71" s="31" t="str">
        <x:v>Fit &amp; Motivation</x:v>
      </x:c>
      <x:c r="G71" s="30" t="str">
        <x:v>CL0007</x:v>
      </x:c>
      <x:c r="H71" s="32" t="n">
        <x:f>COUNTIF($G$5:$G$288,G71)</x:f>
        <x:v>2</x:v>
      </x:c>
      <x:c r="I71" s="30" t="str">
        <x:v>A59</x:v>
      </x:c>
      <x:c r="J71" s="31" t="str">
        <x:v>Competency (Stephanie Cho, M&amp;A Director) | Self Intro | Basically just asked about each internship experience one by one</x:v>
      </x:c>
    </x:row>
    <x:row r="72" ht="48" customHeight="1">
      <x:c r="A72" s="30" t="str">
        <x:v>QB0529</x:v>
      </x:c>
      <x:c r="B72" s="30" t="str">
        <x:v>UBS IBD</x:v>
      </x:c>
      <x:c r="C72" s="30" t="str">
        <x:v>IBD / GCM</x:v>
      </x:c>
      <x:c r="D72" s="31" t="str">
        <x:v>Why use this competition to know more about ESG?</x:v>
      </x:c>
      <x:c r="E72" s="31" t="str">
        <x:v>Why use this competition to know more about ESG</x:v>
      </x:c>
      <x:c r="F72" s="31" t="str">
        <x:v>Fit &amp; Motivation</x:v>
      </x:c>
      <x:c r="G72" s="30" t="str">
        <x:v>CL1172</x:v>
      </x:c>
      <x:c r="H72" s="32" t="n">
        <x:f>COUNTIF($G$5:$G$288,G72)</x:f>
        <x:v>1</x:v>
      </x:c>
      <x:c r="I72" s="30" t="str">
        <x:v>A60</x:v>
      </x:c>
      <x:c r="J72" s="31" t="str">
        <x:v>Self Intro | Basically just asked about each internship experience one by one | PwC ESG Challenge - why this case competition? do you care a lot about ESG?</x:v>
      </x:c>
    </x:row>
    <x:row r="73" ht="68" customHeight="1">
      <x:c r="A73" s="30" t="str">
        <x:v>QB0547</x:v>
      </x:c>
      <x:c r="B73" s="30" t="str">
        <x:v>UBS IBD</x:v>
      </x:c>
      <x:c r="C73" s="30" t="str">
        <x:v>IBD / GCM</x:v>
      </x:c>
      <x:c r="D73" s="31" t="str">
        <x:v>Interrupted again when I mentioned SOTP → asked why SOTP and how I mapped the 4 comp sets, how the business model matches</x:v>
      </x:c>
      <x:c r="E73" s="31" t="str">
        <x:v>Interrupted again when I mentioned SOTP → asked why SOTP and how I mapped the 4 comp sets, how the business model matches</x:v>
      </x:c>
      <x:c r="F73" s="31" t="str">
        <x:v>Fit &amp; Motivation</x:v>
      </x:c>
      <x:c r="G73" s="30" t="str">
        <x:v>CL0549</x:v>
      </x:c>
      <x:c r="H73" s="32" t="n">
        <x:f>COUNTIF($G$5:$G$288,G73)</x:f>
        <x:v>1</x:v>
      </x:c>
      <x:c r="I73" s="30" t="str">
        <x:v>A81</x:v>
      </x:c>
      <x:c r="J73" s="31" t="str">
        <x:v>Case Study (M&amp;A Director) - 30 mins prep time, can refer to the case here UBS_26 Summer.pdf | Asked me to present directly | Interrupted my intro → asked my target price, % premium, and how I arrived at it</x:v>
      </x:c>
    </x:row>
    <x:row r="74" ht="118" customHeight="1">
      <x:c r="A74" s="30" t="str">
        <x:v>QB0552</x:v>
      </x:c>
      <x:c r="B74" s="30" t="str">
        <x:v>UBS IBD</x:v>
      </x:c>
      <x:c r="C74" s="30" t="str">
        <x:v>IBD / GCM</x:v>
      </x:c>
      <x:c r="D74" s="31" t="str">
        <x:v>She asked which segment I would spin off and why. Why not just do shares buy back?</x:v>
      </x:c>
      <x:c r="E74" s="31" t="str">
        <x:v>She asked which segment I would spin off and why. Why not just do shares buy back</x:v>
      </x:c>
      <x:c r="F74" s="31" t="str">
        <x:v>Fit &amp; Motivation</x:v>
      </x:c>
      <x:c r="G74" s="30" t="str">
        <x:v>CL0675</x:v>
      </x:c>
      <x:c r="H74" s="32" t="n">
        <x:f>COUNTIF($G$5:$G$288,G74)</x:f>
        <x:v>1</x:v>
      </x:c>
      <x:c r="I74" s="30" t="str">
        <x:v>A86</x:v>
      </x:c>
      <x:c r="J74" s="31" t="str">
        <x:v>How I would build a DCF for this company, how to make the model dynamic (mainly the revenue build-up), and other key inputs needed | Earn-out discussion → asked if the company keeps majority or minority. I said minority - she pushed back...</x:v>
      </x:c>
    </x:row>
    <x:row r="75" ht="48" customHeight="1">
      <x:c r="A75" s="30" t="str">
        <x:v>QB0560</x:v>
      </x:c>
      <x:c r="B75" s="30" t="str">
        <x:v>UBS IBD</x:v>
      </x:c>
      <x:c r="C75" s="30" t="str">
        <x:v>IBD / GCM</x:v>
      </x:c>
      <x:c r="D75" s="31" t="str">
        <x:v>Explain my major (my major title is Asset Management) and why I'm not doing this</x:v>
      </x:c>
      <x:c r="E75" s="31" t="str">
        <x:v>Explain my major (my major title is Asset Management) and why I'm not doing this</x:v>
      </x:c>
      <x:c r="F75" s="31" t="str">
        <x:v>Fit &amp; Motivation</x:v>
      </x:c>
      <x:c r="G75" s="30" t="str">
        <x:v>CL0322</x:v>
      </x:c>
      <x:c r="H75" s="32" t="n">
        <x:f>COUNTIF($G$5:$G$288,G75)</x:f>
        <x:v>1</x:v>
      </x:c>
      <x:c r="I75" s="30" t="str">
        <x:v>A95</x:v>
      </x:c>
      <x:c r="J75" s="31" t="str">
        <x:v>Macro: how the current market would affect the company’s share price and why | Normal 1v1 with ECM Head | Self-intro</x:v>
      </x:c>
    </x:row>
    <x:row r="76" ht="68" customHeight="1">
      <x:c r="A76" s="30" t="str">
        <x:v>QB0563</x:v>
      </x:c>
      <x:c r="B76" s="30" t="str">
        <x:v>UBS IBD</x:v>
      </x:c>
      <x:c r="C76" s="30" t="str">
        <x:v>IBD / GCM</x:v>
      </x:c>
      <x:c r="D76" s="31" t="str">
        <x:v>Why UBS and對但這跟你有什麼關係</x:v>
      </x:c>
      <x:c r="E76" s="31" t="str">
        <x:v>Why this firm?</x:v>
      </x:c>
      <x:c r="F76" s="31" t="str">
        <x:v>Fit &amp; Motivation</x:v>
      </x:c>
      <x:c r="G76" s="30" t="str">
        <x:v>CL0002</x:v>
      </x:c>
      <x:c r="H76" s="32" t="n">
        <x:f>COUNTIF($G$5:$G$288,G76)</x:f>
        <x:v>39</x:v>
      </x:c>
      <x:c r="I76" s="30" t="str">
        <x:v>A98</x:v>
      </x:c>
      <x:c r="J76" s="31" t="str">
        <x:v>Explain my major (my major title is Asset Management) and why I'm not doing this | Chat around how's Lazard, how's the hours like and biggest challenge there, what do I learn there that kind of stuff | Most interesting thing in IBD</x:v>
      </x:c>
    </x:row>
    <x:row r="77" ht="68" customHeight="1">
      <x:c r="A77" s="30" t="str">
        <x:v>QB0571</x:v>
      </x:c>
      <x:c r="B77" s="30" t="str">
        <x:v>UBS IBD</x:v>
      </x:c>
      <x:c r="C77" s="30" t="str">
        <x:v>IBD / GCM</x:v>
      </x:c>
      <x:c r="D77" s="31" t="str">
        <x:v>Why M&amp;A</x:v>
      </x:c>
      <x:c r="E77" s="31" t="str">
        <x:v>Why M&amp;A</x:v>
      </x:c>
      <x:c r="F77" s="31" t="str">
        <x:v>Fit &amp; Motivation</x:v>
      </x:c>
      <x:c r="G77" s="30" t="str">
        <x:v>CL0051</x:v>
      </x:c>
      <x:c r="H77" s="32" t="n">
        <x:f>COUNTIF($G$5:$G$288,G77)</x:f>
        <x:v>2</x:v>
      </x:c>
      <x:c r="I77" s="30" t="str">
        <x:v>A106</x:v>
      </x:c>
      <x:c r="J77" s="31" t="str">
        <x:v>Long HK equity or US equity | Asked about 我CV最底部的一個社團經驗 問我當時比亞迪的DCF build了啥 還有我target price跟driver之類的 太久了我一點也不記得 and asked about how's BYD currently doing | Ask back</x:v>
      </x:c>
    </x:row>
    <x:row r="78" ht="48" customHeight="1">
      <x:c r="A78" s="30" t="str">
        <x:v>QB0585</x:v>
      </x:c>
      <x:c r="B78" s="30" t="str">
        <x:v>Deutsche</x:v>
      </x:c>
      <x:c r="C78" s="30" t="str">
        <x:v>IBD / GCM</x:v>
      </x:c>
      <x:c r="D78" s="31" t="str">
        <x:v>Why do IBD now given bad economy? (grilled for around 5 minutes with a lot of follow-ups)</x:v>
      </x:c>
      <x:c r="E78" s="31" t="str">
        <x:v>Why do IBD now given bad economy? (grilled for around 5 minutes with a lot of follow-ups)</x:v>
      </x:c>
      <x:c r="F78" s="31" t="str">
        <x:v>Fit &amp; Motivation</x:v>
      </x:c>
      <x:c r="G78" s="30" t="str">
        <x:v>CL1125</x:v>
      </x:c>
      <x:c r="H78" s="32" t="n">
        <x:f>COUNTIF($G$5:$G$288,G78)</x:f>
        <x:v>1</x:v>
      </x:c>
      <x:c r="I78" s="30" t="str">
        <x:v>C7</x:v>
      </x:c>
      <x:c r="J78" s="31" t="str">
        <x:v>Celia (Asso from Strategic Equity) | Self Intro | What do you do in HKUIBC? Any mentors from DB?</x:v>
      </x:c>
    </x:row>
    <x:row r="79" ht="48" customHeight="1">
      <x:c r="A79" s="30" t="str">
        <x:v>QB0611</x:v>
      </x:c>
      <x:c r="B79" s="30" t="str">
        <x:v>Deutsche</x:v>
      </x:c>
      <x:c r="C79" s="30" t="str">
        <x:v>IBD / GCM</x:v>
      </x:c>
      <x:c r="D79" s="31" t="str">
        <x:v>Diverse experiences - why IBD and not other industries?</x:v>
      </x:c>
      <x:c r="E79" s="31" t="str">
        <x:v>Why investment banking?</x:v>
      </x:c>
      <x:c r="F79" s="31" t="str">
        <x:v>Fit &amp; Motivation</x:v>
      </x:c>
      <x:c r="G79" s="30" t="str">
        <x:v>CL0003</x:v>
      </x:c>
      <x:c r="H79" s="32" t="n">
        <x:f>COUNTIF($G$5:$G$288,G79)</x:f>
        <x:v>34</x:v>
      </x:c>
      <x:c r="I79" s="30" t="str">
        <x:v>A22</x:v>
      </x:c>
      <x:c r="J79" s="31" t="str">
        <x:v>Germaine 22/9 | Andy Chau (Director from Strategic Equity) | Before we start, what's something you want me to know about you?</x:v>
      </x:c>
    </x:row>
    <x:row r="80" ht="118" customHeight="1">
      <x:c r="A80" s="30" t="str">
        <x:v>QB0613</x:v>
      </x:c>
      <x:c r="B80" s="30" t="str">
        <x:v>Deutsche</x:v>
      </x:c>
      <x:c r="C80" s="30" t="str">
        <x:v>IBD / GCM</x:v>
      </x:c>
      <x:c r="D80" s="31" t="str">
        <x:v>Why IBD and not PB, or consulting or even regulatory work?</x:v>
      </x:c>
      <x:c r="E80" s="31" t="str">
        <x:v>Why investment banking?</x:v>
      </x:c>
      <x:c r="F80" s="31" t="str">
        <x:v>Fit &amp; Motivation</x:v>
      </x:c>
      <x:c r="G80" s="30" t="str">
        <x:v>CL0003</x:v>
      </x:c>
      <x:c r="H80" s="32" t="n">
        <x:f>COUNTIF($G$5:$G$288,G80)</x:f>
        <x:v>34</x:v>
      </x:c>
      <x:c r="I80" s="30" t="str">
        <x:v>E22</x:v>
      </x:c>
      <x:c r="J80" s="31" t="str">
        <x:v>You mentioned industry classification as most important criteria, so what if because I used same industry, the result is the financial performance is very diverse. For example, with the Vietnamese clothing manufacturer the comparables ar...</x:v>
      </x:c>
    </x:row>
    <x:row r="81" ht="32" customHeight="1">
      <x:c r="A81" s="30" t="str">
        <x:v>QB0614</x:v>
      </x:c>
      <x:c r="B81" s="30" t="str">
        <x:v>Deutsche</x:v>
      </x:c>
      <x:c r="C81" s="30" t="str">
        <x:v>IBD / GCM</x:v>
      </x:c>
      <x:c r="D81" s="31" t="str">
        <x:v>Why DB?</x:v>
      </x:c>
      <x:c r="E81" s="31" t="str">
        <x:v>Why this firm?</x:v>
      </x:c>
      <x:c r="F81" s="31" t="str">
        <x:v>Fit &amp; Motivation</x:v>
      </x:c>
      <x:c r="G81" s="30" t="str">
        <x:v>CL0002</x:v>
      </x:c>
      <x:c r="H81" s="32" t="n">
        <x:f>COUNTIF($G$5:$G$288,G81)</x:f>
        <x:v>39</x:v>
      </x:c>
      <x:c r="I81" s="30" t="str">
        <x:v>G22</x:v>
      </x:c>
      <x:c r="J81" s="31" t="str">
        <x:v>Nancy Feng (Director from FIG) | Self Intro</x:v>
      </x:c>
    </x:row>
    <x:row r="82" ht="68" customHeight="1">
      <x:c r="A82" s="30" t="str">
        <x:v>QB0627</x:v>
      </x:c>
      <x:c r="B82" s="30" t="str">
        <x:v>Deutsche</x:v>
      </x:c>
      <x:c r="C82" s="30" t="str">
        <x:v>IBD / GCM</x:v>
      </x:c>
      <x:c r="D82" s="31" t="str">
        <x:v>What team you want to be in?</x:v>
      </x:c>
      <x:c r="E82" s="31" t="str">
        <x:v>What team you want to be in</x:v>
      </x:c>
      <x:c r="F82" s="31" t="str">
        <x:v>Fit &amp; Motivation</x:v>
      </x:c>
      <x:c r="G82" s="30" t="str">
        <x:v>CL1031</x:v>
      </x:c>
      <x:c r="H82" s="32" t="n">
        <x:f>COUNTIF($G$5:$G$288,G82)</x:f>
        <x:v>1</x:v>
      </x:c>
      <x:c r="I82" s="30" t="str">
        <x:v>A26</x:v>
      </x:c>
      <x:c r="J82" s="31" t="str">
        <x:v>How was your first round interviews? Who interviewed you, what was your experience like, and what did you learn about DB? | Most memorable internship experience? | Combining all your internship experience, what is the most important take...</x:v>
      </x:c>
    </x:row>
    <x:row r="83" ht="32" customHeight="1">
      <x:c r="A83" s="30" t="str">
        <x:v>QB0643</x:v>
      </x:c>
      <x:c r="B83" s="30" t="str">
        <x:v>Deutsche</x:v>
      </x:c>
      <x:c r="C83" s="30" t="str">
        <x:v>IBD / GCM</x:v>
      </x:c>
      <x:c r="D83" s="31" t="str">
        <x:v>Why IBD</x:v>
      </x:c>
      <x:c r="E83" s="31" t="str">
        <x:v>Why investment banking?</x:v>
      </x:c>
      <x:c r="F83" s="31" t="str">
        <x:v>Fit &amp; Motivation</x:v>
      </x:c>
      <x:c r="G83" s="30" t="str">
        <x:v>CL0003</x:v>
      </x:c>
      <x:c r="H83" s="32" t="n">
        <x:f>COUNTIF($G$5:$G$288,G83)</x:f>
        <x:v>34</x:v>
      </x:c>
      <x:c r="I83" s="30" t="str">
        <x:v>C36</x:v>
      </x:c>
      <x:c r="J83" s="31" t="str">
        <x:v>Jimmy 5/10 | 1 DCM | Self intro</x:v>
      </x:c>
    </x:row>
    <x:row r="84" ht="32" customHeight="1">
      <x:c r="A84" s="30" t="str">
        <x:v>QB0664</x:v>
      </x:c>
      <x:c r="B84" s="30" t="str">
        <x:v>Deutsche</x:v>
      </x:c>
      <x:c r="C84" s="30" t="str">
        <x:v>IBD / GCM</x:v>
      </x:c>
      <x:c r="D84" s="31" t="str">
        <x:v>Why DB</x:v>
      </x:c>
      <x:c r="E84" s="31" t="str">
        <x:v>Why this firm?</x:v>
      </x:c>
      <x:c r="F84" s="31" t="str">
        <x:v>Fit &amp; Motivation</x:v>
      </x:c>
      <x:c r="G84" s="30" t="str">
        <x:v>CL0002</x:v>
      </x:c>
      <x:c r="H84" s="32" t="n">
        <x:f>COUNTIF($G$5:$G$288,G84)</x:f>
        <x:v>39</x:v>
      </x:c>
      <x:c r="I84" s="30" t="str">
        <x:v>A48</x:v>
      </x:c>
      <x:c r="J84" s="31" t="str">
        <x:v>2 M&amp;A and DIG | self intro | return?</x:v>
      </x:c>
    </x:row>
    <x:row r="85" ht="32" customHeight="1">
      <x:c r="A85" s="30" t="str">
        <x:v>QB0665</x:v>
      </x:c>
      <x:c r="B85" s="30" t="str">
        <x:v>Deutsche</x:v>
      </x:c>
      <x:c r="C85" s="30" t="str">
        <x:v>IBD / GCM</x:v>
      </x:c>
      <x:c r="D85" s="31" t="str">
        <x:v>Return offer?</x:v>
      </x:c>
      <x:c r="E85" s="31" t="str">
        <x:v>Return offer</x:v>
      </x:c>
      <x:c r="F85" s="31" t="str">
        <x:v>Fit &amp; Motivation</x:v>
      </x:c>
      <x:c r="G85" s="30" t="str">
        <x:v>CL0661</x:v>
      </x:c>
      <x:c r="H85" s="32" t="n">
        <x:f>COUNTIF($G$5:$G$288,G85)</x:f>
        <x:v>1</x:v>
      </x:c>
      <x:c r="I85" s="30" t="str">
        <x:v>C48</x:v>
      </x:c>
      <x:c r="J85" s="31" t="str">
        <x:v>2 Healthcare | No intro, directly grill deal and tech | What did you do at BLK</x:v>
      </x:c>
    </x:row>
    <x:row r="86" ht="48" customHeight="1">
      <x:c r="A86" s="30" t="str">
        <x:v>QB0669</x:v>
      </x:c>
      <x:c r="B86" s="30" t="str">
        <x:v>Deutsche</x:v>
      </x:c>
      <x:c r="C86" s="30" t="str">
        <x:v>IBD / GCM</x:v>
      </x:c>
      <x:c r="D86" s="31" t="str">
        <x:v>Why is it cheaper than industry average?</x:v>
      </x:c>
      <x:c r="E86" s="31" t="str">
        <x:v>Why is it cheaper than industry average</x:v>
      </x:c>
      <x:c r="F86" s="31" t="str">
        <x:v>Fit &amp; Motivation</x:v>
      </x:c>
      <x:c r="G86" s="30" t="str">
        <x:v>CL1146</x:v>
      </x:c>
      <x:c r="H86" s="32" t="n">
        <x:f>COUNTIF($G$5:$G$288,G86)</x:f>
        <x:v>1</x:v>
      </x:c>
      <x:c r="I86" s="30" t="str">
        <x:v>C50</x:v>
      </x:c>
      <x:c r="J86" s="31" t="str">
        <x:v>What did you do at BLK | Return offer? | How do you find transaction comp for the SEA hospital platform?</x:v>
      </x:c>
    </x:row>
    <x:row r="87" ht="48" customHeight="1">
      <x:c r="A87" s="30" t="str">
        <x:v>QB0683</x:v>
      </x:c>
      <x:c r="B87" s="30" t="str">
        <x:v>Deutsche</x:v>
      </x:c>
      <x:c r="C87" s="30" t="str">
        <x:v>IBD / GCM</x:v>
      </x:c>
      <x:c r="D87" s="31" t="str">
        <x:v>EV Equity bridge, where is Minority interest and why? Where is non-operating asset and why? (I fucked up this one)</x:v>
      </x:c>
      <x:c r="E87" s="31" t="str">
        <x:v>EV Equity bridge, where is Minority interest and why? Where is non-operating asset and why? (I fucked up this one)</x:v>
      </x:c>
      <x:c r="F87" s="31" t="str">
        <x:v>Fit &amp; Motivation</x:v>
      </x:c>
      <x:c r="G87" s="30" t="str">
        <x:v>CL0315</x:v>
      </x:c>
      <x:c r="H87" s="32" t="n">
        <x:f>COUNTIF($G$5:$G$288,G87)</x:f>
        <x:v>1</x:v>
      </x:c>
      <x:c r="I87" s="30" t="str">
        <x:v>C57</x:v>
      </x:c>
      <x:c r="J87" s="31" t="str">
        <x:v>The result of the dcf and comp? | Working capital condition and CCC? | 3 statement tech without pen and paper</x:v>
      </x:c>
    </x:row>
    <x:row r="88" ht="48" customHeight="1">
      <x:c r="A88" s="30" t="str">
        <x:v>QB0690</x:v>
      </x:c>
      <x:c r="B88" s="30" t="str">
        <x:v>Deutsche</x:v>
      </x:c>
      <x:c r="C88" s="30" t="str">
        <x:v>IBD / GCM</x:v>
      </x:c>
      <x:c r="D88" s="31" t="str">
        <x:v>Why DB, nomura vs DB, teamwork, which team, etc</x:v>
      </x:c>
      <x:c r="E88" s="31" t="str">
        <x:v>Why this firm?</x:v>
      </x:c>
      <x:c r="F88" s="31" t="str">
        <x:v>Fit &amp; Motivation</x:v>
      </x:c>
      <x:c r="G88" s="30" t="str">
        <x:v>CL0002</x:v>
      </x:c>
      <x:c r="H88" s="32" t="n">
        <x:f>COUNTIF($G$5:$G$288,G88)</x:f>
        <x:v>39</x:v>
      </x:c>
      <x:c r="I88" s="30" t="str">
        <x:v>A62</x:v>
      </x:c>
      <x:c r="J88" s="31" t="str">
        <x:v>whats the purpose of LBO | if the IRR is 15%, the interest rate is 20%, should u borrow the debt | 3 Debt syndicate (all behav)</x:v>
      </x:c>
    </x:row>
    <x:row r="89" ht="32" customHeight="1">
      <x:c r="A89" s="30" t="str">
        <x:v>QB0691</x:v>
      </x:c>
      <x:c r="B89" s="30" t="str">
        <x:v>Deutsche</x:v>
      </x:c>
      <x:c r="C89" s="30" t="str">
        <x:v>IBD / GCM</x:v>
      </x:c>
      <x:c r="D89" s="31" t="str">
        <x:v>Why IBD</x:v>
      </x:c>
      <x:c r="E89" s="31" t="str">
        <x:v>Why investment banking?</x:v>
      </x:c>
      <x:c r="F89" s="31" t="str">
        <x:v>Fit &amp; Motivation</x:v>
      </x:c>
      <x:c r="G89" s="30" t="str">
        <x:v>CL0003</x:v>
      </x:c>
      <x:c r="H89" s="32" t="n">
        <x:f>COUNTIF($G$5:$G$288,G89)</x:f>
        <x:v>34</x:v>
      </x:c>
      <x:c r="I89" s="30" t="str">
        <x:v>C62</x:v>
      </x:c>
      <x:c r="J89" s="31" t="str">
        <x:v>Is lottery prize in FCFF and why? | 3 M&amp;A, from HKU | Self intro</x:v>
      </x:c>
    </x:row>
    <x:row r="90" ht="32" customHeight="1">
      <x:c r="A90" s="30" t="str">
        <x:v>QB0693</x:v>
      </x:c>
      <x:c r="B90" s="30" t="str">
        <x:v>Deutsche</x:v>
      </x:c>
      <x:c r="C90" s="30" t="str">
        <x:v>IBD / GCM</x:v>
      </x:c>
      <x:c r="D90" s="31" t="str">
        <x:v>Why would people like to do an LBO?</x:v>
      </x:c>
      <x:c r="E90" s="31" t="str">
        <x:v>Why would people like to do an LBO</x:v>
      </x:c>
      <x:c r="F90" s="31" t="str">
        <x:v>Fit &amp; Motivation</x:v>
      </x:c>
      <x:c r="G90" s="30" t="str">
        <x:v>CL1177</x:v>
      </x:c>
      <x:c r="H90" s="32" t="n">
        <x:f>COUNTIF($G$5:$G$288,G90)</x:f>
        <x:v>1</x:v>
      </x:c>
      <x:c r="I90" s="30" t="str">
        <x:v>C63</x:v>
      </x:c>
      <x:c r="J90" s="31" t="str">
        <x:v>3 M&amp;A, from HKU | Self intro | Why IBD</x:v>
      </x:c>
    </x:row>
    <x:row r="91" ht="32" customHeight="1">
      <x:c r="A91" s="30" t="str">
        <x:v>QB0713</x:v>
      </x:c>
      <x:c r="B91" s="30" t="str">
        <x:v>Deutsche</x:v>
      </x:c>
      <x:c r="C91" s="30" t="str">
        <x:v>IBD / GCM</x:v>
      </x:c>
      <x:c r="D91" s="31" t="str">
        <x:v>Why DB</x:v>
      </x:c>
      <x:c r="E91" s="31" t="str">
        <x:v>Why this firm?</x:v>
      </x:c>
      <x:c r="F91" s="31" t="str">
        <x:v>Fit &amp; Motivation</x:v>
      </x:c>
      <x:c r="G91" s="30" t="str">
        <x:v>CL0002</x:v>
      </x:c>
      <x:c r="H91" s="32" t="n">
        <x:f>COUNTIF($G$5:$G$288,G91)</x:f>
        <x:v>39</x:v>
      </x:c>
      <x:c r="I91" s="30" t="str">
        <x:v>A78</x:v>
      </x:c>
      <x:c r="J91" s="31" t="str">
        <x:v>自我介绍 | 跟我讲一个之前项目里做的研究，描述行业规模增速，利润率，竞争格局，商业模式etc | 有哪些可比公司</x:v>
      </x:c>
    </x:row>
    <x:row r="92" ht="32" customHeight="1">
      <x:c r="A92" s="30" t="str">
        <x:v>QB0721</x:v>
      </x:c>
      <x:c r="B92" s="30" t="str">
        <x:v>Deutsche</x:v>
      </x:c>
      <x:c r="C92" s="30" t="str">
        <x:v>IBD / GCM</x:v>
      </x:c>
      <x:c r="D92" s="31" t="str">
        <x:v>Why IBD, why giving up the best years of your life for this</x:v>
      </x:c>
      <x:c r="E92" s="31" t="str">
        <x:v>Why investment banking?</x:v>
      </x:c>
      <x:c r="F92" s="31" t="str">
        <x:v>Fit &amp; Motivation</x:v>
      </x:c>
      <x:c r="G92" s="30" t="str">
        <x:v>CL0003</x:v>
      </x:c>
      <x:c r="H92" s="32" t="n">
        <x:f>COUNTIF($G$5:$G$288,G92)</x:f>
        <x:v>34</x:v>
      </x:c>
      <x:c r="I92" s="30" t="str">
        <x:v>A83</x:v>
      </x:c>
      <x:c r="J92" s="31" t="str">
        <x:v>Return？ | 兴趣爱好 | 2 M&amp;A David</x:v>
      </x:c>
    </x:row>
    <x:row r="93" ht="32" customHeight="1">
      <x:c r="A93" s="30" t="str">
        <x:v>QB0722</x:v>
      </x:c>
      <x:c r="B93" s="30" t="str">
        <x:v>Deutsche</x:v>
      </x:c>
      <x:c r="C93" s="30" t="str">
        <x:v>IBD / GCM</x:v>
      </x:c>
      <x:c r="D93" s="31" t="str">
        <x:v>Why IBD why not buyside</x:v>
      </x:c>
      <x:c r="E93" s="31" t="str">
        <x:v>Why investment banking?</x:v>
      </x:c>
      <x:c r="F93" s="31" t="str">
        <x:v>Fit &amp; Motivation</x:v>
      </x:c>
      <x:c r="G93" s="30" t="str">
        <x:v>CL0003</x:v>
      </x:c>
      <x:c r="H93" s="32" t="n">
        <x:f>COUNTIF($G$5:$G$288,G93)</x:f>
        <x:v>34</x:v>
      </x:c>
      <x:c r="I93" s="30" t="str">
        <x:v>C83</x:v>
      </x:c>
      <x:c r="J93" s="31" t="str">
        <x:v>Rest quite conversational | 2 TMT Derek | Self intro</x:v>
      </x:c>
    </x:row>
    <x:row r="94" ht="32" customHeight="1">
      <x:c r="A94" s="30" t="str">
        <x:v>QB0723</x:v>
      </x:c>
      <x:c r="B94" s="30" t="str">
        <x:v>Deutsche</x:v>
      </x:c>
      <x:c r="C94" s="30" t="str">
        <x:v>IBD / GCM</x:v>
      </x:c>
      <x:c r="D94" s="31" t="str">
        <x:v>Why DB</x:v>
      </x:c>
      <x:c r="E94" s="31" t="str">
        <x:v>Why this firm?</x:v>
      </x:c>
      <x:c r="F94" s="31" t="str">
        <x:v>Fit &amp; Motivation</x:v>
      </x:c>
      <x:c r="G94" s="30" t="str">
        <x:v>CL0002</x:v>
      </x:c>
      <x:c r="H94" s="32" t="n">
        <x:f>COUNTIF($G$5:$G$288,G94)</x:f>
        <x:v>39</x:v>
      </x:c>
      <x:c r="I94" s="30" t="str">
        <x:v>A84</x:v>
      </x:c>
      <x:c r="J94" s="31" t="str">
        <x:v>兴趣爱好 | 2 M&amp;A David | Why IBD, why giving up the best years of your life for this</x:v>
      </x:c>
    </x:row>
    <x:row r="95" ht="48" customHeight="1">
      <x:c r="A95" s="30" t="str">
        <x:v>QB0724</x:v>
      </x:c>
      <x:c r="B95" s="30" t="str">
        <x:v>Deutsche</x:v>
      </x:c>
      <x:c r="C95" s="30" t="str">
        <x:v>IBD / GCM</x:v>
      </x:c>
      <x:c r="D95" s="31" t="str">
        <x:v>What do you think will be the quality required for IBD roles, any story to support you have this quality?</x:v>
      </x:c>
      <x:c r="E95" s="31" t="str">
        <x:v>What do you think will be the quality required for IBD roles, any story to support you have this quality</x:v>
      </x:c>
      <x:c r="F95" s="31" t="str">
        <x:v>Fit &amp; Motivation</x:v>
      </x:c>
      <x:c r="G95" s="30" t="str">
        <x:v>CL0044</x:v>
      </x:c>
      <x:c r="H95" s="32" t="n">
        <x:f>COUNTIF($G$5:$G$288,G95)</x:f>
        <x:v>2</x:v>
      </x:c>
      <x:c r="I95" s="30" t="str">
        <x:v>C84</x:v>
      </x:c>
      <x:c r="J95" s="31" t="str">
        <x:v>2 TMT Derek | Self intro | Why IBD why not buyside</x:v>
      </x:c>
    </x:row>
    <x:row r="96" ht="48" customHeight="1">
      <x:c r="A96" s="30" t="str">
        <x:v>QB0728</x:v>
      </x:c>
      <x:c r="B96" s="30" t="str">
        <x:v>Deutsche</x:v>
      </x:c>
      <x:c r="C96" s="30" t="str">
        <x:v>IBD / GCM</x:v>
      </x:c>
      <x:c r="D96" s="31" t="str">
        <x:v>Why DB</x:v>
      </x:c>
      <x:c r="E96" s="31" t="str">
        <x:v>Why this firm?</x:v>
      </x:c>
      <x:c r="F96" s="31" t="str">
        <x:v>Fit &amp; Motivation</x:v>
      </x:c>
      <x:c r="G96" s="30" t="str">
        <x:v>CL0002</x:v>
      </x:c>
      <x:c r="H96" s="32" t="n">
        <x:f>COUNTIF($G$5:$G$288,G96)</x:f>
        <x:v>39</x:v>
      </x:c>
      <x:c r="I96" s="30" t="str">
        <x:v>C86</x:v>
      </x:c>
      <x:c r="J96" s="31" t="str">
        <x:v>Why IBD why not buyside | What do you think will be the quality required for IBD roles, any story to support you have this quality? | Another quality and story</x:v>
      </x:c>
    </x:row>
    <x:row r="97" ht="32" customHeight="1">
      <x:c r="A97" s="30" t="str">
        <x:v>QB0735</x:v>
      </x:c>
      <x:c r="B97" s="30" t="str">
        <x:v>Deutsche</x:v>
      </x:c>
      <x:c r="C97" s="30" t="str">
        <x:v>IBD / GCM</x:v>
      </x:c>
      <x:c r="D97" s="31" t="str">
        <x:v>Why IBD</x:v>
      </x:c>
      <x:c r="E97" s="31" t="str">
        <x:v>Why investment banking?</x:v>
      </x:c>
      <x:c r="F97" s="31" t="str">
        <x:v>Fit &amp; Motivation</x:v>
      </x:c>
      <x:c r="G97" s="30" t="str">
        <x:v>CL0003</x:v>
      </x:c>
      <x:c r="H97" s="32" t="n">
        <x:f>COUNTIF($G$5:$G$288,G97)</x:f>
        <x:v>34</x:v>
      </x:c>
      <x:c r="I97" s="30" t="str">
        <x:v>C90</x:v>
      </x:c>
      <x:c r="J97" s="31" t="str">
        <x:v>Why DB | Rest quite conversational | 3 M&amp;A David</x:v>
      </x:c>
    </x:row>
    <x:row r="98" ht="32" customHeight="1">
      <x:c r="A98" s="30" t="str">
        <x:v>QB0736</x:v>
      </x:c>
      <x:c r="B98" s="30" t="str">
        <x:v>Deutsche</x:v>
      </x:c>
      <x:c r="C98" s="30" t="str">
        <x:v>IBD / GCM</x:v>
      </x:c>
      <x:c r="D98" s="31" t="str">
        <x:v>Return offer? Why?</x:v>
      </x:c>
      <x:c r="E98" s="31" t="str">
        <x:v>Return offer? Why</x:v>
      </x:c>
      <x:c r="F98" s="31" t="str">
        <x:v>Fit &amp; Motivation</x:v>
      </x:c>
      <x:c r="G98" s="30" t="str">
        <x:v>CL0662</x:v>
      </x:c>
      <x:c r="H98" s="32" t="n">
        <x:f>COUNTIF($G$5:$G$288,G98)</x:f>
        <x:v>1</x:v>
      </x:c>
      <x:c r="I98" s="30" t="str">
        <x:v>C91</x:v>
      </x:c>
      <x:c r="J98" s="31" t="str">
        <x:v>Rest quite conversational | 3 M&amp;A David | Why IBD</x:v>
      </x:c>
    </x:row>
    <x:row r="99" ht="48" customHeight="1">
      <x:c r="A99" s="30" t="str">
        <x:v>QB0743</x:v>
      </x:c>
      <x:c r="B99" s="30" t="str">
        <x:v>Deutsche</x:v>
      </x:c>
      <x:c r="C99" s="30" t="str">
        <x:v>IBD / GCM</x:v>
      </x:c>
      <x:c r="D99" s="31" t="str">
        <x:v>Why IBD and why DB</x:v>
      </x:c>
      <x:c r="E99" s="31" t="str">
        <x:v>Why investment banking?</x:v>
      </x:c>
      <x:c r="F99" s="31" t="str">
        <x:v>Fit &amp; Motivation</x:v>
      </x:c>
      <x:c r="G99" s="30" t="str">
        <x:v>CL0003</x:v>
      </x:c>
      <x:c r="H99" s="32" t="n">
        <x:f>COUNTIF($G$5:$G$288,G99)</x:f>
        <x:v>34</x:v>
      </x:c>
      <x:c r="I99" s="30" t="str">
        <x:v>A95</x:v>
      </x:c>
      <x:c r="J99" s="31" t="str">
        <x:v>3 TMT Derek | (dude spoke a bit of canto in the beg, but he 's a bit scary...) | Self Intro</x:v>
      </x:c>
    </x:row>
    <x:row r="100" ht="48" customHeight="1">
      <x:c r="A100" s="30" t="str">
        <x:v>QB0745</x:v>
      </x:c>
      <x:c r="B100" s="30" t="str">
        <x:v>Deutsche</x:v>
      </x:c>
      <x:c r="C100" s="30" t="str">
        <x:v>IBD / GCM</x:v>
      </x:c>
      <x:c r="D100" s="31" t="str">
        <x:v>What do you think will be the quality required for IBD roles, any story to support you have this quality?</x:v>
      </x:c>
      <x:c r="E100" s="31" t="str">
        <x:v>What do you think will be the quality required for IBD roles, any story to support you have this quality</x:v>
      </x:c>
      <x:c r="F100" s="31" t="str">
        <x:v>Fit &amp; Motivation</x:v>
      </x:c>
      <x:c r="G100" s="30" t="str">
        <x:v>CL0044</x:v>
      </x:c>
      <x:c r="H100" s="32" t="n">
        <x:f>COUNTIF($G$5:$G$288,G100)</x:f>
        <x:v>2</x:v>
      </x:c>
      <x:c r="I100" s="30" t="str">
        <x:v>A96</x:v>
      </x:c>
      <x:c r="J100" s="31" t="str">
        <x:v>(dude spoke a bit of canto in the beg, but he 's a bit scary...) | Self Intro | Why IBD and why DB</x:v>
      </x:c>
    </x:row>
    <x:row r="101" ht="48" customHeight="1">
      <x:c r="A101" s="30" t="str">
        <x:v>QB0761</x:v>
      </x:c>
      <x:c r="B101" s="30" t="str">
        <x:v>Deutsche</x:v>
      </x:c>
      <x:c r="C101" s="30" t="str">
        <x:v>IBD / GCM</x:v>
      </x:c>
      <x:c r="D101" s="31" t="str">
        <x:v>Tell me one project you did at Nomura, your role and why you picked it</x:v>
      </x:c>
      <x:c r="E101" s="31" t="str">
        <x:v>Tell me one project you did at Nomura, your role and why you picked it</x:v>
      </x:c>
      <x:c r="F101" s="31" t="str">
        <x:v>Fit &amp; Motivation</x:v>
      </x:c>
      <x:c r="G101" s="30" t="str">
        <x:v>CL0772</x:v>
      </x:c>
      <x:c r="H101" s="32" t="n">
        <x:f>COUNTIF($G$5:$G$288,G101)</x:f>
        <x:v>1</x:v>
      </x:c>
      <x:c r="I101" s="30" t="str">
        <x:v>A105</x:v>
      </x:c>
      <x:c r="J101" s="31" t="str">
        <x:v>(Mix of canto in between) | Self intro | “有個friend好耐以前都係st john打hockey” blablabla around hockey for a bit</x:v>
      </x:c>
    </x:row>
    <x:row r="102" ht="32" customHeight="1">
      <x:c r="A102" s="30" t="str">
        <x:v>QB0762</x:v>
      </x:c>
      <x:c r="B102" s="30" t="str">
        <x:v>Deutsche</x:v>
      </x:c>
      <x:c r="C102" s="30" t="str">
        <x:v>IBD / GCM</x:v>
      </x:c>
      <x:c r="D102" s="31" t="str">
        <x:v>Why DB</x:v>
      </x:c>
      <x:c r="E102" s="31" t="str">
        <x:v>Why this firm?</x:v>
      </x:c>
      <x:c r="F102" s="31" t="str">
        <x:v>Fit &amp; Motivation</x:v>
      </x:c>
      <x:c r="G102" s="30" t="str">
        <x:v>CL0002</x:v>
      </x:c>
      <x:c r="H102" s="32" t="n">
        <x:f>COUNTIF($G$5:$G$288,G102)</x:f>
        <x:v>39</x:v>
      </x:c>
      <x:c r="I102" s="30" t="str">
        <x:v>C105</x:v>
      </x:c>
      <x:c r="J102" s="31" t="str">
        <x:v>怎么给这个印度IT公司做估值的，算便宜吗？EV和EBITDA是多少 | 为什么会有“印度溢价”？ | 这个印度IT公司的收费模式如何，有什么风险点</x:v>
      </x:c>
    </x:row>
    <x:row r="103" ht="32" customHeight="1">
      <x:c r="A103" s="30" t="str">
        <x:v>QB0771</x:v>
      </x:c>
      <x:c r="B103" s="30" t="str">
        <x:v>Deutsche</x:v>
      </x:c>
      <x:c r="C103" s="30" t="str">
        <x:v>IBD / GCM</x:v>
      </x:c>
      <x:c r="D103" s="31" t="str">
        <x:v>(After self-intro all in Mandarin)</x:v>
      </x:c>
      <x:c r="E103" s="31" t="str">
        <x:v>Tell me about yourself / walk me through your resume</x:v>
      </x:c>
      <x:c r="F103" s="31" t="str">
        <x:v>Fit &amp; Motivation</x:v>
      </x:c>
      <x:c r="G103" s="30" t="str">
        <x:v>CL0001</x:v>
      </x:c>
      <x:c r="H103" s="32" t="n">
        <x:f>COUNTIF($G$5:$G$288,G103)</x:f>
        <x:v>16</x:v>
      </x:c>
      <x:c r="I103" s="30" t="str">
        <x:v>C113</x:v>
      </x:c>
      <x:c r="J103" s="31" t="str">
        <x:v>这个印度IT公司的收费模式如何，有什么风险点 | Why DB | Kangli (Diverse Industry Team, Asso)</x:v>
      </x:c>
    </x:row>
    <x:row r="104" ht="48" customHeight="1">
      <x:c r="A104" s="30" t="str">
        <x:v>QB0772</x:v>
      </x:c>
      <x:c r="B104" s="30" t="str">
        <x:v>Deutsche</x:v>
      </x:c>
      <x:c r="C104" s="30" t="str">
        <x:v>IBD / GCM</x:v>
      </x:c>
      <x:c r="D104" s="31" t="str">
        <x:v>Self Intro + Why DB</x:v>
      </x:c>
      <x:c r="E104" s="31" t="str">
        <x:v>Tell me about yourself / walk me through your resume</x:v>
      </x:c>
      <x:c r="F104" s="31" t="str">
        <x:v>Fit &amp; Motivation</x:v>
      </x:c>
      <x:c r="G104" s="30" t="str">
        <x:v>CL0001</x:v>
      </x:c>
      <x:c r="H104" s="32" t="n">
        <x:f>COUNTIF($G$5:$G$288,G104)</x:f>
        <x:v>16</x:v>
      </x:c>
      <x:c r="I104" s="30" t="str">
        <x:v>A114</x:v>
      </x:c>
      <x:c r="J104" s="31" t="str">
        <x:v>Francesca 2025/7/18 | Forgot his name but (Asso HK coverage) | (Super Chill, after Self-intro all in Mandarin)</x:v>
      </x:c>
    </x:row>
    <x:row r="105" ht="48" customHeight="1">
      <x:c r="A105" s="30" t="str">
        <x:v>QB0774</x:v>
      </x:c>
      <x:c r="B105" s="30" t="str">
        <x:v>Deutsche</x:v>
      </x:c>
      <x:c r="C105" s="30" t="str">
        <x:v>IBD / GCM</x:v>
      </x:c>
      <x:c r="D105" s="31" t="str">
        <x:v>Why HK (He knows I am from SH so specifically Why HK but not SH)</x:v>
      </x:c>
      <x:c r="E105" s="31" t="str">
        <x:v>Why HK (He knows I am from SH so specifically Why HK but not SH)</x:v>
      </x:c>
      <x:c r="F105" s="31" t="str">
        <x:v>Fit &amp; Motivation</x:v>
      </x:c>
      <x:c r="G105" s="30" t="str">
        <x:v>CL1135</x:v>
      </x:c>
      <x:c r="H105" s="32" t="n">
        <x:f>COUNTIF($G$5:$G$288,G105)</x:f>
        <x:v>1</x:v>
      </x:c>
      <x:c r="I105" s="30" t="str">
        <x:v>A115</x:v>
      </x:c>
      <x:c r="J105" s="31" t="str">
        <x:v>Forgot his name but (Asso HK coverage) | (Super Chill, after Self-intro all in Mandarin) | Self Intro + Why DB</x:v>
      </x:c>
    </x:row>
    <x:row r="106" ht="48" customHeight="1">
      <x:c r="A106" s="30" t="str">
        <x:v>QB0776</x:v>
      </x:c>
      <x:c r="B106" s="30" t="str">
        <x:v>Deutsche</x:v>
      </x:c>
      <x:c r="C106" s="30" t="str">
        <x:v>IBD / GCM</x:v>
      </x:c>
      <x:c r="D106" s="31" t="str">
        <x:v>怎么看待IBD的long Hours？</x:v>
      </x:c>
      <x:c r="E106" s="31" t="str">
        <x:v>怎么看待IBD的long Hours</x:v>
      </x:c>
      <x:c r="F106" s="31" t="str">
        <x:v>Fit &amp; Motivation</x:v>
      </x:c>
      <x:c r="G106" s="30" t="str">
        <x:v>CL1241</x:v>
      </x:c>
      <x:c r="H106" s="32" t="n">
        <x:f>COUNTIF($G$5:$G$288,G106)</x:f>
        <x:v>1</x:v>
      </x:c>
      <x:c r="I106" s="30" t="str">
        <x:v>A116</x:v>
      </x:c>
      <x:c r="J106" s="31" t="str">
        <x:v>(Super Chill, after Self-intro all in Mandarin) | Self Intro + Why DB | Why HK (He knows I am from SH so specifically Why HK but not SH)</x:v>
      </x:c>
    </x:row>
    <x:row r="107" ht="48" customHeight="1">
      <x:c r="A107" s="30" t="str">
        <x:v>QB0790</x:v>
      </x:c>
      <x:c r="B107" s="30" t="str">
        <x:v>Deutsche</x:v>
      </x:c>
      <x:c r="C107" s="30" t="str">
        <x:v>IBD / GCM</x:v>
      </x:c>
      <x:c r="D107" s="31" t="str">
        <x:v>why DB</x:v>
      </x:c>
      <x:c r="E107" s="31" t="str">
        <x:v>Why this firm?</x:v>
      </x:c>
      <x:c r="F107" s="31" t="str">
        <x:v>Fit &amp; Motivation</x:v>
      </x:c>
      <x:c r="G107" s="30" t="str">
        <x:v>CL0002</x:v>
      </x:c>
      <x:c r="H107" s="32" t="n">
        <x:f>COUNTIF($G$5:$G$288,G107)</x:f>
        <x:v>39</x:v>
      </x:c>
      <x:c r="I107" s="30" t="str">
        <x:v>A125</x:v>
      </x:c>
      <x:c r="J107" s="31" t="str">
        <x:v>Forgot his name but (Asso HK coverage) | all English | CV deepdive (past deals at each company)</x:v>
      </x:c>
    </x:row>
    <x:row r="108" ht="48" customHeight="1">
      <x:c r="A108" s="30" t="str">
        <x:v>QB0793</x:v>
      </x:c>
      <x:c r="B108" s="30" t="str">
        <x:v>Deutsche</x:v>
      </x:c>
      <x:c r="C108" s="30" t="str">
        <x:v>IBD / GCM</x:v>
      </x:c>
      <x:c r="D108" s="31" t="str">
        <x:v>you worked at secondary market before and why IBD?</x:v>
      </x:c>
      <x:c r="E108" s="31" t="str">
        <x:v>Why investment banking?</x:v>
      </x:c>
      <x:c r="F108" s="31" t="str">
        <x:v>Fit &amp; Motivation</x:v>
      </x:c>
      <x:c r="G108" s="30" t="str">
        <x:v>CL0003</x:v>
      </x:c>
      <x:c r="H108" s="32" t="n">
        <x:f>COUNTIF($G$5:$G$288,G108)</x:f>
        <x:v>34</x:v>
      </x:c>
      <x:c r="I108" s="30" t="str">
        <x:v>C126</x:v>
      </x:c>
      <x:c r="J108" s="31" t="str">
        <x:v>all English | recent ECM deals | one very specific deal (investment thesis, valuation, comps)</x:v>
      </x:c>
    </x:row>
    <x:row r="109" ht="68" customHeight="1">
      <x:c r="A109" s="30" t="str">
        <x:v>QB0812</x:v>
      </x:c>
      <x:c r="B109" s="30" t="str">
        <x:v>Deutsche</x:v>
      </x:c>
      <x:c r="C109" s="30" t="str">
        <x:v>IBD / GCM</x:v>
      </x:c>
      <x:c r="D109" s="31" t="str">
        <x:v>Why IBD?</x:v>
      </x:c>
      <x:c r="E109" s="31" t="str">
        <x:v>Why investment banking?</x:v>
      </x:c>
      <x:c r="F109" s="31" t="str">
        <x:v>Fit &amp; Motivation</x:v>
      </x:c>
      <x:c r="G109" s="30" t="str">
        <x:v>CL0003</x:v>
      </x:c>
      <x:c r="H109" s="32" t="n">
        <x:f>COUNTIF($G$5:$G$288,G109)</x:f>
        <x:v>34</x:v>
      </x:c>
      <x:c r="I109" s="30" t="str">
        <x:v>A140</x:v>
      </x:c>
      <x:c r="J109" s="31" t="str">
        <x:v>2 Cases did in PEI - what did you do?, valuation, multiples | 1 Case did in previous internship - what did you do | Tell me about the robotics team ( I kinda emphasize that when answering the first question...)</x:v>
      </x:c>
    </x:row>
    <x:row r="110" ht="118" customHeight="1">
      <x:c r="A110" s="30" t="str">
        <x:v>QB0813</x:v>
      </x:c>
      <x:c r="B110" s="30" t="str">
        <x:v>Deutsche</x:v>
      </x:c>
      <x:c r="C110" s="30" t="str">
        <x:v>IBD / GCM</x:v>
      </x:c>
      <x:c r="D110" s="31" t="str">
        <x:v>Why IBD?</x:v>
      </x:c>
      <x:c r="E110" s="31" t="str">
        <x:v>Why investment banking?</x:v>
      </x:c>
      <x:c r="F110" s="31" t="str">
        <x:v>Fit &amp; Motivation</x:v>
      </x:c>
      <x:c r="G110" s="30" t="str">
        <x:v>CL0003</x:v>
      </x:c>
      <x:c r="H110" s="32" t="n">
        <x:f>COUNTIF($G$5:$G$288,G110)</x:f>
        <x:v>34</x:v>
      </x:c>
      <x:c r="I110" s="30" t="str">
        <x:v>C140</x:v>
      </x:c>
      <x:c r="J110" s="31" t="str">
        <x:v>Cases related questions - Revenue build up, multiples used (I mentioned the multiple used in power sector is unique) - lots of follow ups | Tell me about the robotics team (Sorry I mentioned that again when self-intro cos we just won a p...</x:v>
      </x:c>
    </x:row>
    <x:row r="111" ht="68" customHeight="1">
      <x:c r="A111" s="30" t="str">
        <x:v>QB0829</x:v>
      </x:c>
      <x:c r="B111" s="30" t="str">
        <x:v>Deutsche</x:v>
      </x:c>
      <x:c r="C111" s="30" t="str">
        <x:v>IBD / GCM</x:v>
      </x:c>
      <x:c r="D111" s="31" t="str">
        <x:v>Why DB</x:v>
      </x:c>
      <x:c r="E111" s="31" t="str">
        <x:v>Why this firm?</x:v>
      </x:c>
      <x:c r="F111" s="31" t="str">
        <x:v>Fit &amp; Motivation</x:v>
      </x:c>
      <x:c r="G111" s="30" t="str">
        <x:v>CL0002</x:v>
      </x:c>
      <x:c r="H111" s="32" t="n">
        <x:f>COUNTIF($G$5:$G$288,G111)</x:f>
        <x:v>39</x:v>
      </x:c>
      <x:c r="I111" s="30" t="str">
        <x:v>A152</x:v>
      </x:c>
      <x:c r="J111" s="31" t="str">
        <x:v>You in Lazard right now? I didn’t see it on your CV, when does it lasts | Quickly went through my CV and asked some small clarification questions | What do you know about DB / O&amp;A</x:v>
      </x:c>
    </x:row>
    <x:row r="112" ht="48" customHeight="1">
      <x:c r="A112" s="30" t="str">
        <x:v>QB0831</x:v>
      </x:c>
      <x:c r="B112" s="30" t="str">
        <x:v>Deutsche</x:v>
      </x:c>
      <x:c r="C112" s="30" t="str">
        <x:v>IBD / GCM</x:v>
      </x:c>
      <x:c r="D112" s="31" t="str">
        <x:v>Why Hong Kong</x:v>
      </x:c>
      <x:c r="E112" s="31" t="str">
        <x:v>Why Hong Kong</x:v>
      </x:c>
      <x:c r="F112" s="31" t="str">
        <x:v>Fit &amp; Motivation</x:v>
      </x:c>
      <x:c r="G112" s="30" t="str">
        <x:v>CL1138</x:v>
      </x:c>
      <x:c r="H112" s="32" t="n">
        <x:f>COUNTIF($G$5:$G$288,G112)</x:f>
        <x:v>1</x:v>
      </x:c>
      <x:c r="I112" s="30" t="str">
        <x:v>A153</x:v>
      </x:c>
      <x:c r="J112" s="31" t="str">
        <x:v>Quickly went through my CV and asked some small clarification questions | What do you know about DB / O&amp;A | Why DB</x:v>
      </x:c>
    </x:row>
    <x:row r="113" ht="32" customHeight="1">
      <x:c r="A113" s="30" t="str">
        <x:v>QB0833</x:v>
      </x:c>
      <x:c r="B113" s="30" t="str">
        <x:v>Deutsche</x:v>
      </x:c>
      <x:c r="C113" s="30" t="str">
        <x:v>IBD / GCM</x:v>
      </x:c>
      <x:c r="D113" s="31" t="str">
        <x:v>Why investment banking</x:v>
      </x:c>
      <x:c r="E113" s="31" t="str">
        <x:v>Why investment banking?</x:v>
      </x:c>
      <x:c r="F113" s="31" t="str">
        <x:v>Fit &amp; Motivation</x:v>
      </x:c>
      <x:c r="G113" s="30" t="str">
        <x:v>CL0003</x:v>
      </x:c>
      <x:c r="H113" s="32" t="n">
        <x:f>COUNTIF($G$5:$G$288,G113)</x:f>
        <x:v>34</x:v>
      </x:c>
      <x:c r="I113" s="30" t="str">
        <x:v>A154</x:v>
      </x:c>
      <x:c r="J113" s="31" t="str">
        <x:v>What do you know about DB / O&amp;A | Why DB | Why Hong Kong</x:v>
      </x:c>
    </x:row>
    <x:row r="114" ht="48" customHeight="1">
      <x:c r="A114" s="30" t="str">
        <x:v>QB0865</x:v>
      </x:c>
      <x:c r="B114" s="30" t="str">
        <x:v>Citi</x:v>
      </x:c>
      <x:c r="C114" s="30" t="str">
        <x:v>IBD / GCM</x:v>
      </x:c>
      <x:c r="D114" s="31" t="str">
        <x:v>what other additional things are in the equation and why (nols, dta etc)</x:v>
      </x:c>
      <x:c r="E114" s="31" t="str">
        <x:v>What other additional things are in the equation and why (nols, dta etc)</x:v>
      </x:c>
      <x:c r="F114" s="31" t="str">
        <x:v>Fit &amp; Motivation</x:v>
      </x:c>
      <x:c r="G114" s="30" t="str">
        <x:v>CL1024</x:v>
      </x:c>
      <x:c r="H114" s="32" t="n">
        <x:f>COUNTIF($G$5:$G$288,G114)</x:f>
        <x:v>1</x:v>
      </x:c>
      <x:c r="I114" s="30" t="str">
        <x:v>A5</x:v>
      </x:c>
      <x:c r="J114" s="31" t="str">
        <x:v>citi 1st round group technicals | tell me about a recent citi deal | how to get ev from equity value</x:v>
      </x:c>
    </x:row>
    <x:row r="115" ht="32" customHeight="1">
      <x:c r="A115" s="30" t="str">
        <x:v>QB0866</x:v>
      </x:c>
      <x:c r="B115" s="30" t="str">
        <x:v>Citi</x:v>
      </x:c>
      <x:c r="C115" s="30" t="str">
        <x:v>IBD / GCM</x:v>
      </x:c>
      <x:c r="D115" s="31" t="str">
        <x:v>Canto: why IBD, why not equity research, ask more about background stuff</x:v>
      </x:c>
      <x:c r="E115" s="31" t="str">
        <x:v>Why investment banking?</x:v>
      </x:c>
      <x:c r="F115" s="31" t="str">
        <x:v>Fit &amp; Motivation</x:v>
      </x:c>
      <x:c r="G115" s="30" t="str">
        <x:v>CL0003</x:v>
      </x:c>
      <x:c r="H115" s="32" t="n">
        <x:f>COUNTIF($G$5:$G$288,G115)</x:f>
        <x:v>34</x:v>
      </x:c>
      <x:c r="I115" s="30" t="str">
        <x:v>B5</x:v>
      </x:c>
      <x:c r="J115" s="31" t="str">
        <x:v>31 Emily's Superday | 1st Interviewer (Experience, Peter Lam) | Self Intro</x:v>
      </x:c>
    </x:row>
    <x:row r="116" ht="68" customHeight="1">
      <x:c r="A116" s="30" t="str">
        <x:v>QB0872</x:v>
      </x:c>
      <x:c r="B116" s="30" t="str">
        <x:v>Citi</x:v>
      </x:c>
      <x:c r="C116" s="30" t="str">
        <x:v>IBD / GCM</x:v>
      </x:c>
      <x:c r="D116" s="31" t="str">
        <x:v>Why M&amp;A for upstream companies, do you have any precedent transactions on it?</x:v>
      </x:c>
      <x:c r="E116" s="31" t="str">
        <x:v>Why M&amp;A for upstream companies, do you have any precedent transactions on it</x:v>
      </x:c>
      <x:c r="F116" s="31" t="str">
        <x:v>Fit &amp; Motivation</x:v>
      </x:c>
      <x:c r="G116" s="30" t="str">
        <x:v>CL1150</x:v>
      </x:c>
      <x:c r="H116" s="32" t="n">
        <x:f>COUNTIF($G$5:$G$288,G116)</x:f>
        <x:v>1</x:v>
      </x:c>
      <x:c r="I116" s="30" t="str">
        <x:v>B9</x:v>
      </x:c>
      <x:c r="J116" s="31" t="str">
        <x:v>Initiation on the electroplating company, how do you do valuation, investment thesis, comparables and DCF | How do you compare DCF, EV/EBITDA, PE valuation methodology for this company? | What opportunities this company can have (ECM, DC...</x:v>
      </x:c>
    </x:row>
    <x:row r="117" ht="68" customHeight="1">
      <x:c r="A117" s="30" t="str">
        <x:v>QB0873</x:v>
      </x:c>
      <x:c r="B117" s="30" t="str">
        <x:v>Citi</x:v>
      </x:c>
      <x:c r="C117" s="30" t="str">
        <x:v>IBD / GCM</x:v>
      </x:c>
      <x:c r="D117" s="31" t="str">
        <x:v>Why is it a good time for them, and why this opportunity?</x:v>
      </x:c>
      <x:c r="E117" s="31" t="str">
        <x:v>Why is it a good time for them, and why this opportunity</x:v>
      </x:c>
      <x:c r="F117" s="31" t="str">
        <x:v>Fit &amp; Motivation</x:v>
      </x:c>
      <x:c r="G117" s="30" t="str">
        <x:v>CL1145</x:v>
      </x:c>
      <x:c r="H117" s="32" t="n">
        <x:f>COUNTIF($G$5:$G$288,G117)</x:f>
        <x:v>1</x:v>
      </x:c>
      <x:c r="I117" s="30" t="str">
        <x:v>B10</x:v>
      </x:c>
      <x:c r="J117" s="31" t="str">
        <x:v>How do you compare DCF, EV/EBITDA, PE valuation methodology for this company? | What opportunities this company can have (ECM, DCM, M&amp;A) | Why M&amp;A for upstream companies, do you have any precedent transactions on it?</x:v>
      </x:c>
    </x:row>
    <x:row r="118" ht="48" customHeight="1">
      <x:c r="A118" s="30" t="str">
        <x:v>QB0876</x:v>
      </x:c>
      <x:c r="B118" s="30" t="str">
        <x:v>Citi</x:v>
      </x:c>
      <x:c r="C118" s="30" t="str">
        <x:v>IBD / GCM</x:v>
      </x:c>
      <x:c r="D118" s="31" t="str">
        <x:v>Why IBD</x:v>
      </x:c>
      <x:c r="E118" s="31" t="str">
        <x:v>Why investment banking?</x:v>
      </x:c>
      <x:c r="F118" s="31" t="str">
        <x:v>Fit &amp; Motivation</x:v>
      </x:c>
      <x:c r="G118" s="30" t="str">
        <x:v>CL0003</x:v>
      </x:c>
      <x:c r="H118" s="32" t="n">
        <x:f>COUNTIF($G$5:$G$288,G118)</x:f>
        <x:v>34</x:v>
      </x:c>
      <x:c r="I118" s="30" t="str">
        <x:v>B14</x:v>
      </x:c>
      <x:c r="J118" s="31" t="str">
        <x:v>Why is it a good time for them, and why this opportunity? | 2nd Interviewer (Leadership, Sam Sun) | Self Intro</x:v>
      </x:c>
    </x:row>
    <x:row r="119" ht="32" customHeight="1">
      <x:c r="A119" s="30" t="str">
        <x:v>QB0877</x:v>
      </x:c>
      <x:c r="B119" s="30" t="str">
        <x:v>Citi</x:v>
      </x:c>
      <x:c r="C119" s="30" t="str">
        <x:v>IBD / GCM</x:v>
      </x:c>
      <x:c r="D119" s="31" t="str">
        <x:v>Why Citi</x:v>
      </x:c>
      <x:c r="E119" s="31" t="str">
        <x:v>Why this firm?</x:v>
      </x:c>
      <x:c r="F119" s="31" t="str">
        <x:v>Fit &amp; Motivation</x:v>
      </x:c>
      <x:c r="G119" s="30" t="str">
        <x:v>CL0002</x:v>
      </x:c>
      <x:c r="H119" s="32" t="n">
        <x:f>COUNTIF($G$5:$G$288,G119)</x:f>
        <x:v>39</x:v>
      </x:c>
      <x:c r="I119" s="30" t="str">
        <x:v>B15</x:v>
      </x:c>
      <x:c r="J119" s="31" t="str">
        <x:v>2nd Interviewer (Leadership, Sam Sun) | Self Intro | Why IBD</x:v>
      </x:c>
    </x:row>
    <x:row r="120" ht="68" customHeight="1">
      <x:c r="A120" s="30" t="str">
        <x:v>QB0910</x:v>
      </x:c>
      <x:c r="B120" s="30" t="str">
        <x:v>Citi</x:v>
      </x:c>
      <x:c r="C120" s="30" t="str">
        <x:v>IBD / GCM</x:v>
      </x:c>
      <x:c r="D120" s="31" t="str">
        <x:v>Why would a company do M&amp;A from a strategic/financial aspect?</x:v>
      </x:c>
      <x:c r="E120" s="31" t="str">
        <x:v>Why would a company do M&amp;A from a strategic/financial aspect</x:v>
      </x:c>
      <x:c r="F120" s="31" t="str">
        <x:v>Fit &amp; Motivation</x:v>
      </x:c>
      <x:c r="G120" s="30" t="str">
        <x:v>CL1175</x:v>
      </x:c>
      <x:c r="H120" s="32" t="n">
        <x:f>COUNTIF($G$5:$G$288,G120)</x:f>
        <x:v>1</x:v>
      </x:c>
      <x:c r="I120" s="30" t="str">
        <x:v>A63</x:v>
      </x:c>
      <x:c r="J120" s="31" t="str">
        <x:v>What does negative NWC mean and how to improve WC? | What are the three valuation methodologies? | What’s the difference between valuing a private and public company?</x:v>
      </x:c>
    </x:row>
    <x:row r="121" ht="68" customHeight="1">
      <x:c r="A121" s="30" t="str">
        <x:v>QB0926</x:v>
      </x:c>
      <x:c r="B121" s="30" t="str">
        <x:v>Citi</x:v>
      </x:c>
      <x:c r="C121" s="30" t="str">
        <x:v>IBD / GCM</x:v>
      </x:c>
      <x:c r="D121" s="31" t="str">
        <x:v>Tell me about a story when you OT, can you accept long hours</x:v>
      </x:c>
      <x:c r="E121" s="31" t="str">
        <x:v>Tell me about a story when you OT, can you accept long hours</x:v>
      </x:c>
      <x:c r="F121" s="31" t="str">
        <x:v>Fit &amp; Motivation</x:v>
      </x:c>
      <x:c r="G121" s="30" t="str">
        <x:v>CL0728</x:v>
      </x:c>
      <x:c r="H121" s="32" t="n">
        <x:f>COUNTIF($G$5:$G$288,G121)</x:f>
        <x:v>1</x:v>
      </x:c>
      <x:c r="I121" s="30" t="str">
        <x:v>A96</x:v>
      </x:c>
      <x:c r="J121" s="31" t="str">
        <x:v>As most of the technical Qs are covered by the 1st round, this part didn’t involve pure tech, but very experience-driven | Self-introduction | Passion: why IBD, why CITI</x:v>
      </x:c>
    </x:row>
    <x:row r="122" ht="32" customHeight="1">
      <x:c r="A122" s="30" t="str">
        <x:v>QB0942</x:v>
      </x:c>
      <x:c r="B122" s="30" t="str">
        <x:v>Barclays</x:v>
      </x:c>
      <x:c r="C122" s="30" t="str">
        <x:v>IBD / GCM</x:v>
      </x:c>
      <x:c r="D122" s="31" t="str">
        <x:v>Why IBD and why Barclays</x:v>
      </x:c>
      <x:c r="E122" s="31" t="str">
        <x:v>Why investment banking?</x:v>
      </x:c>
      <x:c r="F122" s="31" t="str">
        <x:v>Fit &amp; Motivation</x:v>
      </x:c>
      <x:c r="G122" s="30" t="str">
        <x:v>CL0003</x:v>
      </x:c>
      <x:c r="H122" s="32" t="n">
        <x:f>COUNTIF($G$5:$G$288,G122)</x:f>
        <x:v>34</x:v>
      </x:c>
      <x:c r="I122" s="30" t="str">
        <x:v>A5</x:v>
      </x:c>
      <x:c r="J122" s="31" t="str">
        <x:v>Emily | Emily 1st round | Self intro: walk me through your experiences</x:v>
      </x:c>
    </x:row>
    <x:row r="123" ht="32" customHeight="1">
      <x:c r="A123" s="30" t="str">
        <x:v>QB0952</x:v>
      </x:c>
      <x:c r="B123" s="30" t="str">
        <x:v>Barclays</x:v>
      </x:c>
      <x:c r="C123" s="30" t="str">
        <x:v>IBD / GCM</x:v>
      </x:c>
      <x:c r="D123" s="31" t="str">
        <x:v>why did you use overall breast cancer market share and not the specific treatment</x:v>
      </x:c>
      <x:c r="E123" s="31" t="str">
        <x:v>Why did you use overall breast cancer market share and not the specific treatment</x:v>
      </x:c>
      <x:c r="F123" s="31" t="str">
        <x:v>Fit &amp; Motivation</x:v>
      </x:c>
      <x:c r="G123" s="30" t="str">
        <x:v>CL1122</x:v>
      </x:c>
      <x:c r="H123" s="32" t="n">
        <x:f>COUNTIF($G$5:$G$288,G123)</x:f>
        <x:v>1</x:v>
      </x:c>
      <x:c r="I123" s="30" t="str">
        <x:v>E7</x:v>
      </x:c>
      <x:c r="J123" s="31" t="str">
        <x:v>Henry (more tech, aggresive, drill) | self intro | tell me about your deal exp</x:v>
      </x:c>
    </x:row>
    <x:row r="124" ht="68" customHeight="1">
      <x:c r="A124" s="30" t="str">
        <x:v>QB0972</x:v>
      </x:c>
      <x:c r="B124" s="30" t="str">
        <x:v>Barclays</x:v>
      </x:c>
      <x:c r="C124" s="30" t="str">
        <x:v>IBD / GCM</x:v>
      </x:c>
      <x:c r="D124" s="31" t="str">
        <x:v>why did you go back to gz? (in chinese)</x:v>
      </x:c>
      <x:c r="E124" s="31" t="str">
        <x:v>Why did you go back to gz? (in chinese)</x:v>
      </x:c>
      <x:c r="F124" s="31" t="str">
        <x:v>Fit &amp; Motivation</x:v>
      </x:c>
      <x:c r="G124" s="30" t="str">
        <x:v>CL1120</x:v>
      </x:c>
      <x:c r="H124" s="32" t="n">
        <x:f>COUNTIF($G$5:$G$288,G124)</x:f>
        <x:v>1</x:v>
      </x:c>
      <x:c r="I124" s="30" t="str">
        <x:v>E12</x:v>
      </x:c>
      <x:c r="J124" s="31" t="str">
        <x:v>how can we provide value to both investors and the client when issuing convertible bonds | what did you do at KPMG | did you interact with clients at KPMG (in chinese)</x:v>
      </x:c>
    </x:row>
    <x:row r="125" ht="32" customHeight="1">
      <x:c r="A125" s="30" t="str">
        <x:v>QB0981</x:v>
      </x:c>
      <x:c r="B125" s="30" t="str">
        <x:v>Barclays</x:v>
      </x:c>
      <x:c r="C125" s="30" t="str">
        <x:v>IBD / GCM</x:v>
      </x:c>
      <x:c r="D125" s="31" t="str">
        <x:v>Why Barclays and why IBD</x:v>
      </x:c>
      <x:c r="E125" s="31" t="str">
        <x:v>Why this firm?</x:v>
      </x:c>
      <x:c r="F125" s="31" t="str">
        <x:v>Fit &amp; Motivation</x:v>
      </x:c>
      <x:c r="G125" s="30" t="str">
        <x:v>CL0002</x:v>
      </x:c>
      <x:c r="H125" s="32" t="n">
        <x:f>COUNTIF($G$5:$G$288,G125)</x:f>
        <x:v>39</x:v>
      </x:c>
      <x:c r="I125" s="30" t="str">
        <x:v>G15</x:v>
      </x:c>
      <x:c r="J125" s="31" t="str">
        <x:v>Key drivers in the DCF | Michael | Self intro</x:v>
      </x:c>
    </x:row>
    <x:row r="126" ht="32" customHeight="1">
      <x:c r="A126" s="30" t="str">
        <x:v>QB0991</x:v>
      </x:c>
      <x:c r="B126" s="30" t="str">
        <x:v>Barclays</x:v>
      </x:c>
      <x:c r="C126" s="30" t="str">
        <x:v>IBD / GCM</x:v>
      </x:c>
      <x:c r="D126" s="31" t="str">
        <x:v>Why start your career in Hong Kong and not US/EU?</x:v>
      </x:c>
      <x:c r="E126" s="31" t="str">
        <x:v>Why start your career in Hong Kong and not US/EU</x:v>
      </x:c>
      <x:c r="F126" s="31" t="str">
        <x:v>Fit &amp; Motivation</x:v>
      </x:c>
      <x:c r="G126" s="30" t="str">
        <x:v>CL1165</x:v>
      </x:c>
      <x:c r="H126" s="32" t="n">
        <x:f>COUNTIF($G$5:$G$288,G126)</x:f>
        <x:v>1</x:v>
      </x:c>
      <x:c r="I126" s="30" t="str">
        <x:v>C19</x:v>
      </x:c>
      <x:c r="J126" s="31" t="str">
        <x:v>Regan | Barclays R2 - Alice Sun | Tell me about your self</x:v>
      </x:c>
    </x:row>
    <x:row r="127" ht="32" customHeight="1">
      <x:c r="A127" s="30" t="str">
        <x:v>QB0994</x:v>
      </x:c>
      <x:c r="B127" s="30" t="str">
        <x:v>Barclays</x:v>
      </x:c>
      <x:c r="C127" s="30" t="str">
        <x:v>IBD / GCM</x:v>
      </x:c>
      <x:c r="D127" s="31" t="str">
        <x:v>Why do you think your previous exp will help you at Barclays?</x:v>
      </x:c>
      <x:c r="E127" s="31" t="str">
        <x:v>Why do you think your previous exp will help you at Barclays</x:v>
      </x:c>
      <x:c r="F127" s="31" t="str">
        <x:v>Fit &amp; Motivation</x:v>
      </x:c>
      <x:c r="G127" s="30" t="str">
        <x:v>CL1131</x:v>
      </x:c>
      <x:c r="H127" s="32" t="n">
        <x:f>COUNTIF($G$5:$G$288,G127)</x:f>
        <x:v>1</x:v>
      </x:c>
      <x:c r="I127" s="30" t="str">
        <x:v>A20</x:v>
      </x:c>
      <x:c r="J127" s="31" t="str">
        <x:v>Regan | Interviewer: Johnny Li | Give me short introduction of yourself.</x:v>
      </x:c>
    </x:row>
    <x:row r="128" ht="32" customHeight="1">
      <x:c r="A128" s="30" t="str">
        <x:v>QB0999</x:v>
      </x:c>
      <x:c r="B128" s="30" t="str">
        <x:v>Barclays</x:v>
      </x:c>
      <x:c r="C128" s="30" t="str">
        <x:v>IBD / GCM</x:v>
      </x:c>
      <x:c r="D128" s="31" t="str">
        <x:v>why barclays</x:v>
      </x:c>
      <x:c r="E128" s="31" t="str">
        <x:v>Why this firm?</x:v>
      </x:c>
      <x:c r="F128" s="31" t="str">
        <x:v>Fit &amp; Motivation</x:v>
      </x:c>
      <x:c r="G128" s="30" t="str">
        <x:v>CL0002</x:v>
      </x:c>
      <x:c r="H128" s="32" t="n">
        <x:f>COUNTIF($G$5:$G$288,G128)</x:f>
        <x:v>39</x:v>
      </x:c>
      <x:c r="I128" s="30" t="str">
        <x:v>E21</x:v>
      </x:c>
      <x:c r="J128" s="31" t="str">
        <x:v>Michael (more behavioural) | which team in barclays | walk me through a deal</x:v>
      </x:c>
    </x:row>
    <x:row r="129" ht="48" customHeight="1">
      <x:c r="A129" s="30" t="str">
        <x:v>QB1006</x:v>
      </x:c>
      <x:c r="B129" s="30" t="str">
        <x:v>Barclays</x:v>
      </x:c>
      <x:c r="C129" s="30" t="str">
        <x:v>IBD / GCM</x:v>
      </x:c>
      <x:c r="D129" s="31" t="str">
        <x:v>Why Barclays why ibd</x:v>
      </x:c>
      <x:c r="E129" s="31" t="str">
        <x:v>Why this firm?</x:v>
      </x:c>
      <x:c r="F129" s="31" t="str">
        <x:v>Fit &amp; Motivation</x:v>
      </x:c>
      <x:c r="G129" s="30" t="str">
        <x:v>CL0002</x:v>
      </x:c>
      <x:c r="H129" s="32" t="n">
        <x:f>COUNTIF($G$5:$G$288,G129)</x:f>
        <x:v>39</x:v>
      </x:c>
      <x:c r="I129" s="30" t="str">
        <x:v>G23</x:v>
      </x:c>
      <x:c r="J129" s="31" t="str">
        <x:v>Tell me about your leadership or teamwork in a case competition experience | What do you do in your free time apart from fencing | Terry</x:v>
      </x:c>
    </x:row>
    <x:row r="130" ht="32" customHeight="1">
      <x:c r="A130" s="30" t="str">
        <x:v>QB1009</x:v>
      </x:c>
      <x:c r="B130" s="30" t="str">
        <x:v>Barclays</x:v>
      </x:c>
      <x:c r="C130" s="30" t="str">
        <x:v>IBD / GCM</x:v>
      </x:c>
      <x:c r="D130" s="31" t="str">
        <x:v>Why after hkex and equity research you wanna do ibd</x:v>
      </x:c>
      <x:c r="E130" s="31" t="str">
        <x:v>Why after hkex and equity research you wanna do ibd</x:v>
      </x:c>
      <x:c r="F130" s="31" t="str">
        <x:v>Fit &amp; Motivation</x:v>
      </x:c>
      <x:c r="G130" s="30" t="str">
        <x:v>CL1111</x:v>
      </x:c>
      <x:c r="H130" s="32" t="n">
        <x:f>COUNTIF($G$5:$G$288,G130)</x:f>
        <x:v>1</x:v>
      </x:c>
      <x:c r="I130" s="30" t="str">
        <x:v>G24</x:v>
      </x:c>
      <x:c r="J130" s="31" t="str">
        <x:v>What do you do in your free time apart from fencing | Terry | Why Barclays why ibd</x:v>
      </x:c>
    </x:row>
    <x:row r="131" ht="68" customHeight="1">
      <x:c r="A131" s="30" t="str">
        <x:v>QB1011</x:v>
      </x:c>
      <x:c r="B131" s="30" t="str">
        <x:v>Barclays</x:v>
      </x:c>
      <x:c r="C131" s="30" t="str">
        <x:v>IBD / GCM</x:v>
      </x:c>
      <x:c r="D131" s="31" t="str">
        <x:v>Why IBD not PE</x:v>
      </x:c>
      <x:c r="E131" s="31" t="str">
        <x:v>Why investment banking?</x:v>
      </x:c>
      <x:c r="F131" s="31" t="str">
        <x:v>Fit &amp; Motivation</x:v>
      </x:c>
      <x:c r="G131" s="30" t="str">
        <x:v>CL0003</x:v>
      </x:c>
      <x:c r="H131" s="32" t="n">
        <x:f>COUNTIF($G$5:$G$288,G131)</x:f>
        <x:v>34</x:v>
      </x:c>
      <x:c r="I131" s="30" t="str">
        <x:v>C25</x:v>
      </x:c>
      <x:c r="J131" s="31" t="str">
        <x:v>Why start your career in Hong Kong and not US/EU? | Walk me through your most recent case comp. Team dynamic? Role? Valuation? - deep dive | What group / coverage if Barclays? Why?</x:v>
      </x:c>
    </x:row>
    <x:row r="132" ht="68" customHeight="1">
      <x:c r="A132" s="30" t="str">
        <x:v>QB1015</x:v>
      </x:c>
      <x:c r="B132" s="30" t="str">
        <x:v>Barclays</x:v>
      </x:c>
      <x:c r="C132" s="30" t="str">
        <x:v>IBD / GCM</x:v>
      </x:c>
      <x:c r="D132" s="31" t="str">
        <x:v>Can you speak canto / mandarin? Feel free to ask me questions in mandarin.</x:v>
      </x:c>
      <x:c r="E132" s="31" t="str">
        <x:v>Can you speak canto / mandarin? Feel free to ask me questions in mandarin</x:v>
      </x:c>
      <x:c r="F132" s="31" t="str">
        <x:v>Fit &amp; Motivation</x:v>
      </x:c>
      <x:c r="G132" s="30" t="str">
        <x:v>CL0188</x:v>
      </x:c>
      <x:c r="H132" s="32" t="n">
        <x:f>COUNTIF($G$5:$G$288,G132)</x:f>
        <x:v>1</x:v>
      </x:c>
      <x:c r="I132" s="30" t="str">
        <x:v>A27</x:v>
      </x:c>
      <x:c r="J132" s="31" t="str">
        <x:v>(I walked him through the DCF as well bc he wasn’t asking any technical questions…) | What would you do if you weren’t in investment banking? | How would you value a piece of art?</x:v>
      </x:c>
    </x:row>
    <x:row r="133" ht="32" customHeight="1">
      <x:c r="A133" s="30" t="str">
        <x:v>QB1018</x:v>
      </x:c>
      <x:c r="B133" s="30" t="str">
        <x:v>Barclays</x:v>
      </x:c>
      <x:c r="C133" s="30" t="str">
        <x:v>IBD / GCM</x:v>
      </x:c>
      <x:c r="D133" s="31" t="str">
        <x:v>why barclays</x:v>
      </x:c>
      <x:c r="E133" s="31" t="str">
        <x:v>Why this firm?</x:v>
      </x:c>
      <x:c r="F133" s="31" t="str">
        <x:v>Fit &amp; Motivation</x:v>
      </x:c>
      <x:c r="G133" s="30" t="str">
        <x:v>CL0002</x:v>
      </x:c>
      <x:c r="H133" s="32" t="n">
        <x:f>COUNTIF($G$5:$G$288,G133)</x:f>
        <x:v>39</x:v>
      </x:c>
      <x:c r="I133" s="30" t="str">
        <x:v>E28</x:v>
      </x:c>
      <x:c r="J133" s="31" t="str">
        <x:v>any questions | Terry (more behavioural) | walk me through a deal</x:v>
      </x:c>
    </x:row>
    <x:row r="134" ht="48" customHeight="1">
      <x:c r="A134" s="30" t="str">
        <x:v>QB1036</x:v>
      </x:c>
      <x:c r="B134" s="30" t="str">
        <x:v>Barclays</x:v>
      </x:c>
      <x:c r="C134" s="30" t="str">
        <x:v>IBD / GCM</x:v>
      </x:c>
      <x:c r="D134" s="31" t="str">
        <x:v>Comparable companies: criteria, multiples (EV as compared to competitors), why use EV/EBITDA, not EV/E</x:v>
      </x:c>
      <x:c r="E134" s="31" t="str">
        <x:v>Comparable companies: criteria, multiples (EV as compared to competitors), why use EV/EBITDA, not EV/E</x:v>
      </x:c>
      <x:c r="F134" s="31" t="str">
        <x:v>Fit &amp; Motivation</x:v>
      </x:c>
      <x:c r="G134" s="30" t="str">
        <x:v>CL0202</x:v>
      </x:c>
      <x:c r="H134" s="32" t="n">
        <x:f>COUNTIF($G$5:$G$288,G134)</x:f>
        <x:v>1</x:v>
      </x:c>
      <x:c r="I134" s="30" t="str">
        <x:v>A35</x:v>
      </x:c>
      <x:c r="J134" s="31" t="str">
        <x:v>中文 starting from here | STOCK 1 | Deep dive: revenue breakdown, revenue driver, reason for assumption</x:v>
      </x:c>
    </x:row>
    <x:row r="135" ht="32" customHeight="1">
      <x:c r="A135" s="30" t="str">
        <x:v>QB1039</x:v>
      </x:c>
      <x:c r="B135" s="30" t="str">
        <x:v>Barclays</x:v>
      </x:c>
      <x:c r="C135" s="30" t="str">
        <x:v>IBD / GCM</x:v>
      </x:c>
      <x:c r="D135" s="31" t="str">
        <x:v>do you like toronto or guangzhou or hong kong (in chinese)</x:v>
      </x:c>
      <x:c r="E135" s="31" t="str">
        <x:v>Do you like toronto or guangzhou or hong kong (in chinese)</x:v>
      </x:c>
      <x:c r="F135" s="31" t="str">
        <x:v>Fit &amp; Motivation</x:v>
      </x:c>
      <x:c r="G135" s="30" t="str">
        <x:v>CL0284</x:v>
      </x:c>
      <x:c r="H135" s="32" t="n">
        <x:f>COUNTIF($G$5:$G$288,G135)</x:f>
        <x:v>1</x:v>
      </x:c>
      <x:c r="I135" s="30" t="str">
        <x:v>E36</x:v>
      </x:c>
      <x:c r="J135" s="31" t="str">
        <x:v>Stefani (more tech, chinese) | self intro | walk me through your internships (in chinese)</x:v>
      </x:c>
    </x:row>
    <x:row r="136" ht="68" customHeight="1">
      <x:c r="A136" s="30" t="str">
        <x:v>QB1040</x:v>
      </x:c>
      <x:c r="B136" s="30" t="str">
        <x:v>Barclays</x:v>
      </x:c>
      <x:c r="C136" s="30" t="str">
        <x:v>IBD / GCM</x:v>
      </x:c>
      <x:c r="D136" s="31" t="str">
        <x:v>Business model? Why would industrial companies use energy storage systems?</x:v>
      </x:c>
      <x:c r="E136" s="31" t="str">
        <x:v>Business model? Why would industrial companies use energy storage systems</x:v>
      </x:c>
      <x:c r="F136" s="31" t="str">
        <x:v>Fit &amp; Motivation</x:v>
      </x:c>
      <x:c r="G136" s="30" t="str">
        <x:v>CL0177</x:v>
      </x:c>
      <x:c r="H136" s="32" t="n">
        <x:f>COUNTIF($G$5:$G$288,G136)</x:f>
        <x:v>1</x:v>
      </x:c>
      <x:c r="I136" s="30" t="str">
        <x:v>A37</x:v>
      </x:c>
      <x:c r="J136" s="31" t="str">
        <x:v>Deep dive: revenue breakdown, revenue driver, reason for assumption | Comparable companies: criteria, multiples (EV as compared to competitors), why use EV/EBITDA, not EV/E | How is the market dynamic? (Entry barrier, technology etc)</x:v>
      </x:c>
    </x:row>
    <x:row r="137" ht="48" customHeight="1">
      <x:c r="A137" s="30" t="str">
        <x:v>QB1051</x:v>
      </x:c>
      <x:c r="B137" s="30" t="str">
        <x:v>Barclays</x:v>
      </x:c>
      <x:c r="C137" s="30" t="str">
        <x:v>IBD / GCM</x:v>
      </x:c>
      <x:c r="D137" s="31" t="str">
        <x:v>why would a company take on more leverage in a buyout, how does its affect cash flows, IRR, MOIC</x:v>
      </x:c>
      <x:c r="E137" s="31" t="str">
        <x:v>Why would a company take on more leverage in a buyout, how does its affect cash flows, IRR, MOIC</x:v>
      </x:c>
      <x:c r="F137" s="31" t="str">
        <x:v>Fit &amp; Motivation</x:v>
      </x:c>
      <x:c r="G137" s="30" t="str">
        <x:v>CL1176</x:v>
      </x:c>
      <x:c r="H137" s="32" t="n">
        <x:f>COUNTIF($G$5:$G$288,G137)</x:f>
        <x:v>1</x:v>
      </x:c>
      <x:c r="I137" s="30" t="str">
        <x:v>E42</x:v>
      </x:c>
      <x:c r="J137" s="31" t="str">
        <x:v>what is the difference betweeen lfcf and ufcf | what is the disadvantage of ufcf | what discount rate do you use for levered vs unlevered fcf</x:v>
      </x:c>
    </x:row>
    <x:row r="138" ht="48" customHeight="1">
      <x:c r="A138" s="30" t="str">
        <x:v>QB1058</x:v>
      </x:c>
      <x:c r="B138" s="30" t="str">
        <x:v>Barclays</x:v>
      </x:c>
      <x:c r="C138" s="30" t="str">
        <x:v>IBD / GCM</x:v>
      </x:c>
      <x:c r="D138" s="31" t="str">
        <x:v>Why Barclays?</x:v>
      </x:c>
      <x:c r="E138" s="31" t="str">
        <x:v>Why this firm?</x:v>
      </x:c>
      <x:c r="F138" s="31" t="str">
        <x:v>Fit &amp; Motivation</x:v>
      </x:c>
      <x:c r="G138" s="30" t="str">
        <x:v>CL0002</x:v>
      </x:c>
      <x:c r="H138" s="32" t="n">
        <x:f>COUNTIF($G$5:$G$288,G138)</x:f>
        <x:v>39</x:v>
      </x:c>
      <x:c r="I138" s="30" t="str">
        <x:v>A48</x:v>
      </x:c>
      <x:c r="J138" s="31" t="str">
        <x:v>Formula: FCF, NWC, common items of non-cash expense | Jimmy 1st Interview (Interviewer: Crystal Zhu) | Self Intro</x:v>
      </x:c>
    </x:row>
    <x:row r="139" ht="48" customHeight="1">
      <x:c r="A139" s="30" t="str">
        <x:v>QB1070</x:v>
      </x:c>
      <x:c r="B139" s="30" t="str">
        <x:v>Barclays</x:v>
      </x:c>
      <x:c r="C139" s="30" t="str">
        <x:v>IBD / GCM</x:v>
      </x:c>
      <x:c r="D139" s="31" t="str">
        <x:v>Why IBD?</x:v>
      </x:c>
      <x:c r="E139" s="31" t="str">
        <x:v>Why investment banking?</x:v>
      </x:c>
      <x:c r="F139" s="31" t="str">
        <x:v>Fit &amp; Motivation</x:v>
      </x:c>
      <x:c r="G139" s="30" t="str">
        <x:v>CL0003</x:v>
      </x:c>
      <x:c r="H139" s="32" t="n">
        <x:f>COUNTIF($G$5:$G$288,G139)</x:f>
        <x:v>34</x:v>
      </x:c>
      <x:c r="I139" s="30" t="str">
        <x:v>C54</x:v>
      </x:c>
      <x:c r="J139" s="31" t="str">
        <x:v>Did you use LTM multiple or NTM mulitiple, why? | Can we use NTM multiple? | What is the synergy of this acquisition?</x:v>
      </x:c>
    </x:row>
    <x:row r="140" ht="48" customHeight="1">
      <x:c r="A140" s="30" t="str">
        <x:v>QB1084</x:v>
      </x:c>
      <x:c r="B140" s="30" t="str">
        <x:v>Barclays</x:v>
      </x:c>
      <x:c r="C140" s="30" t="str">
        <x:v>IBD / GCM</x:v>
      </x:c>
      <x:c r="D140" s="31" t="str">
        <x:v>why ibd</x:v>
      </x:c>
      <x:c r="E140" s="31" t="str">
        <x:v>Why investment banking?</x:v>
      </x:c>
      <x:c r="F140" s="31" t="str">
        <x:v>Fit &amp; Motivation</x:v>
      </x:c>
      <x:c r="G140" s="30" t="str">
        <x:v>CL0003</x:v>
      </x:c>
      <x:c r="H140" s="32" t="n">
        <x:f>COUNTIF($G$5:$G$288,G140)</x:f>
        <x:v>34</x:v>
      </x:c>
      <x:c r="I140" s="30" t="str">
        <x:v>C63</x:v>
      </x:c>
      <x:c r="J140" s="31" t="str">
        <x:v>self intro | tell me more about china esport industry | what financial due dilligence did you do</x:v>
      </x:c>
    </x:row>
    <x:row r="141" ht="48" customHeight="1">
      <x:c r="A141" s="30" t="str">
        <x:v>QB1086</x:v>
      </x:c>
      <x:c r="B141" s="30" t="str">
        <x:v>Barclays</x:v>
      </x:c>
      <x:c r="C141" s="30" t="str">
        <x:v>IBD / GCM</x:v>
      </x:c>
      <x:c r="D141" s="31" t="str">
        <x:v>why barclays</x:v>
      </x:c>
      <x:c r="E141" s="31" t="str">
        <x:v>Why this firm?</x:v>
      </x:c>
      <x:c r="F141" s="31" t="str">
        <x:v>Fit &amp; Motivation</x:v>
      </x:c>
      <x:c r="G141" s="30" t="str">
        <x:v>CL0002</x:v>
      </x:c>
      <x:c r="H141" s="32" t="n">
        <x:f>COUNTIF($G$5:$G$288,G141)</x:f>
        <x:v>39</x:v>
      </x:c>
      <x:c r="I141" s="30" t="str">
        <x:v>C64</x:v>
      </x:c>
      <x:c r="J141" s="31" t="str">
        <x:v>tell me more about china esport industry | what financial due dilligence did you do | why ibd</x:v>
      </x:c>
    </x:row>
    <x:row r="142" ht="48" customHeight="1">
      <x:c r="A142" s="30" t="str">
        <x:v>QB1087</x:v>
      </x:c>
      <x:c r="B142" s="30" t="str">
        <x:v>Barclays</x:v>
      </x:c>
      <x:c r="C142" s="30" t="str">
        <x:v>IBD / GCM</x:v>
      </x:c>
      <x:c r="D142" s="31" t="str">
        <x:v>why need to lever and unlever beta</x:v>
      </x:c>
      <x:c r="E142" s="31" t="str">
        <x:v>Why need to lever and unlever beta</x:v>
      </x:c>
      <x:c r="F142" s="31" t="str">
        <x:v>Fit &amp; Motivation</x:v>
      </x:c>
      <x:c r="G142" s="30" t="str">
        <x:v>CL1151</x:v>
      </x:c>
      <x:c r="H142" s="32" t="n">
        <x:f>COUNTIF($G$5:$G$288,G142)</x:f>
        <x:v>1</x:v>
      </x:c>
      <x:c r="I142" s="30" t="str">
        <x:v>A65</x:v>
      </x:c>
      <x:c r="J142" s="31" t="str">
        <x:v>how would your colleague describe you and what are your areas of improvement | what is wacc | what is beta</x:v>
      </x:c>
    </x:row>
    <x:row r="143" ht="32" customHeight="1">
      <x:c r="A143" s="30" t="str">
        <x:v>QB1110</x:v>
      </x:c>
      <x:c r="B143" s="30" t="str">
        <x:v>Barclays</x:v>
      </x:c>
      <x:c r="C143" s="30" t="str">
        <x:v>IBD / GCM</x:v>
      </x:c>
      <x:c r="D143" s="31" t="str">
        <x:v>Did you get return and why not</x:v>
      </x:c>
      <x:c r="E143" s="31" t="str">
        <x:v>Did you get return and why not</x:v>
      </x:c>
      <x:c r="F143" s="31" t="str">
        <x:v>Fit &amp; Motivation</x:v>
      </x:c>
      <x:c r="G143" s="30" t="str">
        <x:v>CL0244</x:v>
      </x:c>
      <x:c r="H143" s="32" t="n">
        <x:f>COUNTIF($G$5:$G$288,G143)</x:f>
        <x:v>1</x:v>
      </x:c>
      <x:c r="I143" s="30" t="str">
        <x:v>A79</x:v>
      </x:c>
      <x:c r="J143" s="31" t="str">
        <x:v>2025 SA (Emily) | 1st round: Celine Ni, VP (S&amp;T) | Walk me through your resume</x:v>
      </x:c>
    </x:row>
    <x:row r="144" ht="32" customHeight="1">
      <x:c r="A144" s="30" t="str">
        <x:v>QB1112</x:v>
      </x:c>
      <x:c r="B144" s="30" t="str">
        <x:v>Barclays</x:v>
      </x:c>
      <x:c r="C144" s="30" t="str">
        <x:v>IBD / GCM</x:v>
      </x:c>
      <x:c r="D144" s="31" t="str">
        <x:v>Why IBD, why Barclays；</x:v>
      </x:c>
      <x:c r="E144" s="31" t="str">
        <x:v>Why investment banking?</x:v>
      </x:c>
      <x:c r="F144" s="31" t="str">
        <x:v>Fit &amp; Motivation</x:v>
      </x:c>
      <x:c r="G144" s="30" t="str">
        <x:v>CL0003</x:v>
      </x:c>
      <x:c r="H144" s="32" t="n">
        <x:f>COUNTIF($G$5:$G$288,G144)</x:f>
        <x:v>34</x:v>
      </x:c>
      <x:c r="I144" s="30" t="str">
        <x:v>D79</x:v>
      </x:c>
      <x:c r="J144" s="31" t="str">
        <x:v>interview 2: 全英文, Rita Tang，1st year ana，IBD-M&amp;A： | brief intro；</x:v>
      </x:c>
    </x:row>
    <x:row r="145" ht="48" customHeight="1">
      <x:c r="A145" s="30" t="str">
        <x:v>QB1119</x:v>
      </x:c>
      <x:c r="B145" s="30" t="str">
        <x:v>Barclays</x:v>
      </x:c>
      <x:c r="C145" s="30" t="str">
        <x:v>IBD / GCM</x:v>
      </x:c>
      <x:c r="D145" s="31" t="str">
        <x:v>Walk me though valuation in Mandarin</x:v>
      </x:c>
      <x:c r="E145" s="31" t="str">
        <x:v>Walk me though valuation in Mandarin</x:v>
      </x:c>
      <x:c r="F145" s="31" t="str">
        <x:v>Fit &amp; Motivation</x:v>
      </x:c>
      <x:c r="G145" s="30" t="str">
        <x:v>CL0823</x:v>
      </x:c>
      <x:c r="H145" s="32" t="n">
        <x:f>COUNTIF($G$5:$G$288,G145)</x:f>
        <x:v>1</x:v>
      </x:c>
      <x:c r="I145" s="30" t="str">
        <x:v>A82</x:v>
      </x:c>
      <x:c r="J145" s="31" t="str">
        <x:v>Did you get return and why not | What did you do in UBS | What are some points that investors will look into when investing in companies in this industry</x:v>
      </x:c>
    </x:row>
    <x:row r="146" ht="48" customHeight="1">
      <x:c r="A146" s="30" t="str">
        <x:v>QB1121</x:v>
      </x:c>
      <x:c r="B146" s="30" t="str">
        <x:v>Barclays</x:v>
      </x:c>
      <x:c r="C146" s="30" t="str">
        <x:v>IBD / GCM</x:v>
      </x:c>
      <x:c r="D146" s="31" t="str">
        <x:v>Why you choose healthcare team;</x:v>
      </x:c>
      <x:c r="E146" s="31" t="str">
        <x:v>Why you choose healthcare team</x:v>
      </x:c>
      <x:c r="F146" s="31" t="str">
        <x:v>Fit &amp; Motivation</x:v>
      </x:c>
      <x:c r="G146" s="30" t="str">
        <x:v>CL1180</x:v>
      </x:c>
      <x:c r="H146" s="32" t="n">
        <x:f>COUNTIF($G$5:$G$288,G146)</x:f>
        <x:v>1</x:v>
      </x:c>
      <x:c r="I146" s="30" t="str">
        <x:v>D82</x:v>
      </x:c>
      <x:c r="J146" s="31" t="str">
        <x:v>Why IBD, why Barclays； | A case you did in healthcare ibd; | How to choose comparable comps, give me PE ratios of comps</x:v>
      </x:c>
    </x:row>
    <x:row r="147" ht="68" customHeight="1">
      <x:c r="A147" s="30" t="str">
        <x:v>QB1138</x:v>
      </x:c>
      <x:c r="B147" s="30" t="str">
        <x:v>Barclays</x:v>
      </x:c>
      <x:c r="C147" s="30" t="str">
        <x:v>IBD / GCM</x:v>
      </x:c>
      <x:c r="D147" s="31" t="str">
        <x:v>Self introduction, why are you here etc.</x:v>
      </x:c>
      <x:c r="E147" s="31" t="str">
        <x:v>Tell me about yourself / walk me through your resume</x:v>
      </x:c>
      <x:c r="F147" s="31" t="str">
        <x:v>Fit &amp; Motivation</x:v>
      </x:c>
      <x:c r="G147" s="30" t="str">
        <x:v>CL0001</x:v>
      </x:c>
      <x:c r="H147" s="32" t="n">
        <x:f>COUNTIF($G$5:$G$288,G147)</x:f>
        <x:v>16</x:v>
      </x:c>
      <x:c r="I147" s="30" t="str">
        <x:v>A95</x:v>
      </x:c>
      <x:c r="J147" s="31" t="str">
        <x:v>(During the written test round they said it's for Capital Markets Team though) | 1st Round: Lucy Wang, Ryan Wu | 2 Interviewers, but idk why it was only 15mins incl Q&amp;A (supposed to be 30mins tho)</x:v>
      </x:c>
    </x:row>
    <x:row r="148" ht="68" customHeight="1">
      <x:c r="A148" s="30" t="str">
        <x:v>QB1172</x:v>
      </x:c>
      <x:c r="B148" s="30" t="str">
        <x:v>GS DCMECM</x:v>
      </x:c>
      <x:c r="C148" s="30" t="str">
        <x:v>IBD / GCM</x:v>
      </x:c>
      <x:c r="D148" s="31" t="str">
        <x:v>Self intro, why GS, why DCM</x:v>
      </x:c>
      <x:c r="E148" s="31" t="str">
        <x:v>Tell me about yourself / walk me through your resume</x:v>
      </x:c>
      <x:c r="F148" s="31" t="str">
        <x:v>Fit &amp; Motivation</x:v>
      </x:c>
      <x:c r="G148" s="30" t="str">
        <x:v>CL0001</x:v>
      </x:c>
      <x:c r="H148" s="32" t="n">
        <x:f>COUNTIF($G$5:$G$288,G148)</x:f>
        <x:v>16</x:v>
      </x:c>
      <x:c r="I148" s="30" t="str">
        <x:v>A13</x:v>
      </x:c>
      <x:c r="J148" s="31" t="str">
        <x:v>Questions for him | Asked back what kind of skill sets / characters are required for DCM, compared to my previous internships // compare the Debt market with PEVCIBD | 2 Martina Piccolo Sponsors / Loan</x:v>
      </x:c>
    </x:row>
    <x:row r="149" ht="48" customHeight="1">
      <x:c r="A149" s="30" t="str">
        <x:v>QB1191</x:v>
      </x:c>
      <x:c r="B149" s="30" t="str">
        <x:v>GS DCMECM</x:v>
      </x:c>
      <x:c r="C149" s="30" t="str">
        <x:v>IBD / GCM</x:v>
      </x:c>
      <x:c r="D149" s="31" t="str">
        <x:v>Why you</x:v>
      </x:c>
      <x:c r="E149" s="31" t="str">
        <x:v>Why you</x:v>
      </x:c>
      <x:c r="F149" s="31" t="str">
        <x:v>Fit &amp; Motivation</x:v>
      </x:c>
      <x:c r="G149" s="30" t="str">
        <x:v>CL1179</x:v>
      </x:c>
      <x:c r="H149" s="32" t="n">
        <x:f>COUNTIF($G$5:$G$288,G149)</x:f>
        <x:v>1</x:v>
      </x:c>
      <x:c r="I149" s="30" t="str">
        <x:v>B23</x:v>
      </x:c>
      <x:c r="J149" s="31" t="str">
        <x:v>My ranking, is my GPA low or high in my class | My thoughts on past internships, why ECM | Quite conversational and all behavioral... forgot</x:v>
      </x:c>
    </x:row>
    <x:row r="150" ht="32" customHeight="1">
      <x:c r="A150" s="30" t="str">
        <x:v>QB1202</x:v>
      </x:c>
      <x:c r="B150" s="30" t="str">
        <x:v>GS DCMECM</x:v>
      </x:c>
      <x:c r="C150" s="30" t="str">
        <x:v>IBD / GCM</x:v>
      </x:c>
      <x:c r="D150" s="31" t="str">
        <x:v>Why GS why DCM</x:v>
      </x:c>
      <x:c r="E150" s="31" t="str">
        <x:v>Why this firm?</x:v>
      </x:c>
      <x:c r="F150" s="31" t="str">
        <x:v>Fit &amp; Motivation</x:v>
      </x:c>
      <x:c r="G150" s="30" t="str">
        <x:v>CL0002</x:v>
      </x:c>
      <x:c r="H150" s="32" t="n">
        <x:f>COUNTIF($G$5:$G$288,G150)</x:f>
        <x:v>39</x:v>
      </x:c>
      <x:c r="I150" s="30" t="str">
        <x:v>A30</x:v>
      </x:c>
      <x:c r="J150" s="31" t="str">
        <x:v>Questions for him | 4 Andrew Chan Head of Bond Syndiate | Self Intro</x:v>
      </x:c>
    </x:row>
    <x:row r="151" ht="32" customHeight="1">
      <x:c r="A151" s="30" t="str">
        <x:v>QB1216</x:v>
      </x:c>
      <x:c r="B151" s="30" t="str">
        <x:v>GS DCMECM</x:v>
      </x:c>
      <x:c r="C151" s="30" t="str">
        <x:v>IBD / GCM</x:v>
      </x:c>
      <x:c r="D151" s="31" t="str">
        <x:v>How will this DCM internship fit in to your experience and your future plan</x:v>
      </x:c>
      <x:c r="E151" s="31" t="str">
        <x:v>How will this DCM internship fit in to your experience and your future plan</x:v>
      </x:c>
      <x:c r="F151" s="31" t="str">
        <x:v>Fit &amp; Motivation</x:v>
      </x:c>
      <x:c r="G151" s="30" t="str">
        <x:v>CL0490</x:v>
      </x:c>
      <x:c r="H151" s="32" t="n">
        <x:f>COUNTIF($G$5:$G$288,G151)</x:f>
        <x:v>1</x:v>
      </x:c>
      <x:c r="I151" s="30" t="str">
        <x:v>A38</x:v>
      </x:c>
      <x:c r="J151" s="31" t="str">
        <x:v>Q&amp;A in Cantonese | 5 Daniel Ohmsen Loans | Self Intro</x:v>
      </x:c>
    </x:row>
    <x:row r="152" ht="32" customHeight="1">
      <x:c r="A152" s="30" t="str">
        <x:v>QB1249</x:v>
      </x:c>
      <x:c r="B152" s="30" t="str">
        <x:v>Bofa IBD</x:v>
      </x:c>
      <x:c r="C152" s="30" t="str">
        <x:v>IBD / GCM</x:v>
      </x:c>
      <x:c r="D152" s="31" t="str">
        <x:v>Self intro, why ibd, why bofa</x:v>
      </x:c>
      <x:c r="E152" s="31" t="str">
        <x:v>Tell me about yourself / walk me through your resume</x:v>
      </x:c>
      <x:c r="F152" s="31" t="str">
        <x:v>Fit &amp; Motivation</x:v>
      </x:c>
      <x:c r="G152" s="30" t="str">
        <x:v>CL0001</x:v>
      </x:c>
      <x:c r="H152" s="32" t="n">
        <x:f>COUNTIF($G$5:$G$288,G152)</x:f>
        <x:v>16</x:v>
      </x:c>
      <x:c r="I152" s="30" t="str">
        <x:v>A4</x:v>
      </x:c>
      <x:c r="J152" s="31" t="str">
        <x:v>2024 SA | First Round Emily | Emily 1st interviewer Suzie</x:v>
      </x:c>
    </x:row>
    <x:row r="153" ht="32" customHeight="1">
      <x:c r="A153" s="30" t="str">
        <x:v>QB1255</x:v>
      </x:c>
      <x:c r="B153" s="30" t="str">
        <x:v>Bofa IBD</x:v>
      </x:c>
      <x:c r="C153" s="30" t="str">
        <x:v>IBD / GCM</x:v>
      </x:c>
      <x:c r="D153" s="31" t="str">
        <x:v>2why ibd considering your bg in pe consulting and dcm?</x:v>
      </x:c>
      <x:c r="E153" s="31" t="str">
        <x:v>Why investment banking?</x:v>
      </x:c>
      <x:c r="F153" s="31" t="str">
        <x:v>Fit &amp; Motivation</x:v>
      </x:c>
      <x:c r="G153" s="30" t="str">
        <x:v>CL0003</x:v>
      </x:c>
      <x:c r="H153" s="32" t="n">
        <x:f>COUNTIF($G$5:$G$288,G153)</x:f>
        <x:v>34</x:v>
      </x:c>
      <x:c r="I153" s="30" t="str">
        <x:v>E5</x:v>
      </x:c>
      <x:c r="J153" s="31" t="str">
        <x:v>24 Alan 1st round | 1self intro</x:v>
      </x:c>
    </x:row>
    <x:row r="154" ht="32" customHeight="1">
      <x:c r="A154" s="30" t="str">
        <x:v>QB1262</x:v>
      </x:c>
      <x:c r="B154" s="30" t="str">
        <x:v>Bofa IBD</x:v>
      </x:c>
      <x:c r="C154" s="30" t="str">
        <x:v>IBD / GCM</x:v>
      </x:c>
      <x:c r="D154" s="31" t="str">
        <x:v>Why ibd not capital markets</x:v>
      </x:c>
      <x:c r="E154" s="31" t="str">
        <x:v>Why investment banking?</x:v>
      </x:c>
      <x:c r="F154" s="31" t="str">
        <x:v>Fit &amp; Motivation</x:v>
      </x:c>
      <x:c r="G154" s="30" t="str">
        <x:v>CL0003</x:v>
      </x:c>
      <x:c r="H154" s="32" t="n">
        <x:f>COUNTIF($G$5:$G$288,G154)</x:f>
        <x:v>34</x:v>
      </x:c>
      <x:c r="I154" s="30" t="str">
        <x:v>C7</x:v>
      </x:c>
      <x:c r="J154" s="31" t="str">
        <x:v>12 April Yu | Tell me about yourself | Give me a broad overview of your cv</x:v>
      </x:c>
    </x:row>
    <x:row r="155" ht="32" customHeight="1">
      <x:c r="A155" s="30" t="str">
        <x:v>QB1266</x:v>
      </x:c>
      <x:c r="B155" s="30" t="str">
        <x:v>Bofa IBD</x:v>
      </x:c>
      <x:c r="C155" s="30" t="str">
        <x:v>IBD / GCM</x:v>
      </x:c>
      <x:c r="D155" s="31" t="str">
        <x:v>Why ibd not pe</x:v>
      </x:c>
      <x:c r="E155" s="31" t="str">
        <x:v>Why investment banking?</x:v>
      </x:c>
      <x:c r="F155" s="31" t="str">
        <x:v>Fit &amp; Motivation</x:v>
      </x:c>
      <x:c r="G155" s="30" t="str">
        <x:v>CL0003</x:v>
      </x:c>
      <x:c r="H155" s="32" t="n">
        <x:f>COUNTIF($G$5:$G$288,G155)</x:f>
        <x:v>34</x:v>
      </x:c>
      <x:c r="I155" s="30" t="str">
        <x:v>C8</x:v>
      </x:c>
      <x:c r="J155" s="31" t="str">
        <x:v>Tell me about yourself | Give me a broad overview of your cv | Why ibd not capital markets</x:v>
      </x:c>
    </x:row>
    <x:row r="156" ht="48" customHeight="1">
      <x:c r="A156" s="30" t="str">
        <x:v>QB1274</x:v>
      </x:c>
      <x:c r="B156" s="30" t="str">
        <x:v>Bofa IBD</x:v>
      </x:c>
      <x:c r="C156" s="30" t="str">
        <x:v>IBD / GCM</x:v>
      </x:c>
      <x:c r="D156" s="31" t="str">
        <x:v>Do u think u can work long hours</x:v>
      </x:c>
      <x:c r="E156" s="31" t="str">
        <x:v>Do u think u can work long hours</x:v>
      </x:c>
      <x:c r="F156" s="31" t="str">
        <x:v>Fit &amp; Motivation</x:v>
      </x:c>
      <x:c r="G156" s="30" t="str">
        <x:v>CL0264</x:v>
      </x:c>
      <x:c r="H156" s="32" t="n">
        <x:f>COUNTIF($G$5:$G$288,G156)</x:f>
        <x:v>1</x:v>
      </x:c>
      <x:c r="I156" s="30" t="str">
        <x:v>C10</x:v>
      </x:c>
      <x:c r="J156" s="31" t="str">
        <x:v>Why ibd not capital markets | Why ibd not pe | What is the difference between private placement and rights issue</x:v>
      </x:c>
    </x:row>
    <x:row r="157" ht="68" customHeight="1">
      <x:c r="A157" s="30" t="str">
        <x:v>QB1289</x:v>
      </x:c>
      <x:c r="B157" s="30" t="str">
        <x:v>Bofa IBD</x:v>
      </x:c>
      <x:c r="C157" s="30" t="str">
        <x:v>IBD / GCM</x:v>
      </x:c>
      <x:c r="D157" s="31" t="str">
        <x:v>Why would company issue debt over equity</x:v>
      </x:c>
      <x:c r="E157" s="31" t="str">
        <x:v>How should a company choose between debt and equity financing?</x:v>
      </x:c>
      <x:c r="F157" s="31" t="str">
        <x:v>Fit &amp; Motivation</x:v>
      </x:c>
      <x:c r="G157" s="30" t="str">
        <x:v>CL0005</x:v>
      </x:c>
      <x:c r="H157" s="32" t="n">
        <x:f>COUNTIF($G$5:$G$288,G157)</x:f>
        <x:v>4</x:v>
      </x:c>
      <x:c r="I157" s="30" t="str">
        <x:v>C16</x:v>
      </x:c>
      <x:c r="J157" s="31" t="str">
        <x:v>18 Kai tang director bofa | What is the market for sell side right now | Considerations between debt and equity in this market, which would you suggest for companies to issue</x:v>
      </x:c>
    </x:row>
    <x:row r="158" ht="68" customHeight="1">
      <x:c r="A158" s="30" t="str">
        <x:v>QB1291</x:v>
      </x:c>
      <x:c r="B158" s="30" t="str">
        <x:v>Bofa IBD</x:v>
      </x:c>
      <x:c r="C158" s="30" t="str">
        <x:v>IBD / GCM</x:v>
      </x:c>
      <x:c r="D158" s="31" t="str">
        <x:v>Why bofa</x:v>
      </x:c>
      <x:c r="E158" s="31" t="str">
        <x:v>Why this firm?</x:v>
      </x:c>
      <x:c r="F158" s="31" t="str">
        <x:v>Fit &amp; Motivation</x:v>
      </x:c>
      <x:c r="G158" s="30" t="str">
        <x:v>CL0002</x:v>
      </x:c>
      <x:c r="H158" s="32" t="n">
        <x:f>COUNTIF($G$5:$G$288,G158)</x:f>
        <x:v>39</x:v>
      </x:c>
      <x:c r="I158" s="30" t="str">
        <x:v>C17</x:v>
      </x:c>
      <x:c r="J158" s="31" t="str">
        <x:v>What is the market for sell side right now | Considerations between debt and equity in this market, which would you suggest for companies to issue | Why would company issue debt over equity</x:v>
      </x:c>
    </x:row>
    <x:row r="159" ht="48" customHeight="1">
      <x:c r="A159" s="30" t="str">
        <x:v>QB1315</x:v>
      </x:c>
      <x:c r="B159" s="30" t="str">
        <x:v>Bofa IBD</x:v>
      </x:c>
      <x:c r="C159" s="30" t="str">
        <x:v>IBD / GCM</x:v>
      </x:c>
      <x:c r="D159" s="31" t="str">
        <x:v>Why did you do HKEX?</x:v>
      </x:c>
      <x:c r="E159" s="31" t="str">
        <x:v>Why did you do HKEX</x:v>
      </x:c>
      <x:c r="F159" s="31" t="str">
        <x:v>Fit &amp; Motivation</x:v>
      </x:c>
      <x:c r="G159" s="30" t="str">
        <x:v>CL1119</x:v>
      </x:c>
      <x:c r="H159" s="32" t="n">
        <x:f>COUNTIF($G$5:$G$288,G159)</x:f>
        <x:v>1</x:v>
      </x:c>
      <x:c r="I159" s="30" t="str">
        <x:v>A32</x:v>
      </x:c>
      <x:c r="J159" s="31" t="str">
        <x:v>Financial instrument taken stock at end of 2022, now 31st Jan 2023, use which value? | 20 Emily Bofa 3rd Interview Sophia | Self Intro</x:v>
      </x:c>
    </x:row>
    <x:row r="160" ht="32" customHeight="1">
      <x:c r="A160" s="30" t="str">
        <x:v>QB1316</x:v>
      </x:c>
      <x:c r="B160" s="30" t="str">
        <x:v>Bofa IBD</x:v>
      </x:c>
      <x:c r="C160" s="30" t="str">
        <x:v>IBD / GCM</x:v>
      </x:c>
      <x:c r="D160" s="31" t="str">
        <x:v>Why did you apply to Bofa IBD, why not stay in equity research and HKEX?</x:v>
      </x:c>
      <x:c r="E160" s="31" t="str">
        <x:v>Why did you apply to Bofa IBD, why not stay in equity research and HKEX</x:v>
      </x:c>
      <x:c r="F160" s="31" t="str">
        <x:v>Fit &amp; Motivation</x:v>
      </x:c>
      <x:c r="G160" s="30" t="str">
        <x:v>CL1118</x:v>
      </x:c>
      <x:c r="H160" s="32" t="n">
        <x:f>COUNTIF($G$5:$G$288,G160)</x:f>
        <x:v>1</x:v>
      </x:c>
      <x:c r="I160" s="30" t="str">
        <x:v>A33</x:v>
      </x:c>
      <x:c r="J160" s="31" t="str">
        <x:v>20 Emily Bofa 3rd Interview Sophia | Self Intro | Why did you do HKEX?</x:v>
      </x:c>
    </x:row>
    <x:row r="161" ht="68" customHeight="1">
      <x:c r="A161" s="30" t="str">
        <x:v>QB1324</x:v>
      </x:c>
      <x:c r="B161" s="30" t="str">
        <x:v>Bofa IBD</x:v>
      </x:c>
      <x:c r="C161" s="30" t="str">
        <x:v>IBD / GCM</x:v>
      </x:c>
      <x:c r="D161" s="31" t="str">
        <x:v>What is VIE, and why would company list like VIE? Pros of VIE?</x:v>
      </x:c>
      <x:c r="E161" s="31" t="str">
        <x:v>What is VIE, and why would company list like VIE? Pros of VIE</x:v>
      </x:c>
      <x:c r="F161" s="31" t="str">
        <x:v>Fit &amp; Motivation</x:v>
      </x:c>
      <x:c r="G161" s="30" t="str">
        <x:v>CL0999</x:v>
      </x:c>
      <x:c r="H161" s="32" t="n">
        <x:f>COUNTIF($G$5:$G$288,G161)</x:f>
        <x:v>1</x:v>
      </x:c>
      <x:c r="I161" s="30" t="str">
        <x:v>A41</x:v>
      </x:c>
      <x:c r="J161" s="31" t="str">
        <x:v>Cost of equity: Risk premium should you include country risk? (bro idk) | Tell me about the different methods china companies can IPO in HK (H shares, Red chip, P share) | (So she is looking for VIE [Variable Interest Entity])</x:v>
      </x:c>
    </x:row>
    <x:row r="162" ht="48" customHeight="1">
      <x:c r="A162" s="30" t="str">
        <x:v>QB1327</x:v>
      </x:c>
      <x:c r="B162" s="30" t="str">
        <x:v>Bofa IBD</x:v>
      </x:c>
      <x:c r="C162" s="30" t="str">
        <x:v>IBD / GCM</x:v>
      </x:c>
      <x:c r="D162" s="31" t="str">
        <x:v>Why IBD, why not equity research?</x:v>
      </x:c>
      <x:c r="E162" s="31" t="str">
        <x:v>Why investment banking?</x:v>
      </x:c>
      <x:c r="F162" s="31" t="str">
        <x:v>Fit &amp; Motivation</x:v>
      </x:c>
      <x:c r="G162" s="30" t="str">
        <x:v>CL0003</x:v>
      </x:c>
      <x:c r="H162" s="32" t="n">
        <x:f>COUNTIF($G$5:$G$288,G162)</x:f>
        <x:v>34</x:v>
      </x:c>
      <x:c r="I162" s="30" t="str">
        <x:v>A45</x:v>
      </x:c>
      <x:c r="J162" s="31" t="str">
        <x:v>What is VIE, and why would company list like VIE? Pros of VIE? | 20 Emily Bofa 4th Interview Henu | Self Intro</x:v>
      </x:c>
    </x:row>
    <x:row r="163" ht="68" customHeight="1">
      <x:c r="A163" s="30" t="str">
        <x:v>QB1332</x:v>
      </x:c>
      <x:c r="B163" s="30" t="str">
        <x:v>Bofa IBD</x:v>
      </x:c>
      <x:c r="C163" s="30" t="str">
        <x:v>IBD / GCM</x:v>
      </x:c>
      <x:c r="D163" s="31" t="str">
        <x:v>Why would you include country risk? Doesn't risk free rate include it already? (fk me why did I say that)</x:v>
      </x:c>
      <x:c r="E163" s="31" t="str">
        <x:v>Why would you include country risk? Doesn't risk free rate include it already? (fk me why did I say that)</x:v>
      </x:c>
      <x:c r="F163" s="31" t="str">
        <x:v>Fit &amp; Motivation</x:v>
      </x:c>
      <x:c r="G163" s="30" t="str">
        <x:v>CL1178</x:v>
      </x:c>
      <x:c r="H163" s="32" t="n">
        <x:f>COUNTIF($G$5:$G$288,G163)</x:f>
        <x:v>1</x:v>
      </x:c>
      <x:c r="I163" s="30" t="str">
        <x:v>A50</x:v>
      </x:c>
      <x:c r="J163" s="31" t="str">
        <x:v>Walk me through how you do DCF | WACC? (actual number + how to get the number, break down of cost of debt and equity) | (I thought I'm smart and say risk premium includes country risk)</x:v>
      </x:c>
    </x:row>
    <x:row r="164" ht="92" customHeight="1">
      <x:c r="A164" s="30" t="str">
        <x:v>QB1334</x:v>
      </x:c>
      <x:c r="B164" s="30" t="str">
        <x:v>Bofa IBD</x:v>
      </x:c>
      <x:c r="C164" s="30" t="str">
        <x:v>IBD / GCM</x:v>
      </x:c>
      <x:c r="D164" s="31" t="str">
        <x:v>Investment accounting (why did i not revise this): company A acquire 30% of a company B with 100 dollars, effect on 3 statement</x:v>
      </x:c>
      <x:c r="E164" s="31" t="str">
        <x:v>Investment accounting (why did i not revise this): company A acquire 30% of a company B with 100 dollars, effect on 3 statement</x:v>
      </x:c>
      <x:c r="F164" s="31" t="str">
        <x:v>Fit &amp; Motivation</x:v>
      </x:c>
      <x:c r="G164" s="30" t="str">
        <x:v>CL0552</x:v>
      </x:c>
      <x:c r="H164" s="32" t="n">
        <x:f>COUNTIF($G$5:$G$288,G164)</x:f>
        <x:v>1</x:v>
      </x:c>
      <x:c r="I164" s="30" t="str">
        <x:v>A52</x:v>
      </x:c>
      <x:c r="J164" s="31" t="str">
        <x:v>(I thought I'm smart and say risk premium includes country risk) | Why would you include country risk? Doesn't risk free rate include it already? (fk me why did I say that) | Is risk free rate truly risk free? For example US investor inv...</x:v>
      </x:c>
    </x:row>
    <x:row r="165" ht="92" customHeight="1">
      <x:c r="A165" s="30" t="str">
        <x:v>QB1335</x:v>
      </x:c>
      <x:c r="B165" s="30" t="str">
        <x:v>Bofa IBD</x:v>
      </x:c>
      <x:c r="C165" s="30" t="str">
        <x:v>IBD / GCM</x:v>
      </x:c>
      <x:c r="D165" s="31" t="str">
        <x:v>Same situation, and company has 100 dollars profit, how is it reflected on company A 3 statement? (damn so the 30 NI is profit after tax no need tax damn)</x:v>
      </x:c>
      <x:c r="E165" s="31" t="str">
        <x:v>Same situation, and company has 100 dollars profit, how is it reflected on company A 3 statement? (damn so the 30 NI is profit after tax no need tax damn)</x:v>
      </x:c>
      <x:c r="F165" s="31" t="str">
        <x:v>Fit &amp; Motivation</x:v>
      </x:c>
      <x:c r="G165" s="30" t="str">
        <x:v>CL0667</x:v>
      </x:c>
      <x:c r="H165" s="32" t="n">
        <x:f>COUNTIF($G$5:$G$288,G165)</x:f>
        <x:v>1</x:v>
      </x:c>
      <x:c r="I165" s="30" t="str">
        <x:v>A53</x:v>
      </x:c>
      <x:c r="J165" s="31" t="str">
        <x:v>Why would you include country risk? Doesn't risk free rate include it already? (fk me why did I say that) | Is risk free rate truly risk free? For example US investor investing in China companies? (wtf use China yield - US yield? i dont ...</x:v>
      </x:c>
    </x:row>
    <x:row r="166" ht="32" customHeight="1">
      <x:c r="A166" s="30" t="str">
        <x:v>QB1340</x:v>
      </x:c>
      <x:c r="B166" s="30" t="str">
        <x:v>Bofa IBD</x:v>
      </x:c>
      <x:c r="C166" s="30" t="str">
        <x:v>IBD / GCM</x:v>
      </x:c>
      <x:c r="D166" s="31" t="str">
        <x:v>What is epee fencing? Why fencing and how did you get started?</x:v>
      </x:c>
      <x:c r="E166" s="31" t="str">
        <x:v>What is epee fencing? Why fencing and how did you get started</x:v>
      </x:c>
      <x:c r="F166" s="31" t="str">
        <x:v>Fit &amp; Motivation</x:v>
      </x:c>
      <x:c r="G166" s="30" t="str">
        <x:v>CL0969</x:v>
      </x:c>
      <x:c r="H166" s="32" t="n">
        <x:f>COUNTIF($G$5:$G$288,G166)</x:f>
        <x:v>1</x:v>
      </x:c>
      <x:c r="I166" s="30" t="str">
        <x:v>A59</x:v>
      </x:c>
      <x:c r="J166" s="31" t="str">
        <x:v>24 5th Interview with Bob | His self intro | My Self intro</x:v>
      </x:c>
    </x:row>
    <x:row r="167" ht="68" customHeight="1">
      <x:c r="A167" s="30" t="str">
        <x:v>QB1342</x:v>
      </x:c>
      <x:c r="B167" s="30" t="str">
        <x:v>Bofa IBD</x:v>
      </x:c>
      <x:c r="C167" s="30" t="str">
        <x:v>IBD / GCM</x:v>
      </x:c>
      <x:c r="D167" s="31" t="str">
        <x:v>Why use EV/EBITDA instead of PE multiple? (he was looking for NI vs EBITDA reasoning)</x:v>
      </x:c>
      <x:c r="E167" s="31" t="str">
        <x:v>Why use EV/EBITDA instead of PE multiple? (he was looking for NI vs EBITDA reasoning)</x:v>
      </x:c>
      <x:c r="F167" s="31" t="str">
        <x:v>Fit &amp; Motivation</x:v>
      </x:c>
      <x:c r="G167" s="30" t="str">
        <x:v>CL1170</x:v>
      </x:c>
      <x:c r="H167" s="32" t="n">
        <x:f>COUNTIF($G$5:$G$288,G167)</x:f>
        <x:v>1</x:v>
      </x:c>
      <x:c r="I167" s="30" t="str">
        <x:v>A61</x:v>
      </x:c>
      <x:c r="J167" s="31" t="str">
        <x:v>My Self intro | What is epee fencing? Why fencing and how did you get started? | Suwen stock initiation: stock pitch, comparable companies how to screen, what multiples you use</x:v>
      </x:c>
    </x:row>
    <x:row r="168" ht="68" customHeight="1">
      <x:c r="A168" s="30" t="str">
        <x:v>QB1343</x:v>
      </x:c>
      <x:c r="B168" s="30" t="str">
        <x:v>Bofa IBD</x:v>
      </x:c>
      <x:c r="C168" s="30" t="str">
        <x:v>IBD / GCM</x:v>
      </x:c>
      <x:c r="D168" s="31" t="str">
        <x:v>Dongwei stock initiation: revenue drivers, top-line CAGR, why such high growth?</x:v>
      </x:c>
      <x:c r="E168" s="31" t="str">
        <x:v>Dongwei stock initiation: revenue drivers, top-line CAGR, why such high growth</x:v>
      </x:c>
      <x:c r="F168" s="31" t="str">
        <x:v>Fit &amp; Motivation</x:v>
      </x:c>
      <x:c r="G168" s="30" t="str">
        <x:v>CL0304</x:v>
      </x:c>
      <x:c r="H168" s="32" t="n">
        <x:f>COUNTIF($G$5:$G$288,G168)</x:f>
        <x:v>1</x:v>
      </x:c>
      <x:c r="I168" s="30" t="str">
        <x:v>A62</x:v>
      </x:c>
      <x:c r="J168" s="31" t="str">
        <x:v>What is epee fencing? Why fencing and how did you get started? | Suwen stock initiation: stock pitch, comparable companies how to screen, what multiples you use | Why use EV/EBITDA instead of PE multiple? (he was looking for NI vs EBITDA...</x:v>
      </x:c>
    </x:row>
    <x:row r="169" ht="68" customHeight="1">
      <x:c r="A169" s="30" t="str">
        <x:v>QB1346</x:v>
      </x:c>
      <x:c r="B169" s="30" t="str">
        <x:v>Bofa IBD</x:v>
      </x:c>
      <x:c r="C169" s="30" t="str">
        <x:v>IBD / GCM</x:v>
      </x:c>
      <x:c r="D169" s="31" t="str">
        <x:v>Why Bofa?</x:v>
      </x:c>
      <x:c r="E169" s="31" t="str">
        <x:v>Why this firm?</x:v>
      </x:c>
      <x:c r="F169" s="31" t="str">
        <x:v>Fit &amp; Motivation</x:v>
      </x:c>
      <x:c r="G169" s="30" t="str">
        <x:v>CL0002</x:v>
      </x:c>
      <x:c r="H169" s="32" t="n">
        <x:f>COUNTIF($G$5:$G$288,G169)</x:f>
        <x:v>39</x:v>
      </x:c>
      <x:c r="I169" s="30" t="str">
        <x:v>A65</x:v>
      </x:c>
      <x:c r="J169" s="31" t="str">
        <x:v>Dongwei stock initiation: revenue drivers, top-line CAGR, why such high growth? | HKEX: what was your responsibility and what did you learn from it? | Preference towards industry group?</x:v>
      </x:c>
    </x:row>
    <x:row r="170" ht="48" customHeight="1">
      <x:c r="A170" s="30" t="str">
        <x:v>QB1355</x:v>
      </x:c>
      <x:c r="B170" s="30" t="str">
        <x:v>Bofa IBD</x:v>
      </x:c>
      <x:c r="C170" s="30" t="str">
        <x:v>IBD / GCM</x:v>
      </x:c>
      <x:c r="D170" s="31" t="str">
        <x:v>Why no return? Did you seek feedback from people you worked with?</x:v>
      </x:c>
      <x:c r="E170" s="31" t="str">
        <x:v>Why no return? Did you seek feedback from people you worked with</x:v>
      </x:c>
      <x:c r="F170" s="31" t="str">
        <x:v>Fit &amp; Motivation</x:v>
      </x:c>
      <x:c r="G170" s="30" t="str">
        <x:v>CL1154</x:v>
      </x:c>
      <x:c r="H170" s="32" t="n">
        <x:f>COUNTIF($G$5:$G$288,G170)</x:f>
        <x:v>1</x:v>
      </x:c>
      <x:c r="I170" s="30" t="str">
        <x:v>C72</x:v>
      </x:c>
      <x:c r="J170" s="31" t="str">
        <x:v>2025 SA Emily | 8 1st Round (By Sam Hsu Asso) | Self Intro and ask bg: where did you grow up in, where is high school, HKU?</x:v>
      </x:c>
    </x:row>
    <x:row r="171" ht="32" customHeight="1">
      <x:c r="A171" s="30" t="str">
        <x:v>QB1356</x:v>
      </x:c>
      <x:c r="B171" s="30" t="str">
        <x:v>Bofa IBD</x:v>
      </x:c>
      <x:c r="C171" s="30" t="str">
        <x:v>IBD / GCM</x:v>
      </x:c>
      <x:c r="D171" s="31" t="str">
        <x:v>Why IBD</x:v>
      </x:c>
      <x:c r="E171" s="31" t="str">
        <x:v>Why investment banking?</x:v>
      </x:c>
      <x:c r="F171" s="31" t="str">
        <x:v>Fit &amp; Motivation</x:v>
      </x:c>
      <x:c r="G171" s="30" t="str">
        <x:v>CL0003</x:v>
      </x:c>
      <x:c r="H171" s="32" t="n">
        <x:f>COUNTIF($G$5:$G$288,G171)</x:f>
        <x:v>34</x:v>
      </x:c>
      <x:c r="I171" s="30" t="str">
        <x:v>A73</x:v>
      </x:c>
      <x:c r="J171" s="31" t="str">
        <x:v>1st Round Jimmy | 8 Andy Shin, M&amp;A | Self intro</x:v>
      </x:c>
    </x:row>
    <x:row r="172" ht="48" customHeight="1">
      <x:c r="A172" s="30" t="str">
        <x:v>QB1362</x:v>
      </x:c>
      <x:c r="B172" s="30" t="str">
        <x:v>Bofa IBD</x:v>
      </x:c>
      <x:c r="C172" s="30" t="str">
        <x:v>IBD / GCM</x:v>
      </x:c>
      <x:c r="D172" s="31" t="str">
        <x:v>Why use EV/EBITDA</x:v>
      </x:c>
      <x:c r="E172" s="31" t="str">
        <x:v>Why use EV/EBITDA</x:v>
      </x:c>
      <x:c r="F172" s="31" t="str">
        <x:v>Fit &amp; Motivation</x:v>
      </x:c>
      <x:c r="G172" s="30" t="str">
        <x:v>CL1168</x:v>
      </x:c>
      <x:c r="H172" s="32" t="n">
        <x:f>COUNTIF($G$5:$G$288,G172)</x:f>
        <x:v>1</x:v>
      </x:c>
      <x:c r="I172" s="30" t="str">
        <x:v>A76</x:v>
      </x:c>
      <x:c r="J172" s="31" t="str">
        <x:v>Why IBD | Tell me about the SEA hospital platform, is it RSD? | What is its valuation, what is your view on it</x:v>
      </x:c>
    </x:row>
    <x:row r="173" ht="48" customHeight="1">
      <x:c r="A173" s="30" t="str">
        <x:v>QB1364</x:v>
      </x:c>
      <x:c r="B173" s="30" t="str">
        <x:v>Bofa IBD</x:v>
      </x:c>
      <x:c r="C173" s="30" t="str">
        <x:v>IBD / GCM</x:v>
      </x:c>
      <x:c r="D173" s="31" t="str">
        <x:v>Why do you think it is a resonable price?</x:v>
      </x:c>
      <x:c r="E173" s="31" t="str">
        <x:v>Why do you think it is a resonable price</x:v>
      </x:c>
      <x:c r="F173" s="31" t="str">
        <x:v>Fit &amp; Motivation</x:v>
      </x:c>
      <x:c r="G173" s="30" t="str">
        <x:v>CL1129</x:v>
      </x:c>
      <x:c r="H173" s="32" t="n">
        <x:f>COUNTIF($G$5:$G$288,G173)</x:f>
        <x:v>1</x:v>
      </x:c>
      <x:c r="I173" s="30" t="str">
        <x:v>A77</x:v>
      </x:c>
      <x:c r="J173" s="31" t="str">
        <x:v>Tell me about the SEA hospital platform, is it RSD? | What is its valuation, what is your view on it | Why use EV/EBITDA</x:v>
      </x:c>
    </x:row>
    <x:row r="174" ht="68" customHeight="1">
      <x:c r="A174" s="30" t="str">
        <x:v>QB1374</x:v>
      </x:c>
      <x:c r="B174" s="30" t="str">
        <x:v>Bofa IBD</x:v>
      </x:c>
      <x:c r="C174" s="30" t="str">
        <x:v>IBD / GCM</x:v>
      </x:c>
      <x:c r="D174" s="31" t="str">
        <x:v>Self Intro, why would you want to work with us?</x:v>
      </x:c>
      <x:c r="E174" s="31" t="str">
        <x:v>Tell me about yourself / walk me through your resume</x:v>
      </x:c>
      <x:c r="F174" s="31" t="str">
        <x:v>Fit &amp; Motivation</x:v>
      </x:c>
      <x:c r="G174" s="30" t="str">
        <x:v>CL0001</x:v>
      </x:c>
      <x:c r="H174" s="32" t="n">
        <x:f>COUNTIF($G$5:$G$288,G174)</x:f>
        <x:v>16</x:v>
      </x:c>
      <x:c r="I174" s="30" t="str">
        <x:v>C83</x:v>
      </x:c>
      <x:c r="J174" s="31" t="str">
        <x:v>More follow up questions | Walk me through impact of dividend and NI of A if A holds 30% of B. How about if A holds 80% of B? (Only qualitative walk through) | 8 2nd Round (By Jenny Jia)</x:v>
      </x:c>
    </x:row>
    <x:row r="175" ht="68" customHeight="1">
      <x:c r="A175" s="30" t="str">
        <x:v>QB1376</x:v>
      </x:c>
      <x:c r="B175" s="30" t="str">
        <x:v>Bofa IBD</x:v>
      </x:c>
      <x:c r="C175" s="30" t="str">
        <x:v>IBD / GCM</x:v>
      </x:c>
      <x:c r="D175" s="31" t="str">
        <x:v>Why no return? What was the feedback you got? What specific techncial skills you lack? What project was it</x:v>
      </x:c>
      <x:c r="E175" s="31" t="str">
        <x:v>Why no return? What was the feedback you got? What specific techncial skills you lack? What project was it</x:v>
      </x:c>
      <x:c r="F175" s="31" t="str">
        <x:v>Fit &amp; Motivation</x:v>
      </x:c>
      <x:c r="G175" s="30" t="str">
        <x:v>CL1155</x:v>
      </x:c>
      <x:c r="H175" s="32" t="n">
        <x:f>COUNTIF($G$5:$G$288,G175)</x:f>
        <x:v>1</x:v>
      </x:c>
      <x:c r="I175" s="30" t="str">
        <x:v>C84</x:v>
      </x:c>
      <x:c r="J175" s="31" t="str">
        <x:v>Walk me through impact of dividend and NI of A if A holds 30% of B. How about if A holds 80% of B? (Only qualitative walk through) | 8 2nd Round (By Jenny Jia) | Self Intro, why would you want to work with us?</x:v>
      </x:c>
    </x:row>
    <x:row r="176" ht="48" customHeight="1">
      <x:c r="A176" s="30" t="str">
        <x:v>QB1385</x:v>
      </x:c>
      <x:c r="B176" s="30" t="str">
        <x:v>Bofa IBD</x:v>
      </x:c>
      <x:c r="C176" s="30" t="str">
        <x:v>IBD / GCM</x:v>
      </x:c>
      <x:c r="D176" s="31" t="str">
        <x:v>Why use EV/EBITDA as the exit multiple metrics and trading comparables?</x:v>
      </x:c>
      <x:c r="E176" s="31" t="str">
        <x:v>Why use EV/EBITDA as the exit multiple metrics and trading comparables</x:v>
      </x:c>
      <x:c r="F176" s="31" t="str">
        <x:v>Fit &amp; Motivation</x:v>
      </x:c>
      <x:c r="G176" s="30" t="str">
        <x:v>CL1169</x:v>
      </x:c>
      <x:c r="H176" s="32" t="n">
        <x:f>COUNTIF($G$5:$G$288,G176)</x:f>
        <x:v>1</x:v>
      </x:c>
      <x:c r="I176" s="30" t="str">
        <x:v>C89</x:v>
      </x:c>
      <x:c r="J176" s="31" t="str">
        <x:v>Walk me through a valuation project you had | Key drivers of the model | Since it is in a developing country, do you think WACC 11% is too low? Why?</x:v>
      </x:c>
    </x:row>
    <x:row r="177" ht="118" customHeight="1">
      <x:c r="A177" s="30" t="str">
        <x:v>QB1387</x:v>
      </x:c>
      <x:c r="B177" s="30" t="str">
        <x:v>Bofa IBD</x:v>
      </x:c>
      <x:c r="C177" s="30" t="str">
        <x:v>IBD / GCM</x:v>
      </x:c>
      <x:c r="D177" s="31" t="str">
        <x:v>BlackRock, do you have return offer, why?</x:v>
      </x:c>
      <x:c r="E177" s="31" t="str">
        <x:v>BlackRock, do you have return offer, why</x:v>
      </x:c>
      <x:c r="F177" s="31" t="str">
        <x:v>Fit &amp; Motivation</x:v>
      </x:c>
      <x:c r="G177" s="30" t="str">
        <x:v>CL0164</x:v>
      </x:c>
      <x:c r="H177" s="32" t="n">
        <x:f>COUNTIF($G$5:$G$288,G177)</x:f>
        <x:v>1</x:v>
      </x:c>
      <x:c r="I177" s="30" t="str">
        <x:v>A91</x:v>
      </x:c>
      <x:c r="J177" s="31" t="str">
        <x:v>How do you project the growth rate for revenues given you brokedown revenue by single client account? | A company has two shareholders, A and B with 50% equity each, and $500 debt with $150 EBITDA. A financial sponsor is buying the compa...</x:v>
      </x:c>
    </x:row>
    <x:row r="178" ht="68" customHeight="1">
      <x:c r="A178" s="30" t="str">
        <x:v>QB1390</x:v>
      </x:c>
      <x:c r="B178" s="30" t="str">
        <x:v>Bofa IBD</x:v>
      </x:c>
      <x:c r="C178" s="30" t="str">
        <x:v>IBD / GCM</x:v>
      </x:c>
      <x:c r="D178" s="31" t="str">
        <x:v>Self intro, why you want to work with us?</x:v>
      </x:c>
      <x:c r="E178" s="31" t="str">
        <x:v>Tell me about yourself / walk me through your resume</x:v>
      </x:c>
      <x:c r="F178" s="31" t="str">
        <x:v>Fit &amp; Motivation</x:v>
      </x:c>
      <x:c r="G178" s="30" t="str">
        <x:v>CL0001</x:v>
      </x:c>
      <x:c r="H178" s="32" t="n">
        <x:f>COUNTIF($G$5:$G$288,G178)</x:f>
        <x:v>16</x:v>
      </x:c>
      <x:c r="I178" s="30" t="str">
        <x:v>C92</x:v>
      </x:c>
      <x:c r="J178" s="31" t="str">
        <x:v>Since it is in a developing country, do you think WACC 11% is too low? Why? | Why use EV/EBITDA as the exit multiple metrics and trading comparables? | 10 3rd Round (By Huang Sun, VP)</x:v>
      </x:c>
    </x:row>
    <x:row r="179" ht="68" customHeight="1">
      <x:c r="A179" s="30" t="str">
        <x:v>QB1396</x:v>
      </x:c>
      <x:c r="B179" s="30" t="str">
        <x:v>Bofa IBD</x:v>
      </x:c>
      <x:c r="C179" s="30" t="str">
        <x:v>IBD / GCM</x:v>
      </x:c>
      <x:c r="D179" s="31" t="str">
        <x:v>Why you picked these competitors? One of these competitor main business isn't just B2B, why choose? Did you adjust EBITDA for that?</x:v>
      </x:c>
      <x:c r="E179" s="31" t="str">
        <x:v>Why you picked these competitors? One of these competitor main business isn't just B2B, why choose? Did you adjust EBITDA for that</x:v>
      </x:c>
      <x:c r="F179" s="31" t="str">
        <x:v>Fit &amp; Motivation</x:v>
      </x:c>
      <x:c r="G179" s="30" t="str">
        <x:v>CL1181</x:v>
      </x:c>
      <x:c r="H179" s="32" t="n">
        <x:f>COUNTIF($G$5:$G$288,G179)</x:f>
        <x:v>1</x:v>
      </x:c>
      <x:c r="I179" s="30" t="str">
        <x:v>C95</x:v>
      </x:c>
      <x:c r="J179" s="31" t="str">
        <x:v>Self intro, why you want to work with us? | (Drill CV) | B2B payment pre ipo: Tell me about industry, investment highlights, how you did trading comps, what are the competitors you chose</x:v>
      </x:c>
    </x:row>
    <x:row r="180" ht="32" customHeight="1">
      <x:c r="A180" s="30" t="str">
        <x:v>QB1409</x:v>
      </x:c>
      <x:c r="B180" s="30" t="str">
        <x:v>Bofa IBD</x:v>
      </x:c>
      <x:c r="C180" s="30" t="str">
        <x:v>IBD / GCM</x:v>
      </x:c>
      <x:c r="D180" s="31" t="str">
        <x:v>Self intro, why you want to work with us?</x:v>
      </x:c>
      <x:c r="E180" s="31" t="str">
        <x:v>Tell me about yourself / walk me through your resume</x:v>
      </x:c>
      <x:c r="F180" s="31" t="str">
        <x:v>Fit &amp; Motivation</x:v>
      </x:c>
      <x:c r="G180" s="30" t="str">
        <x:v>CL0001</x:v>
      </x:c>
      <x:c r="H180" s="32" t="n">
        <x:f>COUNTIF($G$5:$G$288,G180)</x:f>
        <x:v>16</x:v>
      </x:c>
      <x:c r="I180" s="30" t="str">
        <x:v>C102</x:v>
      </x:c>
      <x:c r="J180" s="31" t="str">
        <x:v>Net revenue formula | NPL formula, and what is NPL | 10 4th Round (By Teng Xuan, Director)</x:v>
      </x:c>
    </x:row>
    <x:row r="181" ht="32" customHeight="1">
      <x:c r="A181" s="30" t="str">
        <x:v>QB1426</x:v>
      </x:c>
      <x:c r="B181" s="30" t="str">
        <x:v>Bofa GCM</x:v>
      </x:c>
      <x:c r="C181" s="30" t="str">
        <x:v>IBD / GCM</x:v>
      </x:c>
      <x:c r="D181" s="31" t="str">
        <x:v>Why Bofa &amp; why GCM</x:v>
      </x:c>
      <x:c r="E181" s="31" t="str">
        <x:v>Why this firm?</x:v>
      </x:c>
      <x:c r="F181" s="31" t="str">
        <x:v>Fit &amp; Motivation</x:v>
      </x:c>
      <x:c r="G181" s="30" t="str">
        <x:v>CL0002</x:v>
      </x:c>
      <x:c r="H181" s="32" t="n">
        <x:f>COUNTIF($G$5:$G$288,G181)</x:f>
        <x:v>39</x:v>
      </x:c>
      <x:c r="I181" s="30" t="str">
        <x:v>A4</x:v>
      </x:c>
      <x:c r="J181" s="31" t="str">
        <x:v>2026 SA | DCM Asso | Self-intro</x:v>
      </x:c>
    </x:row>
    <x:row r="182" ht="32" customHeight="1">
      <x:c r="A182" s="30" t="str">
        <x:v>QB1428</x:v>
      </x:c>
      <x:c r="B182" s="30" t="str">
        <x:v>Bofa GCM</x:v>
      </x:c>
      <x:c r="C182" s="30" t="str">
        <x:v>IBD / GCM</x:v>
      </x:c>
      <x:c r="D182" s="31" t="str">
        <x:v>Why GCM? why not other divisions?</x:v>
      </x:c>
      <x:c r="E182" s="31" t="str">
        <x:v>Why global capital markets?</x:v>
      </x:c>
      <x:c r="F182" s="31" t="str">
        <x:v>Fit &amp; Motivation</x:v>
      </x:c>
      <x:c r="G182" s="30" t="str">
        <x:v>CL0009</x:v>
      </x:c>
      <x:c r="H182" s="32" t="n">
        <x:f>COUNTIF($G$5:$G$288,G182)</x:f>
        <x:v>14</x:v>
      </x:c>
      <x:c r="I182" s="30" t="str">
        <x:v>C4</x:v>
      </x:c>
      <x:c r="J182" s="31" t="str">
        <x:v>Equity-linked solution D | Self-intro</x:v>
      </x:c>
    </x:row>
    <x:row r="183" ht="48" customHeight="1">
      <x:c r="A183" s="30" t="str">
        <x:v>QB1445</x:v>
      </x:c>
      <x:c r="B183" s="30" t="str">
        <x:v>Bofa GCM</x:v>
      </x:c>
      <x:c r="C183" s="30" t="str">
        <x:v>IBD / GCM</x:v>
      </x:c>
      <x:c r="D183" s="31" t="str">
        <x:v>compared with tencent, alibaba, why should I buy the one you pitch? its overvalued</x:v>
      </x:c>
      <x:c r="E183" s="31" t="str">
        <x:v>Compared with tencent, alibaba, why should I buy the one you pitch? its overvalued</x:v>
      </x:c>
      <x:c r="F183" s="31" t="str">
        <x:v>Fit &amp; Motivation</x:v>
      </x:c>
      <x:c r="G183" s="30" t="str">
        <x:v>CL0203</x:v>
      </x:c>
      <x:c r="H183" s="32" t="n">
        <x:f>COUNTIF($G$5:$G$288,G183)</x:f>
        <x:v>1</x:v>
      </x:c>
      <x:c r="I183" s="30" t="str">
        <x:v>D8</x:v>
      </x:c>
      <x:c r="J183" s="31" t="str">
        <x:v>NB internship detail, sector I'm working on and investment thesis | ER internship, pitched him a stock I worked on | followup questions on my stock pitch</x:v>
      </x:c>
    </x:row>
    <x:row r="184" ht="68" customHeight="1">
      <x:c r="A184" s="30" t="str">
        <x:v>QB1449</x:v>
      </x:c>
      <x:c r="B184" s="30" t="str">
        <x:v>Bofa GCM</x:v>
      </x:c>
      <x:c r="C184" s="30" t="str">
        <x:v>IBD / GCM</x:v>
      </x:c>
      <x:c r="D184" s="31" t="str">
        <x:v>why i'm interested in GCM</x:v>
      </x:c>
      <x:c r="E184" s="31" t="str">
        <x:v>Why i'm interested in GCM</x:v>
      </x:c>
      <x:c r="F184" s="31" t="str">
        <x:v>Fit &amp; Motivation</x:v>
      </x:c>
      <x:c r="G184" s="30" t="str">
        <x:v>CL1139</x:v>
      </x:c>
      <x:c r="H184" s="32" t="n">
        <x:f>COUNTIF($G$5:$G$288,G184)</x:f>
        <x:v>1</x:v>
      </x:c>
      <x:c r="I184" s="30" t="str">
        <x:v>D9</x:v>
      </x:c>
      <x:c r="J184" s="31" t="str">
        <x:v>ER internship, pitched him a stock I worked on | followup questions on my stock pitch | compared with tencent, alibaba, why should I buy the one you pitch? its overvalued</x:v>
      </x:c>
    </x:row>
    <x:row r="185" ht="32" customHeight="1">
      <x:c r="A185" s="30" t="str">
        <x:v>QB1465</x:v>
      </x:c>
      <x:c r="B185" s="30" t="str">
        <x:v>Bofa GCM</x:v>
      </x:c>
      <x:c r="C185" s="30" t="str">
        <x:v>IBD / GCM</x:v>
      </x:c>
      <x:c r="D185" s="31" t="str">
        <x:v>Why no return</x:v>
      </x:c>
      <x:c r="E185" s="31" t="str">
        <x:v>Why no return</x:v>
      </x:c>
      <x:c r="F185" s="31" t="str">
        <x:v>Fit &amp; Motivation</x:v>
      </x:c>
      <x:c r="G185" s="30" t="str">
        <x:v>CL1152</x:v>
      </x:c>
      <x:c r="H185" s="32" t="n">
        <x:f>COUNTIF($G$5:$G$288,G185)</x:f>
        <x:v>1</x:v>
      </x:c>
      <x:c r="I185" s="30" t="str">
        <x:v>A18</x:v>
      </x:c>
      <x:c r="J185" s="31" t="str">
        <x:v>2026 FT Kari | Lisa Huang - Asso | Self-intro</x:v>
      </x:c>
    </x:row>
    <x:row r="186" ht="68" customHeight="1">
      <x:c r="A186" s="30" t="str">
        <x:v>QB1481</x:v>
      </x:c>
      <x:c r="B186" s="30" t="str">
        <x:v>JPM</x:v>
      </x:c>
      <x:c r="C186" s="30" t="str">
        <x:v>IBD / GCM</x:v>
      </x:c>
      <x:c r="D186" s="31" t="str">
        <x:v>why not law but ibd</x:v>
      </x:c>
      <x:c r="E186" s="31" t="str">
        <x:v>Why not law but ibd</x:v>
      </x:c>
      <x:c r="F186" s="31" t="str">
        <x:v>Fit &amp; Motivation</x:v>
      </x:c>
      <x:c r="G186" s="30" t="str">
        <x:v>CL1157</x:v>
      </x:c>
      <x:c r="H186" s="32" t="n">
        <x:f>COUNTIF($G$5:$G$288,G186)</x:f>
        <x:v>1</x:v>
      </x:c>
      <x:c r="I186" s="30" t="str">
        <x:v>A8</x:v>
      </x:c>
      <x:c r="J186" s="31" t="str">
        <x:v>how did i valuate for AIBC case com | any special considerations shen acquiring a hk-listed company (i bs about premium, she said shes looking into the more practical legal regulations for takeover in hk) | tell me about your work in ody...</x:v>
      </x:c>
    </x:row>
    <x:row r="187" ht="48" customHeight="1">
      <x:c r="A187" s="30" t="str">
        <x:v>QB1503</x:v>
      </x:c>
      <x:c r="B187" s="30" t="str">
        <x:v>JPM</x:v>
      </x:c>
      <x:c r="C187" s="30" t="str">
        <x:v>IBD / GCM</x:v>
      </x:c>
      <x:c r="D187" s="31" t="str">
        <x:v>why is my top preference being m&amp;a and industry coverage</x:v>
      </x:c>
      <x:c r="E187" s="31" t="str">
        <x:v>Why is my top preference being m&amp;a and industry coverage</x:v>
      </x:c>
      <x:c r="F187" s="31" t="str">
        <x:v>Fit &amp; Motivation</x:v>
      </x:c>
      <x:c r="G187" s="30" t="str">
        <x:v>CL1148</x:v>
      </x:c>
      <x:c r="H187" s="32" t="n">
        <x:f>COUNTIF($G$5:$G$288,G187)</x:f>
        <x:v>1</x:v>
      </x:c>
      <x:c r="I187" s="30" t="str">
        <x:v>C21</x:v>
      </x:c>
      <x:c r="J187" s="31" t="str">
        <x:v>self intro | a time when i face conflict in a team | 三個優點三個缺點 (i could only squeeze one good and one bad out)</x:v>
      </x:c>
    </x:row>
    <x:row r="188" ht="92" customHeight="1">
      <x:c r="A188" s="30" t="str">
        <x:v>QB1543</x:v>
      </x:c>
      <x:c r="B188" s="30" t="str">
        <x:v>Grant Samuel</x:v>
      </x:c>
      <x:c r="C188" s="30" t="str">
        <x:v>IBD / GCM</x:v>
      </x:c>
      <x:c r="D188" s="31" t="str">
        <x:v>Did you get any feedback from Lazard? Why didn't you get in?</x:v>
      </x:c>
      <x:c r="E188" s="31" t="str">
        <x:v>Did you get any feedback from Lazard? Why didn't you get in</x:v>
      </x:c>
      <x:c r="F188" s="31" t="str">
        <x:v>Fit &amp; Motivation</x:v>
      </x:c>
      <x:c r="G188" s="30" t="str">
        <x:v>CL0243</x:v>
      </x:c>
      <x:c r="H188" s="32" t="n">
        <x:f>COUNTIF($G$5:$G$288,G188)</x:f>
        <x:v>1</x:v>
      </x:c>
      <x:c r="I188" s="30" t="str">
        <x:v>A19</x:v>
      </x:c>
      <x:c r="J188" s="31" t="str">
        <x:v>e.g. advising on buy side, seller asks for crazy valuation, what is the counter thing, anything u can add to the term sheet? | &gt; in real life, earnout model, divide into phase to unlock, add put option, get liquidity much easier | Tina Z...</x:v>
      </x:c>
    </x:row>
    <x:row r="189" ht="48" customHeight="1">
      <x:c r="A189" s="30" t="str">
        <x:v>QB1563</x:v>
      </x:c>
      <x:c r="B189" s="30" t="str">
        <x:v>Moelis</x:v>
      </x:c>
      <x:c r="C189" s="30" t="str">
        <x:v>IBD / GCM</x:v>
      </x:c>
      <x:c r="D189" s="31" t="str">
        <x:v>Why these multiples?</x:v>
      </x:c>
      <x:c r="E189" s="31" t="str">
        <x:v>Why these multiples</x:v>
      </x:c>
      <x:c r="F189" s="31" t="str">
        <x:v>Fit &amp; Motivation</x:v>
      </x:c>
      <x:c r="G189" s="30" t="str">
        <x:v>CL1166</x:v>
      </x:c>
      <x:c r="H189" s="32" t="n">
        <x:f>COUNTIF($G$5:$G$288,G189)</x:f>
        <x:v>1</x:v>
      </x:c>
      <x:c r="I189" s="30" t="str">
        <x:v>A10</x:v>
      </x:c>
      <x:c r="J189" s="31" t="str">
        <x:v>How did you do the valuation? | How do you choose comps ? | What multiples for comps and any special multiples?</x:v>
      </x:c>
    </x:row>
    <x:row r="190" ht="48" customHeight="1">
      <x:c r="A190" s="30" t="str">
        <x:v>QB1572</x:v>
      </x:c>
      <x:c r="B190" s="30" t="str">
        <x:v>Moelis</x:v>
      </x:c>
      <x:c r="C190" s="30" t="str">
        <x:v>IBD / GCM</x:v>
      </x:c>
      <x:c r="D190" s="31" t="str">
        <x:v>Why Moelis?</x:v>
      </x:c>
      <x:c r="E190" s="31" t="str">
        <x:v>Why this firm?</x:v>
      </x:c>
      <x:c r="F190" s="31" t="str">
        <x:v>Fit &amp; Motivation</x:v>
      </x:c>
      <x:c r="G190" s="30" t="str">
        <x:v>CL0002</x:v>
      </x:c>
      <x:c r="H190" s="32" t="n">
        <x:f>COUNTIF($G$5:$G$288,G190)</x:f>
        <x:v>39</x:v>
      </x:c>
      <x:c r="I190" s="30" t="str">
        <x:v>A20</x:v>
      </x:c>
      <x:c r="J190" s="31" t="str">
        <x:v>2nd interviewer VP Sophia (Metal and mining M&amp;A) | Self intro | Tell me about CPS deal in UBS: responsibilities, investment highlight, DCF assumptions</x:v>
      </x:c>
    </x:row>
    <x:row r="191" ht="48" customHeight="1">
      <x:c r="A191" s="30" t="str">
        <x:v>QB1582</x:v>
      </x:c>
      <x:c r="B191" s="30" t="str">
        <x:v>Moelis</x:v>
      </x:c>
      <x:c r="C191" s="30" t="str">
        <x:v>IBD / GCM</x:v>
      </x:c>
      <x:c r="D191" s="31" t="str">
        <x:v>Why Moelis?</x:v>
      </x:c>
      <x:c r="E191" s="31" t="str">
        <x:v>Why this firm?</x:v>
      </x:c>
      <x:c r="F191" s="31" t="str">
        <x:v>Fit &amp; Motivation</x:v>
      </x:c>
      <x:c r="G191" s="30" t="str">
        <x:v>CL0002</x:v>
      </x:c>
      <x:c r="H191" s="32" t="n">
        <x:f>COUNTIF($G$5:$G$288,G191)</x:f>
        <x:v>39</x:v>
      </x:c>
      <x:c r="I191" s="30" t="str">
        <x:v>A31</x:v>
      </x:c>
      <x:c r="J191" s="31" t="str">
        <x:v>Kevin Kee, Metal and mining, Associate | Self-introduction | Is AMPB a specialized program?</x:v>
      </x:c>
    </x:row>
    <x:row r="192" ht="68" customHeight="1">
      <x:c r="A192" s="30" t="str">
        <x:v>QB1593</x:v>
      </x:c>
      <x:c r="B192" s="30" t="str">
        <x:v>Moelis</x:v>
      </x:c>
      <x:c r="C192" s="30" t="str">
        <x:v>IBD / GCM</x:v>
      </x:c>
      <x:c r="D192" s="31" t="str">
        <x:v>l How did you find WACC? (IDK WHY BUT I JUST REALISED THAT I ANSWERED IN THE WAY OF CALCULATING CAPM KMS so in the end he asked if the company has debt, I said yes, he said oh since I heard that you mentioned about cost of equity)</x:v>
      </x:c>
      <x:c r="E192" s="31" t="str">
        <x:v>How do you calculate WACC?</x:v>
      </x:c>
      <x:c r="F192" s="31" t="str">
        <x:v>Fit &amp; Motivation</x:v>
      </x:c>
      <x:c r="G192" s="30" t="str">
        <x:v>CL0011</x:v>
      </x:c>
      <x:c r="H192" s="32" t="n">
        <x:f>COUNTIF($G$5:$G$288,G192)</x:f>
        <x:v>1</x:v>
      </x:c>
      <x:c r="I192" s="30" t="str">
        <x:v>A53</x:v>
      </x:c>
      <x:c r="J192" s="31" t="str">
        <x:v>l Shared a pitch on a Cambodia-based insurance company -&gt; was surprised that Cambodia has a huge potential in insurance market due to its under penetration rate | i. What do you think are the drivers? | DCF at Gusto Collective</x:v>
      </x:c>
    </x:row>
    <x:row r="193" ht="48" customHeight="1">
      <x:c r="A193" s="30" t="str">
        <x:v>QB1613</x:v>
      </x:c>
      <x:c r="B193" s="30" t="str">
        <x:v>Jefferies</x:v>
      </x:c>
      <x:c r="C193" s="30" t="str">
        <x:v>IBD / GCM</x:v>
      </x:c>
      <x:c r="D193" s="31" t="str">
        <x:v>Why Jefferies?</x:v>
      </x:c>
      <x:c r="E193" s="31" t="str">
        <x:v>Why this firm?</x:v>
      </x:c>
      <x:c r="F193" s="31" t="str">
        <x:v>Fit &amp; Motivation</x:v>
      </x:c>
      <x:c r="G193" s="30" t="str">
        <x:v>CL0002</x:v>
      </x:c>
      <x:c r="H193" s="32" t="n">
        <x:f>COUNTIF($G$5:$G$288,G193)</x:f>
        <x:v>39</x:v>
      </x:c>
      <x:c r="I193" s="30" t="str">
        <x:v>C7</x:v>
      </x:c>
      <x:c r="J193" s="31" t="str">
        <x:v>2nd Interviewer: Lori Li, Industrials | Self-introduction / walk me through your resume | l You did an exchange in PKU?</x:v>
      </x:c>
    </x:row>
    <x:row r="194" ht="48" customHeight="1">
      <x:c r="A194" s="30" t="str">
        <x:v>QB1618</x:v>
      </x:c>
      <x:c r="B194" s="30" t="str">
        <x:v>Jefferies</x:v>
      </x:c>
      <x:c r="C194" s="30" t="str">
        <x:v>IBD / GCM</x:v>
      </x:c>
      <x:c r="D194" s="31" t="str">
        <x:v>l Why do you subtract cash from EV calculation?</x:v>
      </x:c>
      <x:c r="E194" s="31" t="str">
        <x:v>L Why do you subtract cash from EV calculation</x:v>
      </x:c>
      <x:c r="F194" s="31" t="str">
        <x:v>Fit &amp; Motivation</x:v>
      </x:c>
      <x:c r="G194" s="30" t="str">
        <x:v>CL0586</x:v>
      </x:c>
      <x:c r="H194" s="32" t="n">
        <x:f>COUNTIF($G$5:$G$288,G194)</x:f>
        <x:v>1</x:v>
      </x:c>
      <x:c r="I194" s="30" t="str">
        <x:v>A10</x:v>
      </x:c>
      <x:c r="J194" s="31" t="str">
        <x:v>Technicals | l If you are given only two statements, which two will you choose? | l If you are only given one statement, which statement will you look at?</x:v>
      </x:c>
    </x:row>
    <x:row r="195" ht="68" customHeight="1">
      <x:c r="A195" s="30" t="str">
        <x:v>QB1628</x:v>
      </x:c>
      <x:c r="B195" s="30" t="str">
        <x:v>Jefferies</x:v>
      </x:c>
      <x:c r="C195" s="30" t="str">
        <x:v>IBD / GCM</x:v>
      </x:c>
      <x:c r="D195" s="31" t="str">
        <x:v>Trading comps – what are some common multiples used? Why would two companies with same growth profile have different multiples?</x:v>
      </x:c>
      <x:c r="E195" s="31" t="str">
        <x:v>Trading comps – what are some common multiples used? Why would two companies with same growth profile have different multiples</x:v>
      </x:c>
      <x:c r="F195" s="31" t="str">
        <x:v>Fit &amp; Motivation</x:v>
      </x:c>
      <x:c r="G195" s="30" t="str">
        <x:v>CL0798</x:v>
      </x:c>
      <x:c r="H195" s="32" t="n">
        <x:f>COUNTIF($G$5:$G$288,G195)</x:f>
        <x:v>1</x:v>
      </x:c>
      <x:c r="I195" s="30" t="str">
        <x:v>A15</x:v>
      </x:c>
      <x:c r="J195" s="31" t="str">
        <x:v>i. Briefly explain/introduce the three valuation methodologies | ii. Follow-up | DCF – what CF are you using (UFCF or LFCF)? What are the two ways to find the terminal value? What’s the discount rate used in DCF?</x:v>
      </x:c>
    </x:row>
    <x:row r="196" ht="92" customHeight="1">
      <x:c r="A196" s="30" t="str">
        <x:v>QB1632</x:v>
      </x:c>
      <x:c r="B196" s="30" t="str">
        <x:v>Jefferies</x:v>
      </x:c>
      <x:c r="C196" s="30" t="str">
        <x:v>IBD / GCM</x:v>
      </x:c>
      <x:c r="D196" s="31" t="str">
        <x:v>l Why would a company issue debt over equity? Why would a company issue equity over debt?</x:v>
      </x:c>
      <x:c r="E196" s="31" t="str">
        <x:v>How should a company choose between debt and equity financing?</x:v>
      </x:c>
      <x:c r="F196" s="31" t="str">
        <x:v>Fit &amp; Motivation</x:v>
      </x:c>
      <x:c r="G196" s="30" t="str">
        <x:v>CL0005</x:v>
      </x:c>
      <x:c r="H196" s="32" t="n">
        <x:f>COUNTIF($G$5:$G$288,G196)</x:f>
        <x:v>4</x:v>
      </x:c>
      <x:c r="I196" s="30" t="str">
        <x:v>A17</x:v>
      </x:c>
      <x:c r="J196" s="31" t="str">
        <x:v>DCF – what CF are you using (UFCF or LFCF)? What are the two ways to find the terminal value? What’s the discount rate used in DCF? | Trading comps – what are some common multiples used? Why would two companies with same growth profile h...</x:v>
      </x:c>
    </x:row>
    <x:row r="197" ht="92" customHeight="1">
      <x:c r="A197" s="30" t="str">
        <x:v>QB1642</x:v>
      </x:c>
      <x:c r="B197" s="30" t="str">
        <x:v>Jefferies</x:v>
      </x:c>
      <x:c r="C197" s="30" t="str">
        <x:v>IBD / GCM</x:v>
      </x:c>
      <x:c r="D197" s="31" t="str">
        <x:v>Do you speak Mandarin? Use Mandarin to answer – if you are given a superpower, what do you want it to be?</x:v>
      </x:c>
      <x:c r="E197" s="31" t="str">
        <x:v>Do you speak Mandarin? Use Mandarin to answer – if you are given a superpower, what do you want it to be</x:v>
      </x:c>
      <x:c r="F197" s="31" t="str">
        <x:v>Fit &amp; Motivation</x:v>
      </x:c>
      <x:c r="G197" s="30" t="str">
        <x:v>CL0290</x:v>
      </x:c>
      <x:c r="H197" s="32" t="n">
        <x:f>COUNTIF($G$5:$G$288,G197)</x:f>
        <x:v>1</x:v>
      </x:c>
      <x:c r="I197" s="30" t="str">
        <x:v>C22</x:v>
      </x:c>
      <x:c r="J197" s="31" t="str">
        <x:v>HK market – bear market, what do you think about the HK market in the future? | Did you follow the news yesterday – US election? Do you know how the market movement went after that? | Given the situation, how do you think it will affect ...</x:v>
      </x:c>
    </x:row>
    <x:row r="198" ht="48" customHeight="1">
      <x:c r="A198" s="30" t="str">
        <x:v>QB1660</x:v>
      </x:c>
      <x:c r="B198" s="30" t="str">
        <x:v>Jefferies</x:v>
      </x:c>
      <x:c r="C198" s="30" t="str">
        <x:v>IBD / GCM</x:v>
      </x:c>
      <x:c r="D198" s="31" t="str">
        <x:v>l Why Jefferies? Vs BNP?</x:v>
      </x:c>
      <x:c r="E198" s="31" t="str">
        <x:v>L Why Jefferies? Vs BNP</x:v>
      </x:c>
      <x:c r="F198" s="31" t="str">
        <x:v>Fit &amp; Motivation</x:v>
      </x:c>
      <x:c r="G198" s="30" t="str">
        <x:v>CL0587</x:v>
      </x:c>
      <x:c r="H198" s="32" t="n">
        <x:f>COUNTIF($G$5:$G$288,G198)</x:f>
        <x:v>1</x:v>
      </x:c>
      <x:c r="I198" s="30" t="str">
        <x:v>A35</x:v>
      </x:c>
      <x:c r="J198" s="31" t="str">
        <x:v>1st Interviewer: Philip Li, Head of HK Investment Banking, Consumer Retail | l Self-introduction | l Does BNP have return?</x:v>
      </x:c>
    </x:row>
    <x:row r="199" ht="92" customHeight="1">
      <x:c r="A199" s="30" t="str">
        <x:v>QB1709</x:v>
      </x:c>
      <x:c r="B199" s="30" t="str">
        <x:v>BNP Paribas</x:v>
      </x:c>
      <x:c r="C199" s="30" t="str">
        <x:v>IBD / GCM</x:v>
      </x:c>
      <x:c r="D199" s="31" t="str">
        <x:v>Use Mandarin to talk about the market for 2 minutes</x:v>
      </x:c>
      <x:c r="E199" s="31" t="str">
        <x:v>Use Mandarin to talk about the market for 2 minutes</x:v>
      </x:c>
      <x:c r="F199" s="31" t="str">
        <x:v>Fit &amp; Motivation</x:v>
      </x:c>
      <x:c r="G199" s="30" t="str">
        <x:v>CL0810</x:v>
      </x:c>
      <x:c r="H199" s="32" t="n">
        <x:f>COUNTIF($G$5:$G$288,G199)</x:f>
        <x:v>1</x:v>
      </x:c>
      <x:c r="I199" s="30" t="str">
        <x:v>C10</x:v>
      </x:c>
      <x:c r="J199" s="31" t="str">
        <x:v>If you're lending money to an individual, what do you need to do during due diligence | Since you mentioned about doing dd on their assets, what kind of assets | e.g. if the client has one property in HK, one in London, and just bought o...</x:v>
      </x:c>
    </x:row>
    <x:row r="200" ht="48" customHeight="1">
      <x:c r="A200" s="30" t="str">
        <x:v>QB1732</x:v>
      </x:c>
      <x:c r="B200" s="30" t="str">
        <x:v>BNP Paribas</x:v>
      </x:c>
      <x:c r="C200" s="30" t="str">
        <x:v>IBD / GCM</x:v>
      </x:c>
      <x:c r="D200" s="31" t="str">
        <x:v>My insights into the TMT industry and why I chose TMT (I originally worked primarily in pharmaceuticals).</x:v>
      </x:c>
      <x:c r="E200" s="31" t="str">
        <x:v>My insights into the TMT industry and why I chose TMT (I originally worked primarily in pharmaceuticals)</x:v>
      </x:c>
      <x:c r="F200" s="31" t="str">
        <x:v>Fit &amp; Motivation</x:v>
      </x:c>
      <x:c r="G200" s="30" t="str">
        <x:v>CL0039</x:v>
      </x:c>
      <x:c r="H200" s="32" t="n">
        <x:f>COUNTIF($G$5:$G$288,G200)</x:f>
        <x:v>2</x:v>
      </x:c>
      <x:c r="I200" s="30" t="str">
        <x:v>A18</x:v>
      </x:c>
      <x:c r="J200" s="31" t="str">
        <x:v>Jim | first interviewer - Doris, a kind graduate from HKU with experience in Tencent | The main focus was on asking questions about the resume.</x:v>
      </x:c>
    </x:row>
    <x:row r="201" ht="92" customHeight="1">
      <x:c r="A201" s="30" t="str">
        <x:v>QB1744</x:v>
      </x:c>
      <x:c r="B201" s="30" t="str">
        <x:v>BNP Paribas</x:v>
      </x:c>
      <x:c r="C201" s="30" t="str">
        <x:v>IBD / GCM</x:v>
      </x:c>
      <x:c r="D201" s="31" t="str">
        <x:v>Motivational questioning, because I haven't done an IBD internship.</x:v>
      </x:c>
      <x:c r="E201" s="31" t="str">
        <x:v>Motivational questioning, because I haven't done an IBD internship</x:v>
      </x:c>
      <x:c r="F201" s="31" t="str">
        <x:v>Fit &amp; Motivation</x:v>
      </x:c>
      <x:c r="G201" s="30" t="str">
        <x:v>CL0038</x:v>
      </x:c>
      <x:c r="H201" s="32" t="n">
        <x:f>COUNTIF($G$5:$G$288,G201)</x:f>
        <x:v>2</x:v>
      </x:c>
      <x:c r="I201" s="30" t="str">
        <x:v>C22</x:v>
      </x:c>
      <x:c r="J201" s="31" t="str">
        <x:v>How exactly do you apply the comparable company valuation method (this could be in the technology industry, or it could be an industry you've worked in before)? | A rather rough comparison between various valuation methods | They are int...</x:v>
      </x:c>
    </x:row>
    <x:row r="202" ht="92" customHeight="1">
      <x:c r="A202" s="30" t="str">
        <x:v>QB1746</x:v>
      </x:c>
      <x:c r="B202" s="30" t="str">
        <x:v>BNP Paribas</x:v>
      </x:c>
      <x:c r="C202" s="30" t="str">
        <x:v>IBD / GCM</x:v>
      </x:c>
      <x:c r="D202" s="31" t="str">
        <x:v>Motivational questioning, because I haven't done an IBD internship.</x:v>
      </x:c>
      <x:c r="E202" s="31" t="str">
        <x:v>Motivational questioning, because I haven't done an IBD internship</x:v>
      </x:c>
      <x:c r="F202" s="31" t="str">
        <x:v>Fit &amp; Motivation</x:v>
      </x:c>
      <x:c r="G202" s="30" t="str">
        <x:v>CL0038</x:v>
      </x:c>
      <x:c r="H202" s="32" t="n">
        <x:f>COUNTIF($G$5:$G$288,G202)</x:f>
        <x:v>2</x:v>
      </x:c>
      <x:c r="I202" s="30" t="str">
        <x:v>A23</x:v>
      </x:c>
      <x:c r="J202" s="31" t="str">
        <x:v>Formulas for some basic indicators, such as ROE and price-to-earnings ratio. | They'll ask some questions about industries I've worked in before; mine was the stablecoin industry, but not in great depth. | A detailed breakdown of WACC, d...</x:v>
      </x:c>
    </x:row>
    <x:row r="203" ht="48" customHeight="1">
      <x:c r="A203" s="30" t="str">
        <x:v>QB1755</x:v>
      </x:c>
      <x:c r="B203" s="30" t="str">
        <x:v>BNP Paribas</x:v>
      </x:c>
      <x:c r="C203" s="30" t="str">
        <x:v>IBD / GCM</x:v>
      </x:c>
      <x:c r="D203" s="31" t="str">
        <x:v>My insights into the TMT industry and why I chose TMT (I originally worked primarily in pharmaceuticals).</x:v>
      </x:c>
      <x:c r="E203" s="31" t="str">
        <x:v>My insights into the TMT industry and why I chose TMT (I originally worked primarily in pharmaceuticals)</x:v>
      </x:c>
      <x:c r="F203" s="31" t="str">
        <x:v>Fit &amp; Motivation</x:v>
      </x:c>
      <x:c r="G203" s="30" t="str">
        <x:v>CL0039</x:v>
      </x:c>
      <x:c r="H203" s="32" t="n">
        <x:f>COUNTIF($G$5:$G$288,G203)</x:f>
        <x:v>2</x:v>
      </x:c>
      <x:c r="I203" s="30" t="str">
        <x:v>C26</x:v>
      </x:c>
      <x:c r="J203" s="31" t="str">
        <x:v>DCF | The specific contents of an Offering Memorandum | What is the process of a typical Sell-side M&amp;A deal</x:v>
      </x:c>
    </x:row>
    <x:row r="204" ht="48" customHeight="1">
      <x:c r="A204" s="30" t="str">
        <x:v>QB1773</x:v>
      </x:c>
      <x:c r="B204" s="30" t="str">
        <x:v>BNP Paribas</x:v>
      </x:c>
      <x:c r="C204" s="30" t="str">
        <x:v>IBD / GCM</x:v>
      </x:c>
      <x:c r="D204" s="31" t="str">
        <x:v>most of your experience is IPO-related — why M&amp;A?</x:v>
      </x:c>
      <x:c r="E204" s="31" t="str">
        <x:v>Most of your experience is IPO-related — why M&amp;A</x:v>
      </x:c>
      <x:c r="F204" s="31" t="str">
        <x:v>Fit &amp; Motivation</x:v>
      </x:c>
      <x:c r="G204" s="30" t="str">
        <x:v>CL0609</x:v>
      </x:c>
      <x:c r="H204" s="32" t="n">
        <x:f>COUNTIF($G$5:$G$288,G204)</x:f>
        <x:v>1</x:v>
      </x:c>
      <x:c r="I204" s="30" t="str">
        <x:v>C37</x:v>
      </x:c>
      <x:c r="J204" s="31" t="str">
        <x:v>Asso (English + Mandarin) | What did you do in the M&amp;A precedent transaction research? The purpose? | Different ways of privatisation?</x:v>
      </x:c>
    </x:row>
    <x:row r="205" ht="32" customHeight="1">
      <x:c r="A205" s="30" t="str">
        <x:v>QB1819</x:v>
      </x:c>
      <x:c r="B205" s="30" t="str">
        <x:v>HSBC</x:v>
      </x:c>
      <x:c r="C205" s="30" t="str">
        <x:v>IBD / GCM</x:v>
      </x:c>
      <x:c r="D205" s="31" t="str">
        <x:v>Why IBD</x:v>
      </x:c>
      <x:c r="E205" s="31" t="str">
        <x:v>Why investment banking?</x:v>
      </x:c>
      <x:c r="F205" s="31" t="str">
        <x:v>Fit &amp; Motivation</x:v>
      </x:c>
      <x:c r="G205" s="30" t="str">
        <x:v>CL0003</x:v>
      </x:c>
      <x:c r="H205" s="32" t="n">
        <x:f>COUNTIF($G$5:$G$288,G205)</x:f>
        <x:v>34</x:v>
      </x:c>
      <x:c r="I205" s="30" t="str">
        <x:v>C8</x:v>
      </x:c>
      <x:c r="J205" s="31" t="str">
        <x:v>Delphine Lee (DCM) | How to pronounce your name | Chit Chat</x:v>
      </x:c>
    </x:row>
    <x:row r="206" ht="32" customHeight="1">
      <x:c r="A206" s="30" t="str">
        <x:v>QB1830</x:v>
      </x:c>
      <x:c r="B206" s="30" t="str">
        <x:v>HSBC</x:v>
      </x:c>
      <x:c r="C206" s="30" t="str">
        <x:v>IBD / GCM</x:v>
      </x:c>
      <x:c r="D206" s="31" t="str">
        <x:v>Why is debt cheaper</x:v>
      </x:c>
      <x:c r="E206" s="31" t="str">
        <x:v>Why is debt cheaper</x:v>
      </x:c>
      <x:c r="F206" s="31" t="str">
        <x:v>Fit &amp; Motivation</x:v>
      </x:c>
      <x:c r="G206" s="30" t="str">
        <x:v>CL1143</x:v>
      </x:c>
      <x:c r="H206" s="32" t="n">
        <x:f>COUNTIF($G$5:$G$288,G206)</x:f>
        <x:v>1</x:v>
      </x:c>
      <x:c r="I206" s="30" t="str">
        <x:v>A12</x:v>
      </x:c>
      <x:c r="J206" s="31" t="str">
        <x:v>Chit Chat | Impact of Israel-Hamas War on M&amp;A deals | Debt vs Equity</x:v>
      </x:c>
    </x:row>
    <x:row r="207" ht="118" customHeight="1">
      <x:c r="A207" s="30" t="str">
        <x:v>QB1832</x:v>
      </x:c>
      <x:c r="B207" s="30" t="str">
        <x:v>HSBC</x:v>
      </x:c>
      <x:c r="C207" s="30" t="str">
        <x:v>IBD / GCM</x:v>
      </x:c>
      <x:c r="D207" s="31" t="str">
        <x:v>why do u need to include preferred stock in enterprise value</x:v>
      </x:c>
      <x:c r="E207" s="31" t="str">
        <x:v>Why do u need to include preferred stock in enterprise value</x:v>
      </x:c>
      <x:c r="F207" s="31" t="str">
        <x:v>Fit &amp; Motivation</x:v>
      </x:c>
      <x:c r="G207" s="30" t="str">
        <x:v>CL1126</x:v>
      </x:c>
      <x:c r="H207" s="32" t="n">
        <x:f>COUNTIF($G$5:$G$288,G207)</x:f>
        <x:v>1</x:v>
      </x:c>
      <x:c r="I207" s="30" t="str">
        <x:v>E12</x:v>
      </x:c>
      <x:c r="J207" s="31" t="str">
        <x:v>Brain teaser: 100 balls, 50 black and 50 white, how would you put them into two baskets (in any way u want) to maximize the probability to get a black ball | Brain teaser: 3 boxes with fruits inside, 1 labelled as banana, 1 strawberries,...</x:v>
      </x:c>
    </x:row>
    <x:row r="208" ht="48" customHeight="1">
      <x:c r="A208" s="30" t="str">
        <x:v>QB1853</x:v>
      </x:c>
      <x:c r="B208" s="30" t="str">
        <x:v>HSBC</x:v>
      </x:c>
      <x:c r="C208" s="30" t="str">
        <x:v>IBD / GCM</x:v>
      </x:c>
      <x:c r="D208" s="31" t="str">
        <x:v>why did you only do a 5-year projection model but not a 10-year one</x:v>
      </x:c>
      <x:c r="E208" s="31" t="str">
        <x:v>Why did you only do a 5-year projection model but not a 10-year one</x:v>
      </x:c>
      <x:c r="F208" s="31" t="str">
        <x:v>Fit &amp; Motivation</x:v>
      </x:c>
      <x:c r="G208" s="30" t="str">
        <x:v>CL1121</x:v>
      </x:c>
      <x:c r="H208" s="32" t="n">
        <x:f>COUNTIF($G$5:$G$288,G208)</x:f>
        <x:v>1</x:v>
      </x:c>
      <x:c r="I208" s="30" t="str">
        <x:v>E19</x:v>
      </x:c>
      <x:c r="J208" s="31" t="str">
        <x:v>what companies did you use for comparables analysis | what was the industry multiple | do you think it's directly comparable (cuz i used big companies)</x:v>
      </x:c>
    </x:row>
    <x:row r="209" ht="68" customHeight="1">
      <x:c r="A209" s="30" t="str">
        <x:v>QB1866</x:v>
      </x:c>
      <x:c r="B209" s="30" t="str">
        <x:v>HSBC</x:v>
      </x:c>
      <x:c r="C209" s="30" t="str">
        <x:v>IBD / GCM</x:v>
      </x:c>
      <x:c r="D209" s="31" t="str">
        <x:v>Why IBD</x:v>
      </x:c>
      <x:c r="E209" s="31" t="str">
        <x:v>Why investment banking?</x:v>
      </x:c>
      <x:c r="F209" s="31" t="str">
        <x:v>Fit &amp; Motivation</x:v>
      </x:c>
      <x:c r="G209" s="30" t="str">
        <x:v>CL0003</x:v>
      </x:c>
      <x:c r="H209" s="32" t="n">
        <x:f>COUNTIF($G$5:$G$288,G209)</x:f>
        <x:v>34</x:v>
      </x:c>
      <x:c r="I209" s="30" t="str">
        <x:v>A24</x:v>
      </x:c>
      <x:c r="J209" s="31" t="str">
        <x:v>(i said tighter credit policies) we have some credit analysts over there ill check with them | what companies did you use for the comparable analysis at XXXX | something about CV but i dont remember</x:v>
      </x:c>
    </x:row>
    <x:row r="210" ht="32" customHeight="1">
      <x:c r="A210" s="30" t="str">
        <x:v>QB1877</x:v>
      </x:c>
      <x:c r="B210" s="30" t="str">
        <x:v>HSBC</x:v>
      </x:c>
      <x:c r="C210" s="30" t="str">
        <x:v>IBD / GCM</x:v>
      </x:c>
      <x:c r="D210" s="31" t="str">
        <x:v>what did ibd do and why ibd;</x:v>
      </x:c>
      <x:c r="E210" s="31" t="str">
        <x:v>Why investment banking?</x:v>
      </x:c>
      <x:c r="F210" s="31" t="str">
        <x:v>Fit &amp; Motivation</x:v>
      </x:c>
      <x:c r="G210" s="30" t="str">
        <x:v>CL0003</x:v>
      </x:c>
      <x:c r="H210" s="32" t="n">
        <x:f>COUNTIF($G$5:$G$288,G210)</x:f>
        <x:v>34</x:v>
      </x:c>
      <x:c r="I210" s="30" t="str">
        <x:v>A34</x:v>
      </x:c>
      <x:c r="J210" s="31" t="str">
        <x:v>2025 SA | Kari - Round 1 10/22 (Shirley Lai, VP) | intro；</x:v>
      </x:c>
    </x:row>
    <x:row r="211" ht="68" customHeight="1">
      <x:c r="A211" s="30" t="str">
        <x:v>QB1901</x:v>
      </x:c>
      <x:c r="B211" s="30" t="str">
        <x:v>Lazard</x:v>
      </x:c>
      <x:c r="C211" s="30" t="str">
        <x:v>IBD / GCM</x:v>
      </x:c>
      <x:c r="D211" s="31" t="str">
        <x:v>Why we can use book value since book value differs a lot from market value?</x:v>
      </x:c>
      <x:c r="E211" s="31" t="str">
        <x:v>Why we can use book value since book value differs a lot from market value</x:v>
      </x:c>
      <x:c r="F211" s="31" t="str">
        <x:v>Fit &amp; Motivation</x:v>
      </x:c>
      <x:c r="G211" s="30" t="str">
        <x:v>CL1174</x:v>
      </x:c>
      <x:c r="H211" s="32" t="n">
        <x:f>COUNTIF($G$5:$G$288,G211)</x:f>
        <x:v>1</x:v>
      </x:c>
      <x:c r="I211" s="30" t="str">
        <x:v>A10</x:v>
      </x:c>
      <x:c r="J211" s="31" t="str">
        <x:v>Walk me through DCF and WACC for formula | Buying intangible asset counted as CAPEX? | For private company, what equity value should we use when calculating its enterprise value / % of equity when calculating WACC?</x:v>
      </x:c>
    </x:row>
    <x:row r="212" ht="32" customHeight="1">
      <x:c r="A212" s="30" t="str">
        <x:v>QB1910</x:v>
      </x:c>
      <x:c r="B212" s="30" t="str">
        <x:v>Lazard</x:v>
      </x:c>
      <x:c r="C212" s="30" t="str">
        <x:v>IBD / GCM</x:v>
      </x:c>
      <x:c r="D212" s="31" t="str">
        <x:v>Why CPS vs debt or common equity?</x:v>
      </x:c>
      <x:c r="E212" s="31" t="str">
        <x:v>How should a company choose between debt and equity financing?</x:v>
      </x:c>
      <x:c r="F212" s="31" t="str">
        <x:v>Fit &amp; Motivation</x:v>
      </x:c>
      <x:c r="G212" s="30" t="str">
        <x:v>CL0005</x:v>
      </x:c>
      <x:c r="H212" s="32" t="n">
        <x:f>COUNTIF($G$5:$G$288,G212)</x:f>
        <x:v>4</x:v>
      </x:c>
      <x:c r="I212" s="30" t="str">
        <x:v>A15</x:v>
      </x:c>
      <x:c r="J212" s="31" t="str">
        <x:v>2nd interview | Self intro | Major responsibilities in deal, company and industry overview</x:v>
      </x:c>
    </x:row>
    <x:row r="213" ht="68" customHeight="1">
      <x:c r="A213" s="30" t="str">
        <x:v>QB1929</x:v>
      </x:c>
      <x:c r="B213" s="30" t="str">
        <x:v>Lazard</x:v>
      </x:c>
      <x:c r="C213" s="30" t="str">
        <x:v>IBD / GCM</x:v>
      </x:c>
      <x:c r="D213" s="31" t="str">
        <x:v>Why use the EV/Rev not EBITDA</x:v>
      </x:c>
      <x:c r="E213" s="31" t="str">
        <x:v>Why use the EV/Rev not EBITDA</x:v>
      </x:c>
      <x:c r="F213" s="31" t="str">
        <x:v>Fit &amp; Motivation</x:v>
      </x:c>
      <x:c r="G213" s="30" t="str">
        <x:v>CL1171</x:v>
      </x:c>
      <x:c r="H213" s="32" t="n">
        <x:f>COUNTIF($G$5:$G$288,G213)</x:f>
        <x:v>1</x:v>
      </x:c>
      <x:c r="I213" s="30" t="str">
        <x:v>C25</x:v>
      </x:c>
      <x:c r="J213" s="31" t="str">
        <x:v>What is the part of IBD work that I love the most and hate the most | % of working on live deals and % of working on regular works | What was the team structure of my previous firm like, do I engage with overseas team as well?</x:v>
      </x:c>
    </x:row>
    <x:row r="214" ht="68" customHeight="1">
      <x:c r="A214" s="30" t="str">
        <x:v>QB1932</x:v>
      </x:c>
      <x:c r="B214" s="30" t="str">
        <x:v>Lazard</x:v>
      </x:c>
      <x:c r="C214" s="30" t="str">
        <x:v>IBD / GCM</x:v>
      </x:c>
      <x:c r="D214" s="31" t="str">
        <x:v>(Aside from the self introduction part, it was conducted in full Mandarin)</x:v>
      </x:c>
      <x:c r="E214" s="31" t="str">
        <x:v>Tell me about yourself / walk me through your resume</x:v>
      </x:c>
      <x:c r="F214" s="31" t="str">
        <x:v>Fit &amp; Motivation</x:v>
      </x:c>
      <x:c r="G214" s="30" t="str">
        <x:v>CL0001</x:v>
      </x:c>
      <x:c r="H214" s="32" t="n">
        <x:f>COUNTIF($G$5:$G$288,G214)</x:f>
        <x:v>16</x:v>
      </x:c>
      <x:c r="I214" s="30" t="str">
        <x:v>A30</x:v>
      </x:c>
      <x:c r="J214" s="31" t="str">
        <x:v>Which business segment has the highest CAPEX? Does not make sense for the EPC segment to have CAPEX, what kind of CAPEX? | 2025 Summer - Beata | 1st Interview - Michael</x:v>
      </x:c>
    </x:row>
    <x:row r="215" ht="68" customHeight="1">
      <x:c r="A215" s="30" t="str">
        <x:v>QB1959</x:v>
      </x:c>
      <x:c r="B215" s="30" t="str">
        <x:v>Lazard</x:v>
      </x:c>
      <x:c r="C215" s="30" t="str">
        <x:v>IBD / GCM</x:v>
      </x:c>
      <x:c r="D215" s="31" t="str">
        <x:v>For a PE, do you think "strategic fit" still matters?</x:v>
      </x:c>
      <x:c r="E215" s="31" t="str">
        <x:v>For a PE, do you think "strategic fit" still matters</x:v>
      </x:c>
      <x:c r="F215" s="31" t="str">
        <x:v>Fit &amp; Motivation</x:v>
      </x:c>
      <x:c r="G215" s="30" t="str">
        <x:v>CL0327</x:v>
      </x:c>
      <x:c r="H215" s="32" t="n">
        <x:f>COUNTIF($G$5:$G$288,G215)</x:f>
        <x:v>1</x:v>
      </x:c>
      <x:c r="I215" s="30" t="str">
        <x:v>A59</x:v>
      </x:c>
      <x:c r="J215" s="31" t="str">
        <x:v>Does buying intangible assets count as CAPEX? (think it's a must-ask question for this interviewer lol, my friends also got the same question) | Factors to consider when buying a company | Follow up: which one do you think is the most im...</x:v>
      </x:c>
    </x:row>
    <x:row r="216" ht="48" customHeight="1">
      <x:c r="A216" s="30" t="str">
        <x:v>QB1982</x:v>
      </x:c>
      <x:c r="B216" s="30" t="str">
        <x:v>Lazard</x:v>
      </x:c>
      <x:c r="C216" s="30" t="str">
        <x:v>IBD / GCM</x:v>
      </x:c>
      <x:c r="D216" s="31" t="str">
        <x:v>Why M&amp;A</x:v>
      </x:c>
      <x:c r="E216" s="31" t="str">
        <x:v>Why M&amp;A</x:v>
      </x:c>
      <x:c r="F216" s="31" t="str">
        <x:v>Fit &amp; Motivation</x:v>
      </x:c>
      <x:c r="G216" s="30" t="str">
        <x:v>CL0051</x:v>
      </x:c>
      <x:c r="H216" s="32" t="n">
        <x:f>COUNTIF($G$5:$G$288,G216)</x:f>
        <x:v>2</x:v>
      </x:c>
      <x:c r="I216" s="30" t="str">
        <x:v>A85</x:v>
      </x:c>
      <x:c r="J216" s="31" t="str">
        <x:v>6th Interview - CEO of Greater China | (Condcuted in full Mandarin) | What's your role in BNP Parbias/ what did you do (like your role, no need to be in detail)</x:v>
      </x:c>
    </x:row>
    <x:row r="217" ht="32" customHeight="1">
      <x:c r="A217" s="30" t="str">
        <x:v>QB1991</x:v>
      </x:c>
      <x:c r="B217" s="30" t="str">
        <x:v>Greenhill</x:v>
      </x:c>
      <x:c r="C217" s="30" t="str">
        <x:v>IBD / GCM</x:v>
      </x:c>
      <x:c r="D217" s="31" t="str">
        <x:v>Why is cost of debt always lower than cost of equity</x:v>
      </x:c>
      <x:c r="E217" s="31" t="str">
        <x:v>How should a company choose between debt and equity financing?</x:v>
      </x:c>
      <x:c r="F217" s="31" t="str">
        <x:v>Fit &amp; Motivation</x:v>
      </x:c>
      <x:c r="G217" s="30" t="str">
        <x:v>CL0005</x:v>
      </x:c>
      <x:c r="H217" s="32" t="n">
        <x:f>COUNTIF($G$5:$G$288,G217)</x:f>
        <x:v>4</x:v>
      </x:c>
      <x:c r="I217" s="30" t="str">
        <x:v>A9</x:v>
      </x:c>
      <x:c r="J217" s="31" t="str">
        <x:v>How to calculate WACC | How to calculate cost of equity | Pros and cons of using debt</x:v>
      </x:c>
    </x:row>
    <x:row r="218" ht="32" customHeight="1">
      <x:c r="A218" s="30" t="str">
        <x:v>QB2003</x:v>
      </x:c>
      <x:c r="B218" s="30" t="str">
        <x:v>Nomura</x:v>
      </x:c>
      <x:c r="C218" s="30" t="str">
        <x:v>IBD / GCM</x:v>
      </x:c>
      <x:c r="D218" s="31" t="str">
        <x:v>why interested in nomura and ibd</x:v>
      </x:c>
      <x:c r="E218" s="31" t="str">
        <x:v>Why interested in nomura and ibd</x:v>
      </x:c>
      <x:c r="F218" s="31" t="str">
        <x:v>Fit &amp; Motivation</x:v>
      </x:c>
      <x:c r="G218" s="30" t="str">
        <x:v>CL1142</x:v>
      </x:c>
      <x:c r="H218" s="32" t="n">
        <x:f>COUNTIF($G$5:$G$288,G218)</x:f>
        <x:v>1</x:v>
      </x:c>
      <x:c r="I218" s="30" t="str">
        <x:v>A6</x:v>
      </x:c>
      <x:c r="J218" s="31" t="str">
        <x:v>Jasmine | nomura pi - first yr asso | self intro</x:v>
      </x:c>
    </x:row>
    <x:row r="219" ht="32" customHeight="1">
      <x:c r="A219" s="30" t="str">
        <x:v>QB2005</x:v>
      </x:c>
      <x:c r="B219" s="30" t="str">
        <x:v>Nomura</x:v>
      </x:c>
      <x:c r="C219" s="30" t="str">
        <x:v>IBD / GCM</x:v>
      </x:c>
      <x:c r="D219" s="31" t="str">
        <x:v>why not pe</x:v>
      </x:c>
      <x:c r="E219" s="31" t="str">
        <x:v>Why this role instead of another career path?</x:v>
      </x:c>
      <x:c r="F219" s="31" t="str">
        <x:v>Fit &amp; Motivation</x:v>
      </x:c>
      <x:c r="G219" s="30" t="str">
        <x:v>CL0020</x:v>
      </x:c>
      <x:c r="H219" s="32" t="n">
        <x:f>COUNTIF($G$5:$G$288,G219)</x:f>
        <x:v>4</x:v>
      </x:c>
      <x:c r="I219" s="30" t="str">
        <x:v>A7</x:v>
      </x:c>
      <x:c r="J219" s="31" t="str">
        <x:v>nomura pi - first yr asso | self intro | why interested in nomura and ibd</x:v>
      </x:c>
    </x:row>
    <x:row r="220" ht="32" customHeight="1">
      <x:c r="A220" s="30" t="str">
        <x:v>QB2007</x:v>
      </x:c>
      <x:c r="B220" s="30" t="str">
        <x:v>Nomura</x:v>
      </x:c>
      <x:c r="C220" s="30" t="str">
        <x:v>IBD / GCM</x:v>
      </x:c>
      <x:c r="D220" s="31" t="str">
        <x:v>why not law</x:v>
      </x:c>
      <x:c r="E220" s="31" t="str">
        <x:v>Why not law</x:v>
      </x:c>
      <x:c r="F220" s="31" t="str">
        <x:v>Fit &amp; Motivation</x:v>
      </x:c>
      <x:c r="G220" s="30" t="str">
        <x:v>CL0052</x:v>
      </x:c>
      <x:c r="H220" s="32" t="n">
        <x:f>COUNTIF($G$5:$G$288,G220)</x:f>
        <x:v>2</x:v>
      </x:c>
      <x:c r="I220" s="30" t="str">
        <x:v>A8</x:v>
      </x:c>
      <x:c r="J220" s="31" t="str">
        <x:v>self intro | why interested in nomura and ibd | why not pe</x:v>
      </x:c>
    </x:row>
    <x:row r="221" ht="32" customHeight="1">
      <x:c r="A221" s="30" t="str">
        <x:v>QB2008</x:v>
      </x:c>
      <x:c r="B221" s="30" t="str">
        <x:v>Nomura</x:v>
      </x:c>
      <x:c r="C221" s="30" t="str">
        <x:v>IBD / GCM</x:v>
      </x:c>
      <x:c r="D221" s="31" t="str">
        <x:v>why investment banking since you have a law degree</x:v>
      </x:c>
      <x:c r="E221" s="31" t="str">
        <x:v>Why investment banking?</x:v>
      </x:c>
      <x:c r="F221" s="31" t="str">
        <x:v>Fit &amp; Motivation</x:v>
      </x:c>
      <x:c r="G221" s="30" t="str">
        <x:v>CL0003</x:v>
      </x:c>
      <x:c r="H221" s="32" t="n">
        <x:f>COUNTIF($G$5:$G$288,G221)</x:f>
        <x:v>34</x:v>
      </x:c>
      <x:c r="I221" s="30" t="str">
        <x:v>C8</x:v>
      </x:c>
      <x:c r="J221" s="31" t="str">
        <x:v>leon li | self intro | tell me about your experience in the US</x:v>
      </x:c>
    </x:row>
    <x:row r="222" ht="32" customHeight="1">
      <x:c r="A222" s="30" t="str">
        <x:v>QB2030</x:v>
      </x:c>
      <x:c r="B222" s="30" t="str">
        <x:v>Nomura</x:v>
      </x:c>
      <x:c r="C222" s="30" t="str">
        <x:v>IBD / GCM</x:v>
      </x:c>
      <x:c r="D222" s="31" t="str">
        <x:v>Why IB</x:v>
      </x:c>
      <x:c r="E222" s="31" t="str">
        <x:v>Why IB</x:v>
      </x:c>
      <x:c r="F222" s="31" t="str">
        <x:v>Fit &amp; Motivation</x:v>
      </x:c>
      <x:c r="G222" s="30" t="str">
        <x:v>CL1140</x:v>
      </x:c>
      <x:c r="H222" s="32" t="n">
        <x:f>COUNTIF($G$5:$G$288,G222)</x:f>
        <x:v>1</x:v>
      </x:c>
      <x:c r="I222" s="30" t="str">
        <x:v>A20</x:v>
      </x:c>
      <x:c r="J222" s="31" t="str">
        <x:v>Yvette | Self introduction | Difference between IB and Global Markets</x:v>
      </x:c>
    </x:row>
    <x:row r="223" ht="32" customHeight="1">
      <x:c r="A223" s="30" t="str">
        <x:v>QB2043</x:v>
      </x:c>
      <x:c r="B223" s="30" t="str">
        <x:v>Nomura</x:v>
      </x:c>
      <x:c r="C223" s="30" t="str">
        <x:v>IBD / GCM</x:v>
      </x:c>
      <x:c r="D223" s="31" t="str">
        <x:v>why not law</x:v>
      </x:c>
      <x:c r="E223" s="31" t="str">
        <x:v>Why not law</x:v>
      </x:c>
      <x:c r="F223" s="31" t="str">
        <x:v>Fit &amp; Motivation</x:v>
      </x:c>
      <x:c r="G223" s="30" t="str">
        <x:v>CL0052</x:v>
      </x:c>
      <x:c r="H223" s="32" t="n">
        <x:f>COUNTIF($G$5:$G$288,G223)</x:f>
        <x:v>2</x:v>
      </x:c>
      <x:c r="I223" s="30" t="str">
        <x:v>C27</x:v>
      </x:c>
      <x:c r="J223" s="31" t="str">
        <x:v>pramath verma | self intro | born and raised in hk?</x:v>
      </x:c>
    </x:row>
    <x:row r="224" ht="48" customHeight="1">
      <x:c r="A224" s="30" t="str">
        <x:v>QB2065</x:v>
      </x:c>
      <x:c r="B224" s="30" t="str">
        <x:v>Nomura</x:v>
      </x:c>
      <x:c r="C224" s="30" t="str">
        <x:v>IBD / GCM</x:v>
      </x:c>
      <x:c r="D224" s="31" t="str">
        <x:v>Baidu acquiring Sensetime deal walk through, do it make sense, why 5 yrs</x:v>
      </x:c>
      <x:c r="E224" s="31" t="str">
        <x:v>Baidu acquiring Sensetime deal walk through, do it make sense, why 5 yrs</x:v>
      </x:c>
      <x:c r="F224" s="31" t="str">
        <x:v>Fit &amp; Motivation</x:v>
      </x:c>
      <x:c r="G224" s="30" t="str">
        <x:v>CL0154</x:v>
      </x:c>
      <x:c r="H224" s="32" t="n">
        <x:f>COUNTIF($G$5:$G$288,G224)</x:f>
        <x:v>1</x:v>
      </x:c>
      <x:c r="I224" s="30" t="str">
        <x:v>C42</x:v>
      </x:c>
      <x:c r="J224" s="31" t="str">
        <x:v>Self-intro | M&amp;A deal walk through, how to do valuation, any insights, what comparables | DCF model walk through, WACC?</x:v>
      </x:c>
    </x:row>
    <x:row r="225" ht="68" customHeight="1">
      <x:c r="A225" s="30" t="str">
        <x:v>QB2073</x:v>
      </x:c>
      <x:c r="B225" s="30" t="str">
        <x:v>Nomura</x:v>
      </x:c>
      <x:c r="C225" s="30" t="str">
        <x:v>IBD / GCM</x:v>
      </x:c>
      <x:c r="D225" s="31" t="str">
        <x:v>Why ibd</x:v>
      </x:c>
      <x:c r="E225" s="31" t="str">
        <x:v>Why investment banking?</x:v>
      </x:c>
      <x:c r="F225" s="31" t="str">
        <x:v>Fit &amp; Motivation</x:v>
      </x:c>
      <x:c r="G225" s="30" t="str">
        <x:v>CL0003</x:v>
      </x:c>
      <x:c r="H225" s="32" t="n">
        <x:f>COUNTIF($G$5:$G$288,G225)</x:f>
        <x:v>34</x:v>
      </x:c>
      <x:c r="I225" s="30" t="str">
        <x:v>A47</x:v>
      </x:c>
      <x:c r="J225" s="31" t="str">
        <x:v>(I asked him is it global or just chinese market, he said global) | Which company will be the best winner (I said Tesla) | Do you think Tesla is undervalued or overvalued</x:v>
      </x:c>
    </x:row>
    <x:row r="226" ht="48" customHeight="1">
      <x:c r="A226" s="30" t="str">
        <x:v>QB2075</x:v>
      </x:c>
      <x:c r="B226" s="30" t="str">
        <x:v>Nomura</x:v>
      </x:c>
      <x:c r="C226" s="30" t="str">
        <x:v>IBD / GCM</x:v>
      </x:c>
      <x:c r="D226" s="31" t="str">
        <x:v>Why nomura</x:v>
      </x:c>
      <x:c r="E226" s="31" t="str">
        <x:v>Why this firm?</x:v>
      </x:c>
      <x:c r="F226" s="31" t="str">
        <x:v>Fit &amp; Motivation</x:v>
      </x:c>
      <x:c r="G226" s="30" t="str">
        <x:v>CL0002</x:v>
      </x:c>
      <x:c r="H226" s="32" t="n">
        <x:f>COUNTIF($G$5:$G$288,G226)</x:f>
        <x:v>39</x:v>
      </x:c>
      <x:c r="I226" s="30" t="str">
        <x:v>A48</x:v>
      </x:c>
      <x:c r="J226" s="31" t="str">
        <x:v>Which company will be the best winner (I said Tesla) | Do you think Tesla is undervalued or overvalued | Why ibd</x:v>
      </x:c>
    </x:row>
    <x:row r="227" ht="48" customHeight="1">
      <x:c r="A227" s="30" t="str">
        <x:v>QB2120</x:v>
      </x:c>
      <x:c r="B227" s="30" t="str">
        <x:v>Nomura</x:v>
      </x:c>
      <x:c r="C227" s="30" t="str">
        <x:v>IBD / GCM</x:v>
      </x:c>
      <x:c r="D227" s="31" t="str">
        <x:v>Introduce yourself, past experience, why you want to join Nomura (I talked about the deal that she introduced us during the event)</x:v>
      </x:c>
      <x:c r="E227" s="31" t="str">
        <x:v>Tell me about yourself / walk me through your resume</x:v>
      </x:c>
      <x:c r="F227" s="31" t="str">
        <x:v>Fit &amp; Motivation</x:v>
      </x:c>
      <x:c r="G227" s="30" t="str">
        <x:v>CL0001</x:v>
      </x:c>
      <x:c r="H227" s="32" t="n">
        <x:f>COUNTIF($G$5:$G$288,G227)</x:f>
        <x:v>16</x:v>
      </x:c>
      <x:c r="I227" s="30" t="str">
        <x:v>A89</x:v>
      </x:c>
      <x:c r="J227" s="31" t="str">
        <x:v>1st round 17/10 Anna (Katy TMT) | No technicals super chill | (She did not open cam, but I recognized her from Women Who Lead)</x:v>
      </x:c>
    </x:row>
    <x:row r="228" ht="68" customHeight="1">
      <x:c r="A228" s="30" t="str">
        <x:v>QB2127</x:v>
      </x:c>
      <x:c r="B228" s="30" t="str">
        <x:v>Nomura</x:v>
      </x:c>
      <x:c r="C228" s="30" t="str">
        <x:v>IBD / GCM</x:v>
      </x:c>
      <x:c r="D228" s="31" t="str">
        <x:v>Why art history?</x:v>
      </x:c>
      <x:c r="E228" s="31" t="str">
        <x:v>Why art history</x:v>
      </x:c>
      <x:c r="F228" s="31" t="str">
        <x:v>Fit &amp; Motivation</x:v>
      </x:c>
      <x:c r="G228" s="30" t="str">
        <x:v>CL1115</x:v>
      </x:c>
      <x:c r="H228" s="32" t="n">
        <x:f>COUNTIF($G$5:$G$288,G228)</x:f>
        <x:v>1</x:v>
      </x:c>
      <x:c r="I228" s="30" t="str">
        <x:v>A93</x:v>
      </x:c>
      <x:c r="J228" s="31" t="str">
        <x:v>Talk more about internships, projects you worked on in the last internship | Current deal on EOR, where's the firm based at, competitive advantages etc. | Lots of follow-ups cause she's working on a deal in the same sector</x:v>
      </x:c>
    </x:row>
    <x:row r="229" ht="32" customHeight="1">
      <x:c r="A229" s="30" t="str">
        <x:v>QB2134</x:v>
      </x:c>
      <x:c r="B229" s="30" t="str">
        <x:v>Nomura</x:v>
      </x:c>
      <x:c r="C229" s="30" t="str">
        <x:v>IBD / GCM</x:v>
      </x:c>
      <x:c r="D229" s="31" t="str">
        <x:v>Tell me more about you, why up to this role (5 min)</x:v>
      </x:c>
      <x:c r="E229" s="31" t="str">
        <x:v>Tell me more about you, why up to this role (5 min)</x:v>
      </x:c>
      <x:c r="F229" s="31" t="str">
        <x:v>Fit &amp; Motivation</x:v>
      </x:c>
      <x:c r="G229" s="30" t="str">
        <x:v>CL0768</x:v>
      </x:c>
      <x:c r="H229" s="32" t="n">
        <x:f>COUNTIF($G$5:$G$288,G229)</x:f>
        <x:v>1</x:v>
      </x:c>
      <x:c r="I229" s="30" t="str">
        <x:v>C100</x:v>
      </x:c>
      <x:c r="J229" s="31" t="str">
        <x:v>你到full-time还有两年时间，这两年会发生很多事，你的plan B是什么 | 有什么问题吗 | Interviewer 2 - Shinichi Yao</x:v>
      </x:c>
    </x:row>
    <x:row r="230" ht="48" customHeight="1">
      <x:c r="A230" s="30" t="str">
        <x:v>QB2150</x:v>
      </x:c>
      <x:c r="B230" s="30" t="str">
        <x:v>Houlihan Lokey</x:v>
      </x:c>
      <x:c r="C230" s="30" t="str">
        <x:v>IBD / GCM</x:v>
      </x:c>
      <x:c r="D230" s="31" t="str">
        <x:v>What and why CPS? What are some terms in there? Type of debt (mezzanine) What are the current debt it holds, and is CPS on/senior/junior to it?</x:v>
      </x:c>
      <x:c r="E230" s="31" t="str">
        <x:v>What and why CPS? What are some terms in there? Type of debt (mezzanine) What are the current debt it holds, and is CPS on/senior/junior to it</x:v>
      </x:c>
      <x:c r="F230" s="31" t="str">
        <x:v>Fit &amp; Motivation</x:v>
      </x:c>
      <x:c r="G230" s="30" t="str">
        <x:v>CL0860</x:v>
      </x:c>
      <x:c r="H230" s="32" t="n">
        <x:f>COUNTIF($G$5:$G$288,G230)</x:f>
        <x:v>1</x:v>
      </x:c>
      <x:c r="I230" s="30" t="str">
        <x:v>B5</x:v>
      </x:c>
      <x:c r="J230" s="31" t="str">
        <x:v>2nd round | Self intro | Talk about a deal you worked on</x:v>
      </x:c>
    </x:row>
    <x:row r="231" ht="68" customHeight="1">
      <x:c r="A231" s="30" t="str">
        <x:v>QB2155</x:v>
      </x:c>
      <x:c r="B231" s="30" t="str">
        <x:v>Houlihan Lokey</x:v>
      </x:c>
      <x:c r="C231" s="30" t="str">
        <x:v>IBD / GCM</x:v>
      </x:c>
      <x:c r="D231" s="31" t="str">
        <x:v>Why restructuring?</x:v>
      </x:c>
      <x:c r="E231" s="31" t="str">
        <x:v>Why restructuring</x:v>
      </x:c>
      <x:c r="F231" s="31" t="str">
        <x:v>Fit &amp; Motivation</x:v>
      </x:c>
      <x:c r="G231" s="30" t="str">
        <x:v>CL1160</x:v>
      </x:c>
      <x:c r="H231" s="32" t="n">
        <x:f>COUNTIF($G$5:$G$288,G231)</x:f>
        <x:v>1</x:v>
      </x:c>
      <x:c r="I231" s="30" t="str">
        <x:v>A8</x:v>
      </x:c>
      <x:c r="J231" s="31" t="str">
        <x:v>8 EV/EBITDA, 5 interest coverage ratio, 5% interest rate on debt, Loan to value? (0.5) | If the price fluctuation of callable bonds increase, how does it effect the YTM? (increase) | Adjustments to EBITDA to find adjusted EBITDA?</x:v>
      </x:c>
    </x:row>
    <x:row r="232" ht="48" customHeight="1">
      <x:c r="A232" s="30" t="str">
        <x:v>QB2158</x:v>
      </x:c>
      <x:c r="B232" s="30" t="str">
        <x:v>Houlihan Lokey</x:v>
      </x:c>
      <x:c r="C232" s="30" t="str">
        <x:v>IBD / GCM</x:v>
      </x:c>
      <x:c r="D232" s="31" t="str">
        <x:v>Why restructuring? Are you sure you want to do this?</x:v>
      </x:c>
      <x:c r="E232" s="31" t="str">
        <x:v>Why restructuring? Are you sure you want to do this</x:v>
      </x:c>
      <x:c r="F232" s="31" t="str">
        <x:v>Fit &amp; Motivation</x:v>
      </x:c>
      <x:c r="G232" s="30" t="str">
        <x:v>CL1162</x:v>
      </x:c>
      <x:c r="H232" s="32" t="n">
        <x:f>COUNTIF($G$5:$G$288,G232)</x:f>
        <x:v>1</x:v>
      </x:c>
      <x:c r="I232" s="30" t="str">
        <x:v>B9</x:v>
      </x:c>
      <x:c r="J232" s="31" t="str">
        <x:v>What is the IRR ? | Asset writedown 100, 3 statement | EV 150, Senior debt 100, CPS 100, what is the value of CPS?</x:v>
      </x:c>
    </x:row>
    <x:row r="233" ht="32" customHeight="1">
      <x:c r="A233" s="30" t="str">
        <x:v>QB2162</x:v>
      </x:c>
      <x:c r="B233" s="30" t="str">
        <x:v>Houlihan Lokey</x:v>
      </x:c>
      <x:c r="C233" s="30" t="str">
        <x:v>IBD / GCM</x:v>
      </x:c>
      <x:c r="D233" s="31" t="str">
        <x:v>Self Intro, Why HL, Why restructuring</x:v>
      </x:c>
      <x:c r="E233" s="31" t="str">
        <x:v>Tell me about yourself / walk me through your resume</x:v>
      </x:c>
      <x:c r="F233" s="31" t="str">
        <x:v>Fit &amp; Motivation</x:v>
      </x:c>
      <x:c r="G233" s="30" t="str">
        <x:v>CL0001</x:v>
      </x:c>
      <x:c r="H233" s="32" t="n">
        <x:f>COUNTIF($G$5:$G$288,G233)</x:f>
        <x:v>16</x:v>
      </x:c>
      <x:c r="I233" s="30" t="str">
        <x:v>A19</x:v>
      </x:c>
      <x:c r="J233" s="31" t="str">
        <x:v>Mandarin Q&amp;A | 2024 SA | Emily (40 mins interview + 10 mins Q&amp;A)</x:v>
      </x:c>
    </x:row>
    <x:row r="234" ht="68" customHeight="1">
      <x:c r="A234" s="30" t="str">
        <x:v>QB2172</x:v>
      </x:c>
      <x:c r="B234" s="30" t="str">
        <x:v>Houlihan Lokey</x:v>
      </x:c>
      <x:c r="C234" s="30" t="str">
        <x:v>IBD / GCM</x:v>
      </x:c>
      <x:c r="D234" s="31" t="str">
        <x:v>Why restructuring but not bulge bracket ibd?</x:v>
      </x:c>
      <x:c r="E234" s="31" t="str">
        <x:v>Why restructuring but not bulge bracket ibd</x:v>
      </x:c>
      <x:c r="F234" s="31" t="str">
        <x:v>Fit &amp; Motivation</x:v>
      </x:c>
      <x:c r="G234" s="30" t="str">
        <x:v>CL1161</x:v>
      </x:c>
      <x:c r="H234" s="32" t="n">
        <x:f>COUNTIF($G$5:$G$288,G234)</x:f>
        <x:v>1</x:v>
      </x:c>
      <x:c r="I234" s="30" t="str">
        <x:v>A29</x:v>
      </x:c>
      <x:c r="J234" s="31" t="str">
        <x:v>EV/EBITDA=5, Interest coverage =5, what's loan to value (need to ask for lended interest rate of 5%). Answer is 1.25 | Walk me through a DCF, purpose, what is WACC, what is beta, assumptions | Tell me how you do due dilligence in one of ...</x:v>
      </x:c>
    </x:row>
    <x:row r="235" ht="68" customHeight="1">
      <x:c r="A235" s="30" t="str">
        <x:v>QB2173</x:v>
      </x:c>
      <x:c r="B235" s="30" t="str">
        <x:v>Houlihan Lokey</x:v>
      </x:c>
      <x:c r="C235" s="30" t="str">
        <x:v>IBD / GCM</x:v>
      </x:c>
      <x:c r="D235" s="31" t="str">
        <x:v>Why interested in debt?</x:v>
      </x:c>
      <x:c r="E235" s="31" t="str">
        <x:v>Why interested in debt</x:v>
      </x:c>
      <x:c r="F235" s="31" t="str">
        <x:v>Fit &amp; Motivation</x:v>
      </x:c>
      <x:c r="G235" s="30" t="str">
        <x:v>CL1141</x:v>
      </x:c>
      <x:c r="H235" s="32" t="n">
        <x:f>COUNTIF($G$5:$G$288,G235)</x:f>
        <x:v>1</x:v>
      </x:c>
      <x:c r="I235" s="30" t="str">
        <x:v>A30</x:v>
      </x:c>
      <x:c r="J235" s="31" t="str">
        <x:v>Walk me through a DCF, purpose, what is WACC, what is beta, assumptions | Tell me how you do due dilligence in one of your deals | Why restructuring but not bulge bracket ibd?</x:v>
      </x:c>
    </x:row>
    <x:row r="236" ht="32" customHeight="1">
      <x:c r="A236" s="30" t="str">
        <x:v>QB2198</x:v>
      </x:c>
      <x:c r="B236" s="30" t="str">
        <x:v>GS PWM</x:v>
      </x:c>
      <x:c r="C236" s="30" t="str">
        <x:v>PWM / AM</x:v>
      </x:c>
      <x:c r="D236" s="31" t="str">
        <x:v>Market Asset Allocation Q</x:v>
      </x:c>
      <x:c r="E236" s="31" t="str">
        <x:v>Market Asset Allocation Q</x:v>
      </x:c>
      <x:c r="F236" s="31" t="str">
        <x:v>Fit &amp; Motivation</x:v>
      </x:c>
      <x:c r="G236" s="30" t="str">
        <x:v>CL0598</x:v>
      </x:c>
      <x:c r="H236" s="32" t="n">
        <x:f>COUNTIF($G$5:$G$288,G236)</x:f>
        <x:v>1</x:v>
      </x:c>
      <x:c r="I236" s="30" t="str">
        <x:v>A12</x:v>
      </x:c>
      <x:c r="J236" s="31" t="str">
        <x:v>Each has 5 questions (4 English + 1 Cantonese/Mandarin) | Ribo-SPD | Normal Behavioral Q</x:v>
      </x:c>
    </x:row>
    <x:row r="237" ht="68" customHeight="1">
      <x:c r="A237" s="30" t="str">
        <x:v>QB2241</x:v>
      </x:c>
      <x:c r="B237" s="30" t="str">
        <x:v>GS PWM</x:v>
      </x:c>
      <x:c r="C237" s="30" t="str">
        <x:v>PWM / AM</x:v>
      </x:c>
      <x:c r="D237" s="31" t="str">
        <x:v>Typical Asset Allocation Question: construct a 100 million investment portfolio for a client</x:v>
      </x:c>
      <x:c r="E237" s="31" t="str">
        <x:v>Typical Asset Allocation Question: construct a 100 million investment portfolio for a client</x:v>
      </x:c>
      <x:c r="F237" s="31" t="str">
        <x:v>Fit &amp; Motivation</x:v>
      </x:c>
      <x:c r="G237" s="30" t="str">
        <x:v>CL0807</x:v>
      </x:c>
      <x:c r="H237" s="32" t="n">
        <x:f>COUNTIF($G$5:$G$288,G237)</x:f>
        <x:v>1</x:v>
      </x:c>
      <x:c r="I237" s="30" t="str">
        <x:v>A47</x:v>
      </x:c>
      <x:c r="J237" s="31" t="str">
        <x:v>Technical: 什么样的产品是带有杠杆的？ | What's the difference (typically) between the 1st Gen Wealthy people and the 2nd Gen? | Would you advise the 2nd Gen Clients to buy crypto/digital assets?</x:v>
      </x:c>
    </x:row>
    <x:row r="238" ht="32" customHeight="1">
      <x:c r="A238" s="30" t="str">
        <x:v>QB2252</x:v>
      </x:c>
      <x:c r="B238" s="30" t="str">
        <x:v>JPM PB</x:v>
      </x:c>
      <x:c r="C238" s="30" t="str">
        <x:v>PWM / AM</x:v>
      </x:c>
      <x:c r="D238" s="31" t="str">
        <x:v>Why do you put PE in the lifestyle bucket which is supposed to be more conservative?</x:v>
      </x:c>
      <x:c r="E238" s="31" t="str">
        <x:v>Why do you put PE in the lifestyle bucket which is supposed to be more conservative</x:v>
      </x:c>
      <x:c r="F238" s="31" t="str">
        <x:v>Fit &amp; Motivation</x:v>
      </x:c>
      <x:c r="G238" s="30" t="str">
        <x:v>CL1127</x:v>
      </x:c>
      <x:c r="H238" s="32" t="n">
        <x:f>COUNTIF($G$5:$G$288,G238)</x:f>
        <x:v>1</x:v>
      </x:c>
      <x:c r="I238" s="30" t="str">
        <x:v>I7</x:v>
      </x:c>
      <x:c r="J238" s="31" t="str">
        <x:v>Group case (with 2 development scenarios) | Q&amp;A session:</x:v>
      </x:c>
    </x:row>
    <x:row r="239" ht="68" customHeight="1">
      <x:c r="A239" s="30" t="str">
        <x:v>QB2256</x:v>
      </x:c>
      <x:c r="B239" s="30" t="str">
        <x:v>JPM PB</x:v>
      </x:c>
      <x:c r="C239" s="30" t="str">
        <x:v>PWM / AM</x:v>
      </x:c>
      <x:c r="D239" s="31" t="str">
        <x:v>Why don't you mention anything related to leverage in the proposal? What's your ideas?</x:v>
      </x:c>
      <x:c r="E239" s="31" t="str">
        <x:v>Why don't you mention anything related to leverage in the proposal? What's your ideas</x:v>
      </x:c>
      <x:c r="F239" s="31" t="str">
        <x:v>Fit &amp; Motivation</x:v>
      </x:c>
      <x:c r="G239" s="30" t="str">
        <x:v>CL1133</x:v>
      </x:c>
      <x:c r="H239" s="32" t="n">
        <x:f>COUNTIF($G$5:$G$288,G239)</x:f>
        <x:v>1</x:v>
      </x:c>
      <x:c r="I239" s="30" t="str">
        <x:v>I9</x:v>
      </x:c>
      <x:c r="J239" s="31" t="str">
        <x:v>Q&amp;A session: | Why do you put PE in the lifestyle bucket which is supposed to be more conservative? | What approach should you take if you want the client to fund in more money into the account? (particularly if the performance of the po...</x:v>
      </x:c>
    </x:row>
    <x:row r="240" ht="32" customHeight="1">
      <x:c r="A240" s="30" t="str">
        <x:v>QB2287</x:v>
      </x:c>
      <x:c r="B240" s="30" t="str">
        <x:v>JPM AM</x:v>
      </x:c>
      <x:c r="C240" s="30" t="str">
        <x:v>PWM / AM</x:v>
      </x:c>
      <x:c r="D240" s="31" t="str">
        <x:v>why AM?</x:v>
      </x:c>
      <x:c r="E240" s="31" t="str">
        <x:v>Why asset management?</x:v>
      </x:c>
      <x:c r="F240" s="31" t="str">
        <x:v>Fit &amp; Motivation</x:v>
      </x:c>
      <x:c r="G240" s="30" t="str">
        <x:v>CL0029</x:v>
      </x:c>
      <x:c r="H240" s="32" t="n">
        <x:f>COUNTIF($G$5:$G$288,G240)</x:f>
        <x:v>3</x:v>
      </x:c>
      <x:c r="I240" s="30" t="str">
        <x:v>A4</x:v>
      </x:c>
      <x:c r="J240" s="31" t="str">
        <x:v>HK First Round (Ribo with Thomas - Ntw &amp; Michelle) | More like networking:</x:v>
      </x:c>
    </x:row>
    <x:row r="241" ht="48" customHeight="1">
      <x:c r="A241" s="30" t="str">
        <x:v>QB2309</x:v>
      </x:c>
      <x:c r="B241" s="30" t="str">
        <x:v>JPM AM</x:v>
      </x:c>
      <x:c r="C241" s="30" t="str">
        <x:v>PWM / AM</x:v>
      </x:c>
      <x:c r="D241" s="31" t="str">
        <x:v>What motivates you to be here today? (Why JPM?)</x:v>
      </x:c>
      <x:c r="E241" s="31" t="str">
        <x:v>What motivates you to be here today? (Why JPM?)</x:v>
      </x:c>
      <x:c r="F241" s="31" t="str">
        <x:v>Fit &amp; Motivation</x:v>
      </x:c>
      <x:c r="G241" s="30" t="str">
        <x:v>CL1013</x:v>
      </x:c>
      <x:c r="H241" s="32" t="n">
        <x:f>COUNTIF($G$5:$G$288,G241)</x:f>
        <x:v>1</x:v>
      </x:c>
      <x:c r="I241" s="30" t="str">
        <x:v>G16</x:v>
      </x:c>
      <x:c r="J241" s="31" t="str">
        <x:v>w/ Natalie, from Product Strategy? | Quick self intro | Where did you attend your high school? And how did you learn your English?</x:v>
      </x:c>
    </x:row>
    <x:row r="242" ht="92" customHeight="1">
      <x:c r="A242" s="30" t="str">
        <x:v>QB2340</x:v>
      </x:c>
      <x:c r="B242" s="30" t="str">
        <x:v>JPM AM</x:v>
      </x:c>
      <x:c r="C242" s="30" t="str">
        <x:v>PWM / AM</x:v>
      </x:c>
      <x:c r="D242" s="31" t="str">
        <x:v>Why do you specifically want to join in AM given that you've got lots of other internship experiences before?</x:v>
      </x:c>
      <x:c r="E242" s="31" t="str">
        <x:v>Why do you specifically want to join in AM given that you've got lots of other internship experiences before</x:v>
      </x:c>
      <x:c r="F242" s="31" t="str">
        <x:v>Fit &amp; Motivation</x:v>
      </x:c>
      <x:c r="G242" s="30" t="str">
        <x:v>CL1128</x:v>
      </x:c>
      <x:c r="H242" s="32" t="n">
        <x:f>COUNTIF($G$5:$G$288,G242)</x:f>
        <x:v>1</x:v>
      </x:c>
      <x:c r="I242" s="30" t="str">
        <x:v>G41</x:v>
      </x:c>
      <x:c r="J242" s="31" t="str">
        <x:v>Tell me about a time when your teammates did not contribute/cooperate a lot, how did you handle that? | Follow up: What's the most difficult part when you're persuading her? | Use 2 minutes to quickly comment on the current market moveme...</x:v>
      </x:c>
    </x:row>
    <x:row r="243" ht="32" customHeight="1">
      <x:c r="A243" s="30" t="str">
        <x:v>QB2345</x:v>
      </x:c>
      <x:c r="B243" s="30" t="str">
        <x:v>Citi PB</x:v>
      </x:c>
      <x:c r="C243" s="30" t="str">
        <x:v>PWM / AM</x:v>
      </x:c>
      <x:c r="D243" s="31" t="str">
        <x:v>1st part: Business sense (asset allocation)</x:v>
      </x:c>
      <x:c r="E243" s="31" t="str">
        <x:v>1st part: Business sense (asset allocation)</x:v>
      </x:c>
      <x:c r="F243" s="31" t="str">
        <x:v>Fit &amp; Motivation</x:v>
      </x:c>
      <x:c r="G243" s="30" t="str">
        <x:v>CL0069</x:v>
      </x:c>
      <x:c r="H243" s="32" t="n">
        <x:f>COUNTIF($G$5:$G$288,G243)</x:f>
        <x:v>1</x:v>
      </x:c>
      <x:c r="I243" s="30" t="str">
        <x:v>A2</x:v>
      </x:c>
      <x:c r="J243" s="31" t="str">
        <x:v>First round a case study with 2 parts</x:v>
      </x:c>
    </x:row>
    <x:row r="244" ht="32" customHeight="1">
      <x:c r="A244" s="30" t="str">
        <x:v>QB2357</x:v>
      </x:c>
      <x:c r="B244" s="30" t="str">
        <x:v>HSBC PB</x:v>
      </x:c>
      <x:c r="C244" s="30" t="str">
        <x:v>PWM / AM</x:v>
      </x:c>
      <x:c r="D244" s="31" t="str">
        <x:v>why RM</x:v>
      </x:c>
      <x:c r="E244" s="31" t="str">
        <x:v>Why RM</x:v>
      </x:c>
      <x:c r="F244" s="31" t="str">
        <x:v>Fit &amp; Motivation</x:v>
      </x:c>
      <x:c r="G244" s="30" t="str">
        <x:v>CL1163</x:v>
      </x:c>
      <x:c r="H244" s="32" t="n">
        <x:f>COUNTIF($G$5:$G$288,G244)</x:f>
        <x:v>1</x:v>
      </x:c>
      <x:c r="I244" s="30" t="str">
        <x:v>A6</x:v>
      </x:c>
      <x:c r="J244" s="31" t="str">
        <x:v>自我介绍 | 专业发展，课程内容（I am from AMPB so this interviewer may be curious） | 市场新闻，如何影响PB客户</x:v>
      </x:c>
    </x:row>
    <x:row r="245" ht="92" customHeight="1">
      <x:c r="A245" s="30" t="str">
        <x:v>QB2382</x:v>
      </x:c>
      <x:c r="B245" s="30" t="str">
        <x:v>BlackRock</x:v>
      </x:c>
      <x:c r="C245" s="30" t="str">
        <x:v>PWM / AM</x:v>
      </x:c>
      <x:c r="D245" s="31" t="str">
        <x:v>CV question - tell me more about your work at ING Bank on the pitchbook (cantonese)</x:v>
      </x:c>
      <x:c r="E245" s="31" t="str">
        <x:v>CV question - tell me more about your work at ING Bank on the pitchbook (cantonese)</x:v>
      </x:c>
      <x:c r="F245" s="31" t="str">
        <x:v>Fit &amp; Motivation</x:v>
      </x:c>
      <x:c r="G245" s="30" t="str">
        <x:v>CL0214</x:v>
      </x:c>
      <x:c r="H245" s="32" t="n">
        <x:f>COUNTIF($G$5:$G$288,G245)</x:f>
        <x:v>1</x:v>
      </x:c>
      <x:c r="I245" s="30" t="str">
        <x:v>A10</x:v>
      </x:c>
      <x:c r="J245" s="31" t="str">
        <x:v>You're majoring in AMPB, what things that you learnt from your program do you think can be brought to your internship here? | Continuing the last question, do you know how to use Bloomberg? | workplace scenario: you're currently working ...</x:v>
      </x:c>
    </x:row>
    <x:row r="246" ht="32" customHeight="1">
      <x:c r="A246" s="30" t="str">
        <x:v>QB2403</x:v>
      </x:c>
      <x:c r="B246" s="30" t="str">
        <x:v>BlackRock</x:v>
      </x:c>
      <x:c r="C246" s="30" t="str">
        <x:v>PWM / AM</x:v>
      </x:c>
      <x:c r="D246" s="31" t="str">
        <x:v>asset allocation question</x:v>
      </x:c>
      <x:c r="E246" s="31" t="str">
        <x:v>Asset allocation question</x:v>
      </x:c>
      <x:c r="F246" s="31" t="str">
        <x:v>Fit &amp; Motivation</x:v>
      </x:c>
      <x:c r="G246" s="30" t="str">
        <x:v>CL0149</x:v>
      </x:c>
      <x:c r="H246" s="32" t="n">
        <x:f>COUNTIF($G$5:$G$288,G246)</x:f>
        <x:v>1</x:v>
      </x:c>
      <x:c r="I246" s="30" t="str">
        <x:v>A31</x:v>
      </x:c>
      <x:c r="J246" s="31" t="str">
        <x:v>Introduce yourself | talk abit about CV | if theres a war now what would u do</x:v>
      </x:c>
    </x:row>
    <x:row r="247" ht="48" customHeight="1">
      <x:c r="A247" s="30" t="str">
        <x:v>QB2410</x:v>
      </x:c>
      <x:c r="B247" s="30" t="str">
        <x:v>BlackRock</x:v>
      </x:c>
      <x:c r="C247" s="30" t="str">
        <x:v>PWM / AM</x:v>
      </x:c>
      <x:c r="D247" s="31" t="str">
        <x:v>why is the brand's USP, revenue break</x:v>
      </x:c>
      <x:c r="E247" s="31" t="str">
        <x:v>Why is the brand's USP, revenue break</x:v>
      </x:c>
      <x:c r="F247" s="31" t="str">
        <x:v>Fit &amp; Motivation</x:v>
      </x:c>
      <x:c r="G247" s="30" t="str">
        <x:v>CL1149</x:v>
      </x:c>
      <x:c r="H247" s="32" t="n">
        <x:f>COUNTIF($G$5:$G$288,G247)</x:f>
        <x:v>1</x:v>
      </x:c>
      <x:c r="I247" s="30" t="str">
        <x:v>A39</x:v>
      </x:c>
      <x:c r="J247" s="31" t="str">
        <x:v>pitch me a stock | pitch me another stock | follow up questions on pitch: what are the biggest risk</x:v>
      </x:c>
    </x:row>
    <x:row r="248" ht="48" customHeight="1">
      <x:c r="A248" s="30" t="str">
        <x:v>QB2412</x:v>
      </x:c>
      <x:c r="B248" s="30" t="str">
        <x:v>BlackRock</x:v>
      </x:c>
      <x:c r="C248" s="30" t="str">
        <x:v>PWM / AM</x:v>
      </x:c>
      <x:c r="D248" s="31" t="str">
        <x:v>what are some cultures u know of outside of malaysia and hong kong (anything to share?)</x:v>
      </x:c>
      <x:c r="E248" s="31" t="str">
        <x:v>What are some cultures u know of outside of malaysia and hong kong (anything to share?)</x:v>
      </x:c>
      <x:c r="F248" s="31" t="str">
        <x:v>Fit &amp; Motivation</x:v>
      </x:c>
      <x:c r="G248" s="30" t="str">
        <x:v>CL0867</x:v>
      </x:c>
      <x:c r="H248" s="32" t="n">
        <x:f>COUNTIF($G$5:$G$288,G248)</x:f>
        <x:v>1</x:v>
      </x:c>
      <x:c r="I248" s="30" t="str">
        <x:v>A41</x:v>
      </x:c>
      <x:c r="J248" s="31" t="str">
        <x:v>follow up questions on pitch: what are the biggest risk | why is the brand's USP, revenue break | what is your favourite book outside of finance and why</x:v>
      </x:c>
    </x:row>
    <x:row r="249" ht="48" customHeight="1">
      <x:c r="A249" s="30" t="str">
        <x:v>QB2432</x:v>
      </x:c>
      <x:c r="B249" s="30" t="str">
        <x:v>Mckinsey</x:v>
      </x:c>
      <x:c r="C249" s="30" t="str">
        <x:v>Consulting</x:v>
      </x:c>
      <x:c r="D249" s="31" t="str">
        <x:v>Why consulting not IBD</x:v>
      </x:c>
      <x:c r="E249" s="31" t="str">
        <x:v>Why consulting?</x:v>
      </x:c>
      <x:c r="F249" s="31" t="str">
        <x:v>Fit &amp; Motivation</x:v>
      </x:c>
      <x:c r="G249" s="30" t="str">
        <x:v>CL1117</x:v>
      </x:c>
      <x:c r="H249" s="32" t="n">
        <x:f>COUNTIF($G$5:$G$288,G249)</x:f>
        <x:v>1</x:v>
      </x:c>
      <x:c r="I249" s="30" t="str">
        <x:v>A6</x:v>
      </x:c>
      <x:c r="J249" s="31" t="str">
        <x:v>Mckinsey hr screening interview | Tell me about yourself | Give me an broad overview of ur cv</x:v>
      </x:c>
    </x:row>
    <x:row r="250" ht="48" customHeight="1">
      <x:c r="A250" s="30" t="str">
        <x:v>QB2467</x:v>
      </x:c>
      <x:c r="B250" s="30" t="str">
        <x:v>Mckinsey</x:v>
      </x:c>
      <x:c r="C250" s="30" t="str">
        <x:v>Consulting</x:v>
      </x:c>
      <x:c r="D250" s="31" t="str">
        <x:v>why not banking</x:v>
      </x:c>
      <x:c r="E250" s="31" t="str">
        <x:v>Why this role instead of another career path?</x:v>
      </x:c>
      <x:c r="F250" s="31" t="str">
        <x:v>Fit &amp; Motivation</x:v>
      </x:c>
      <x:c r="G250" s="30" t="str">
        <x:v>CL0020</x:v>
      </x:c>
      <x:c r="H250" s="32" t="n">
        <x:f>COUNTIF($G$5:$G$288,G250)</x:f>
        <x:v>4</x:v>
      </x:c>
      <x:c r="I250" s="30" t="str">
        <x:v>A38</x:v>
      </x:c>
      <x:c r="J250" s="31" t="str">
        <x:v>Final Round 11.5 - Minyu Xiao / AP (He's crazy... serious + no facial expressions + grill deeply to CV) | 自我介绍 | 在MS具体做了什么</x:v>
      </x:c>
    </x:row>
    <x:row r="251" ht="32" customHeight="1">
      <x:c r="A251" s="30" t="str">
        <x:v>QB2469</x:v>
      </x:c>
      <x:c r="B251" s="30" t="str">
        <x:v>Mckinsey</x:v>
      </x:c>
      <x:c r="C251" s="30" t="str">
        <x:v>Consulting</x:v>
      </x:c>
      <x:c r="D251" s="31" t="str">
        <x:v>why not coporate but consulting</x:v>
      </x:c>
      <x:c r="E251" s="31" t="str">
        <x:v>Why not coporate but consulting</x:v>
      </x:c>
      <x:c r="F251" s="31" t="str">
        <x:v>Fit &amp; Motivation</x:v>
      </x:c>
      <x:c r="G251" s="30" t="str">
        <x:v>CL1156</x:v>
      </x:c>
      <x:c r="H251" s="32" t="n">
        <x:f>COUNTIF($G$5:$G$288,G251)</x:f>
        <x:v>1</x:v>
      </x:c>
      <x:c r="I251" s="30" t="str">
        <x:v>A39</x:v>
      </x:c>
      <x:c r="J251" s="31" t="str">
        <x:v>自我介绍 | 在MS具体做了什么 | why not banking</x:v>
      </x:c>
    </x:row>
    <x:row r="252" ht="32" customHeight="1">
      <x:c r="A252" s="30" t="str">
        <x:v>QB2477</x:v>
      </x:c>
      <x:c r="B252" s="30" t="str">
        <x:v>Mckinsey</x:v>
      </x:c>
      <x:c r="C252" s="30" t="str">
        <x:v>Consulting</x:v>
      </x:c>
      <x:c r="D252" s="31" t="str">
        <x:v>Why challenging</x:v>
      </x:c>
      <x:c r="E252" s="31" t="str">
        <x:v>Tell me about a challenge, setback, or failure</x:v>
      </x:c>
      <x:c r="F252" s="31" t="str">
        <x:v>Fit &amp; Motivation</x:v>
      </x:c>
      <x:c r="G252" s="30" t="str">
        <x:v>CL0007</x:v>
      </x:c>
      <x:c r="H252" s="32" t="n">
        <x:f>COUNTIF($G$5:$G$288,G252)</x:f>
        <x:v>2</x:v>
      </x:c>
      <x:c r="I252" s="30" t="str">
        <x:v>A43</x:v>
      </x:c>
      <x:c r="J252" s="31" t="str">
        <x:v>PEI | Leadership | Followup:</x:v>
      </x:c>
    </x:row>
    <x:row r="253" ht="118" customHeight="1">
      <x:c r="A253" s="30" t="str">
        <x:v>QB2488</x:v>
      </x:c>
      <x:c r="B253" s="30" t="str">
        <x:v>Mckinsey</x:v>
      </x:c>
      <x:c r="C253" s="30" t="str">
        <x:v>Consulting</x:v>
      </x:c>
      <x:c r="D253" s="31" t="str">
        <x:v>Q3 Given breakfact bar &amp; snack mixes share the same cutting mechine, to decide whether company need buy a second mechine, calculate how much snack mixes can be produced if prioritizing to fit breakfast bar's demand</x:v>
      </x:c>
      <x:c r="E253" s="31" t="str">
        <x:v>How do you prioritize and manage multiple tasks?</x:v>
      </x:c>
      <x:c r="F253" s="31" t="str">
        <x:v>Fit &amp; Motivation</x:v>
      </x:c>
      <x:c r="G253" s="30" t="str">
        <x:v>CL0419</x:v>
      </x:c>
      <x:c r="H253" s="32" t="n">
        <x:f>COUNTIF($G$5:$G$288,G253)</x:f>
        <x:v>1</x:v>
      </x:c>
      <x:c r="I253" s="30" t="str">
        <x:v>B48</x:v>
      </x:c>
      <x:c r="J253" s="31" t="str">
        <x:v>Q1 By how much the company need to expand the production, what factors to consider | (Need a very micro one, need to give the formula to calculate the % of production demand increase), then give the elements under each part of the formul...</x:v>
      </x:c>
    </x:row>
    <x:row r="254" ht="92" customHeight="1">
      <x:c r="A254" s="30" t="str">
        <x:v>QB2494</x:v>
      </x:c>
      <x:c r="B254" s="30" t="str">
        <x:v>Mckinsey</x:v>
      </x:c>
      <x:c r="C254" s="30" t="str">
        <x:v>Consulting</x:v>
      </x:c>
      <x:c r="D254" s="31" t="str">
        <x:v>over the 3 locations, which do you think performs the best and why?</x:v>
      </x:c>
      <x:c r="E254" s="31" t="str">
        <x:v>Over the 3 locations, which do you think performs the best and why</x:v>
      </x:c>
      <x:c r="F254" s="31" t="str">
        <x:v>Fit &amp; Motivation</x:v>
      </x:c>
      <x:c r="G254" s="30" t="str">
        <x:v>CL0630</x:v>
      </x:c>
      <x:c r="H254" s="32" t="n">
        <x:f>COUNTIF($G$5:$G$288,G254)</x:f>
        <x:v>1</x:v>
      </x:c>
      <x:c r="I254" s="30" t="str">
        <x:v>A52</x:v>
      </x:c>
      <x:c r="J254" s="31" t="str">
        <x:v>for internal factor, if the problem is service, what data do you want to look at to analyze the difference | Q2 Charts of consumer preferences of the device types including sports stimulator by age group, revenue by type for 3 locations,...</x:v>
      </x:c>
    </x:row>
    <x:row r="255" ht="32" customHeight="1">
      <x:c r="A255" s="30" t="str">
        <x:v>QB2514</x:v>
      </x:c>
      <x:c r="B255" s="30" t="str">
        <x:v>BCG</x:v>
      </x:c>
      <x:c r="C255" s="30" t="str">
        <x:v>Consulting</x:v>
      </x:c>
      <x:c r="D255" s="31" t="str">
        <x:v>self-intro + why not banking</x:v>
      </x:c>
      <x:c r="E255" s="31" t="str">
        <x:v>Tell me about yourself / walk me through your resume</x:v>
      </x:c>
      <x:c r="F255" s="31" t="str">
        <x:v>Fit &amp; Motivation</x:v>
      </x:c>
      <x:c r="G255" s="30" t="str">
        <x:v>CL0001</x:v>
      </x:c>
      <x:c r="H255" s="32" t="n">
        <x:f>COUNTIF($G$5:$G$288,G255)</x:f>
        <x:v>16</x:v>
      </x:c>
      <x:c r="I255" s="30" t="str">
        <x:v>A21</x:v>
      </x:c>
      <x:c r="J255" s="31" t="str">
        <x:v>为什么做咨询 | case, 晶片生产企业收入下滑（计算payback period） | Final 1.7 Charlie Reid</x:v>
      </x:c>
    </x:row>
    <x:row r="256" ht="32" customHeight="1">
      <x:c r="A256" s="30" t="str">
        <x:v>QB2568</x:v>
      </x:c>
      <x:c r="B256" s="30" t="str">
        <x:v>MS IED</x:v>
      </x:c>
      <x:c r="C256" s="30" t="str">
        <x:v>Sales &amp; Trading</x:v>
      </x:c>
      <x:c r="D256" s="31" t="str">
        <x:v>self introduction (rest of the interview all in mandarin)</x:v>
      </x:c>
      <x:c r="E256" s="31" t="str">
        <x:v>Tell me about yourself / walk me through your resume</x:v>
      </x:c>
      <x:c r="F256" s="31" t="str">
        <x:v>Fit &amp; Motivation</x:v>
      </x:c>
      <x:c r="G256" s="30" t="str">
        <x:v>CL0001</x:v>
      </x:c>
      <x:c r="H256" s="32" t="n">
        <x:f>COUNTIF($G$5:$G$288,G256)</x:f>
        <x:v>16</x:v>
      </x:c>
      <x:c r="I256" s="30" t="str">
        <x:v>R17</x:v>
      </x:c>
      <x:c r="J256" s="31" t="str">
        <x:v>Followup 2 (Anqi Jiang)</x:v>
      </x:c>
    </x:row>
    <x:row r="257" ht="48" customHeight="1">
      <x:c r="A257" s="30" t="str">
        <x:v>QB2570</x:v>
      </x:c>
      <x:c r="B257" s="30" t="str">
        <x:v>MS IED</x:v>
      </x:c>
      <x:c r="C257" s="30" t="str">
        <x:v>Sales &amp; Trading</x:v>
      </x:c>
      <x:c r="D257" s="31" t="str">
        <x:v>why pitch Ctrip but not Meituan since they're all China consumption sector</x:v>
      </x:c>
      <x:c r="E257" s="31" t="str">
        <x:v>Why pitch Ctrip but not Meituan since they're all China consumption sector</x:v>
      </x:c>
      <x:c r="F257" s="31" t="str">
        <x:v>Fit &amp; Motivation</x:v>
      </x:c>
      <x:c r="G257" s="30" t="str">
        <x:v>CL1159</x:v>
      </x:c>
      <x:c r="H257" s="32" t="n">
        <x:f>COUNTIF($G$5:$G$288,G257)</x:f>
        <x:v>1</x:v>
      </x:c>
      <x:c r="I257" s="30" t="str">
        <x:v>A18#2</x:v>
      </x:c>
      <x:c r="J257" s="31" t="str">
        <x:v>Round 1 (Riccardo - cross product sales) | Stock Pitch (45min prep + 10min pre + 5min Q&amp;A) | follow up on stock pitch</x:v>
      </x:c>
    </x:row>
    <x:row r="258" ht="48" customHeight="1">
      <x:c r="A258" s="30" t="str">
        <x:v>QB2576</x:v>
      </x:c>
      <x:c r="B258" s="30" t="str">
        <x:v>MS IED</x:v>
      </x:c>
      <x:c r="C258" s="30" t="str">
        <x:v>Sales &amp; Trading</x:v>
      </x:c>
      <x:c r="D258" s="31" t="str">
        <x:v>Introduce one recent headline that you follow (in mandarin)</x:v>
      </x:c>
      <x:c r="E258" s="31" t="str">
        <x:v>Introduce one recent headline that you follow (in mandarin)</x:v>
      </x:c>
      <x:c r="F258" s="31" t="str">
        <x:v>Fit &amp; Motivation</x:v>
      </x:c>
      <x:c r="G258" s="30" t="str">
        <x:v>CL0550</x:v>
      </x:c>
      <x:c r="H258" s="32" t="n">
        <x:f>COUNTIF($G$5:$G$288,G258)</x:f>
        <x:v>1</x:v>
      </x:c>
      <x:c r="I258" s="30" t="str">
        <x:v>I19</x:v>
      </x:c>
      <x:c r="J258" s="31" t="str">
        <x:v>Round 2 (Joanna - securities financing) | self introduction | CV - student club related question</x:v>
      </x:c>
    </x:row>
    <x:row r="259" ht="48" customHeight="1">
      <x:c r="A259" s="30" t="str">
        <x:v>QB2580</x:v>
      </x:c>
      <x:c r="B259" s="30" t="str">
        <x:v>MS IED</x:v>
      </x:c>
      <x:c r="C259" s="30" t="str">
        <x:v>Sales &amp; Trading</x:v>
      </x:c>
      <x:c r="D259" s="31" t="str">
        <x:v>Stock pitch (in mandarin)</x:v>
      </x:c>
      <x:c r="E259" s="31" t="str">
        <x:v>Pitch me a stock</x:v>
      </x:c>
      <x:c r="F259" s="31" t="str">
        <x:v>Fit &amp; Motivation</x:v>
      </x:c>
      <x:c r="G259" s="30" t="str">
        <x:v>CL0006</x:v>
      </x:c>
      <x:c r="H259" s="32" t="n">
        <x:f>COUNTIF($G$5:$G$288,G259)</x:f>
        <x:v>1</x:v>
      </x:c>
      <x:c r="I259" s="30" t="str">
        <x:v>I20</x:v>
      </x:c>
      <x:c r="J259" s="31" t="str">
        <x:v>self introduction | CV - student club related question | Introduce one recent headline that you follow (in mandarin)</x:v>
      </x:c>
    </x:row>
    <x:row r="260" ht="68" customHeight="1">
      <x:c r="A260" s="30" t="str">
        <x:v>QB2582</x:v>
      </x:c>
      <x:c r="B260" s="30" t="str">
        <x:v>MS IED</x:v>
      </x:c>
      <x:c r="C260" s="30" t="str">
        <x:v>Sales &amp; Trading</x:v>
      </x:c>
      <x:c r="D260" s="31" t="str">
        <x:v>Asset allocation (client profile is the interviewer himself)</x:v>
      </x:c>
      <x:c r="E260" s="31" t="str">
        <x:v>Asset allocation (client profile is the interviewer himself)</x:v>
      </x:c>
      <x:c r="F260" s="31" t="str">
        <x:v>Fit &amp; Motivation</x:v>
      </x:c>
      <x:c r="G260" s="30" t="str">
        <x:v>CL0148</x:v>
      </x:c>
      <x:c r="H260" s="32" t="n">
        <x:f>COUNTIF($G$5:$G$288,G260)</x:f>
        <x:v>1</x:v>
      </x:c>
      <x:c r="I260" s="30" t="str">
        <x:v>A21</x:v>
      </x:c>
      <x:c r="J260" s="31" t="str">
        <x:v>US election impact on the China's consumption sector | tell me what you know about the China policy pivot (detail such as size of the swap facility) | Give me one investment idea</x:v>
      </x:c>
    </x:row>
    <x:row r="261" ht="48" customHeight="1">
      <x:c r="A261" s="30" t="str">
        <x:v>QB2619</x:v>
      </x:c>
      <x:c r="B261" s="30" t="str">
        <x:v>Barclays GM</x:v>
      </x:c>
      <x:c r="C261" s="30" t="str">
        <x:v>Sales &amp; Trading</x:v>
      </x:c>
      <x:c r="D261" s="31" t="str">
        <x:v>Why Trading roles?</x:v>
      </x:c>
      <x:c r="E261" s="31" t="str">
        <x:v>Why Trading roles</x:v>
      </x:c>
      <x:c r="F261" s="31" t="str">
        <x:v>Fit &amp; Motivation</x:v>
      </x:c>
      <x:c r="G261" s="30" t="str">
        <x:v>CL1167</x:v>
      </x:c>
      <x:c r="H261" s="32" t="n">
        <x:f>COUNTIF($G$5:$G$288,G261)</x:f>
        <x:v>1</x:v>
      </x:c>
      <x:c r="I261" s="30" t="str">
        <x:v>A9</x:v>
      </x:c>
      <x:c r="J261" s="31" t="str">
        <x:v>Self intro | What are the achievements that u've made | Where are you currently based? (and then we chatted a lot on Milan very casually)</x:v>
      </x:c>
    </x:row>
    <x:row r="262" ht="48" customHeight="1">
      <x:c r="A262" s="30" t="str">
        <x:v>QB2630</x:v>
      </x:c>
      <x:c r="B262" s="30" t="str">
        <x:v>BofA (GM)</x:v>
      </x:c>
      <x:c r="C262" s="30" t="str">
        <x:v>Sales &amp; Trading</x:v>
      </x:c>
      <x:c r="D262" s="31" t="str">
        <x:v>Do you apply for other banks' programs? Then why BofA? (I said rotational opportunities within a real universal bank + friends' recommendation)</x:v>
      </x:c>
      <x:c r="E262" s="31" t="str">
        <x:v>Do you apply for other banks' programs? Then why BofA? (I said rotational opportunities within a real universal bank + friends' recommendation)</x:v>
      </x:c>
      <x:c r="F262" s="31" t="str">
        <x:v>Fit &amp; Motivation</x:v>
      </x:c>
      <x:c r="G262" s="30" t="str">
        <x:v>CL0267</x:v>
      </x:c>
      <x:c r="H262" s="32" t="n">
        <x:f>COUNTIF($G$5:$G$288,G262)</x:f>
        <x:v>1</x:v>
      </x:c>
      <x:c r="I262" s="30" t="str">
        <x:v>A6</x:v>
      </x:c>
      <x:c r="J262" s="31" t="str">
        <x:v>First Round | 24 with Equities Trading - Christelle Nachar, Director (Developed Markets Index) | self intro</x:v>
      </x:c>
    </x:row>
    <x:row r="263" ht="92" customHeight="1">
      <x:c r="A263" s="30" t="str">
        <x:v>QB2632</x:v>
      </x:c>
      <x:c r="B263" s="30" t="str">
        <x:v>BofA (GM)</x:v>
      </x:c>
      <x:c r="C263" s="30" t="str">
        <x:v>Sales &amp; Trading</x:v>
      </x:c>
      <x:c r="D263" s="31" t="str">
        <x:v>Then if I let you choose the three rotational desk, what would you choose? Why? (I said mostly sales-related)</x:v>
      </x:c>
      <x:c r="E263" s="31" t="str">
        <x:v>Then if I let you choose the three rotational desk, what would you choose? Why? (I said mostly sales-related)</x:v>
      </x:c>
      <x:c r="F263" s="31" t="str">
        <x:v>Fit &amp; Motivation</x:v>
      </x:c>
      <x:c r="G263" s="30" t="str">
        <x:v>CL0786</x:v>
      </x:c>
      <x:c r="H263" s="32" t="n">
        <x:f>COUNTIF($G$5:$G$288,G263)</x:f>
        <x:v>1</x:v>
      </x:c>
      <x:c r="I263" s="30" t="str">
        <x:v>A8</x:v>
      </x:c>
      <x:c r="J263" s="31" t="str">
        <x:v>self intro | Do you apply for other banks' programs? Then why BofA? (I said rotational opportunities within a real universal bank + friends' recommendation) | Since BofA is really a global bank with businesses across the world, what do y...</x:v>
      </x:c>
    </x:row>
    <x:row r="264" ht="92" customHeight="1">
      <x:c r="A264" s="30" t="str">
        <x:v>QB2634</x:v>
      </x:c>
      <x:c r="B264" s="30" t="str">
        <x:v>BofA (GM)</x:v>
      </x:c>
      <x:c r="C264" s="30" t="str">
        <x:v>Sales &amp; Trading</x:v>
      </x:c>
      <x:c r="D264" s="31" t="str">
        <x:v>Then why do you believe you can become a successful sales in BofA?</x:v>
      </x:c>
      <x:c r="E264" s="31" t="str">
        <x:v>Then why do you believe you can become a successful sales in BofA</x:v>
      </x:c>
      <x:c r="F264" s="31" t="str">
        <x:v>Fit &amp; Motivation</x:v>
      </x:c>
      <x:c r="G264" s="30" t="str">
        <x:v>CL0788</x:v>
      </x:c>
      <x:c r="H264" s="32" t="n">
        <x:f>COUNTIF($G$5:$G$288,G264)</x:f>
        <x:v>1</x:v>
      </x:c>
      <x:c r="I264" s="30" t="str">
        <x:v>A10</x:v>
      </x:c>
      <x:c r="J264" s="31" t="str">
        <x:v>Since BofA is really a global bank with businesses across the world, what do you see in your future careers? Focus in HK or probably move to US/EU? | Then if I let you choose the three rotational desk, what would you choose? Why? (I said...</x:v>
      </x:c>
    </x:row>
    <x:row r="265" ht="32" customHeight="1">
      <x:c r="A265" s="30" t="str">
        <x:v>QB2676</x:v>
      </x:c>
      <x:c r="B265" s="30" t="str">
        <x:v>BofA (GM)</x:v>
      </x:c>
      <x:c r="C265" s="30" t="str">
        <x:v>Sales &amp; Trading</x:v>
      </x:c>
      <x:c r="D265" s="31" t="str">
        <x:v>Why come to HK for University?</x:v>
      </x:c>
      <x:c r="E265" s="31" t="str">
        <x:v>Why come to HK for University</x:v>
      </x:c>
      <x:c r="F265" s="31" t="str">
        <x:v>Fit &amp; Motivation</x:v>
      </x:c>
      <x:c r="G265" s="30" t="str">
        <x:v>CL1116</x:v>
      </x:c>
      <x:c r="H265" s="32" t="n">
        <x:f>COUNTIF($G$5:$G$288,G265)</x:f>
        <x:v>1</x:v>
      </x:c>
      <x:c r="I265" s="30" t="str">
        <x:v>A57</x:v>
      </x:c>
      <x:c r="J265" s="31" t="str">
        <x:v>27 with Qilin Wei – Managing Director, FICC Trading | self-intro | Are you from Shanghai?</x:v>
      </x:c>
    </x:row>
    <x:row r="266" ht="32" customHeight="1">
      <x:c r="A266" s="30" t="str">
        <x:v>QB2687</x:v>
      </x:c>
      <x:c r="B266" s="30" t="str">
        <x:v>HSBC (GM)</x:v>
      </x:c>
      <x:c r="C266" s="30" t="str">
        <x:v>Sales &amp; Trading</x:v>
      </x:c>
      <x:c r="D266" s="31" t="str">
        <x:v>why HSBC?</x:v>
      </x:c>
      <x:c r="E266" s="31" t="str">
        <x:v>Why this firm?</x:v>
      </x:c>
      <x:c r="F266" s="31" t="str">
        <x:v>Fit &amp; Motivation</x:v>
      </x:c>
      <x:c r="G266" s="30" t="str">
        <x:v>CL0002</x:v>
      </x:c>
      <x:c r="H266" s="32" t="n">
        <x:f>COUNTIF($G$5:$G$288,G266)</x:f>
        <x:v>39</x:v>
      </x:c>
      <x:c r="I266" s="30" t="str">
        <x:v>L4</x:v>
      </x:c>
      <x:c r="J266" s="31" t="str">
        <x:v>Hazel - Round 1 (equity derivative trading) | self introduction</x:v>
      </x:c>
    </x:row>
    <x:row r="267" ht="32" customHeight="1">
      <x:c r="A267" s="30" t="str">
        <x:v>QB2689</x:v>
      </x:c>
      <x:c r="B267" s="30" t="str">
        <x:v>HSBC (GM)</x:v>
      </x:c>
      <x:c r="C267" s="30" t="str">
        <x:v>Sales &amp; Trading</x:v>
      </x:c>
      <x:c r="D267" s="31" t="str">
        <x:v>Consider AMPB major, why u want to do SnT?</x:v>
      </x:c>
      <x:c r="E267" s="31" t="str">
        <x:v>Consider AMPB major, why u want to do SnT</x:v>
      </x:c>
      <x:c r="F267" s="31" t="str">
        <x:v>Fit &amp; Motivation</x:v>
      </x:c>
      <x:c r="G267" s="30" t="str">
        <x:v>CL0205</x:v>
      </x:c>
      <x:c r="H267" s="32" t="n">
        <x:f>COUNTIF($G$5:$G$288,G267)</x:f>
        <x:v>1</x:v>
      </x:c>
      <x:c r="I267" s="30" t="str">
        <x:v>L5</x:v>
      </x:c>
      <x:c r="J267" s="31" t="str">
        <x:v>Hazel - Round 1 (equity derivative trading) | self introduction | why HSBC?</x:v>
      </x:c>
    </x:row>
    <x:row r="268" ht="68" customHeight="1">
      <x:c r="A268" s="30" t="str">
        <x:v>QB2695</x:v>
      </x:c>
      <x:c r="B268" s="30" t="str">
        <x:v>HSBC (GM)</x:v>
      </x:c>
      <x:c r="C268" s="30" t="str">
        <x:v>Sales &amp; Trading</x:v>
      </x:c>
      <x:c r="D268" s="31" t="str">
        <x:v>why is gold safe heaven asset and what are assets can be considered safe heaven</x:v>
      </x:c>
      <x:c r="E268" s="31" t="str">
        <x:v>Why is gold safe heaven asset and what are assets can be considered safe heaven</x:v>
      </x:c>
      <x:c r="F268" s="31" t="str">
        <x:v>Fit &amp; Motivation</x:v>
      </x:c>
      <x:c r="G268" s="30" t="str">
        <x:v>CL1144</x:v>
      </x:c>
      <x:c r="H268" s="32" t="n">
        <x:f>COUNTIF($G$5:$G$288,G268)</x:f>
        <x:v>1</x:v>
      </x:c>
      <x:c r="I268" s="30" t="str">
        <x:v>L8</x:v>
      </x:c>
      <x:c r="J268" s="31" t="str">
        <x:v>Consider AMPB major, why u want to do SnT? | 1.6 math calculation | what do you think drives the financial market in the last 6 months and what will be the drivers for the next 6 months</x:v>
      </x:c>
    </x:row>
    <x:row r="269" ht="32" customHeight="1">
      <x:c r="A269" s="30" t="str">
        <x:v>QB2711</x:v>
      </x:c>
      <x:c r="B269" s="30" t="str">
        <x:v>HSBC (GM)</x:v>
      </x:c>
      <x:c r="C269" s="30" t="str">
        <x:v>Sales &amp; Trading</x:v>
      </x:c>
      <x:c r="D269" s="31" t="str">
        <x:v>how do you think your major has benefited you</x:v>
      </x:c>
      <x:c r="E269" s="31" t="str">
        <x:v>How do you think your major has benefited you</x:v>
      </x:c>
      <x:c r="F269" s="31" t="str">
        <x:v>Fit &amp; Motivation</x:v>
      </x:c>
      <x:c r="G269" s="30" t="str">
        <x:v>CL0428</x:v>
      </x:c>
      <x:c r="H269" s="32" t="n">
        <x:f>COUNTIF($G$5:$G$288,G269)</x:f>
        <x:v>1</x:v>
      </x:c>
      <x:c r="I269" s="30" t="str">
        <x:v>L17</x:v>
      </x:c>
      <x:c r="J269" s="31" t="str">
        <x:v>self introduction | interests &amp; student clubs in CV | which subject do you like the most</x:v>
      </x:c>
    </x:row>
    <x:row r="270" ht="48" customHeight="1">
      <x:c r="A270" s="30" t="str">
        <x:v>QB2713</x:v>
      </x:c>
      <x:c r="B270" s="30" t="str">
        <x:v>HSBC (GM)</x:v>
      </x:c>
      <x:c r="C270" s="30" t="str">
        <x:v>Sales &amp; Trading</x:v>
      </x:c>
      <x:c r="D270" s="31" t="str">
        <x:v>do you know why credit suisse failed</x:v>
      </x:c>
      <x:c r="E270" s="31" t="str">
        <x:v>Do you know why credit suisse failed</x:v>
      </x:c>
      <x:c r="F270" s="31" t="str">
        <x:v>Fit &amp; Motivation</x:v>
      </x:c>
      <x:c r="G270" s="30" t="str">
        <x:v>CL0281</x:v>
      </x:c>
      <x:c r="H270" s="32" t="n">
        <x:f>COUNTIF($G$5:$G$288,G270)</x:f>
        <x:v>1</x:v>
      </x:c>
      <x:c r="I270" s="30" t="str">
        <x:v>L18</x:v>
      </x:c>
      <x:c r="J270" s="31" t="str">
        <x:v>interests &amp; student clubs in CV | which subject do you like the most | how do you think your major has benefited you</x:v>
      </x:c>
    </x:row>
    <x:row r="271" ht="48" customHeight="1">
      <x:c r="A271" s="30" t="str">
        <x:v>QB2733</x:v>
      </x:c>
      <x:c r="B271" s="30" t="str">
        <x:v>HSBC (GM)</x:v>
      </x:c>
      <x:c r="C271" s="30" t="str">
        <x:v>Sales &amp; Trading</x:v>
      </x:c>
      <x:c r="D271" s="31" t="str">
        <x:v>1mil asset allocation</x:v>
      </x:c>
      <x:c r="E271" s="31" t="str">
        <x:v>1mil asset allocation</x:v>
      </x:c>
      <x:c r="F271" s="31" t="str">
        <x:v>Fit &amp; Motivation</x:v>
      </x:c>
      <x:c r="G271" s="30" t="str">
        <x:v>CL0067</x:v>
      </x:c>
      <x:c r="H271" s="32" t="n">
        <x:f>COUNTIF($G$5:$G$288,G271)</x:f>
        <x:v>1</x:v>
      </x:c>
      <x:c r="I271" s="30" t="str">
        <x:v>L29</x:v>
      </x:c>
      <x:c r="J271" s="31" t="str">
        <x:v>sales or trading | CV question | how interest rate affects the global markets and different assets</x:v>
      </x:c>
    </x:row>
    <x:row r="272" ht="48" customHeight="1">
      <x:c r="A272" s="30" t="str">
        <x:v>QB2736</x:v>
      </x:c>
      <x:c r="B272" s="30" t="str">
        <x:v>HSBC (GM)</x:v>
      </x:c>
      <x:c r="C272" s="30" t="str">
        <x:v>Sales &amp; Trading</x:v>
      </x:c>
      <x:c r="D272" s="31" t="str">
        <x:v>why HSBC</x:v>
      </x:c>
      <x:c r="E272" s="31" t="str">
        <x:v>Why this firm?</x:v>
      </x:c>
      <x:c r="F272" s="31" t="str">
        <x:v>Fit &amp; Motivation</x:v>
      </x:c>
      <x:c r="G272" s="30" t="str">
        <x:v>CL0002</x:v>
      </x:c>
      <x:c r="H272" s="32" t="n">
        <x:f>COUNTIF($G$5:$G$288,G272)</x:f>
        <x:v>39</x:v>
      </x:c>
      <x:c r="I272" s="30" t="str">
        <x:v>A31</x:v>
      </x:c>
      <x:c r="J272" s="31" t="str">
        <x:v>introduce urself | asked abit about hobby and why i liked film pohtograhy | whats ur view on oil in the medium term</x:v>
      </x:c>
    </x:row>
    <x:row r="273" ht="48" customHeight="1">
      <x:c r="A273" s="30" t="str">
        <x:v>QB2819</x:v>
      </x:c>
      <x:c r="B273" s="30" t="str">
        <x:v>Neuberger Berman</x:v>
      </x:c>
      <x:c r="C273" s="30" t="str">
        <x:v>PWM / AM</x:v>
      </x:c>
      <x:c r="D273" s="31" t="str">
        <x:v>Why want to work here</x:v>
      </x:c>
      <x:c r="E273" s="31" t="str">
        <x:v>Why want to work here</x:v>
      </x:c>
      <x:c r="F273" s="31" t="str">
        <x:v>Fit &amp; Motivation</x:v>
      </x:c>
      <x:c r="G273" s="30" t="str">
        <x:v>CL1173</x:v>
      </x:c>
      <x:c r="H273" s="32" t="n">
        <x:f>COUNTIF($G$5:$G$288,G273)</x:f>
        <x:v>1</x:v>
      </x:c>
      <x:c r="I273" s="30" t="str">
        <x:v>A12</x:v>
      </x:c>
      <x:c r="J273" s="31" t="str">
        <x:v>What is a good IPO candidate | Personal trait why pick you | What's you fav and least fav park of your current internship</x:v>
      </x:c>
    </x:row>
    <x:row r="274" ht="32" customHeight="1">
      <x:c r="A274" s="30" t="str">
        <x:v>QB2825</x:v>
      </x:c>
      <x:c r="B274" s="30" t="str">
        <x:v>UBS AM</x:v>
      </x:c>
      <x:c r="C274" s="30" t="str">
        <x:v>PWM / AM</x:v>
      </x:c>
      <x:c r="D274" s="31" t="str">
        <x:v>Why AM ?</x:v>
      </x:c>
      <x:c r="E274" s="31" t="str">
        <x:v>Why asset management?</x:v>
      </x:c>
      <x:c r="F274" s="31" t="str">
        <x:v>Fit &amp; Motivation</x:v>
      </x:c>
      <x:c r="G274" s="30" t="str">
        <x:v>CL0029</x:v>
      </x:c>
      <x:c r="H274" s="32" t="n">
        <x:f>COUNTIF($G$5:$G$288,G274)</x:f>
        <x:v>3</x:v>
      </x:c>
      <x:c r="I274" s="30" t="str">
        <x:v>A5</x:v>
      </x:c>
      <x:c r="J274" s="31" t="str">
        <x:v>UBS AM SPD | Behavioural | Self introduction</x:v>
      </x:c>
    </x:row>
    <x:row r="275" ht="32" customHeight="1">
      <x:c r="A275" s="30" t="str">
        <x:v>QB2835</x:v>
      </x:c>
      <x:c r="B275" s="30" t="str">
        <x:v>UBS AM</x:v>
      </x:c>
      <x:c r="C275" s="30" t="str">
        <x:v>PWM / AM</x:v>
      </x:c>
      <x:c r="D275" s="31" t="str">
        <x:v>Why AM?</x:v>
      </x:c>
      <x:c r="E275" s="31" t="str">
        <x:v>Why asset management?</x:v>
      </x:c>
      <x:c r="F275" s="31" t="str">
        <x:v>Fit &amp; Motivation</x:v>
      </x:c>
      <x:c r="G275" s="30" t="str">
        <x:v>CL0029</x:v>
      </x:c>
      <x:c r="H275" s="32" t="n">
        <x:f>COUNTIF($G$5:$G$288,G275)</x:f>
        <x:v>3</x:v>
      </x:c>
      <x:c r="I275" s="30" t="str">
        <x:v>A16</x:v>
      </x:c>
      <x:c r="J275" s="31" t="str">
        <x:v>A time you made a risky decision? | Technical | Self introduction</x:v>
      </x:c>
    </x:row>
    <x:row r="276" ht="68" customHeight="1">
      <x:c r="A276" s="30" t="str">
        <x:v>QB2861</x:v>
      </x:c>
      <x:c r="B276" s="30" t="str">
        <x:v>Fountainvest</x:v>
      </x:c>
      <x:c r="C276" s="30" t="str">
        <x:v>PE / VC / Other</x:v>
      </x:c>
      <x:c r="D276" s="31" t="str">
        <x:v>What multiples would you use? Why use EV/EBIT? Why does the company have a lower EV/EBIT than others?</x:v>
      </x:c>
      <x:c r="E276" s="31" t="str">
        <x:v>What multiples would you use? Why use EV/EBIT? Why does the company have a lower EV/EBIT than others</x:v>
      </x:c>
      <x:c r="F276" s="31" t="str">
        <x:v>Fit &amp; Motivation</x:v>
      </x:c>
      <x:c r="G276" s="30" t="str">
        <x:v>CL1018</x:v>
      </x:c>
      <x:c r="H276" s="32" t="n">
        <x:f>COUNTIF($G$5:$G$288,G276)</x:f>
        <x:v>1</x:v>
      </x:c>
      <x:c r="I276" s="30" t="str">
        <x:v>B9</x:v>
      </x:c>
      <x:c r="J276" s="31" t="str">
        <x:v>Give me an example of one vessel's (eg. capex, contract length, charter operating EPC rates, years of return etc) | Revenue forecast of the company? | Do you think this is an attractive investment opportunity? Why?</x:v>
      </x:c>
    </x:row>
    <x:row r="277" ht="48" customHeight="1">
      <x:c r="A277" s="30" t="str">
        <x:v>QB2865</x:v>
      </x:c>
      <x:c r="B277" s="30" t="str">
        <x:v>Fountainvest</x:v>
      </x:c>
      <x:c r="C277" s="30" t="str">
        <x:v>PE / VC / Other</x:v>
      </x:c>
      <x:c r="D277" s="31" t="str">
        <x:v>Why didn't you get return from UBS?</x:v>
      </x:c>
      <x:c r="E277" s="31" t="str">
        <x:v>Why didn't you get return from UBS</x:v>
      </x:c>
      <x:c r="F277" s="31" t="str">
        <x:v>Fit &amp; Motivation</x:v>
      </x:c>
      <x:c r="G277" s="30" t="str">
        <x:v>CL1123</x:v>
      </x:c>
      <x:c r="H277" s="32" t="n">
        <x:f>COUNTIF($G$5:$G$288,G277)</x:f>
        <x:v>1</x:v>
      </x:c>
      <x:c r="I277" s="30" t="str">
        <x:v>A14</x:v>
      </x:c>
      <x:c r="J277" s="31" t="str">
        <x:v>1st round Michael Li (All putonghua) | Background questions: where are you from? Where you grew up in? | What is your career plan?</x:v>
      </x:c>
    </x:row>
    <x:row r="278" ht="32" customHeight="1">
      <x:c r="A278" s="30" t="str">
        <x:v>QB2873</x:v>
      </x:c>
      <x:c r="B278" s="30" t="str">
        <x:v>Centrium</x:v>
      </x:c>
      <x:c r="C278" s="30" t="str">
        <x:v>PE / VC / Other</x:v>
      </x:c>
      <x:c r="D278" s="31" t="str">
        <x:v>Do you have any bio experiences? Why do you want to work in healthcare?</x:v>
      </x:c>
      <x:c r="E278" s="31" t="str">
        <x:v>Do you have any bio experiences? Why do you want to work in healthcare</x:v>
      </x:c>
      <x:c r="F278" s="31" t="str">
        <x:v>Fit &amp; Motivation</x:v>
      </x:c>
      <x:c r="G278" s="30" t="str">
        <x:v>CL0270</x:v>
      </x:c>
      <x:c r="H278" s="32" t="n">
        <x:f>COUNTIF($G$5:$G$288,G278)</x:f>
        <x:v>1</x:v>
      </x:c>
      <x:c r="I278" s="30" t="str">
        <x:v>A4</x:v>
      </x:c>
      <x:c r="J278" s="31" t="str">
        <x:v>2025 offcycle (Emily) | 45608 | Self intro, basic info (can work f2f? when can start?)</x:v>
      </x:c>
    </x:row>
    <x:row r="279" ht="32" customHeight="1">
      <x:c r="A279" s="30" t="str">
        <x:v>QB2879</x:v>
      </x:c>
      <x:c r="B279" s="30" t="str">
        <x:v>MSPEA</x:v>
      </x:c>
      <x:c r="C279" s="30" t="str">
        <x:v>PE / VC / Other</x:v>
      </x:c>
      <x:c r="D279" s="31" t="str">
        <x:v>Why are you interested in primary markets compared to secondary markets</x:v>
      </x:c>
      <x:c r="E279" s="31" t="str">
        <x:v>Why are you interested in primary markets compared to secondary markets</x:v>
      </x:c>
      <x:c r="F279" s="31" t="str">
        <x:v>Fit &amp; Motivation</x:v>
      </x:c>
      <x:c r="G279" s="30" t="str">
        <x:v>CL1114</x:v>
      </x:c>
      <x:c r="H279" s="32" t="n">
        <x:f>COUNTIF($G$5:$G$288,G279)</x:f>
        <x:v>1</x:v>
      </x:c>
      <x:c r="I279" s="30" t="str">
        <x:v>B3</x:v>
      </x:c>
      <x:c r="J279" s="31" t="str">
        <x:v>Final round</x:v>
      </x:c>
    </x:row>
    <x:row r="280" ht="92" customHeight="1">
      <x:c r="A280" s="30" t="str">
        <x:v>QB2885</x:v>
      </x:c>
      <x:c r="B280" s="30" t="str">
        <x:v>MSPEA</x:v>
      </x:c>
      <x:c r="C280" s="30" t="str">
        <x:v>PE / VC / Other</x:v>
      </x:c>
      <x:c r="D280" s="31" t="str">
        <x:v>What multiples would you look at? Why EV/EBIT but not other multiples?</x:v>
      </x:c>
      <x:c r="E280" s="31" t="str">
        <x:v>What multiples would you look at? Why EV/EBIT but not other multiples</x:v>
      </x:c>
      <x:c r="F280" s="31" t="str">
        <x:v>Fit &amp; Motivation</x:v>
      </x:c>
      <x:c r="G280" s="30" t="str">
        <x:v>CL1017</x:v>
      </x:c>
      <x:c r="H280" s="32" t="n">
        <x:f>COUNTIF($G$5:$G$288,G280)</x:f>
        <x:v>1</x:v>
      </x:c>
      <x:c r="I280" s="30" t="str">
        <x:v>B6</x:v>
      </x:c>
      <x:c r="J280" s="31" t="str">
        <x:v>Why are you interested in primary markets compared to secondary markets | What are the differences in primary markets investment compared to secondary markets? | Tell me about a recent investment you made that you think is very attractiv...</x:v>
      </x:c>
    </x:row>
    <x:row r="281" ht="92" customHeight="1">
      <x:c r="A281" s="30" t="str">
        <x:v>QB2893</x:v>
      </x:c>
      <x:c r="B281" s="30" t="str">
        <x:v>MSPEA</x:v>
      </x:c>
      <x:c r="C281" s="30" t="str">
        <x:v>PE / VC / Other</x:v>
      </x:c>
      <x:c r="D281" s="31" t="str">
        <x:v>What affects gross profit margin? (I said, price, cost, volume). She said the utilisation rate of the machines will also affect the volume. More volume means fixed cost can be spread over more items due to economies of scale</x:v>
      </x:c>
      <x:c r="E281" s="31" t="str">
        <x:v>What affects gross profit margin? (I said, price, cost, volume). She said the utilisation rate of the machines will also affect the volume. More volume means fixed cost can be spread over more items due to economies of scale</x:v>
      </x:c>
      <x:c r="F281" s="31" t="str">
        <x:v>Fit &amp; Motivation</x:v>
      </x:c>
      <x:c r="G281" s="30" t="str">
        <x:v>CL0859</x:v>
      </x:c>
      <x:c r="H281" s="32" t="n">
        <x:f>COUNTIF($G$5:$G$288,G281)</x:f>
        <x:v>1</x:v>
      </x:c>
      <x:c r="I281" s="30" t="str">
        <x:v>B10</x:v>
      </x:c>
      <x:c r="J281" s="31" t="str">
        <x:v>For a company with high debt usage vs low debt, but similar EV/EBIT, which company will you invest in? | What are some metrics you would look at to evaluate a debt ratio? Apart from these ratio, any qualitative measures? | What are some ...</x:v>
      </x:c>
    </x:row>
    <x:row r="282" ht="92" customHeight="1">
      <x:c r="A282" s="30" t="str">
        <x:v>QB2897</x:v>
      </x:c>
      <x:c r="B282" s="30" t="str">
        <x:v>MSPEA</x:v>
      </x:c>
      <x:c r="C282" s="30" t="str">
        <x:v>PE / VC / Other</x:v>
      </x:c>
      <x:c r="D282" s="31" t="str">
        <x:v>What are your hobbies? Why did you get started with fencing and why did you continue?</x:v>
      </x:c>
      <x:c r="E282" s="31" t="str">
        <x:v>What are your interests outside work and school?</x:v>
      </x:c>
      <x:c r="F282" s="31" t="str">
        <x:v>Fit &amp; Motivation</x:v>
      </x:c>
      <x:c r="G282" s="30" t="str">
        <x:v>CL0014</x:v>
      </x:c>
      <x:c r="H282" s="32" t="n">
        <x:f>COUNTIF($G$5:$G$288,G282)</x:f>
        <x:v>1</x:v>
      </x:c>
      <x:c r="I282" s="30" t="str">
        <x:v>B12</x:v>
      </x:c>
      <x:c r="J282" s="31" t="str">
        <x:v>What are some factors that will affect oil price? | What affects gross profit margin? (I said, price, cost, volume). She said the utilisation rate of the machines will also affect the volume. More volume means fixed cost can be spread ov...</x:v>
      </x:c>
    </x:row>
    <x:row r="283" ht="32" customHeight="1">
      <x:c r="A283" s="30" t="str">
        <x:v>QB2911</x:v>
      </x:c>
      <x:c r="B283" s="30" t="str">
        <x:v>Warburg Pincus</x:v>
      </x:c>
      <x:c r="C283" s="30" t="str">
        <x:v>PE / VC / Other</x:v>
      </x:c>
      <x:c r="D283" s="31" t="str">
        <x:v>Why no return from UBS?</x:v>
      </x:c>
      <x:c r="E283" s="31" t="str">
        <x:v>Why no return from UBS</x:v>
      </x:c>
      <x:c r="F283" s="31" t="str">
        <x:v>Fit &amp; Motivation</x:v>
      </x:c>
      <x:c r="G283" s="30" t="str">
        <x:v>CL1153</x:v>
      </x:c>
      <x:c r="H283" s="32" t="n">
        <x:f>COUNTIF($G$5:$G$288,G283)</x:f>
        <x:v>1</x:v>
      </x:c>
      <x:c r="I283" s="30" t="str">
        <x:v>A2</x:v>
      </x:c>
      <x:c r="J283" s="31" t="str">
        <x:v>2025 offcycle FIG</x:v>
      </x:c>
    </x:row>
    <x:row r="284" ht="32" customHeight="1">
      <x:c r="A284" s="30" t="str">
        <x:v>QB2935</x:v>
      </x:c>
      <x:c r="B284" s="30" t="str">
        <x:v>HKEX</x:v>
      </x:c>
      <x:c r="C284" s="30" t="str">
        <x:v>PE / VC / Other</x:v>
      </x:c>
      <x:c r="D284" s="31" t="str">
        <x:v>Why HKEX, what are the major income sources of HKEX?</x:v>
      </x:c>
      <x:c r="E284" s="31" t="str">
        <x:v>Why this firm?</x:v>
      </x:c>
      <x:c r="F284" s="31" t="str">
        <x:v>Fit &amp; Motivation</x:v>
      </x:c>
      <x:c r="G284" s="30" t="str">
        <x:v>CL0002</x:v>
      </x:c>
      <x:c r="H284" s="32" t="n">
        <x:f>COUNTIF($G$5:$G$288,G284)</x:f>
        <x:v>39</x:v>
      </x:c>
      <x:c r="I284" s="30" t="str">
        <x:v>A3</x:v>
      </x:c>
      <x:c r="J284" s="31" t="str">
        <x:v>2025 HKEX group strategy | 1st round (2 interviewers):</x:v>
      </x:c>
    </x:row>
    <x:row r="285" ht="68" customHeight="1">
      <x:c r="A285" s="30" t="str">
        <x:v>QB2945</x:v>
      </x:c>
      <x:c r="B285" s="30" t="str">
        <x:v>HKEX</x:v>
      </x:c>
      <x:c r="C285" s="30" t="str">
        <x:v>PE / VC / Other</x:v>
      </x:c>
      <x:c r="D285" s="31" t="str">
        <x:v>What are the differences between HKEX, SSE, SZSE, NASDAQ, NYSE in terms of their scope of business, pros and cons. Why would a company choose HKEX? (consider not only listing, but also the derivative market, preferences of different industries)</x:v>
      </x:c>
      <x:c r="E285" s="31" t="str">
        <x:v>What are the differences between HKEX, SSE, SZSE, NASDAQ, NYSE in terms of their scope of business, pros and cons. Why would a company choose HKEX? (consider not only listing, but also the derivative market, preferences of different industries)</x:v>
      </x:c>
      <x:c r="F285" s="31" t="str">
        <x:v>Fit &amp; Motivation</x:v>
      </x:c>
      <x:c r="G285" s="30" t="str">
        <x:v>CL0878</x:v>
      </x:c>
      <x:c r="H285" s="32" t="n">
        <x:f>COUNTIF($G$5:$G$288,G285)</x:f>
        <x:v>1</x:v>
      </x:c>
      <x:c r="I285" s="30" t="str">
        <x:v>A14</x:v>
      </x:c>
      <x:c r="J285" s="31" t="str">
        <x:v>How well do you know about HKEX and this department? | What is the recent development of HKEX? | What would you recommend HKEX to do in the future (you may consider policies, fintech integration, Southeast Asian market etc.)</x:v>
      </x:c>
    </x:row>
    <x:row r="286" ht="68" customHeight="1">
      <x:c r="A286" s="30" t="str">
        <x:v>QB2956</x:v>
      </x:c>
      <x:c r="B286" s="30" t="str">
        <x:v>JPM Payment</x:v>
      </x:c>
      <x:c r="C286" s="30" t="str">
        <x:v>PE / VC / Other</x:v>
      </x:c>
      <x:c r="D286" s="31" t="str">
        <x:v>Motivation Qs: why payment?</x:v>
      </x:c>
      <x:c r="E286" s="31" t="str">
        <x:v>Motivation Qs: why payment</x:v>
      </x:c>
      <x:c r="F286" s="31" t="str">
        <x:v>Fit &amp; Motivation</x:v>
      </x:c>
      <x:c r="G286" s="30" t="str">
        <x:v>CL0610</x:v>
      </x:c>
      <x:c r="H286" s="32" t="n">
        <x:f>COUNTIF($G$5:$G$288,G286)</x:f>
        <x:v>1</x:v>
      </x:c>
      <x:c r="I286" s="30" t="str">
        <x:v>A4</x:v>
      </x:c>
      <x:c r="J286" s="31" t="str">
        <x:v>2026 SA JPM Payment (Veronica) | First Round with 2 VPs | Several behaviroual Qs with follow-ups (Complex task, group work quality not good, something against your value, working styles with different ppl)</x:v>
      </x:c>
    </x:row>
    <x:row r="287" ht="32" customHeight="1">
      <x:c r="A287" s="30" t="str">
        <x:v>QB2969</x:v>
      </x:c>
      <x:c r="B287" s="30" t="str">
        <x:v>HSBC CMB</x:v>
      </x:c>
      <x:c r="C287" s="30" t="str">
        <x:v>PE / VC / Other</x:v>
      </x:c>
      <x:c r="D287" s="31" t="str">
        <x:v>Soft quality like team work is prefered, rather than some hard skills</x:v>
      </x:c>
      <x:c r="E287" s="31" t="str">
        <x:v>Soft quality like team work is prefered, rather than some hard skills</x:v>
      </x:c>
      <x:c r="F287" s="31" t="str">
        <x:v>Fit &amp; Motivation</x:v>
      </x:c>
      <x:c r="G287" s="30" t="str">
        <x:v>CL0687</x:v>
      </x:c>
      <x:c r="H287" s="32" t="n">
        <x:f>COUNTIF($G$5:$G$288,G287)</x:f>
        <x:v>1</x:v>
      </x:c>
      <x:c r="I287" s="30" t="str">
        <x:v>D5</x:v>
      </x:c>
      <x:c r="J287" s="31" t="str"/>
    </x:row>
    <x:row r="288" ht="32" customHeight="1">
      <x:c r="A288" s="30" t="str">
        <x:v>QB2981</x:v>
      </x:c>
      <x:c r="B288" s="30" t="str">
        <x:v>Mindworks Capital</x:v>
      </x:c>
      <x:c r="C288" s="30" t="str">
        <x:v>PE / VC / Other</x:v>
      </x:c>
      <x:c r="D288" s="31" t="str">
        <x:v>Why Mindworks</x:v>
      </x:c>
      <x:c r="E288" s="31" t="str">
        <x:v>Why this firm?</x:v>
      </x:c>
      <x:c r="F288" s="31" t="str">
        <x:v>Fit &amp; Motivation</x:v>
      </x:c>
      <x:c r="G288" s="30" t="str">
        <x:v>CL0002</x:v>
      </x:c>
      <x:c r="H288" s="32" t="n">
        <x:f>COUNTIF($G$5:$G$288,G288)</x:f>
        <x:v>39</x:v>
      </x:c>
      <x:c r="I288" s="30" t="str">
        <x:v>A4</x:v>
      </x:c>
      <x:c r="J288" s="31" t="str">
        <x:v>Jim | 千万不要轻敌 | 学院面试</x:v>
      </x:c>
    </x:row>
  </x:sheetData>
  <x:mergeCells>
    <x:mergeCell ref="A1:J1"/>
    <x:mergeCell ref="A2:J2"/>
  </x:mergeCells>
  <x:conditionalFormatting sqref="H5:H288">
    <x:cfRule type="cellIs" dxfId="10" priority="1" operator="greaterThan">
      <x:formula>1</x:formula>
    </x:cfRule>
  </x:conditionalFormatting>
  <x:pageMargins left="0.7" right="0.7" top="0.75" bottom="0.75" header="0.3" footer="0.3"/>
  <x:tableParts count="1">
    <x:tablePart xmlns:r="http://schemas.openxmlformats.org/officeDocument/2006/relationships" r:id="R2f269e1516e741f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Resume &amp; Experience</x:v>
      </x:c>
      <x:c r="B1" s="3"/>
      <x:c r="C1" s="3"/>
      <x:c r="D1" s="3"/>
      <x:c r="E1" s="3"/>
      <x:c r="F1" s="3"/>
      <x:c r="G1" s="3"/>
      <x:c r="H1" s="3"/>
      <x:c r="I1" s="3"/>
      <x:c r="J1" s="3"/>
    </x:row>
    <x:row r="2" ht="30" customHeight="1">
      <x:c r="A2" s="7" t="str">
        <x:v>Preparation list for Resume &amp; Experience.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QB0016</x:v>
      </x:c>
      <x:c r="B5" s="30" t="str">
        <x:v>MS IBD</x:v>
      </x:c>
      <x:c r="C5" s="30" t="str">
        <x:v>IBD / GCM</x:v>
      </x:c>
      <x:c r="D5" s="31" t="str">
        <x:v>Walk me through your resume and tell me about yourself</x:v>
      </x:c>
      <x:c r="E5" s="31" t="str">
        <x:v>Tell me about yourself / walk me through your resume</x:v>
      </x:c>
      <x:c r="F5" s="31" t="str">
        <x:v>Resume &amp; Experience</x:v>
      </x:c>
      <x:c r="G5" s="30" t="str">
        <x:v>CL0001</x:v>
      </x:c>
      <x:c r="H5" s="32" t="n">
        <x:f>COUNTIF($G$5:$G$302,G5)</x:f>
        <x:v>141</x:v>
      </x:c>
      <x:c r="I5" s="30" t="str">
        <x:v>A4</x:v>
      </x:c>
      <x:c r="J5" s="31" t="str">
        <x:v>2024 SA | First Round | Emily</x:v>
      </x:c>
    </x:row>
    <x:row r="6" ht="48" customHeight="1">
      <x:c r="A6" s="30" t="str">
        <x:v>QB0036</x:v>
      </x:c>
      <x:c r="B6" s="30" t="str">
        <x:v>MS IBD</x:v>
      </x:c>
      <x:c r="C6" s="30" t="str">
        <x:v>IBD / GCM</x:v>
      </x:c>
      <x:c r="D6" s="31" t="str">
        <x:v>Self-intro</x:v>
      </x:c>
      <x:c r="E6" s="31" t="str">
        <x:v>Tell me about yourself / walk me through your resume</x:v>
      </x:c>
      <x:c r="F6" s="31" t="str">
        <x:v>Resume &amp; Experience</x:v>
      </x:c>
      <x:c r="G6" s="30" t="str">
        <x:v>CL0001</x:v>
      </x:c>
      <x:c r="H6" s="32" t="n">
        <x:f>COUNTIF($G$5:$G$302,G6)</x:f>
        <x:v>141</x:v>
      </x:c>
      <x:c r="I6" s="30" t="str">
        <x:v>A21</x:v>
      </x:c>
      <x:c r="J6" s="31" t="str">
        <x:v>Done, Q&amp;A for 15 mins-ish | First Round | 1st round 13/9 Daisy (Dennis Liu from Financial Sponsor Group)</x:v>
      </x:c>
    </x:row>
    <x:row r="7" ht="32" customHeight="1">
      <x:c r="A7" s="30" t="str">
        <x:v>QB0038</x:v>
      </x:c>
      <x:c r="B7" s="30" t="str">
        <x:v>MS IBD</x:v>
      </x:c>
      <x:c r="C7" s="30" t="str">
        <x:v>IBD / GCM</x:v>
      </x:c>
      <x:c r="D7" s="31" t="str">
        <x:v>Self introduction/ walk me through your resume</x:v>
      </x:c>
      <x:c r="E7" s="31" t="str">
        <x:v>Tell me about yourself / walk me through your resume</x:v>
      </x:c>
      <x:c r="F7" s="31" t="str">
        <x:v>Resume &amp; Experience</x:v>
      </x:c>
      <x:c r="G7" s="30" t="str">
        <x:v>CL0001</x:v>
      </x:c>
      <x:c r="H7" s="32" t="n">
        <x:f>COUNTIF($G$5:$G$302,G7)</x:f>
        <x:v>141</x:v>
      </x:c>
      <x:c r="I7" s="30" t="str">
        <x:v>E21</x:v>
      </x:c>
      <x:c r="J7" s="31" t="str">
        <x:v>1st round 4/9 Beata (Peter Law, VP from HK Coverage)</x:v>
      </x:c>
    </x:row>
    <x:row r="8" ht="32" customHeight="1">
      <x:c r="A8" s="30" t="str">
        <x:v>QB0039</x:v>
      </x:c>
      <x:c r="B8" s="30" t="str">
        <x:v>MS IBD</x:v>
      </x:c>
      <x:c r="C8" s="30" t="str">
        <x:v>IBD / GCM</x:v>
      </x:c>
      <x:c r="D8" s="31" t="str">
        <x:v>Self-intro</x:v>
      </x:c>
      <x:c r="E8" s="31" t="str">
        <x:v>Tell me about yourself / walk me through your resume</x:v>
      </x:c>
      <x:c r="F8" s="31" t="str">
        <x:v>Resume &amp; Experience</x:v>
      </x:c>
      <x:c r="G8" s="30" t="str">
        <x:v>CL0001</x:v>
      </x:c>
      <x:c r="H8" s="32" t="n">
        <x:f>COUNTIF($G$5:$G$302,G8)</x:f>
        <x:v>141</x:v>
      </x:c>
      <x:c r="I8" s="30" t="str">
        <x:v>F21</x:v>
      </x:c>
      <x:c r="J8" s="31" t="str">
        <x:v>1st round 2/10 Leo (Jason Tse, Asso from Financial Sponsor Group)</x:v>
      </x:c>
    </x:row>
    <x:row r="9" ht="32" customHeight="1">
      <x:c r="A9" s="30" t="str">
        <x:v>QB0040</x:v>
      </x:c>
      <x:c r="B9" s="30" t="str">
        <x:v>MS IBD</x:v>
      </x:c>
      <x:c r="C9" s="30" t="str">
        <x:v>IBD / GCM</x:v>
      </x:c>
      <x:c r="D9" s="31" t="str">
        <x:v>Self Intro</x:v>
      </x:c>
      <x:c r="E9" s="31" t="str">
        <x:v>Tell me about yourself / walk me through your resume</x:v>
      </x:c>
      <x:c r="F9" s="31" t="str">
        <x:v>Resume &amp; Experience</x:v>
      </x:c>
      <x:c r="G9" s="30" t="str">
        <x:v>CL0001</x:v>
      </x:c>
      <x:c r="H9" s="32" t="n">
        <x:f>COUNTIF($G$5:$G$302,G9)</x:f>
        <x:v>141</x:v>
      </x:c>
      <x:c r="I9" s="30" t="str">
        <x:v>G21</x:v>
      </x:c>
      <x:c r="J9" s="31" t="str">
        <x:v>1st round Emily 4/10 (Kelly Liu, Asso from TMT)</x:v>
      </x:c>
    </x:row>
    <x:row r="10" ht="32" customHeight="1">
      <x:c r="A10" s="30" t="str">
        <x:v>QB0041</x:v>
      </x:c>
      <x:c r="B10" s="30" t="str">
        <x:v>MS IBD</x:v>
      </x:c>
      <x:c r="C10" s="30" t="str">
        <x:v>IBD / GCM</x:v>
      </x:c>
      <x:c r="D10" s="31" t="str">
        <x:v>Self Intro</x:v>
      </x:c>
      <x:c r="E10" s="31" t="str">
        <x:v>Tell me about yourself / walk me through your resume</x:v>
      </x:c>
      <x:c r="F10" s="31" t="str">
        <x:v>Resume &amp; Experience</x:v>
      </x:c>
      <x:c r="G10" s="30" t="str">
        <x:v>CL0001</x:v>
      </x:c>
      <x:c r="H10" s="32" t="n">
        <x:f>COUNTIF($G$5:$G$302,G10)</x:f>
        <x:v>141</x:v>
      </x:c>
      <x:c r="I10" s="30" t="str">
        <x:v>H21</x:v>
      </x:c>
      <x:c r="J10" s="31" t="str">
        <x:v>1st round Jasmine 4/10 (Kelly Liu, Asso from TMT)</x:v>
      </x:c>
    </x:row>
    <x:row r="11" ht="32" customHeight="1">
      <x:c r="A11" s="30" t="str">
        <x:v>QB0043</x:v>
      </x:c>
      <x:c r="B11" s="30" t="str">
        <x:v>MS IBD</x:v>
      </x:c>
      <x:c r="C11" s="30" t="str">
        <x:v>IBD / GCM</x:v>
      </x:c>
      <x:c r="D11" s="31" t="str">
        <x:v>What did you do in Odysseus</x:v>
      </x:c>
      <x:c r="E11" s="31" t="str">
        <x:v>What did you do in Odysseus</x:v>
      </x:c>
      <x:c r="F11" s="31" t="str">
        <x:v>Resume &amp; Experience</x:v>
      </x:c>
      <x:c r="G11" s="30" t="str">
        <x:v>CL0902</x:v>
      </x:c>
      <x:c r="H11" s="32" t="n">
        <x:f>COUNTIF($G$5:$G$302,G11)</x:f>
        <x:v>1</x:v>
      </x:c>
      <x:c r="I11" s="30" t="str">
        <x:v>C22</x:v>
      </x:c>
      <x:c r="J11" s="31" t="str">
        <x:v>1st round 8/9 Germaine (Ray Hu from Real Estate) | Self Intro + Why IBD</x:v>
      </x:c>
    </x:row>
    <x:row r="12" ht="48" customHeight="1">
      <x:c r="A12" s="30" t="str">
        <x:v>QB0052</x:v>
      </x:c>
      <x:c r="B12" s="30" t="str">
        <x:v>MS IBD</x:v>
      </x:c>
      <x:c r="C12" s="30" t="str">
        <x:v>IBD / GCM</x:v>
      </x:c>
      <x:c r="D12" s="31" t="str">
        <x:v>Tell me about one project you worked on in UBS, your responsibilities and its valuation</x:v>
      </x:c>
      <x:c r="E12" s="31" t="str">
        <x:v>Tell me about one project you worked on in UBS, your responsibilities and its valuation</x:v>
      </x:c>
      <x:c r="F12" s="31" t="str">
        <x:v>Resume &amp; Experience</x:v>
      </x:c>
      <x:c r="G12" s="30" t="str">
        <x:v>CL0738</x:v>
      </x:c>
      <x:c r="H12" s="32" t="n">
        <x:f>COUNTIF($G$5:$G$302,G12)</x:f>
        <x:v>1</x:v>
      </x:c>
      <x:c r="I12" s="30" t="str">
        <x:v>G23</x:v>
      </x:c>
      <x:c r="J12" s="31" t="str">
        <x:v>1st round Emily 4/10 (Kelly Liu, Asso from TMT) | Self Intro | Did you have return? What's the return rate? (but she was nice about it)</x:v>
      </x:c>
    </x:row>
    <x:row r="13" ht="48" customHeight="1">
      <x:c r="A13" s="30" t="str">
        <x:v>QB0059</x:v>
      </x:c>
      <x:c r="B13" s="30" t="str">
        <x:v>MS IBD</x:v>
      </x:c>
      <x:c r="C13" s="30" t="str">
        <x:v>IBD / GCM</x:v>
      </x:c>
      <x:c r="D13" s="31" t="str">
        <x:v>Tell me about one project you worked on in Nomura</x:v>
      </x:c>
      <x:c r="E13" s="31" t="str">
        <x:v>Tell me about one project you worked on in Nomura</x:v>
      </x:c>
      <x:c r="F13" s="31" t="str">
        <x:v>Resume &amp; Experience</x:v>
      </x:c>
      <x:c r="G13" s="30" t="str">
        <x:v>CL0737</x:v>
      </x:c>
      <x:c r="H13" s="32" t="n">
        <x:f>COUNTIF($G$5:$G$302,G13)</x:f>
        <x:v>1</x:v>
      </x:c>
      <x:c r="I13" s="30" t="str">
        <x:v>H24</x:v>
      </x:c>
      <x:c r="J13" s="31" t="str">
        <x:v>Self Intro | What is client financing solutions, DCM? | Do you like financing / capital markets?</x:v>
      </x:c>
    </x:row>
    <x:row r="14" ht="68" customHeight="1">
      <x:c r="A14" s="30" t="str">
        <x:v>QB0098</x:v>
      </x:c>
      <x:c r="B14" s="30" t="str">
        <x:v>MS IBD</x:v>
      </x:c>
      <x:c r="C14" s="30" t="str">
        <x:v>IBD / GCM</x:v>
      </x:c>
      <x:c r="D14" s="31" t="str">
        <x:v>Any IPO project experiences? Do you know anything about the HK IPO process? Like what documents to be submitted?</x:v>
      </x:c>
      <x:c r="E14" s="31" t="str">
        <x:v>Any IPO project experiences? Do you know anything about the HK IPO process? Like what documents to be submitted</x:v>
      </x:c>
      <x:c r="F14" s="31" t="str">
        <x:v>Resume &amp; Experience</x:v>
      </x:c>
      <x:c r="G14" s="30" t="str">
        <x:v>CL0116</x:v>
      </x:c>
      <x:c r="H14" s="32" t="n">
        <x:f>COUNTIF($G$5:$G$302,G14)</x:f>
        <x:v>1</x:v>
      </x:c>
      <x:c r="I14" s="30" t="str">
        <x:v>E31</x:v>
      </x:c>
      <x:c r="J14" s="31" t="str">
        <x:v>Why is minority interest included? | For the same company, how would you do trading comps and precedent transactions and what are some companies you would look at for trading comps? | For trading comps, which multiples are considered pri...</x:v>
      </x:c>
    </x:row>
    <x:row r="15" ht="92" customHeight="1">
      <x:c r="A15" s="30" t="str">
        <x:v>QB0104</x:v>
      </x:c>
      <x:c r="B15" s="30" t="str">
        <x:v>MS IBD</x:v>
      </x:c>
      <x:c r="C15" s="30" t="str">
        <x:v>IBD / GCM</x:v>
      </x:c>
      <x:c r="D15" s="31" t="str">
        <x:v>Any deal experiences?</x:v>
      </x:c>
      <x:c r="E15" s="31" t="str">
        <x:v>Any deal experiences</x:v>
      </x:c>
      <x:c r="F15" s="31" t="str">
        <x:v>Resume &amp; Experience</x:v>
      </x:c>
      <x:c r="G15" s="30" t="str">
        <x:v>CL0113</x:v>
      </x:c>
      <x:c r="H15" s="32" t="n">
        <x:f>COUNTIF($G$5:$G$302,G15)</x:f>
        <x:v>1</x:v>
      </x:c>
      <x:c r="I15" s="30" t="str">
        <x:v>E32</x:v>
      </x:c>
      <x:c r="J15" s="31" t="str">
        <x:v>For the same company, how would you do trading comps and precedent transactions and what are some companies you would look at for trading comps? | For trading comps, which multiples are considered primary/secondary | Any IPO project expe...</x:v>
      </x:c>
    </x:row>
    <x:row r="16" ht="68" customHeight="1">
      <x:c r="A16" s="30" t="str">
        <x:v>QB0108</x:v>
      </x:c>
      <x:c r="B16" s="30" t="str">
        <x:v>MS IBD</x:v>
      </x:c>
      <x:c r="C16" s="30" t="str">
        <x:v>IBD / GCM</x:v>
      </x:c>
      <x:c r="D16" s="31" t="str">
        <x:v>What did you do / what role did you play in preparing the pitches?</x:v>
      </x:c>
      <x:c r="E16" s="31" t="str">
        <x:v>What did you do / what role did you play in preparing the pitches</x:v>
      </x:c>
      <x:c r="F16" s="31" t="str">
        <x:v>Resume &amp; Experience</x:v>
      </x:c>
      <x:c r="G16" s="30" t="str">
        <x:v>CL0895</x:v>
      </x:c>
      <x:c r="H16" s="32" t="n">
        <x:f>COUNTIF($G$5:$G$302,G16)</x:f>
        <x:v>1</x:v>
      </x:c>
      <x:c r="I16" s="30" t="str">
        <x:v>E33</x:v>
      </x:c>
      <x:c r="J16" s="31" t="str">
        <x:v>For trading comps, which multiples are considered primary/secondary | Any IPO project experiences? Do you know anything about the HK IPO process? Like what documents to be submitted? | Any deal experiences?</x:v>
      </x:c>
    </x:row>
    <x:row r="17" ht="48" customHeight="1">
      <x:c r="A17" s="30" t="str">
        <x:v>QB0143</x:v>
      </x:c>
      <x:c r="B17" s="30" t="str">
        <x:v>MS IBD</x:v>
      </x:c>
      <x:c r="C17" s="30" t="str">
        <x:v>IBD / GCM</x:v>
      </x:c>
      <x:c r="D17" s="31" t="str">
        <x:v>Self Intro</x:v>
      </x:c>
      <x:c r="E17" s="31" t="str">
        <x:v>Tell me about yourself / walk me through your resume</x:v>
      </x:c>
      <x:c r="F17" s="31" t="str">
        <x:v>Resume &amp; Experience</x:v>
      </x:c>
      <x:c r="G17" s="30" t="str">
        <x:v>CL0001</x:v>
      </x:c>
      <x:c r="H17" s="32" t="n">
        <x:f>COUNTIF($G$5:$G$302,G17)</x:f>
        <x:v>141</x:v>
      </x:c>
      <x:c r="I17" s="30" t="str">
        <x:v>C57</x:v>
      </x:c>
      <x:c r="J17" s="31" t="str">
        <x:v>Do you know deferred tax assets and liabilities? | 10 - 19/10 Jasmine | 1 China Coverage ED</x:v>
      </x:c>
    </x:row>
    <x:row r="18" ht="68" customHeight="1">
      <x:c r="A18" s="30" t="str">
        <x:v>QB0168</x:v>
      </x:c>
      <x:c r="B18" s="30" t="str">
        <x:v>MS IBD</x:v>
      </x:c>
      <x:c r="C18" s="30" t="str">
        <x:v>IBD / GCM</x:v>
      </x:c>
      <x:c r="D18" s="31" t="str">
        <x:v>Self Intro</x:v>
      </x:c>
      <x:c r="E18" s="31" t="str">
        <x:v>Tell me about yourself / walk me through your resume</x:v>
      </x:c>
      <x:c r="F18" s="31" t="str">
        <x:v>Resume &amp; Experience</x:v>
      </x:c>
      <x:c r="G18" s="30" t="str">
        <x:v>CL0001</x:v>
      </x:c>
      <x:c r="H18" s="32" t="n">
        <x:f>COUNTIF($G$5:$G$302,G18)</x:f>
        <x:v>141</x:v>
      </x:c>
      <x:c r="I18" s="30" t="str">
        <x:v>A70</x:v>
      </x:c>
      <x:c r="J18" s="31" t="str">
        <x:v>⁠From revenue to profit, walk me through each major section | He said he is supposed to test my mandarin but don't have time so leave to next interviewer LOL | M&amp;A VP</x:v>
      </x:c>
    </x:row>
    <x:row r="19" ht="68" customHeight="1">
      <x:c r="A19" s="30" t="str">
        <x:v>QB0171</x:v>
      </x:c>
      <x:c r="B19" s="30" t="str">
        <x:v>MS IBD</x:v>
      </x:c>
      <x:c r="C19" s="30" t="str">
        <x:v>IBD / GCM</x:v>
      </x:c>
      <x:c r="D19" s="31" t="str">
        <x:v>Walk me through the sell side M&amp;A that you did during your previous internship</x:v>
      </x:c>
      <x:c r="E19" s="31" t="str">
        <x:v>Walk me through the sell side M&amp;A that you did during your previous internship</x:v>
      </x:c>
      <x:c r="F19" s="31" t="str">
        <x:v>Resume &amp; Experience</x:v>
      </x:c>
      <x:c r="G19" s="30" t="str">
        <x:v>CL0839</x:v>
      </x:c>
      <x:c r="H19" s="32" t="n">
        <x:f>COUNTIF($G$5:$G$302,G19)</x:f>
        <x:v>1</x:v>
      </x:c>
      <x:c r="I19" s="30" t="str">
        <x:v>A72</x:v>
      </x:c>
      <x:c r="J19" s="31" t="str">
        <x:v>M&amp;A VP | Self Intro | Same revenue to profit for a coffee shop question again (coz they all just flip through the same question bank lol) except this time the coffee shop is in MS</x:v>
      </x:c>
    </x:row>
    <x:row r="20" ht="48" customHeight="1">
      <x:c r="A20" s="30" t="str">
        <x:v>QB0172</x:v>
      </x:c>
      <x:c r="B20" s="30" t="str">
        <x:v>MS IBD</x:v>
      </x:c>
      <x:c r="C20" s="30" t="str">
        <x:v>IBD / GCM</x:v>
      </x:c>
      <x:c r="D20" s="31" t="str">
        <x:v>Self intro</x:v>
      </x:c>
      <x:c r="E20" s="31" t="str">
        <x:v>Tell me about yourself / walk me through your resume</x:v>
      </x:c>
      <x:c r="F20" s="31" t="str">
        <x:v>Resume &amp; Experience</x:v>
      </x:c>
      <x:c r="G20" s="30" t="str">
        <x:v>CL0001</x:v>
      </x:c>
      <x:c r="H20" s="32" t="n">
        <x:f>COUNTIF($G$5:$G$302,G20)</x:f>
        <x:v>141</x:v>
      </x:c>
      <x:c r="I20" s="30" t="str">
        <x:v>C72</x:v>
      </x:c>
      <x:c r="J20" s="31" t="str">
        <x:v>What's a time you faced conflicing interest and how did you manage it | Questions | 2 FIG ED</x:v>
      </x:c>
    </x:row>
    <x:row r="21" ht="92" customHeight="1">
      <x:c r="A21" s="30" t="str">
        <x:v>QB0183</x:v>
      </x:c>
      <x:c r="B21" s="30" t="str">
        <x:v>MS IBD</x:v>
      </x:c>
      <x:c r="C21" s="30" t="str">
        <x:v>IBD / GCM</x:v>
      </x:c>
      <x:c r="D21" s="31" t="str">
        <x:v>Self Intro</x:v>
      </x:c>
      <x:c r="E21" s="31" t="str">
        <x:v>Tell me about yourself / walk me through your resume</x:v>
      </x:c>
      <x:c r="F21" s="31" t="str">
        <x:v>Resume &amp; Experience</x:v>
      </x:c>
      <x:c r="G21" s="30" t="str">
        <x:v>CL0001</x:v>
      </x:c>
      <x:c r="H21" s="32" t="n">
        <x:f>COUNTIF($G$5:$G$302,G21)</x:f>
        <x:v>141</x:v>
      </x:c>
      <x:c r="I21" s="30" t="str">
        <x:v>A78</x:v>
      </x:c>
      <x:c r="J21" s="31" t="str">
        <x:v>Can you speak mandarin? (she just asked and then checked the box on my evaluation and then didn't ask me to try speaking at all lol) | Around 7 minutes of conversation afterwards on her M&amp;A experience and I said I also wanna do M&amp;A and s...</x:v>
      </x:c>
    </x:row>
    <x:row r="22" ht="32" customHeight="1">
      <x:c r="A22" s="30" t="str">
        <x:v>QB0202</x:v>
      </x:c>
      <x:c r="B22" s="30" t="str">
        <x:v>MS IBD</x:v>
      </x:c>
      <x:c r="C22" s="30" t="str">
        <x:v>IBD / GCM</x:v>
      </x:c>
      <x:c r="D22" s="31" t="str">
        <x:v>Self Intro</x:v>
      </x:c>
      <x:c r="E22" s="31" t="str">
        <x:v>Tell me about yourself / walk me through your resume</x:v>
      </x:c>
      <x:c r="F22" s="31" t="str">
        <x:v>Resume &amp; Experience</x:v>
      </x:c>
      <x:c r="G22" s="30" t="str">
        <x:v>CL0001</x:v>
      </x:c>
      <x:c r="H22" s="32" t="n">
        <x:f>COUNTIF($G$5:$G$302,G22)</x:f>
        <x:v>141</x:v>
      </x:c>
      <x:c r="I22" s="30" t="str">
        <x:v>C91</x:v>
      </x:c>
      <x:c r="J22" s="31" t="str">
        <x:v>What is cost of equity | How good is your mandarin | 3 M&amp;A VP</x:v>
      </x:c>
    </x:row>
    <x:row r="23" ht="32" customHeight="1">
      <x:c r="A23" s="30" t="str">
        <x:v>QB0222</x:v>
      </x:c>
      <x:c r="B23" s="30" t="str">
        <x:v>MS IBD</x:v>
      </x:c>
      <x:c r="C23" s="30" t="str">
        <x:v>IBD / GCM</x:v>
      </x:c>
      <x:c r="D23" s="31" t="str">
        <x:v>About last internship: prospectus, your role, solvency ratios, DSCR, protective covenants</x:v>
      </x:c>
      <x:c r="E23" s="31" t="str">
        <x:v>About last internship: prospectus, your role, solvency ratios, DSCR, protective covenants</x:v>
      </x:c>
      <x:c r="F23" s="31" t="str">
        <x:v>Resume &amp; Experience</x:v>
      </x:c>
      <x:c r="G23" s="30" t="str">
        <x:v>CL0096</x:v>
      </x:c>
      <x:c r="H23" s="32" t="n">
        <x:f>COUNTIF($G$5:$G$302,G23)</x:f>
        <x:v>1</x:v>
      </x:c>
      <x:c r="I23" s="30" t="str">
        <x:v>A110</x:v>
      </x:c>
      <x:c r="J23" s="31" t="str">
        <x:v>First Round | 1st round 8/10 Anna (Lingxuan Li from IBD) | Self-intro, why you are here</x:v>
      </x:c>
    </x:row>
    <x:row r="24" ht="32" customHeight="1">
      <x:c r="A24" s="30" t="str">
        <x:v>QB0251</x:v>
      </x:c>
      <x:c r="B24" s="30" t="str">
        <x:v>MS GCM</x:v>
      </x:c>
      <x:c r="C24" s="30" t="str">
        <x:v>IBD / GCM</x:v>
      </x:c>
      <x:c r="D24" s="31" t="str">
        <x:v>Tell me a story in your fencing experience</x:v>
      </x:c>
      <x:c r="E24" s="31" t="str">
        <x:v>Tell me a story in your fencing experience</x:v>
      </x:c>
      <x:c r="F24" s="31" t="str">
        <x:v>Resume &amp; Experience</x:v>
      </x:c>
      <x:c r="G24" s="30" t="str">
        <x:v>CL0707</x:v>
      </x:c>
      <x:c r="H24" s="32" t="n">
        <x:f>COUNTIF($G$5:$G$302,G24)</x:f>
        <x:v>1</x:v>
      </x:c>
      <x:c r="I24" s="30" t="str">
        <x:v>C9</x:v>
      </x:c>
      <x:c r="J24" s="31" t="str">
        <x:v>why GCM not IBD | Tell me about a deal done by MS | Which team do you prefer</x:v>
      </x:c>
    </x:row>
    <x:row r="25" ht="32" customHeight="1">
      <x:c r="A25" s="30" t="str">
        <x:v>QB0257</x:v>
      </x:c>
      <x:c r="B25" s="30" t="str">
        <x:v>MS GCM</x:v>
      </x:c>
      <x:c r="C25" s="30" t="str">
        <x:v>IBD / GCM</x:v>
      </x:c>
      <x:c r="D25" s="31" t="str">
        <x:v>Self Intro</x:v>
      </x:c>
      <x:c r="E25" s="31" t="str">
        <x:v>Tell me about yourself / walk me through your resume</x:v>
      </x:c>
      <x:c r="F25" s="31" t="str">
        <x:v>Resume &amp; Experience</x:v>
      </x:c>
      <x:c r="G25" s="30" t="str">
        <x:v>CL0001</x:v>
      </x:c>
      <x:c r="H25" s="32" t="n">
        <x:f>COUNTIF($G$5:$G$302,G25)</x:f>
        <x:v>141</x:v>
      </x:c>
      <x:c r="I25" s="30" t="str">
        <x:v>C15</x:v>
      </x:c>
      <x:c r="J25" s="31" t="str">
        <x:v>Tell me a story in your fencing experience | Markets outlook? | Fenix Wang</x:v>
      </x:c>
    </x:row>
    <x:row r="26" ht="68" customHeight="1">
      <x:c r="A26" s="30" t="str">
        <x:v>QB0289</x:v>
      </x:c>
      <x:c r="B26" s="30" t="str">
        <x:v>MS GCM</x:v>
      </x:c>
      <x:c r="C26" s="30" t="str">
        <x:v>IBD / GCM</x:v>
      </x:c>
      <x:c r="D26" s="31" t="str">
        <x:v>Self Intro</x:v>
      </x:c>
      <x:c r="E26" s="31" t="str">
        <x:v>Tell me about yourself / walk me through your resume</x:v>
      </x:c>
      <x:c r="F26" s="31" t="str">
        <x:v>Resume &amp; Experience</x:v>
      </x:c>
      <x:c r="G26" s="30" t="str">
        <x:v>CL0001</x:v>
      </x:c>
      <x:c r="H26" s="32" t="n">
        <x:f>COUNTIF($G$5:$G$302,G26)</x:f>
        <x:v>141</x:v>
      </x:c>
      <x:c r="I26" s="30" t="str">
        <x:v>A45</x:v>
      </x:c>
      <x:c r="J26" s="31" t="str">
        <x:v>Group Discussion: | Advise on bond issuance - terms (coupon rate, maturity) , market condition (assuming high-rate), steel industry | 1-to-1 (Selena, Equity Solutions)</x:v>
      </x:c>
    </x:row>
    <x:row r="27" ht="48" customHeight="1">
      <x:c r="A27" s="30" t="str">
        <x:v>QB0291</x:v>
      </x:c>
      <x:c r="B27" s="30" t="str">
        <x:v>MS GCM</x:v>
      </x:c>
      <x:c r="C27" s="30" t="str">
        <x:v>IBD / GCM</x:v>
      </x:c>
      <x:c r="D27" s="31" t="str">
        <x:v>Is Nomura a formal internship? (lmao)</x:v>
      </x:c>
      <x:c r="E27" s="31" t="str">
        <x:v>Is Nomura a formal internship? (lmao)</x:v>
      </x:c>
      <x:c r="F27" s="31" t="str">
        <x:v>Resume &amp; Experience</x:v>
      </x:c>
      <x:c r="G27" s="30" t="str">
        <x:v>CL0556</x:v>
      </x:c>
      <x:c r="H27" s="32" t="n">
        <x:f>COUNTIF($G$5:$G$302,G27)</x:f>
        <x:v>1</x:v>
      </x:c>
      <x:c r="I27" s="30" t="str">
        <x:v>A46</x:v>
      </x:c>
      <x:c r="J27" s="31" t="str">
        <x:v>Advise on bond issuance - terms (coupon rate, maturity) , market condition (assuming high-rate), steel industry | 1-to-1 (Selena, Equity Solutions) | Self Intro</x:v>
      </x:c>
    </x:row>
    <x:row r="28" ht="32" customHeight="1">
      <x:c r="A28" s="30" t="str">
        <x:v>QB0326</x:v>
      </x:c>
      <x:c r="B28" s="30" t="str">
        <x:v>MS GCM</x:v>
      </x:c>
      <x:c r="C28" s="30" t="str">
        <x:v>IBD / GCM</x:v>
      </x:c>
      <x:c r="D28" s="31" t="str">
        <x:v>a firm/deal you worked on that you think is interesting;</x:v>
      </x:c>
      <x:c r="E28" s="31" t="str">
        <x:v>Walk me through a deal you worked on</x:v>
      </x:c>
      <x:c r="F28" s="31" t="str">
        <x:v>Resume &amp; Experience</x:v>
      </x:c>
      <x:c r="G28" s="30" t="str">
        <x:v>CL0017</x:v>
      </x:c>
      <x:c r="H28" s="32" t="n">
        <x:f>COUNTIF($G$5:$G$302,G28)</x:f>
        <x:v>8</x:v>
      </x:c>
      <x:c r="I28" s="30" t="str">
        <x:v>C80</x:v>
      </x:c>
      <x:c r="J28" s="31" t="str">
        <x:v>intro | why GCM | how a deal couldn't get listed, factors?</x:v>
      </x:c>
    </x:row>
    <x:row r="29" ht="32" customHeight="1">
      <x:c r="A29" s="30" t="str">
        <x:v>QB0343</x:v>
      </x:c>
      <x:c r="B29" s="30" t="str">
        <x:v>MS GCM</x:v>
      </x:c>
      <x:c r="C29" s="30" t="str">
        <x:v>IBD / GCM</x:v>
      </x:c>
      <x:c r="D29" s="31" t="str">
        <x:v>Walk me through your CV</x:v>
      </x:c>
      <x:c r="E29" s="31" t="str">
        <x:v>Tell me about yourself / walk me through your resume</x:v>
      </x:c>
      <x:c r="F29" s="31" t="str">
        <x:v>Resume &amp; Experience</x:v>
      </x:c>
      <x:c r="G29" s="30" t="str">
        <x:v>CL0001</x:v>
      </x:c>
      <x:c r="H29" s="32" t="n">
        <x:f>COUNTIF($G$5:$G$302,G29)</x:f>
        <x:v>141</x:v>
      </x:c>
      <x:c r="I29" s="30" t="str">
        <x:v>A95</x:v>
      </x:c>
      <x:c r="J29" s="31" t="str">
        <x:v>First Round | John | With Para Zhao, Leveraged Finance, VP/D?</x:v>
      </x:c>
    </x:row>
    <x:row r="30" ht="32" customHeight="1">
      <x:c r="A30" s="30" t="str">
        <x:v>QB0344</x:v>
      </x:c>
      <x:c r="B30" s="30" t="str">
        <x:v>MS GCM</x:v>
      </x:c>
      <x:c r="C30" s="30" t="str">
        <x:v>IBD / GCM</x:v>
      </x:c>
      <x:c r="D30" s="31" t="str">
        <x:v>Self intro</x:v>
      </x:c>
      <x:c r="E30" s="31" t="str">
        <x:v>Tell me about yourself / walk me through your resume</x:v>
      </x:c>
      <x:c r="F30" s="31" t="str">
        <x:v>Resume &amp; Experience</x:v>
      </x:c>
      <x:c r="G30" s="30" t="str">
        <x:v>CL0001</x:v>
      </x:c>
      <x:c r="H30" s="32" t="n">
        <x:f>COUNTIF($G$5:$G$302,G30)</x:f>
        <x:v>141</x:v>
      </x:c>
      <x:c r="I30" s="30" t="str">
        <x:v>C95</x:v>
      </x:c>
      <x:c r="J30" s="31" t="str">
        <x:v>反问 | Veronica | Interviewer: Dick Lee (he is very chill)</x:v>
      </x:c>
    </x:row>
    <x:row r="31" ht="32" customHeight="1">
      <x:c r="A31" s="30" t="str">
        <x:v>QB0359</x:v>
      </x:c>
      <x:c r="B31" s="30" t="str">
        <x:v>MS GCM</x:v>
      </x:c>
      <x:c r="C31" s="30" t="str">
        <x:v>IBD / GCM</x:v>
      </x:c>
      <x:c r="D31" s="31" t="str">
        <x:v>Walk thru a deal by MS</x:v>
      </x:c>
      <x:c r="E31" s="31" t="str">
        <x:v>Discuss a recent deal completed by this firm</x:v>
      </x:c>
      <x:c r="F31" s="31" t="str">
        <x:v>Resume &amp; Experience</x:v>
      </x:c>
      <x:c r="G31" s="30" t="str">
        <x:v>CL0008</x:v>
      </x:c>
      <x:c r="H31" s="32" t="n">
        <x:f>COUNTIF($G$5:$G$302,G31)</x:f>
        <x:v>4</x:v>
      </x:c>
      <x:c r="I31" s="30" t="str">
        <x:v>C103</x:v>
      </x:c>
      <x:c r="J31" s="31" t="str">
        <x:v>HSBC vs MS | CV questions | Tell me about whats happening in the capital market this year</x:v>
      </x:c>
    </x:row>
    <x:row r="32" ht="32" customHeight="1">
      <x:c r="A32" s="30" t="str">
        <x:v>QB0369</x:v>
      </x:c>
      <x:c r="B32" s="30" t="str">
        <x:v>MS GCM</x:v>
      </x:c>
      <x:c r="C32" s="30" t="str">
        <x:v>IBD / GCM</x:v>
      </x:c>
      <x:c r="D32" s="31" t="str">
        <x:v>self intro</x:v>
      </x:c>
      <x:c r="E32" s="31" t="str">
        <x:v>Tell me about yourself / walk me through your resume</x:v>
      </x:c>
      <x:c r="F32" s="31" t="str">
        <x:v>Resume &amp; Experience</x:v>
      </x:c>
      <x:c r="G32" s="30" t="str">
        <x:v>CL0001</x:v>
      </x:c>
      <x:c r="H32" s="32" t="n">
        <x:f>COUNTIF($G$5:$G$302,G32)</x:f>
        <x:v>141</x:v>
      </x:c>
      <x:c r="I32" s="30" t="str">
        <x:v>C111</x:v>
      </x:c>
      <x:c r="J32" s="31" t="str">
        <x:v>Q&amp;A | Veronica | Interviewer 1: Melody Wang (ED, ECM) she is very scary</x:v>
      </x:c>
    </x:row>
    <x:row r="33" ht="32" customHeight="1">
      <x:c r="A33" s="30" t="str">
        <x:v>QB0381</x:v>
      </x:c>
      <x:c r="B33" s="30" t="str">
        <x:v>MS GCM</x:v>
      </x:c>
      <x:c r="C33" s="30" t="str">
        <x:v>IBD / GCM</x:v>
      </x:c>
      <x:c r="D33" s="31" t="str">
        <x:v>Self intro</x:v>
      </x:c>
      <x:c r="E33" s="31" t="str">
        <x:v>Tell me about yourself / walk me through your resume</x:v>
      </x:c>
      <x:c r="F33" s="31" t="str">
        <x:v>Resume &amp; Experience</x:v>
      </x:c>
      <x:c r="G33" s="30" t="str">
        <x:v>CL0001</x:v>
      </x:c>
      <x:c r="H33" s="32" t="n">
        <x:f>COUNTIF($G$5:$G$302,G33)</x:f>
        <x:v>141</x:v>
      </x:c>
      <x:c r="I33" s="30" t="str">
        <x:v>A118</x:v>
      </x:c>
      <x:c r="J33" s="31" t="str">
        <x:v>Tell me about a deal done by MS | 反问 | Amber Xi, ED in ECM</x:v>
      </x:c>
    </x:row>
    <x:row r="34" ht="32" customHeight="1">
      <x:c r="A34" s="30" t="str">
        <x:v>QB0395</x:v>
      </x:c>
      <x:c r="B34" s="30" t="str">
        <x:v>MS GCM</x:v>
      </x:c>
      <x:c r="C34" s="30" t="str">
        <x:v>IBD / GCM</x:v>
      </x:c>
      <x:c r="D34" s="31" t="str">
        <x:v>Self intro</x:v>
      </x:c>
      <x:c r="E34" s="31" t="str">
        <x:v>Tell me about yourself / walk me through your resume</x:v>
      </x:c>
      <x:c r="F34" s="31" t="str">
        <x:v>Resume &amp; Experience</x:v>
      </x:c>
      <x:c r="G34" s="30" t="str">
        <x:v>CL0001</x:v>
      </x:c>
      <x:c r="H34" s="32" t="n">
        <x:f>COUNTIF($G$5:$G$302,G34)</x:f>
        <x:v>141</x:v>
      </x:c>
      <x:c r="I34" s="30" t="str">
        <x:v>A126</x:v>
      </x:c>
      <x:c r="J34" s="31" t="str">
        <x:v>Why GCM? | 反问 | Dick Lee, MD and APAC Head of Corporate Equity Derivatives</x:v>
      </x:c>
    </x:row>
    <x:row r="35" ht="48" customHeight="1">
      <x:c r="A35" s="30" t="str">
        <x:v>QB0399</x:v>
      </x:c>
      <x:c r="B35" s="30" t="str">
        <x:v>MS GCM</x:v>
      </x:c>
      <x:c r="C35" s="30" t="str">
        <x:v>IBD / GCM</x:v>
      </x:c>
      <x:c r="D35" s="31" t="str">
        <x:v>self intro</x:v>
      </x:c>
      <x:c r="E35" s="31" t="str">
        <x:v>Tell me about yourself / walk me through your resume</x:v>
      </x:c>
      <x:c r="F35" s="31" t="str">
        <x:v>Resume &amp; Experience</x:v>
      </x:c>
      <x:c r="G35" s="30" t="str">
        <x:v>CL0001</x:v>
      </x:c>
      <x:c r="H35" s="32" t="n">
        <x:f>COUNTIF($G$5:$G$302,G35)</x:f>
        <x:v>141</x:v>
      </x:c>
      <x:c r="I35" s="30" t="str">
        <x:v>C128</x:v>
      </x:c>
      <x:c r="J35" s="31" t="str">
        <x:v>how to find comps for a hypothetical case | No Q&amp;A | Interviewer 2: Nicki Zhong (ED, ECM) she is chiller</x:v>
      </x:c>
    </x:row>
    <x:row r="36" ht="48" customHeight="1">
      <x:c r="A36" s="30" t="str">
        <x:v>QB0407</x:v>
      </x:c>
      <x:c r="B36" s="30" t="str">
        <x:v>MS GCM</x:v>
      </x:c>
      <x:c r="C36" s="30" t="str">
        <x:v>IBD / GCM</x:v>
      </x:c>
      <x:c r="D36" s="31" t="str">
        <x:v>pitch a thematic in my previous internship (with follow-up questions)</x:v>
      </x:c>
      <x:c r="E36" s="31" t="str">
        <x:v>Pitch a thematic in my previous internship (with follow-up questions)</x:v>
      </x:c>
      <x:c r="F36" s="31" t="str">
        <x:v>Resume &amp; Experience</x:v>
      </x:c>
      <x:c r="G36" s="30" t="str">
        <x:v>CL0632</x:v>
      </x:c>
      <x:c r="H36" s="32" t="n">
        <x:f>COUNTIF($G$5:$G$302,G36)</x:f>
        <x:v>1</x:v>
      </x:c>
      <x:c r="I36" s="30" t="str">
        <x:v>C132</x:v>
      </x:c>
      <x:c r="J36" s="31" t="str">
        <x:v>why GCM, why not IBD/PE | multitasking experience | leadership style + what's my leadership style in the case study earlier</x:v>
      </x:c>
    </x:row>
    <x:row r="37" ht="68" customHeight="1">
      <x:c r="A37" s="30" t="str">
        <x:v>QB0414</x:v>
      </x:c>
      <x:c r="B37" s="30" t="str">
        <x:v>MS GCM</x:v>
      </x:c>
      <x:c r="C37" s="30" t="str">
        <x:v>IBD / GCM</x:v>
      </x:c>
      <x:c r="D37" s="31" t="str">
        <x:v>self intro</x:v>
      </x:c>
      <x:c r="E37" s="31" t="str">
        <x:v>Tell me about yourself / walk me through your resume</x:v>
      </x:c>
      <x:c r="F37" s="31" t="str">
        <x:v>Resume &amp; Experience</x:v>
      </x:c>
      <x:c r="G37" s="30" t="str">
        <x:v>CL0001</x:v>
      </x:c>
      <x:c r="H37" s="32" t="n">
        <x:f>COUNTIF($G$5:$G$302,G37)</x:f>
        <x:v>141</x:v>
      </x:c>
      <x:c r="I37" s="30" t="str">
        <x:v>C140</x:v>
      </x:c>
      <x:c r="J37" s="31" t="str">
        <x:v>Now investors raise their pricing, but the issuers' expectations are still high, how would you convince the issuers? | Q&amp;A | Interviewer 3: Michael Leong (serious guy)</x:v>
      </x:c>
    </x:row>
    <x:row r="38" ht="32" customHeight="1">
      <x:c r="A38" s="30" t="str">
        <x:v>QB0435</x:v>
      </x:c>
      <x:c r="B38" s="30" t="str">
        <x:v>UBS IBD</x:v>
      </x:c>
      <x:c r="C38" s="30" t="str">
        <x:v>IBD / GCM</x:v>
      </x:c>
      <x:c r="D38" s="31" t="str">
        <x:v>Self intro</x:v>
      </x:c>
      <x:c r="E38" s="31" t="str">
        <x:v>Tell me about yourself / walk me through your resume</x:v>
      </x:c>
      <x:c r="F38" s="31" t="str">
        <x:v>Resume &amp; Experience</x:v>
      </x:c>
      <x:c r="G38" s="30" t="str">
        <x:v>CL0001</x:v>
      </x:c>
      <x:c r="H38" s="32" t="n">
        <x:f>COUNTIF($G$5:$G$302,G38)</x:f>
        <x:v>141</x:v>
      </x:c>
      <x:c r="I38" s="30" t="str">
        <x:v>A4</x:v>
      </x:c>
      <x:c r="J38" s="31" t="str">
        <x:v>2024 SA | 1st round | Emily - Anqi Xu</x:v>
      </x:c>
    </x:row>
    <x:row r="39" ht="32" customHeight="1">
      <x:c r="A39" s="30" t="str">
        <x:v>QB0438</x:v>
      </x:c>
      <x:c r="B39" s="30" t="str">
        <x:v>UBS IBD</x:v>
      </x:c>
      <x:c r="C39" s="30" t="str">
        <x:v>IBD / GCM</x:v>
      </x:c>
      <x:c r="D39" s="31" t="str">
        <x:v>Self Intro</x:v>
      </x:c>
      <x:c r="E39" s="31" t="str">
        <x:v>Tell me about yourself / walk me through your resume</x:v>
      </x:c>
      <x:c r="F39" s="31" t="str">
        <x:v>Resume &amp; Experience</x:v>
      </x:c>
      <x:c r="G39" s="30" t="str">
        <x:v>CL0001</x:v>
      </x:c>
      <x:c r="H39" s="32" t="n">
        <x:f>COUNTIF($G$5:$G$302,G39)</x:f>
        <x:v>141</x:v>
      </x:c>
      <x:c r="I39" s="30" t="str">
        <x:v>K4</x:v>
      </x:c>
      <x:c r="J39" s="31" t="str">
        <x:v>28 Phone Interview (Beata) with Flora Lin | How's your holiday</x:v>
      </x:c>
    </x:row>
    <x:row r="40" ht="32" customHeight="1">
      <x:c r="A40" s="30" t="str">
        <x:v>QB0439</x:v>
      </x:c>
      <x:c r="B40" s="30" t="str">
        <x:v>UBS IBD</x:v>
      </x:c>
      <x:c r="C40" s="30" t="str">
        <x:v>IBD / GCM</x:v>
      </x:c>
      <x:c r="D40" s="31" t="str">
        <x:v>Walk me thru ur first deal, closed?</x:v>
      </x:c>
      <x:c r="E40" s="31" t="str">
        <x:v>Walk me through a deal you worked on</x:v>
      </x:c>
      <x:c r="F40" s="31" t="str">
        <x:v>Resume &amp; Experience</x:v>
      </x:c>
      <x:c r="G40" s="30" t="str">
        <x:v>CL0017</x:v>
      </x:c>
      <x:c r="H40" s="32" t="n">
        <x:f>COUNTIF($G$5:$G$302,G40)</x:f>
        <x:v>8</x:v>
      </x:c>
      <x:c r="I40" s="30" t="str">
        <x:v>A5</x:v>
      </x:c>
      <x:c r="J40" s="31" t="str">
        <x:v>1st round | Emily - Anqi Xu | Self intro</x:v>
      </x:c>
    </x:row>
    <x:row r="41" ht="32" customHeight="1">
      <x:c r="A41" s="30" t="str">
        <x:v>QB0446</x:v>
      </x:c>
      <x:c r="B41" s="30" t="str">
        <x:v>UBS IBD</x:v>
      </x:c>
      <x:c r="C41" s="30" t="str">
        <x:v>IBD / GCM</x:v>
      </x:c>
      <x:c r="D41" s="31" t="str">
        <x:v>Only asked about one internship experience but asked about all the bullet points</x:v>
      </x:c>
      <x:c r="E41" s="31" t="str">
        <x:v>Only asked about one internship experience but asked about all the bullet points</x:v>
      </x:c>
      <x:c r="F41" s="31" t="str">
        <x:v>Resume &amp; Experience</x:v>
      </x:c>
      <x:c r="G41" s="30" t="str">
        <x:v>CL0627</x:v>
      </x:c>
      <x:c r="H41" s="32" t="n">
        <x:f>COUNTIF($G$5:$G$302,G41)</x:f>
        <x:v>1</x:v>
      </x:c>
      <x:c r="I41" s="30" t="str">
        <x:v>K6</x:v>
      </x:c>
      <x:c r="J41" s="31" t="str">
        <x:v>How's your holiday | Self Intro | Why IBD how do you compare it with other industries</x:v>
      </x:c>
    </x:row>
    <x:row r="42" ht="48" customHeight="1">
      <x:c r="A42" s="30" t="str">
        <x:v>QB0450</x:v>
      </x:c>
      <x:c r="B42" s="30" t="str">
        <x:v>UBS IBD</x:v>
      </x:c>
      <x:c r="C42" s="30" t="str">
        <x:v>IBD / GCM</x:v>
      </x:c>
      <x:c r="D42" s="31" t="str">
        <x:v>For that internship experience ask about DCF and comps in detail</x:v>
      </x:c>
      <x:c r="E42" s="31" t="str">
        <x:v>For that internship experience ask about DCF and comps in detail</x:v>
      </x:c>
      <x:c r="F42" s="31" t="str">
        <x:v>Resume &amp; Experience</x:v>
      </x:c>
      <x:c r="G42" s="30" t="str">
        <x:v>CL0332</x:v>
      </x:c>
      <x:c r="H42" s="32" t="n">
        <x:f>COUNTIF($G$5:$G$302,G42)</x:f>
        <x:v>1</x:v>
      </x:c>
      <x:c r="I42" s="30" t="str">
        <x:v>K7</x:v>
      </x:c>
      <x:c r="J42" s="31" t="str">
        <x:v>Self Intro | Why IBD how do you compare it with other industries | Only asked about one internship experience but asked about all the bullet points</x:v>
      </x:c>
    </x:row>
    <x:row r="43" ht="32" customHeight="1">
      <x:c r="A43" s="30" t="str">
        <x:v>QB0455</x:v>
      </x:c>
      <x:c r="B43" s="30" t="str">
        <x:v>UBS IBD</x:v>
      </x:c>
      <x:c r="C43" s="30" t="str">
        <x:v>IBD / GCM</x:v>
      </x:c>
      <x:c r="D43" s="31" t="str">
        <x:v>Tell me about a leadership experiences in your societies</x:v>
      </x:c>
      <x:c r="E43" s="31" t="str">
        <x:v>Tell me about a leadership experiences in your societies</x:v>
      </x:c>
      <x:c r="F43" s="31" t="str">
        <x:v>Resume &amp; Experience</x:v>
      </x:c>
      <x:c r="G43" s="30" t="str">
        <x:v>CL0723</x:v>
      </x:c>
      <x:c r="H43" s="32" t="n">
        <x:f>COUNTIF($G$5:$G$302,G43)</x:f>
        <x:v>1</x:v>
      </x:c>
      <x:c r="I43" s="30" t="str">
        <x:v>A9</x:v>
      </x:c>
      <x:c r="J43" s="31" t="str">
        <x:v>Why afterwards HKEX and Equity research? | What's ur strength and weaknesses | Why UBS?</x:v>
      </x:c>
    </x:row>
    <x:row r="44" ht="48" customHeight="1">
      <x:c r="A44" s="30" t="str">
        <x:v>QB0459</x:v>
      </x:c>
      <x:c r="B44" s="30" t="str">
        <x:v>UBS IBD</x:v>
      </x:c>
      <x:c r="C44" s="30" t="str">
        <x:v>IBD / GCM</x:v>
      </x:c>
      <x:c r="D44" s="31" t="str">
        <x:v>Walk me through industry in energy storage and what you did in stock pitch and investment thesis</x:v>
      </x:c>
      <x:c r="E44" s="31" t="str">
        <x:v>Pitch me a stock</x:v>
      </x:c>
      <x:c r="F44" s="31" t="str">
        <x:v>Resume &amp; Experience</x:v>
      </x:c>
      <x:c r="G44" s="30" t="str">
        <x:v>CL0006</x:v>
      </x:c>
      <x:c r="H44" s="32" t="n">
        <x:f>COUNTIF($G$5:$G$302,G44)</x:f>
        <x:v>2</x:v>
      </x:c>
      <x:c r="I44" s="30" t="str">
        <x:v>A10</x:v>
      </x:c>
      <x:c r="J44" s="31" t="str">
        <x:v>What's ur strength and weaknesses | Why UBS? | Tell me about a leadership experiences in your societies</x:v>
      </x:c>
    </x:row>
    <x:row r="45" ht="92" customHeight="1">
      <x:c r="A45" s="30" t="str">
        <x:v>QB0461</x:v>
      </x:c>
      <x:c r="B45" s="30" t="str">
        <x:v>UBS IBD</x:v>
      </x:c>
      <x:c r="C45" s="30" t="str">
        <x:v>IBD / GCM</x:v>
      </x:c>
      <x:c r="D45" s="31" t="str">
        <x:v>What did you do in HKUIBC</x:v>
      </x:c>
      <x:c r="E45" s="31" t="str">
        <x:v>What did you do in HKUIBC</x:v>
      </x:c>
      <x:c r="F45" s="31" t="str">
        <x:v>Resume &amp; Experience</x:v>
      </x:c>
      <x:c r="G45" s="30" t="str">
        <x:v>CL0900</x:v>
      </x:c>
      <x:c r="H45" s="32" t="n">
        <x:f>COUNTIF($G$5:$G$302,G45)</x:f>
        <x:v>1</x:v>
      </x:c>
      <x:c r="I45" s="30" t="str">
        <x:v>K10</x:v>
      </x:c>
      <x:c r="J45" s="31" t="str">
        <x:v>For that internship experience ask about DCF and comps in detail | e.g., how did you do comps, how did you select the comparables, how did you find WACC in DCF, how did you find beta in WACC, what assumptions did you make in projections ...</x:v>
      </x:c>
    </x:row>
    <x:row r="46" ht="68" customHeight="1">
      <x:c r="A46" s="30" t="str">
        <x:v>QB0462</x:v>
      </x:c>
      <x:c r="B46" s="30" t="str">
        <x:v>UBS IBD</x:v>
      </x:c>
      <x:c r="C46" s="30" t="str">
        <x:v>IBD / GCM</x:v>
      </x:c>
      <x:c r="D46" s="31" t="str">
        <x:v>Walk me through industry in electroplating equipment and what you did in stock pitch and investment thesis</x:v>
      </x:c>
      <x:c r="E46" s="31" t="str">
        <x:v>Pitch me a stock</x:v>
      </x:c>
      <x:c r="F46" s="31" t="str">
        <x:v>Resume &amp; Experience</x:v>
      </x:c>
      <x:c r="G46" s="30" t="str">
        <x:v>CL0006</x:v>
      </x:c>
      <x:c r="H46" s="32" t="n">
        <x:f>COUNTIF($G$5:$G$302,G46)</x:f>
        <x:v>2</x:v>
      </x:c>
      <x:c r="I46" s="30" t="str">
        <x:v>A11</x:v>
      </x:c>
      <x:c r="J46" s="31" t="str">
        <x:v>Why UBS? | Tell me about a leadership experiences in your societies | Walk me through industry in energy storage and what you did in stock pitch and investment thesis</x:v>
      </x:c>
    </x:row>
    <x:row r="47" ht="48" customHeight="1">
      <x:c r="A47" s="30" t="str">
        <x:v>QB0468</x:v>
      </x:c>
      <x:c r="B47" s="30" t="str">
        <x:v>UBS IBD</x:v>
      </x:c>
      <x:c r="C47" s="30" t="str">
        <x:v>IBD / GCM</x:v>
      </x:c>
      <x:c r="D47" s="31" t="str">
        <x:v>Self Intro</x:v>
      </x:c>
      <x:c r="E47" s="31" t="str">
        <x:v>Tell me about yourself / walk me through your resume</x:v>
      </x:c>
      <x:c r="F47" s="31" t="str">
        <x:v>Resume &amp; Experience</x:v>
      </x:c>
      <x:c r="G47" s="30" t="str">
        <x:v>CL0001</x:v>
      </x:c>
      <x:c r="H47" s="32" t="n">
        <x:f>COUNTIF($G$5:$G$302,G47)</x:f>
        <x:v>141</x:v>
      </x:c>
      <x:c r="I47" s="30" t="str">
        <x:v>D13</x:v>
      </x:c>
      <x:c r="J47" s="31" t="str">
        <x:v>Shouldn't you use interest expense / debt? | Accounting question: Revenue 100, impact on 3 statement, make your own assumptuons | Behavioural</x:v>
      </x:c>
    </x:row>
    <x:row r="48" ht="32" customHeight="1">
      <x:c r="A48" s="30" t="str">
        <x:v>QB0480</x:v>
      </x:c>
      <x:c r="B48" s="30" t="str">
        <x:v>UBS IBD</x:v>
      </x:c>
      <x:c r="C48" s="30" t="str">
        <x:v>IBD / GCM</x:v>
      </x:c>
      <x:c r="D48" s="31" t="str">
        <x:v>Walk me through ur CV</x:v>
      </x:c>
      <x:c r="E48" s="31" t="str">
        <x:v>Tell me about yourself / walk me through your resume</x:v>
      </x:c>
      <x:c r="F48" s="31" t="str">
        <x:v>Resume &amp; Experience</x:v>
      </x:c>
      <x:c r="G48" s="30" t="str">
        <x:v>CL0001</x:v>
      </x:c>
      <x:c r="H48" s="32" t="n">
        <x:f>COUNTIF($G$5:$G$302,G48)</x:f>
        <x:v>141</x:v>
      </x:c>
      <x:c r="I48" s="30" t="str">
        <x:v>A18</x:v>
      </x:c>
      <x:c r="J48" s="31" t="str">
        <x:v>Tell me a time you worked with a team | Regan | ubs kayee kam</x:v>
      </x:c>
    </x:row>
    <x:row r="49" ht="92" customHeight="1">
      <x:c r="A49" s="30" t="str">
        <x:v>QB0515</x:v>
      </x:c>
      <x:c r="B49" s="30" t="str">
        <x:v>UBS IBD</x:v>
      </x:c>
      <x:c r="C49" s="30" t="str">
        <x:v>IBD / GCM</x:v>
      </x:c>
      <x:c r="D49" s="31" t="str">
        <x:v>Self Intro</x:v>
      </x:c>
      <x:c r="E49" s="31" t="str">
        <x:v>Tell me about yourself / walk me through your resume</x:v>
      </x:c>
      <x:c r="F49" s="31" t="str">
        <x:v>Resume &amp; Experience</x:v>
      </x:c>
      <x:c r="G49" s="30" t="str">
        <x:v>CL0001</x:v>
      </x:c>
      <x:c r="H49" s="32" t="n">
        <x:f>COUNTIF($G$5:$G$302,G49)</x:f>
        <x:v>141</x:v>
      </x:c>
      <x:c r="I49" s="30" t="str">
        <x:v>A46</x:v>
      </x:c>
      <x:c r="J49" s="31" t="str">
        <x:v>Case Study (Sam Luk, HK Coverage Director) | I don't have the case with me as I did it in person but it was about xiabuxiabu (hotpot) being privatised by a PE firm and do basic valuation to see if the offer price was reasonable | Commerc...</x:v>
      </x:c>
    </x:row>
    <x:row r="50" ht="68" customHeight="1">
      <x:c r="A50" s="30" t="str">
        <x:v>QB0523</x:v>
      </x:c>
      <x:c r="B50" s="30" t="str">
        <x:v>UBS IBD</x:v>
      </x:c>
      <x:c r="C50" s="30" t="str">
        <x:v>IBD / GCM</x:v>
      </x:c>
      <x:c r="D50" s="31" t="str">
        <x:v>Nike and Starbucks both just changed CEOs and their stock price rose, what do you think is the reason behind? (it's like their new CEOs are all F&amp;B veterans whereas their old ones came from consulting background and didn't understand the industry in real life)</x:v>
      </x:c>
      <x:c r="E50" s="31" t="str">
        <x:v>Nike and Starbucks both just changed CEOs and their stock price rose, what do you think is the reason behind? (it's like their new CEOs are all F&amp;B veterans whereas their old ones came from consulting background and didn't understand the industry in real life)</x:v>
      </x:c>
      <x:c r="F50" s="31" t="str">
        <x:v>Resume &amp; Experience</x:v>
      </x:c>
      <x:c r="G50" s="30" t="str">
        <x:v>CL0620</x:v>
      </x:c>
      <x:c r="H50" s="32" t="n">
        <x:f>COUNTIF($G$5:$G$302,G50)</x:f>
        <x:v>1</x:v>
      </x:c>
      <x:c r="I50" s="30" t="str">
        <x:v>A54</x:v>
      </x:c>
      <x:c r="J50" s="31" t="str">
        <x:v>For companies like Tencent, 3 main items of financial statements to look at | Do you follow the stock market closely? What's a stock you've been following closely? | What is special about Nike? (I mentioned Nike)</x:v>
      </x:c>
    </x:row>
    <x:row r="51" ht="118" customHeight="1">
      <x:c r="A51" s="30" t="str">
        <x:v>QB0524</x:v>
      </x:c>
      <x:c r="B51" s="30" t="str">
        <x:v>UBS IBD</x:v>
      </x:c>
      <x:c r="C51" s="30" t="str">
        <x:v>IBD / GCM</x:v>
      </x:c>
      <x:c r="D51" s="31" t="str">
        <x:v>She suddenly asked some behavioural questions like if you experience too much workload from seniors how do you manage</x:v>
      </x:c>
      <x:c r="E51" s="31" t="str">
        <x:v>She suddenly asked some behavioural questions like if you experience too much workload from seniors how do you manage</x:v>
      </x:c>
      <x:c r="F51" s="31" t="str">
        <x:v>Resume &amp; Experience</x:v>
      </x:c>
      <x:c r="G51" s="30" t="str">
        <x:v>CL0676</x:v>
      </x:c>
      <x:c r="H51" s="32" t="n">
        <x:f>COUNTIF($G$5:$G$302,G51)</x:f>
        <x:v>1</x:v>
      </x:c>
      <x:c r="I51" s="30" t="str">
        <x:v>A55</x:v>
      </x:c>
      <x:c r="J51" s="31" t="str">
        <x:v>Do you follow the stock market closely? What's a stock you've been following closely? | What is special about Nike? (I mentioned Nike) | Nike and Starbucks both just changed CEOs and their stock price rose, what do you think is the reaso...</x:v>
      </x:c>
    </x:row>
    <x:row r="52" ht="118" customHeight="1">
      <x:c r="A52" s="30" t="str">
        <x:v>QB0526</x:v>
      </x:c>
      <x:c r="B52" s="30" t="str">
        <x:v>UBS IBD</x:v>
      </x:c>
      <x:c r="C52" s="30" t="str">
        <x:v>IBD / GCM</x:v>
      </x:c>
      <x:c r="D52" s="31" t="str">
        <x:v>Self Intro</x:v>
      </x:c>
      <x:c r="E52" s="31" t="str">
        <x:v>Tell me about yourself / walk me through your resume</x:v>
      </x:c>
      <x:c r="F52" s="31" t="str">
        <x:v>Resume &amp; Experience</x:v>
      </x:c>
      <x:c r="G52" s="30" t="str">
        <x:v>CL0001</x:v>
      </x:c>
      <x:c r="H52" s="32" t="n">
        <x:f>COUNTIF($G$5:$G$302,G52)</x:f>
        <x:v>141</x:v>
      </x:c>
      <x:c r="I52" s="30" t="str">
        <x:v>A57</x:v>
      </x:c>
      <x:c r="J52" s="31" t="str">
        <x:v>Nike and Starbucks both just changed CEOs and their stock price rose, what do you think is the reason behind? (it's like their new CEOs are all F&amp;B veterans whereas their old ones came from consulting background and didn't understand the...</x:v>
      </x:c>
    </x:row>
    <x:row r="53" ht="68" customHeight="1">
      <x:c r="A53" s="30" t="str">
        <x:v>QB0527</x:v>
      </x:c>
      <x:c r="B53" s="30" t="str">
        <x:v>UBS IBD</x:v>
      </x:c>
      <x:c r="C53" s="30" t="str">
        <x:v>IBD / GCM</x:v>
      </x:c>
      <x:c r="D53" s="31" t="str">
        <x:v>Basically just asked about each internship experience one by one</x:v>
      </x:c>
      <x:c r="E53" s="31" t="str">
        <x:v>Basically just asked about each internship experience one by one</x:v>
      </x:c>
      <x:c r="F53" s="31" t="str">
        <x:v>Resume &amp; Experience</x:v>
      </x:c>
      <x:c r="G53" s="30" t="str">
        <x:v>CL0156</x:v>
      </x:c>
      <x:c r="H53" s="32" t="n">
        <x:f>COUNTIF($G$5:$G$302,G53)</x:f>
        <x:v>1</x:v>
      </x:c>
      <x:c r="I53" s="30" t="str">
        <x:v>A58</x:v>
      </x:c>
      <x:c r="J53" s="31" t="str">
        <x:v>She suddenly asked some behavioural questions like if you experience too much workload from seniors how do you manage | Competency (Stephanie Cho, M&amp;A Director) | Self Intro</x:v>
      </x:c>
    </x:row>
    <x:row r="54" ht="68" customHeight="1">
      <x:c r="A54" s="30" t="str">
        <x:v>QB0559</x:v>
      </x:c>
      <x:c r="B54" s="30" t="str">
        <x:v>UBS IBD</x:v>
      </x:c>
      <x:c r="C54" s="30" t="str">
        <x:v>IBD / GCM</x:v>
      </x:c>
      <x:c r="D54" s="31" t="str">
        <x:v>Self-intro</x:v>
      </x:c>
      <x:c r="E54" s="31" t="str">
        <x:v>Tell me about yourself / walk me through your resume</x:v>
      </x:c>
      <x:c r="F54" s="31" t="str">
        <x:v>Resume &amp; Experience</x:v>
      </x:c>
      <x:c r="G54" s="30" t="str">
        <x:v>CL0001</x:v>
      </x:c>
      <x:c r="H54" s="32" t="n">
        <x:f>COUNTIF($G$5:$G$302,G54)</x:f>
        <x:v>141</x:v>
      </x:c>
      <x:c r="I54" s="30" t="str">
        <x:v>A94</x:v>
      </x:c>
      <x:c r="J54" s="31" t="str">
        <x:v>Convertible bond: strike price 50, should they convert, how it affects the 3 statements, net debt increases or decreases | Macro: how the current market would affect the company’s share price and why | Normal 1v1 with ECM Head</x:v>
      </x:c>
    </x:row>
    <x:row r="55" ht="68" customHeight="1">
      <x:c r="A55" s="30" t="str">
        <x:v>QB0569</x:v>
      </x:c>
      <x:c r="B55" s="30" t="str">
        <x:v>UBS IBD</x:v>
      </x:c>
      <x:c r="C55" s="30" t="str">
        <x:v>IBD / GCM</x:v>
      </x:c>
      <x:c r="D55" s="31" t="str">
        <x:v>Asked about 我CV最底部的一個社團經驗 問我當時比亞迪的DCF build了啥 還有我target price跟driver之類的 太久了我一點也不記得 and asked about how's BYD currently doing</x:v>
      </x:c>
      <x:c r="E55" s="31" t="str">
        <x:v>Asked about 我CV最底部的一個社團經驗 問我當時比亞迪的DCF build了啥 還有我target price跟driver之類的 太久了我一點也不記得 and asked about how's BYD currently doing</x:v>
      </x:c>
      <x:c r="F55" s="31" t="str">
        <x:v>Resume &amp; Experience</x:v>
      </x:c>
      <x:c r="G55" s="30" t="str">
        <x:v>CL0146</x:v>
      </x:c>
      <x:c r="H55" s="32" t="n">
        <x:f>COUNTIF($G$5:$G$302,G55)</x:f>
        <x:v>1</x:v>
      </x:c>
      <x:c r="I55" s="30" t="str">
        <x:v>A104</x:v>
      </x:c>
      <x:c r="J55" s="31" t="str">
        <x:v>How do you see the equity market | Followup as I mentioned weak China market fundamental - elaborate on China real estate market and inflation (asked the figures as well) | Long HK equity or US equity</x:v>
      </x:c>
    </x:row>
    <x:row r="56" ht="32" customHeight="1">
      <x:c r="A56" s="30" t="str">
        <x:v>QB0578</x:v>
      </x:c>
      <x:c r="B56" s="30" t="str">
        <x:v>Deutsche</x:v>
      </x:c>
      <x:c r="C56" s="30" t="str">
        <x:v>IBD / GCM</x:v>
      </x:c>
      <x:c r="D56" s="31" t="str">
        <x:v>Self Intro</x:v>
      </x:c>
      <x:c r="E56" s="31" t="str">
        <x:v>Tell me about yourself / walk me through your resume</x:v>
      </x:c>
      <x:c r="F56" s="31" t="str">
        <x:v>Resume &amp; Experience</x:v>
      </x:c>
      <x:c r="G56" s="30" t="str">
        <x:v>CL0001</x:v>
      </x:c>
      <x:c r="H56" s="32" t="n">
        <x:f>COUNTIF($G$5:$G$302,G56)</x:f>
        <x:v>141</x:v>
      </x:c>
      <x:c r="I56" s="30" t="str">
        <x:v>A5</x:v>
      </x:c>
      <x:c r="J56" s="31" t="str">
        <x:v>1st round | Germaine 21/9 | Kang Lee (Asso from Tech)</x:v>
      </x:c>
    </x:row>
    <x:row r="57" ht="32" customHeight="1">
      <x:c r="A57" s="30" t="str">
        <x:v>QB0579</x:v>
      </x:c>
      <x:c r="B57" s="30" t="str">
        <x:v>Deutsche</x:v>
      </x:c>
      <x:c r="C57" s="30" t="str">
        <x:v>IBD / GCM</x:v>
      </x:c>
      <x:c r="D57" s="31" t="str">
        <x:v>Self Intro</x:v>
      </x:c>
      <x:c r="E57" s="31" t="str">
        <x:v>Tell me about yourself / walk me through your resume</x:v>
      </x:c>
      <x:c r="F57" s="31" t="str">
        <x:v>Resume &amp; Experience</x:v>
      </x:c>
      <x:c r="G57" s="30" t="str">
        <x:v>CL0001</x:v>
      </x:c>
      <x:c r="H57" s="32" t="n">
        <x:f>COUNTIF($G$5:$G$302,G57)</x:f>
        <x:v>141</x:v>
      </x:c>
      <x:c r="I57" s="30" t="str">
        <x:v>C5</x:v>
      </x:c>
      <x:c r="J57" s="31" t="str">
        <x:v>Celia (Asso from Strategic Equity)</x:v>
      </x:c>
    </x:row>
    <x:row r="58" ht="68" customHeight="1">
      <x:c r="A58" s="30" t="str">
        <x:v>QB0608</x:v>
      </x:c>
      <x:c r="B58" s="30" t="str">
        <x:v>Deutsche</x:v>
      </x:c>
      <x:c r="C58" s="30" t="str">
        <x:v>IBD / GCM</x:v>
      </x:c>
      <x:c r="D58" s="31" t="str">
        <x:v>Self introduction</x:v>
      </x:c>
      <x:c r="E58" s="31" t="str">
        <x:v>Tell me about yourself / walk me through your resume</x:v>
      </x:c>
      <x:c r="F58" s="31" t="str">
        <x:v>Resume &amp; Experience</x:v>
      </x:c>
      <x:c r="G58" s="30" t="str">
        <x:v>CL0001</x:v>
      </x:c>
      <x:c r="H58" s="32" t="n">
        <x:f>COUNTIF($G$5:$G$302,G58)</x:f>
        <x:v>141</x:v>
      </x:c>
      <x:c r="I58" s="30" t="str">
        <x:v>C21</x:v>
      </x:c>
      <x:c r="J58" s="31" t="str">
        <x:v>(grilled for around 5 minutes with a lot of follow-ups) | Stock Pitch - What's the market cap of the stock? What's the rationale? | Grace (VP from Consumer Retail)</x:v>
      </x:c>
    </x:row>
    <x:row r="59" ht="118" customHeight="1">
      <x:c r="A59" s="30" t="str">
        <x:v>QB0609</x:v>
      </x:c>
      <x:c r="B59" s="30" t="str">
        <x:v>Deutsche</x:v>
      </x:c>
      <x:c r="C59" s="30" t="str">
        <x:v>IBD / GCM</x:v>
      </x:c>
      <x:c r="D59" s="31" t="str">
        <x:v>Walk me through your resume</x:v>
      </x:c>
      <x:c r="E59" s="31" t="str">
        <x:v>Tell me about yourself / walk me through your resume</x:v>
      </x:c>
      <x:c r="F59" s="31" t="str">
        <x:v>Resume &amp; Experience</x:v>
      </x:c>
      <x:c r="G59" s="30" t="str">
        <x:v>CL0001</x:v>
      </x:c>
      <x:c r="H59" s="32" t="n">
        <x:f>COUNTIF($G$5:$G$302,G59)</x:f>
        <x:v>141</x:v>
      </x:c>
      <x:c r="I59" s="30" t="str">
        <x:v>E21</x:v>
      </x:c>
      <x:c r="J59" s="31" t="str">
        <x:v>So based on the criteria you just mentioned, which one is the most important? | You mentioned industry classification as most important criteria, so what if because I used same industry, the result is the financial performance is very di...</x:v>
      </x:c>
    </x:row>
    <x:row r="60" ht="32" customHeight="1">
      <x:c r="A60" s="30" t="str">
        <x:v>QB0610</x:v>
      </x:c>
      <x:c r="B60" s="30" t="str">
        <x:v>Deutsche</x:v>
      </x:c>
      <x:c r="C60" s="30" t="str">
        <x:v>IBD / GCM</x:v>
      </x:c>
      <x:c r="D60" s="31" t="str">
        <x:v>Self Intro</x:v>
      </x:c>
      <x:c r="E60" s="31" t="str">
        <x:v>Tell me about yourself / walk me through your resume</x:v>
      </x:c>
      <x:c r="F60" s="31" t="str">
        <x:v>Resume &amp; Experience</x:v>
      </x:c>
      <x:c r="G60" s="30" t="str">
        <x:v>CL0001</x:v>
      </x:c>
      <x:c r="H60" s="32" t="n">
        <x:f>COUNTIF($G$5:$G$302,G60)</x:f>
        <x:v>141</x:v>
      </x:c>
      <x:c r="I60" s="30" t="str">
        <x:v>G21</x:v>
      </x:c>
      <x:c r="J60" s="31" t="str">
        <x:v>Nancy Feng (Director from FIG)</x:v>
      </x:c>
    </x:row>
    <x:row r="61" ht="68" customHeight="1">
      <x:c r="A61" s="30" t="str">
        <x:v>QB0615</x:v>
      </x:c>
      <x:c r="B61" s="30" t="str">
        <x:v>Deutsche</x:v>
      </x:c>
      <x:c r="C61" s="30" t="str">
        <x:v>IBD / GCM</x:v>
      </x:c>
      <x:c r="D61" s="31" t="str">
        <x:v>How was your first round interviews? Who interviewed you, what was your experience like, and what did you learn about DB?</x:v>
      </x:c>
      <x:c r="E61" s="31" t="str">
        <x:v>How was your first round interviews? Who interviewed you, what was your experience like, and what did you learn about DB</x:v>
      </x:c>
      <x:c r="F61" s="31" t="str">
        <x:v>Resume &amp; Experience</x:v>
      </x:c>
      <x:c r="G61" s="30" t="str">
        <x:v>CL0487</x:v>
      </x:c>
      <x:c r="H61" s="32" t="n">
        <x:f>COUNTIF($G$5:$G$302,G61)</x:f>
        <x:v>1</x:v>
      </x:c>
      <x:c r="I61" s="30" t="str">
        <x:v>A23</x:v>
      </x:c>
      <x:c r="J61" s="31" t="str">
        <x:v>Andy Chau (Director from Strategic Equity) | Before we start, what's something you want me to know about you? | Diverse experiences - why IBD and not other industries?</x:v>
      </x:c>
    </x:row>
    <x:row r="62" ht="48" customHeight="1">
      <x:c r="A62" s="30" t="str">
        <x:v>QB0617</x:v>
      </x:c>
      <x:c r="B62" s="30" t="str">
        <x:v>Deutsche</x:v>
      </x:c>
      <x:c r="C62" s="30" t="str">
        <x:v>IBD / GCM</x:v>
      </x:c>
      <x:c r="D62" s="31" t="str">
        <x:v>Most memorable internship experience and why?</x:v>
      </x:c>
      <x:c r="E62" s="31" t="str">
        <x:v>Most memorable internship experience and why</x:v>
      </x:c>
      <x:c r="F62" s="31" t="str">
        <x:v>Resume &amp; Experience</x:v>
      </x:c>
      <x:c r="G62" s="30" t="str">
        <x:v>CL0608</x:v>
      </x:c>
      <x:c r="H62" s="32" t="n">
        <x:f>COUNTIF($G$5:$G$302,G62)</x:f>
        <x:v>1</x:v>
      </x:c>
      <x:c r="I62" s="30" t="str">
        <x:v>E23</x:v>
      </x:c>
      <x:c r="J62" s="31" t="str">
        <x:v>Phil Chen (VP) | Walk me through your resume | Why IBD and not PB, or consulting or even regulatory work?</x:v>
      </x:c>
    </x:row>
    <x:row r="63" ht="32" customHeight="1">
      <x:c r="A63" s="30" t="str">
        <x:v>QB0618</x:v>
      </x:c>
      <x:c r="B63" s="30" t="str">
        <x:v>Deutsche</x:v>
      </x:c>
      <x:c r="C63" s="30" t="str">
        <x:v>IBD / GCM</x:v>
      </x:c>
      <x:c r="D63" s="31" t="str">
        <x:v>Walk me through one of your internship experiences</x:v>
      </x:c>
      <x:c r="E63" s="31" t="str">
        <x:v>Walk me through one of your internship experiences</x:v>
      </x:c>
      <x:c r="F63" s="31" t="str">
        <x:v>Resume &amp; Experience</x:v>
      </x:c>
      <x:c r="G63" s="30" t="str">
        <x:v>CL0834</x:v>
      </x:c>
      <x:c r="H63" s="32" t="n">
        <x:f>COUNTIF($G$5:$G$302,G63)</x:f>
        <x:v>1</x:v>
      </x:c>
      <x:c r="I63" s="30" t="str">
        <x:v>G23</x:v>
      </x:c>
      <x:c r="J63" s="31" t="str">
        <x:v>Nancy Feng (Director from FIG) | Self Intro | Why DB?</x:v>
      </x:c>
    </x:row>
    <x:row r="64" ht="68" customHeight="1">
      <x:c r="A64" s="30" t="str">
        <x:v>QB0619</x:v>
      </x:c>
      <x:c r="B64" s="30" t="str">
        <x:v>Deutsche</x:v>
      </x:c>
      <x:c r="C64" s="30" t="str">
        <x:v>IBD / GCM</x:v>
      </x:c>
      <x:c r="D64" s="31" t="str">
        <x:v>Most memorable internship experience?</x:v>
      </x:c>
      <x:c r="E64" s="31" t="str">
        <x:v>Most memorable internship experience</x:v>
      </x:c>
      <x:c r="F64" s="31" t="str">
        <x:v>Resume &amp; Experience</x:v>
      </x:c>
      <x:c r="G64" s="30" t="str">
        <x:v>CL0607</x:v>
      </x:c>
      <x:c r="H64" s="32" t="n">
        <x:f>COUNTIF($G$5:$G$302,G64)</x:f>
        <x:v>1</x:v>
      </x:c>
      <x:c r="I64" s="30" t="str">
        <x:v>A24</x:v>
      </x:c>
      <x:c r="J64" s="31" t="str">
        <x:v>Before we start, what's something you want me to know about you? | Diverse experiences - why IBD and not other industries? | How was your first round interviews? Who interviewed you, what was your experience like, and what did you learn ...</x:v>
      </x:c>
    </x:row>
    <x:row r="65" ht="68" customHeight="1">
      <x:c r="A65" s="30" t="str">
        <x:v>QB0623</x:v>
      </x:c>
      <x:c r="B65" s="30" t="str">
        <x:v>Deutsche</x:v>
      </x:c>
      <x:c r="C65" s="30" t="str">
        <x:v>IBD / GCM</x:v>
      </x:c>
      <x:c r="D65" s="31" t="str">
        <x:v>Combining all your internship experience, what is the most important takeaway?</x:v>
      </x:c>
      <x:c r="E65" s="31" t="str">
        <x:v>Combining all your internship experience, what is the most important takeaway</x:v>
      </x:c>
      <x:c r="F65" s="31" t="str">
        <x:v>Resume &amp; Experience</x:v>
      </x:c>
      <x:c r="G65" s="30" t="str">
        <x:v>CL0200</x:v>
      </x:c>
      <x:c r="H65" s="32" t="n">
        <x:f>COUNTIF($G$5:$G$302,G65)</x:f>
        <x:v>1</x:v>
      </x:c>
      <x:c r="I65" s="30" t="str">
        <x:v>A25</x:v>
      </x:c>
      <x:c r="J65" s="31" t="str">
        <x:v>Diverse experiences - why IBD and not other industries? | How was your first round interviews? Who interviewed you, what was your experience like, and what did you learn about DB? | Most memorable internship experience?</x:v>
      </x:c>
    </x:row>
    <x:row r="66" ht="68" customHeight="1">
      <x:c r="A66" s="30" t="str">
        <x:v>QB0625</x:v>
      </x:c>
      <x:c r="B66" s="30" t="str">
        <x:v>Deutsche</x:v>
      </x:c>
      <x:c r="C66" s="30" t="str">
        <x:v>IBD / GCM</x:v>
      </x:c>
      <x:c r="D66" s="31" t="str">
        <x:v>Which deal you had more exposure to? Talk to me in depth about what you did</x:v>
      </x:c>
      <x:c r="E66" s="31" t="str">
        <x:v>Which deal you had more exposure to? Talk to me in depth about what you did</x:v>
      </x:c>
      <x:c r="F66" s="31" t="str">
        <x:v>Resume &amp; Experience</x:v>
      </x:c>
      <x:c r="G66" s="30" t="str">
        <x:v>CL1094</x:v>
      </x:c>
      <x:c r="H66" s="32" t="n">
        <x:f>COUNTIF($G$5:$G$302,G66)</x:f>
        <x:v>1</x:v>
      </x:c>
      <x:c r="I66" s="30" t="str">
        <x:v>E25</x:v>
      </x:c>
      <x:c r="J66" s="31" t="str">
        <x:v>Why IBD and not PB, or consulting or even regulatory work? | Most memorable internship experience and why? | Walk me through your projects at Odysseus Capital Asia - brief me the pre-IPO roadshow as well as sell-side M&amp;A transaction?</x:v>
      </x:c>
    </x:row>
    <x:row r="67" ht="68" customHeight="1">
      <x:c r="A67" s="30" t="str">
        <x:v>QB0629</x:v>
      </x:c>
      <x:c r="B67" s="30" t="str">
        <x:v>Deutsche</x:v>
      </x:c>
      <x:c r="C67" s="30" t="str">
        <x:v>IBD / GCM</x:v>
      </x:c>
      <x:c r="D67" s="31" t="str">
        <x:v>Internship at SFC - ad hoc research on China property market and HK tick size regime - what did you do?</x:v>
      </x:c>
      <x:c r="E67" s="31" t="str">
        <x:v>Internship at SFC - ad hoc research on China property market and HK tick size regime - what did you do</x:v>
      </x:c>
      <x:c r="F67" s="31" t="str">
        <x:v>Resume &amp; Experience</x:v>
      </x:c>
      <x:c r="G67" s="30" t="str">
        <x:v>CL0548</x:v>
      </x:c>
      <x:c r="H67" s="32" t="n">
        <x:f>COUNTIF($G$5:$G$302,G67)</x:f>
        <x:v>1</x:v>
      </x:c>
      <x:c r="I67" s="30" t="str">
        <x:v>G26</x:v>
      </x:c>
      <x:c r="J67" s="31" t="str">
        <x:v>Walk me through one of your internship experiences | Valuation multiples - how did you get your comparable companies and what is your client's competitive edge? | Any post-IPO go to market strategy</x:v>
      </x:c>
    </x:row>
    <x:row r="68" ht="32" customHeight="1">
      <x:c r="A68" s="30" t="str">
        <x:v>QB0640</x:v>
      </x:c>
      <x:c r="B68" s="30" t="str">
        <x:v>Deutsche</x:v>
      </x:c>
      <x:c r="C68" s="30" t="str">
        <x:v>IBD / GCM</x:v>
      </x:c>
      <x:c r="D68" s="31" t="str">
        <x:v>self intro in 30s</x:v>
      </x:c>
      <x:c r="E68" s="31" t="str">
        <x:v>Tell me about yourself / walk me through your resume</x:v>
      </x:c>
      <x:c r="F68" s="31" t="str">
        <x:v>Resume &amp; Experience</x:v>
      </x:c>
      <x:c r="G68" s="30" t="str">
        <x:v>CL0001</x:v>
      </x:c>
      <x:c r="H68" s="32" t="n">
        <x:f>COUNTIF($G$5:$G$302,G68)</x:f>
        <x:v>141</x:v>
      </x:c>
      <x:c r="I68" s="30" t="str">
        <x:v>A35</x:v>
      </x:c>
      <x:c r="J68" s="31" t="str">
        <x:v>1st round | Jasmine 5/10 | 1 (she’s on zoom and didnt open cam…)</x:v>
      </x:c>
    </x:row>
    <x:row r="69" ht="32" customHeight="1">
      <x:c r="A69" s="30" t="str">
        <x:v>QB0641</x:v>
      </x:c>
      <x:c r="B69" s="30" t="str">
        <x:v>Deutsche</x:v>
      </x:c>
      <x:c r="C69" s="30" t="str">
        <x:v>IBD / GCM</x:v>
      </x:c>
      <x:c r="D69" s="31" t="str">
        <x:v>Self intro</x:v>
      </x:c>
      <x:c r="E69" s="31" t="str">
        <x:v>Tell me about yourself / walk me through your resume</x:v>
      </x:c>
      <x:c r="F69" s="31" t="str">
        <x:v>Resume &amp; Experience</x:v>
      </x:c>
      <x:c r="G69" s="30" t="str">
        <x:v>CL0001</x:v>
      </x:c>
      <x:c r="H69" s="32" t="n">
        <x:f>COUNTIF($G$5:$G$302,G69)</x:f>
        <x:v>141</x:v>
      </x:c>
      <x:c r="I69" s="30" t="str">
        <x:v>C35</x:v>
      </x:c>
      <x:c r="J69" s="31" t="str">
        <x:v>PPT person or Excel person? | Jimmy 5/10 | 1 DCM</x:v>
      </x:c>
    </x:row>
    <x:row r="70" ht="32" customHeight="1">
      <x:c r="A70" s="30" t="str">
        <x:v>QB0646</x:v>
      </x:c>
      <x:c r="B70" s="30" t="str">
        <x:v>Deutsche</x:v>
      </x:c>
      <x:c r="C70" s="30" t="str">
        <x:v>IBD / GCM</x:v>
      </x:c>
      <x:c r="D70" s="31" t="str">
        <x:v>any valuation experience</x:v>
      </x:c>
      <x:c r="E70" s="31" t="str">
        <x:v>Any valuation experience</x:v>
      </x:c>
      <x:c r="F70" s="31" t="str">
        <x:v>Resume &amp; Experience</x:v>
      </x:c>
      <x:c r="G70" s="30" t="str">
        <x:v>CL0128</x:v>
      </x:c>
      <x:c r="H70" s="32" t="n">
        <x:f>COUNTIF($G$5:$G$302,G70)</x:f>
        <x:v>1</x:v>
      </x:c>
      <x:c r="I70" s="30" t="str">
        <x:v>A38</x:v>
      </x:c>
      <x:c r="J70" s="31" t="str">
        <x:v>self intro in 30s | preference on capital market or coverage? | return?</x:v>
      </x:c>
    </x:row>
    <x:row r="71" ht="48" customHeight="1">
      <x:c r="A71" s="30" t="str">
        <x:v>QB0647</x:v>
      </x:c>
      <x:c r="B71" s="30" t="str">
        <x:v>Deutsche</x:v>
      </x:c>
      <x:c r="C71" s="30" t="str">
        <x:v>IBD / GCM</x:v>
      </x:c>
      <x:c r="D71" s="31" t="str">
        <x:v>What I did at blackrock, deal background about the buyout of the indian IT services, EBITDA margin level and compared to industry average</x:v>
      </x:c>
      <x:c r="E71" s="31" t="str">
        <x:v>What I did at blackrock, deal background about the buyout of the indian IT services, EBITDA margin level and compared to industry average</x:v>
      </x:c>
      <x:c r="F71" s="31" t="str">
        <x:v>Resume &amp; Experience</x:v>
      </x:c>
      <x:c r="G71" s="30" t="str">
        <x:v>CL0952</x:v>
      </x:c>
      <x:c r="H71" s="32" t="n">
        <x:f>COUNTIF($G$5:$G$302,G71)</x:f>
        <x:v>1</x:v>
      </x:c>
      <x:c r="I71" s="30" t="str">
        <x:v>C38</x:v>
      </x:c>
      <x:c r="J71" s="31" t="str">
        <x:v>Self intro | Why IBD | How many summer interns in BLK?</x:v>
      </x:c>
    </x:row>
    <x:row r="72" ht="48" customHeight="1">
      <x:c r="A72" s="30" t="str">
        <x:v>QB0660</x:v>
      </x:c>
      <x:c r="B72" s="30" t="str">
        <x:v>Deutsche</x:v>
      </x:c>
      <x:c r="C72" s="30" t="str">
        <x:v>IBD / GCM</x:v>
      </x:c>
      <x:c r="D72" s="31" t="str">
        <x:v>self intro</x:v>
      </x:c>
      <x:c r="E72" s="31" t="str">
        <x:v>Tell me about yourself / walk me through your resume</x:v>
      </x:c>
      <x:c r="F72" s="31" t="str">
        <x:v>Resume &amp; Experience</x:v>
      </x:c>
      <x:c r="G72" s="30" t="str">
        <x:v>CL0001</x:v>
      </x:c>
      <x:c r="H72" s="32" t="n">
        <x:f>COUNTIF($G$5:$G$302,G72)</x:f>
        <x:v>141</x:v>
      </x:c>
      <x:c r="I72" s="30" t="str">
        <x:v>A46</x:v>
      </x:c>
      <x:c r="J72" s="31" t="str">
        <x:v>whats the formulas for unlever and relever | how to find beta for a private company | 2 M&amp;A and DIG</x:v>
      </x:c>
    </x:row>
    <x:row r="73" ht="48" customHeight="1">
      <x:c r="A73" s="30" t="str">
        <x:v>QB0663</x:v>
      </x:c>
      <x:c r="B73" s="30" t="str">
        <x:v>Deutsche</x:v>
      </x:c>
      <x:c r="C73" s="30" t="str">
        <x:v>IBD / GCM</x:v>
      </x:c>
      <x:c r="D73" s="31" t="str">
        <x:v>What did you do at BLK</x:v>
      </x:c>
      <x:c r="E73" s="31" t="str">
        <x:v>What did you do at BLK</x:v>
      </x:c>
      <x:c r="F73" s="31" t="str">
        <x:v>Resume &amp; Experience</x:v>
      </x:c>
      <x:c r="G73" s="30" t="str">
        <x:v>CL0043</x:v>
      </x:c>
      <x:c r="H73" s="32" t="n">
        <x:f>COUNTIF($G$5:$G$302,G73)</x:f>
        <x:v>2</x:v>
      </x:c>
      <x:c r="I73" s="30" t="str">
        <x:v>C47</x:v>
      </x:c>
      <x:c r="J73" s="31" t="str">
        <x:v>Do you know anyone from DB and learned from them? | 2 Healthcare | No intro, directly grill deal and tech</x:v>
      </x:c>
    </x:row>
    <x:row r="74" ht="68" customHeight="1">
      <x:c r="A74" s="30" t="str">
        <x:v>QB0689</x:v>
      </x:c>
      <x:c r="B74" s="30" t="str">
        <x:v>Deutsche</x:v>
      </x:c>
      <x:c r="C74" s="30" t="str">
        <x:v>IBD / GCM</x:v>
      </x:c>
      <x:c r="D74" s="31" t="str">
        <x:v>Self intro</x:v>
      </x:c>
      <x:c r="E74" s="31" t="str">
        <x:v>Tell me about yourself / walk me through your resume</x:v>
      </x:c>
      <x:c r="F74" s="31" t="str">
        <x:v>Resume &amp; Experience</x:v>
      </x:c>
      <x:c r="G74" s="30" t="str">
        <x:v>CL0001</x:v>
      </x:c>
      <x:c r="H74" s="32" t="n">
        <x:f>COUNTIF($G$5:$G$302,G74)</x:f>
        <x:v>141</x:v>
      </x:c>
      <x:c r="I74" s="30" t="str">
        <x:v>C61</x:v>
      </x:c>
      <x:c r="J74" s="31" t="str">
        <x:v>EV Equity bridge, where is Minority interest and why? Where is non-operating asset and why? (I fucked up this one) | Is lottery prize in FCFF and why? | 3 M&amp;A, from HKU</x:v>
      </x:c>
    </x:row>
    <x:row r="75" ht="48" customHeight="1">
      <x:c r="A75" s="30" t="str">
        <x:v>QB0692</x:v>
      </x:c>
      <x:c r="B75" s="30" t="str">
        <x:v>Deutsche</x:v>
      </x:c>
      <x:c r="C75" s="30" t="str">
        <x:v>IBD / GCM</x:v>
      </x:c>
      <x:c r="D75" s="31" t="str">
        <x:v>Slghtly asked on my M&amp;A Case com experience -am i still following SenseTime (said no)</x:v>
      </x:c>
      <x:c r="E75" s="31" t="str">
        <x:v>Slghtly asked on my M&amp;A Case com experience -am i still following SenseTime (said no)</x:v>
      </x:c>
      <x:c r="F75" s="31" t="str">
        <x:v>Resume &amp; Experience</x:v>
      </x:c>
      <x:c r="G75" s="30" t="str">
        <x:v>CL0683</x:v>
      </x:c>
      <x:c r="H75" s="32" t="n">
        <x:f>COUNTIF($G$5:$G$302,G75)</x:f>
        <x:v>1</x:v>
      </x:c>
      <x:c r="I75" s="30" t="str">
        <x:v>A63</x:v>
      </x:c>
      <x:c r="J75" s="31" t="str">
        <x:v>if the IRR is 15%, the interest rate is 20%, should u borrow the debt | 3 Debt syndicate (all behav) | Why DB, nomura vs DB, teamwork, which team, etc</x:v>
      </x:c>
    </x:row>
    <x:row r="76" ht="92" customHeight="1">
      <x:c r="A76" s="30" t="str">
        <x:v>QB0697</x:v>
      </x:c>
      <x:c r="B76" s="30" t="str">
        <x:v>Deutsche</x:v>
      </x:c>
      <x:c r="C76" s="30" t="str">
        <x:v>IBD / GCM</x:v>
      </x:c>
      <x:c r="D76" s="31" t="str">
        <x:v>What you did at BLK</x:v>
      </x:c>
      <x:c r="E76" s="31" t="str">
        <x:v>What you did at BLK</x:v>
      </x:c>
      <x:c r="F76" s="31" t="str">
        <x:v>Resume &amp; Experience</x:v>
      </x:c>
      <x:c r="G76" s="30" t="str">
        <x:v>CL0043</x:v>
      </x:c>
      <x:c r="H76" s="32" t="n">
        <x:f>COUNTIF($G$5:$G$302,G76)</x:f>
        <x:v>2</x:v>
      </x:c>
      <x:c r="I76" s="30" t="str">
        <x:v>C66</x:v>
      </x:c>
      <x:c r="J76" s="31" t="str">
        <x:v>Why would people like to do an LBO? | You have an IRR of 12%, bank is offering you Mezzaine of 13% PIK interest, will you take it? | You are paying 50% cash and 50% debt for a house, the rental income can just offset the debt payment eve...</x:v>
      </x:c>
    </x:row>
    <x:row r="77" ht="48" customHeight="1">
      <x:c r="A77" s="30" t="str">
        <x:v>QB0708</x:v>
      </x:c>
      <x:c r="B77" s="30" t="str">
        <x:v>Deutsche</x:v>
      </x:c>
      <x:c r="C77" s="30" t="str">
        <x:v>IBD / GCM</x:v>
      </x:c>
      <x:c r="D77" s="31" t="str">
        <x:v>Pitch me yourself, what is the advantage for someone with PE experience compared to someone with ib experience in doing IDB roles?</x:v>
      </x:c>
      <x:c r="E77" s="31" t="str">
        <x:v>Pitch me yourself, what is the advantage for someone with PE experience compared to someone with ib experience in doing IDB roles</x:v>
      </x:c>
      <x:c r="F77" s="31" t="str">
        <x:v>Resume &amp; Experience</x:v>
      </x:c>
      <x:c r="G77" s="30" t="str">
        <x:v>CL0638</x:v>
      </x:c>
      <x:c r="H77" s="32" t="n">
        <x:f>COUNTIF($G$5:$G$302,G77)</x:f>
        <x:v>1</x:v>
      </x:c>
      <x:c r="I77" s="30" t="str">
        <x:v>C75</x:v>
      </x:c>
      <x:c r="J77" s="31" t="str">
        <x:v>Business model: Asset light or Asset heavy? | Jimmy 6/10 | 1 ECM Karen</x:v>
      </x:c>
    </x:row>
    <x:row r="78" ht="48" customHeight="1">
      <x:c r="A78" s="30" t="str">
        <x:v>QB0710</x:v>
      </x:c>
      <x:c r="B78" s="30" t="str">
        <x:v>Deutsche</x:v>
      </x:c>
      <x:c r="C78" s="30" t="str">
        <x:v>IBD / GCM</x:v>
      </x:c>
      <x:c r="D78" s="31" t="str">
        <x:v>Experience of approaching difficult question and find a solution with positive outcome</x:v>
      </x:c>
      <x:c r="E78" s="31" t="str">
        <x:v>Experience of approaching difficult question and find a solution with positive outcome</x:v>
      </x:c>
      <x:c r="F78" s="31" t="str">
        <x:v>Resume &amp; Experience</x:v>
      </x:c>
      <x:c r="G78" s="30" t="str">
        <x:v>CL0319</x:v>
      </x:c>
      <x:c r="H78" s="32" t="n">
        <x:f>COUNTIF($G$5:$G$302,G78)</x:f>
        <x:v>1</x:v>
      </x:c>
      <x:c r="I78" s="30" t="str">
        <x:v>C76</x:v>
      </x:c>
      <x:c r="J78" s="31" t="str">
        <x:v>Jimmy 6/10 | 1 ECM Karen | Pitch me yourself, what is the advantage for someone with PE experience compared to someone with ib experience in doing IDB roles?</x:v>
      </x:c>
    </x:row>
    <x:row r="79" ht="48" customHeight="1">
      <x:c r="A79" s="30" t="str">
        <x:v>QB0720</x:v>
      </x:c>
      <x:c r="B79" s="30" t="str">
        <x:v>Deutsche</x:v>
      </x:c>
      <x:c r="C79" s="30" t="str">
        <x:v>IBD / GCM</x:v>
      </x:c>
      <x:c r="D79" s="31" t="str">
        <x:v>Self intro</x:v>
      </x:c>
      <x:c r="E79" s="31" t="str">
        <x:v>Tell me about yourself / walk me through your resume</x:v>
      </x:c>
      <x:c r="F79" s="31" t="str">
        <x:v>Resume &amp; Experience</x:v>
      </x:c>
      <x:c r="G79" s="30" t="str">
        <x:v>CL0001</x:v>
      </x:c>
      <x:c r="H79" s="32" t="n">
        <x:f>COUNTIF($G$5:$G$302,G79)</x:f>
        <x:v>141</x:v>
      </x:c>
      <x:c r="I79" s="30" t="str">
        <x:v>C82</x:v>
      </x:c>
      <x:c r="J79" s="31" t="str">
        <x:v>How do you view the HK and China market for past two weeks | Rest quite conversational | 2 TMT Derek</x:v>
      </x:c>
    </x:row>
    <x:row r="80" ht="32" customHeight="1">
      <x:c r="A80" s="30" t="str">
        <x:v>QB0725</x:v>
      </x:c>
      <x:c r="B80" s="30" t="str">
        <x:v>Deutsche</x:v>
      </x:c>
      <x:c r="C80" s="30" t="str">
        <x:v>IBD / GCM</x:v>
      </x:c>
      <x:c r="D80" s="31" t="str">
        <x:v>Walk me through one project you did that involved valuation</x:v>
      </x:c>
      <x:c r="E80" s="31" t="str">
        <x:v>Walk me through one project you did that involved valuation</x:v>
      </x:c>
      <x:c r="F80" s="31" t="str">
        <x:v>Resume &amp; Experience</x:v>
      </x:c>
      <x:c r="G80" s="30" t="str">
        <x:v>CL0835</x:v>
      </x:c>
      <x:c r="H80" s="32" t="n">
        <x:f>COUNTIF($G$5:$G$302,G80)</x:f>
        <x:v>1</x:v>
      </x:c>
      <x:c r="I80" s="30" t="str">
        <x:v>A85</x:v>
      </x:c>
      <x:c r="J80" s="31" t="str">
        <x:v>2 M&amp;A David | Why IBD, why giving up the best years of your life for this | Why DB</x:v>
      </x:c>
    </x:row>
    <x:row r="81" ht="48" customHeight="1">
      <x:c r="A81" s="30" t="str">
        <x:v>QB0741</x:v>
      </x:c>
      <x:c r="B81" s="30" t="str">
        <x:v>Deutsche</x:v>
      </x:c>
      <x:c r="C81" s="30" t="str">
        <x:v>IBD / GCM</x:v>
      </x:c>
      <x:c r="D81" s="31" t="str">
        <x:v>Self Intro</x:v>
      </x:c>
      <x:c r="E81" s="31" t="str">
        <x:v>Tell me about yourself / walk me through your resume</x:v>
      </x:c>
      <x:c r="F81" s="31" t="str">
        <x:v>Resume &amp; Experience</x:v>
      </x:c>
      <x:c r="G81" s="30" t="str">
        <x:v>CL0001</x:v>
      </x:c>
      <x:c r="H81" s="32" t="n">
        <x:f>COUNTIF($G$5:$G$302,G81)</x:f>
        <x:v>141</x:v>
      </x:c>
      <x:c r="I81" s="30" t="str">
        <x:v>A94</x:v>
      </x:c>
      <x:c r="J81" s="31" t="str">
        <x:v>Do you like clubbing? You seem quiet (LMAO...) | 3 TMT Derek | (dude spoke a bit of canto in the beg, but he 's a bit scary...)</x:v>
      </x:c>
    </x:row>
    <x:row r="82" ht="48" customHeight="1">
      <x:c r="A82" s="30" t="str">
        <x:v>QB0748</x:v>
      </x:c>
      <x:c r="B82" s="30" t="str">
        <x:v>Deutsche</x:v>
      </x:c>
      <x:c r="C82" s="30" t="str">
        <x:v>IBD / GCM</x:v>
      </x:c>
      <x:c r="D82" s="31" t="str">
        <x:v>Anything you could have done better in your Nomura internship?</x:v>
      </x:c>
      <x:c r="E82" s="31" t="str">
        <x:v>Anything you could have done better in your Nomura internship</x:v>
      </x:c>
      <x:c r="F82" s="31" t="str">
        <x:v>Resume &amp; Experience</x:v>
      </x:c>
      <x:c r="G82" s="30" t="str">
        <x:v>CL0129</x:v>
      </x:c>
      <x:c r="H82" s="32" t="n">
        <x:f>COUNTIF($G$5:$G$302,G82)</x:f>
        <x:v>1</x:v>
      </x:c>
      <x:c r="I82" s="30" t="str">
        <x:v>A98</x:v>
      </x:c>
      <x:c r="J82" s="31" t="str">
        <x:v>Why IBD and why DB | What do you think will be the quality required for IBD roles, any story to support you have this quality? | Return?</x:v>
      </x:c>
    </x:row>
    <x:row r="83" ht="32" customHeight="1">
      <x:c r="A83" s="30" t="str">
        <x:v>QB0757</x:v>
      </x:c>
      <x:c r="B83" s="30" t="str">
        <x:v>Deutsche</x:v>
      </x:c>
      <x:c r="C83" s="30" t="str">
        <x:v>IBD / GCM</x:v>
      </x:c>
      <x:c r="D83" s="31" t="str">
        <x:v>Self intro</x:v>
      </x:c>
      <x:c r="E83" s="31" t="str">
        <x:v>Tell me about yourself / walk me through your resume</x:v>
      </x:c>
      <x:c r="F83" s="31" t="str">
        <x:v>Resume &amp; Experience</x:v>
      </x:c>
      <x:c r="G83" s="30" t="str">
        <x:v>CL0001</x:v>
      </x:c>
      <x:c r="H83" s="32" t="n">
        <x:f>COUNTIF($G$5:$G$302,G83)</x:f>
        <x:v>141</x:v>
      </x:c>
      <x:c r="I83" s="30" t="str">
        <x:v>A103</x:v>
      </x:c>
      <x:c r="J83" s="31" t="str">
        <x:v>... challenged my motivation and such.... | 4 ECM Karen | (Mix of canto in between)</x:v>
      </x:c>
    </x:row>
    <x:row r="84" ht="48" customHeight="1">
      <x:c r="A84" s="30" t="str">
        <x:v>QB0763</x:v>
      </x:c>
      <x:c r="B84" s="30" t="str">
        <x:v>Deutsche</x:v>
      </x:c>
      <x:c r="C84" s="30" t="str">
        <x:v>IBD / GCM</x:v>
      </x:c>
      <x:c r="D84" s="31" t="str">
        <x:v>Tell me a project thats more complicated, not just making slides (bruh......)</x:v>
      </x:c>
      <x:c r="E84" s="31" t="str">
        <x:v>Tell me a project thats more complicated, not just making slides (bruh......)</x:v>
      </x:c>
      <x:c r="F84" s="31" t="str">
        <x:v>Resume &amp; Experience</x:v>
      </x:c>
      <x:c r="G84" s="30" t="str">
        <x:v>CL0706</x:v>
      </x:c>
      <x:c r="H84" s="32" t="n">
        <x:f>COUNTIF($G$5:$G$302,G84)</x:f>
        <x:v>1</x:v>
      </x:c>
      <x:c r="I84" s="30" t="str">
        <x:v>A106</x:v>
      </x:c>
      <x:c r="J84" s="31" t="str">
        <x:v>Self intro | “有個friend好耐以前都係st john打hockey” blablabla around hockey for a bit | Tell me one project you did at Nomura, your role and why you picked it</x:v>
      </x:c>
    </x:row>
    <x:row r="85" ht="32" customHeight="1">
      <x:c r="A85" s="30" t="str">
        <x:v>QB0773</x:v>
      </x:c>
      <x:c r="B85" s="30" t="str">
        <x:v>Deutsche</x:v>
      </x:c>
      <x:c r="C85" s="30" t="str">
        <x:v>IBD / GCM</x:v>
      </x:c>
      <x:c r="D85" s="31" t="str">
        <x:v>Case I did in my internship (EBITDA, Revenue breakdown, post-valuation...)</x:v>
      </x:c>
      <x:c r="E85" s="31" t="str">
        <x:v>Case I did in my internship (EBITDA, Revenue breakdown, post-valuation...)</x:v>
      </x:c>
      <x:c r="F85" s="31" t="str">
        <x:v>Resume &amp; Experience</x:v>
      </x:c>
      <x:c r="G85" s="30" t="str">
        <x:v>CL0194</x:v>
      </x:c>
      <x:c r="H85" s="32" t="n">
        <x:f>COUNTIF($G$5:$G$302,G85)</x:f>
        <x:v>1</x:v>
      </x:c>
      <x:c r="I85" s="30" t="str">
        <x:v>C114</x:v>
      </x:c>
      <x:c r="J85" s="31" t="str">
        <x:v>Why DB | Kangli (Diverse Industry Team, Asso) | (After self-intro all in Mandarin)</x:v>
      </x:c>
    </x:row>
    <x:row r="86" ht="48" customHeight="1">
      <x:c r="A86" s="30" t="str">
        <x:v>QB0797</x:v>
      </x:c>
      <x:c r="B86" s="30" t="str">
        <x:v>Deutsche</x:v>
      </x:c>
      <x:c r="C86" s="30" t="str">
        <x:v>IBD / GCM</x:v>
      </x:c>
      <x:c r="D86" s="31" t="str">
        <x:v>who did you report to at Xiaomi</x:v>
      </x:c>
      <x:c r="E86" s="31" t="str">
        <x:v>Who did you report to at Xiaomi</x:v>
      </x:c>
      <x:c r="F86" s="31" t="str">
        <x:v>Resume &amp; Experience</x:v>
      </x:c>
      <x:c r="G86" s="30" t="str">
        <x:v>CL1106</x:v>
      </x:c>
      <x:c r="H86" s="32" t="n">
        <x:f>COUNTIF($G$5:$G$302,G86)</x:f>
        <x:v>1</x:v>
      </x:c>
      <x:c r="I86" s="30" t="str">
        <x:v>C130</x:v>
      </x:c>
      <x:c r="J86" s="31" t="str">
        <x:v>can you accept the ibd hours after working at buyside? | walk me through lbo | one specific LBO question (calculate equity value)</x:v>
      </x:c>
    </x:row>
    <x:row r="87" ht="32" customHeight="1">
      <x:c r="A87" s="30" t="str">
        <x:v>QB0804</x:v>
      </x:c>
      <x:c r="B87" s="30" t="str">
        <x:v>Deutsche</x:v>
      </x:c>
      <x:c r="C87" s="30" t="str">
        <x:v>IBD / GCM</x:v>
      </x:c>
      <x:c r="D87" s="31" t="str">
        <x:v>Walk me through your resume</x:v>
      </x:c>
      <x:c r="E87" s="31" t="str">
        <x:v>Tell me about yourself / walk me through your resume</x:v>
      </x:c>
      <x:c r="F87" s="31" t="str">
        <x:v>Resume &amp; Experience</x:v>
      </x:c>
      <x:c r="G87" s="30" t="str">
        <x:v>CL0001</x:v>
      </x:c>
      <x:c r="H87" s="32" t="n">
        <x:f>COUNTIF($G$5:$G$302,G87)</x:f>
        <x:v>141</x:v>
      </x:c>
      <x:c r="I87" s="30" t="str">
        <x:v>A136</x:v>
      </x:c>
      <x:c r="J87" s="31" t="str">
        <x:v>Francesca 2025/07/25 | Phil (M&amp;A, Senior VP) | (Chill)</x:v>
      </x:c>
    </x:row>
    <x:row r="88" ht="48" customHeight="1">
      <x:c r="A88" s="30" t="str">
        <x:v>QB0805</x:v>
      </x:c>
      <x:c r="B88" s="30" t="str">
        <x:v>Deutsche</x:v>
      </x:c>
      <x:c r="C88" s="30" t="str">
        <x:v>IBD / GCM</x:v>
      </x:c>
      <x:c r="D88" s="31" t="str">
        <x:v>Walk me through your resume</x:v>
      </x:c>
      <x:c r="E88" s="31" t="str">
        <x:v>Tell me about yourself / walk me through your resume</x:v>
      </x:c>
      <x:c r="F88" s="31" t="str">
        <x:v>Resume &amp; Experience</x:v>
      </x:c>
      <x:c r="G88" s="30" t="str">
        <x:v>CL0001</x:v>
      </x:c>
      <x:c r="H88" s="32" t="n">
        <x:f>COUNTIF($G$5:$G$302,G88)</x:f>
        <x:v>141</x:v>
      </x:c>
      <x:c r="I88" s="30" t="str">
        <x:v>C136</x:v>
      </x:c>
      <x:c r="J88" s="31" t="str">
        <x:v>who did you report to at Xiaomi | Jackie (HK Coverage, VP) | (bro she's a bit scary she has very big eyes)</x:v>
      </x:c>
    </x:row>
    <x:row r="89" ht="32" customHeight="1">
      <x:c r="A89" s="30" t="str">
        <x:v>QB0806</x:v>
      </x:c>
      <x:c r="B89" s="30" t="str">
        <x:v>Deutsche</x:v>
      </x:c>
      <x:c r="C89" s="30" t="str">
        <x:v>IBD / GCM</x:v>
      </x:c>
      <x:c r="D89" s="31" t="str">
        <x:v>2 Cases did in PEI - what did you do?, valuation, multiples</x:v>
      </x:c>
      <x:c r="E89" s="31" t="str">
        <x:v>2 Cases did in PEI - what did you do?, valuation, multiples</x:v>
      </x:c>
      <x:c r="F89" s="31" t="str">
        <x:v>Resume &amp; Experience</x:v>
      </x:c>
      <x:c r="G89" s="30" t="str">
        <x:v>CL0070</x:v>
      </x:c>
      <x:c r="H89" s="32" t="n">
        <x:f>COUNTIF($G$5:$G$302,G89)</x:f>
        <x:v>1</x:v>
      </x:c>
      <x:c r="I89" s="30" t="str">
        <x:v>A137</x:v>
      </x:c>
      <x:c r="J89" s="31" t="str">
        <x:v>Phil (M&amp;A, Senior VP) | (Chill) | Walk me through your resume</x:v>
      </x:c>
    </x:row>
    <x:row r="90" ht="48" customHeight="1">
      <x:c r="A90" s="30" t="str">
        <x:v>QB0808</x:v>
      </x:c>
      <x:c r="B90" s="30" t="str">
        <x:v>Deutsche</x:v>
      </x:c>
      <x:c r="C90" s="30" t="str">
        <x:v>IBD / GCM</x:v>
      </x:c>
      <x:c r="D90" s="31" t="str">
        <x:v>1 Case did in previous internship - what did you do</x:v>
      </x:c>
      <x:c r="E90" s="31" t="str">
        <x:v>1 Case did in previous internship - what did you do</x:v>
      </x:c>
      <x:c r="F90" s="31" t="str">
        <x:v>Resume &amp; Experience</x:v>
      </x:c>
      <x:c r="G90" s="30" t="str">
        <x:v>CL0063</x:v>
      </x:c>
      <x:c r="H90" s="32" t="n">
        <x:f>COUNTIF($G$5:$G$302,G90)</x:f>
        <x:v>1</x:v>
      </x:c>
      <x:c r="I90" s="30" t="str">
        <x:v>A138</x:v>
      </x:c>
      <x:c r="J90" s="31" t="str">
        <x:v>(Chill) | Walk me through your resume | 2 Cases did in PEI - what did you do?, valuation, multiples</x:v>
      </x:c>
    </x:row>
    <x:row r="91" ht="68" customHeight="1">
      <x:c r="A91" s="30" t="str">
        <x:v>QB0809</x:v>
      </x:c>
      <x:c r="B91" s="30" t="str">
        <x:v>Deutsche</x:v>
      </x:c>
      <x:c r="C91" s="30" t="str">
        <x:v>IBD / GCM</x:v>
      </x:c>
      <x:c r="D91" s="31" t="str">
        <x:v>Tell me about the robotics team (Sorry I mentioned that again when self-intro cos we just won a prize......I think if i fail its because of this...)</x:v>
      </x:c>
      <x:c r="E91" s="31" t="str">
        <x:v>Tell me about yourself / walk me through your resume</x:v>
      </x:c>
      <x:c r="F91" s="31" t="str">
        <x:v>Resume &amp; Experience</x:v>
      </x:c>
      <x:c r="G91" s="30" t="str">
        <x:v>CL0001</x:v>
      </x:c>
      <x:c r="H91" s="32" t="n">
        <x:f>COUNTIF($G$5:$G$302,G91)</x:f>
        <x:v>141</x:v>
      </x:c>
      <x:c r="I91" s="30" t="str">
        <x:v>C138</x:v>
      </x:c>
      <x:c r="J91" s="31" t="str">
        <x:v>(bro she's a bit scary she has very big eyes) | Walk me through your resume | Cases related questions - Revenue build up, multiples used (I mentioned the multiple used in power sector is unique) - lots of follow ups</x:v>
      </x:c>
    </x:row>
    <x:row r="92" ht="68" customHeight="1">
      <x:c r="A92" s="30" t="str">
        <x:v>QB0816</x:v>
      </x:c>
      <x:c r="B92" s="30" t="str">
        <x:v>Deutsche</x:v>
      </x:c>
      <x:c r="C92" s="30" t="str">
        <x:v>IBD / GCM</x:v>
      </x:c>
      <x:c r="D92" s="31" t="str">
        <x:v>Anything you would like to tell me thats not on your CV?</x:v>
      </x:c>
      <x:c r="E92" s="31" t="str">
        <x:v>Anything you would like to tell me thats not on your CV</x:v>
      </x:c>
      <x:c r="F92" s="31" t="str">
        <x:v>Resume &amp; Experience</x:v>
      </x:c>
      <x:c r="G92" s="30" t="str">
        <x:v>CL0131</x:v>
      </x:c>
      <x:c r="H92" s="32" t="n">
        <x:f>COUNTIF($G$5:$G$302,G92)</x:f>
        <x:v>1</x:v>
      </x:c>
      <x:c r="I92" s="30" t="str">
        <x:v>A142</x:v>
      </x:c>
      <x:c r="J92" s="31" t="str">
        <x:v>Tell me about the robotics team ( I kinda emphasize that when answering the first question...) | Why IBD? | Who is your first round interviewer? (I kinda mentioned my first round several times...)</x:v>
      </x:c>
    </x:row>
    <x:row r="93" ht="48" customHeight="1">
      <x:c r="A93" s="30" t="str">
        <x:v>QB0822</x:v>
      </x:c>
      <x:c r="B93" s="30" t="str">
        <x:v>Deutsche</x:v>
      </x:c>
      <x:c r="C93" s="30" t="str">
        <x:v>IBD / GCM</x:v>
      </x:c>
      <x:c r="D93" s="31" t="str">
        <x:v>Self introduction</x:v>
      </x:c>
      <x:c r="E93" s="31" t="str">
        <x:v>Tell me about yourself / walk me through your resume</x:v>
      </x:c>
      <x:c r="F93" s="31" t="str">
        <x:v>Resume &amp; Experience</x:v>
      </x:c>
      <x:c r="G93" s="30" t="str">
        <x:v>CL0001</x:v>
      </x:c>
      <x:c r="H93" s="32" t="n">
        <x:f>COUNTIF($G$5:$G$302,G93)</x:f>
        <x:v>141</x:v>
      </x:c>
      <x:c r="I93" s="30" t="str">
        <x:v>A148</x:v>
      </x:c>
      <x:c r="J93" s="31" t="str">
        <x:v>Kate 2025/09/18 | I don't rmb name but TMT VP | (Staring at his computer all time and very distracted)</x:v>
      </x:c>
    </x:row>
    <x:row r="94" ht="48" customHeight="1">
      <x:c r="A94" s="30" t="str">
        <x:v>QB0823</x:v>
      </x:c>
      <x:c r="B94" s="30" t="str">
        <x:v>Deutsche</x:v>
      </x:c>
      <x:c r="C94" s="30" t="str">
        <x:v>IBD / GCM</x:v>
      </x:c>
      <x:c r="D94" s="31" t="str">
        <x:v>Self introduction - pick some highlights in your CV to talk about</x:v>
      </x:c>
      <x:c r="E94" s="31" t="str">
        <x:v>Tell me about yourself / walk me through your resume</x:v>
      </x:c>
      <x:c r="F94" s="31" t="str">
        <x:v>Resume &amp; Experience</x:v>
      </x:c>
      <x:c r="G94" s="30" t="str">
        <x:v>CL0001</x:v>
      </x:c>
      <x:c r="H94" s="32" t="n">
        <x:f>COUNTIF($G$5:$G$302,G94)</x:f>
        <x:v>141</x:v>
      </x:c>
      <x:c r="I94" s="30" t="str">
        <x:v>C148</x:v>
      </x:c>
      <x:c r="J94" s="31" t="str">
        <x:v>Ask back | I still don't rmb name but Natural Resource VP | (Very direct and interuptive, very much stress test vibe)</x:v>
      </x:c>
    </x:row>
    <x:row r="95" ht="48" customHeight="1">
      <x:c r="A95" s="30" t="str">
        <x:v>QB0824</x:v>
      </x:c>
      <x:c r="B95" s="30" t="str">
        <x:v>Deutsche</x:v>
      </x:c>
      <x:c r="C95" s="30" t="str">
        <x:v>IBD / GCM</x:v>
      </x:c>
      <x:c r="D95" s="31" t="str">
        <x:v>You in Lazard right now? I didn’t see it on your CV, when does it lasts</x:v>
      </x:c>
      <x:c r="E95" s="31" t="str">
        <x:v>You in Lazard right now? I didn’t see it on your CV, when does it lasts</x:v>
      </x:c>
      <x:c r="F95" s="31" t="str">
        <x:v>Resume &amp; Experience</x:v>
      </x:c>
      <x:c r="G95" s="30" t="str">
        <x:v>CL1203</x:v>
      </x:c>
      <x:c r="H95" s="32" t="n">
        <x:f>COUNTIF($G$5:$G$302,G95)</x:f>
        <x:v>1</x:v>
      </x:c>
      <x:c r="I95" s="30" t="str">
        <x:v>A149</x:v>
      </x:c>
      <x:c r="J95" s="31" t="str">
        <x:v>I don't rmb name but TMT VP | (Staring at his computer all time and very distracted) | Self introduction</x:v>
      </x:c>
    </x:row>
    <x:row r="96" ht="48" customHeight="1">
      <x:c r="A96" s="30" t="str">
        <x:v>QB0838</x:v>
      </x:c>
      <x:c r="B96" s="30" t="str">
        <x:v>Deutsche</x:v>
      </x:c>
      <x:c r="C96" s="30" t="str">
        <x:v>IBD / GCM</x:v>
      </x:c>
      <x:c r="D96" s="31" t="str">
        <x:v>Tell me a time you noticed a mistake and what did you do</x:v>
      </x:c>
      <x:c r="E96" s="31" t="str">
        <x:v>Tell me a time you noticed a mistake and what did you do</x:v>
      </x:c>
      <x:c r="F96" s="31" t="str">
        <x:v>Resume &amp; Experience</x:v>
      </x:c>
      <x:c r="G96" s="30" t="str">
        <x:v>CL0718</x:v>
      </x:c>
      <x:c r="H96" s="32" t="n">
        <x:f>COUNTIF($G$5:$G$302,G96)</x:f>
        <x:v>1</x:v>
      </x:c>
      <x:c r="I96" s="30" t="str">
        <x:v>A157</x:v>
      </x:c>
      <x:c r="J96" s="31" t="str">
        <x:v>Why investment banking | Tell me a challenge - what is your biggest takeaway | Strength and weakness</x:v>
      </x:c>
    </x:row>
    <x:row r="97" ht="48" customHeight="1">
      <x:c r="A97" s="30" t="str">
        <x:v>QB0840</x:v>
      </x:c>
      <x:c r="B97" s="30" t="str">
        <x:v>Deutsche</x:v>
      </x:c>
      <x:c r="C97" s="30" t="str">
        <x:v>IBD / GCM</x:v>
      </x:c>
      <x:c r="D97" s="31" t="str">
        <x:v>How do you split work</x:v>
      </x:c>
      <x:c r="E97" s="31" t="str">
        <x:v>How do you split work</x:v>
      </x:c>
      <x:c r="F97" s="31" t="str">
        <x:v>Resume &amp; Experience</x:v>
      </x:c>
      <x:c r="G97" s="30" t="str">
        <x:v>CL0426</x:v>
      </x:c>
      <x:c r="H97" s="32" t="n">
        <x:f>COUNTIF($G$5:$G$302,G97)</x:f>
        <x:v>1</x:v>
      </x:c>
      <x:c r="I97" s="30" t="str">
        <x:v>A158</x:v>
      </x:c>
      <x:c r="J97" s="31" t="str">
        <x:v>Tell me a challenge - what is your biggest takeaway | Strength and weakness | Tell me a time you noticed a mistake and what did you do</x:v>
      </x:c>
    </x:row>
    <x:row r="98" ht="32" customHeight="1">
      <x:c r="A98" s="30" t="str">
        <x:v>QB0841</x:v>
      </x:c>
      <x:c r="B98" s="30" t="str">
        <x:v>Deutsche</x:v>
      </x:c>
      <x:c r="C98" s="30" t="str">
        <x:v>IBD / GCM</x:v>
      </x:c>
      <x:c r="D98" s="31" t="str">
        <x:v>What exactly did you do in this deal, what’s the responsibilities</x:v>
      </x:c>
      <x:c r="E98" s="31" t="str">
        <x:v>What exactly did you do in this deal, what’s the responsibilities</x:v>
      </x:c>
      <x:c r="F98" s="31" t="str">
        <x:v>Resume &amp; Experience</x:v>
      </x:c>
      <x:c r="G98" s="30" t="str">
        <x:v>CL0942</x:v>
      </x:c>
      <x:c r="H98" s="32" t="n">
        <x:f>COUNTIF($G$5:$G$302,G98)</x:f>
        <x:v>1</x:v>
      </x:c>
      <x:c r="I98" s="30" t="str">
        <x:v>C158</x:v>
      </x:c>
      <x:c r="J98" s="31" t="str">
        <x:v>Did you take into account of A/H share premium | What is the P/B multiple used | Project 2</x:v>
      </x:c>
    </x:row>
    <x:row r="99" ht="48" customHeight="1">
      <x:c r="A99" s="30" t="str">
        <x:v>QB0843</x:v>
      </x:c>
      <x:c r="B99" s="30" t="str">
        <x:v>Deutsche</x:v>
      </x:c>
      <x:c r="C99" s="30" t="str">
        <x:v>IBD / GCM</x:v>
      </x:c>
      <x:c r="D99" s="31" t="str">
        <x:v>Tell me concisely what’s the transaction background and structure</x:v>
      </x:c>
      <x:c r="E99" s="31" t="str">
        <x:v>Tell me concisely what’s the transaction background and structure</x:v>
      </x:c>
      <x:c r="F99" s="31" t="str">
        <x:v>Resume &amp; Experience</x:v>
      </x:c>
      <x:c r="G99" s="30" t="str">
        <x:v>CL0760</x:v>
      </x:c>
      <x:c r="H99" s="32" t="n">
        <x:f>COUNTIF($G$5:$G$302,G99)</x:f>
        <x:v>1</x:v>
      </x:c>
      <x:c r="I99" s="30" t="str">
        <x:v>C159</x:v>
      </x:c>
      <x:c r="J99" s="31" t="str">
        <x:v>What is the P/B multiple used | Project 2 | What exactly did you do in this deal, what’s the responsibilities</x:v>
      </x:c>
    </x:row>
    <x:row r="100" ht="32" customHeight="1">
      <x:c r="A100" s="30" t="str">
        <x:v>QB0850</x:v>
      </x:c>
      <x:c r="B100" s="30" t="str">
        <x:v>Deutsche</x:v>
      </x:c>
      <x:c r="C100" s="30" t="str">
        <x:v>IBD / GCM</x:v>
      </x:c>
      <x:c r="D100" s="31" t="str">
        <x:v>This “Photovatics” means solar right? (I use this word in my CV)</x:v>
      </x:c>
      <x:c r="E100" s="31" t="str">
        <x:v>This “Photovatics” means solar right? (I use this word in my CV)</x:v>
      </x:c>
      <x:c r="F100" s="31" t="str">
        <x:v>Resume &amp; Experience</x:v>
      </x:c>
      <x:c r="G100" s="30" t="str">
        <x:v>CL0792</x:v>
      </x:c>
      <x:c r="H100" s="32" t="n">
        <x:f>COUNTIF($G$5:$G$302,G100)</x:f>
        <x:v>1</x:v>
      </x:c>
      <x:c r="I100" s="30" t="str">
        <x:v>C165</x:v>
      </x:c>
      <x:c r="J100" s="31" t="str">
        <x:v>Tell me a investment highlight in CIM | Did you build a model for it | Project 3</x:v>
      </x:c>
    </x:row>
    <x:row r="101" ht="32" customHeight="1">
      <x:c r="A101" s="30" t="str">
        <x:v>QB0864</x:v>
      </x:c>
      <x:c r="B101" s="30" t="str">
        <x:v>Citi</x:v>
      </x:c>
      <x:c r="C101" s="30" t="str">
        <x:v>IBD / GCM</x:v>
      </x:c>
      <x:c r="D101" s="31" t="str">
        <x:v>Self Intro</x:v>
      </x:c>
      <x:c r="E101" s="31" t="str">
        <x:v>Tell me about yourself / walk me through your resume</x:v>
      </x:c>
      <x:c r="F101" s="31" t="str">
        <x:v>Resume &amp; Experience</x:v>
      </x:c>
      <x:c r="G101" s="30" t="str">
        <x:v>CL0001</x:v>
      </x:c>
      <x:c r="H101" s="32" t="n">
        <x:f>COUNTIF($G$5:$G$302,G101)</x:f>
        <x:v>141</x:v>
      </x:c>
      <x:c r="I101" s="30" t="str">
        <x:v>B4</x:v>
      </x:c>
      <x:c r="J101" s="31" t="str">
        <x:v>31 Emily's Superday | 1st Interviewer (Experience, Peter Lam)</x:v>
      </x:c>
    </x:row>
    <x:row r="102" ht="68" customHeight="1">
      <x:c r="A102" s="30" t="str">
        <x:v>QB0875</x:v>
      </x:c>
      <x:c r="B102" s="30" t="str">
        <x:v>Citi</x:v>
      </x:c>
      <x:c r="C102" s="30" t="str">
        <x:v>IBD / GCM</x:v>
      </x:c>
      <x:c r="D102" s="31" t="str">
        <x:v>Self Intro</x:v>
      </x:c>
      <x:c r="E102" s="31" t="str">
        <x:v>Tell me about yourself / walk me through your resume</x:v>
      </x:c>
      <x:c r="F102" s="31" t="str">
        <x:v>Resume &amp; Experience</x:v>
      </x:c>
      <x:c r="G102" s="30" t="str">
        <x:v>CL0001</x:v>
      </x:c>
      <x:c r="H102" s="32" t="n">
        <x:f>COUNTIF($G$5:$G$302,G102)</x:f>
        <x:v>141</x:v>
      </x:c>
      <x:c r="I102" s="30" t="str">
        <x:v>B13</x:v>
      </x:c>
      <x:c r="J102" s="31" t="str">
        <x:v>Why M&amp;A for upstream companies, do you have any precedent transactions on it? | Why is it a good time for them, and why this opportunity? | 2nd Interviewer (Leadership, Sam Sun)</x:v>
      </x:c>
    </x:row>
    <x:row r="103" ht="92" customHeight="1">
      <x:c r="A103" s="30" t="str">
        <x:v>QB0922</x:v>
      </x:c>
      <x:c r="B103" s="30" t="str">
        <x:v>Citi</x:v>
      </x:c>
      <x:c r="C103" s="30" t="str">
        <x:v>IBD / GCM</x:v>
      </x:c>
      <x:c r="D103" s="31" t="str">
        <x:v>CV questions: all about your experience, detailed to modeling</x:v>
      </x:c>
      <x:c r="E103" s="31" t="str">
        <x:v>CV questions: all about your experience, detailed to modeling</x:v>
      </x:c>
      <x:c r="F103" s="31" t="str">
        <x:v>Resume &amp; Experience</x:v>
      </x:c>
      <x:c r="G103" s="30" t="str">
        <x:v>CL0216</x:v>
      </x:c>
      <x:c r="H103" s="32" t="n">
        <x:f>COUNTIF($G$5:$G$302,G103)</x:f>
        <x:v>1</x:v>
      </x:c>
      <x:c r="I103" s="30" t="str">
        <x:v>A92</x:v>
      </x:c>
      <x:c r="J103" s="31" t="str">
        <x:v>Questions range from easiest 3-statement questions to LBO model, widely covered but not so deep | Don’t be aggressive, I personally answered 3 to 4 questions, and didn’t answer the most difficult LBO question, but still got into the 2nd ...</x:v>
      </x:c>
    </x:row>
    <x:row r="104" ht="68" customHeight="1">
      <x:c r="A104" s="30" t="str">
        <x:v>QB0923</x:v>
      </x:c>
      <x:c r="B104" s="30" t="str">
        <x:v>Citi</x:v>
      </x:c>
      <x:c r="C104" s="30" t="str">
        <x:v>IBD / GCM</x:v>
      </x:c>
      <x:c r="D104" s="31" t="str">
        <x:v>As most of the technical Qs are covered by the 1st round, this part didn’t involve pure tech, but very experience-driven</x:v>
      </x:c>
      <x:c r="E104" s="31" t="str">
        <x:v>As most of the technical Qs are covered by the 1st round, this part didn’t involve pure tech, but very experience-driven</x:v>
      </x:c>
      <x:c r="F104" s="31" t="str">
        <x:v>Resume &amp; Experience</x:v>
      </x:c>
      <x:c r="G104" s="30" t="str">
        <x:v>CL0140</x:v>
      </x:c>
      <x:c r="H104" s="32" t="n">
        <x:f>COUNTIF($G$5:$G$302,G104)</x:f>
        <x:v>1</x:v>
      </x:c>
      <x:c r="I104" s="30" t="str">
        <x:v>A93</x:v>
      </x:c>
      <x:c r="J104" s="31" t="str">
        <x:v>Don’t be aggressive, I personally answered 3 to 4 questions, and didn’t answer the most difficult LBO question, but still got into the 2nd round interview | 2nd round: individual interview | CV questions: all about your experience, detai...</x:v>
      </x:c>
    </x:row>
    <x:row r="105" ht="68" customHeight="1">
      <x:c r="A105" s="30" t="str">
        <x:v>QB0924</x:v>
      </x:c>
      <x:c r="B105" s="30" t="str">
        <x:v>Citi</x:v>
      </x:c>
      <x:c r="C105" s="30" t="str">
        <x:v>IBD / GCM</x:v>
      </x:c>
      <x:c r="D105" s="31" t="str">
        <x:v>Self-introduction</x:v>
      </x:c>
      <x:c r="E105" s="31" t="str">
        <x:v>Tell me about yourself / walk me through your resume</x:v>
      </x:c>
      <x:c r="F105" s="31" t="str">
        <x:v>Resume &amp; Experience</x:v>
      </x:c>
      <x:c r="G105" s="30" t="str">
        <x:v>CL0001</x:v>
      </x:c>
      <x:c r="H105" s="32" t="n">
        <x:f>COUNTIF($G$5:$G$302,G105)</x:f>
        <x:v>141</x:v>
      </x:c>
      <x:c r="I105" s="30" t="str">
        <x:v>A94</x:v>
      </x:c>
      <x:c r="J105" s="31" t="str">
        <x:v>2nd round: individual interview | CV questions: all about your experience, detailed to modeling | As most of the technical Qs are covered by the 1st round, this part didn’t involve pure tech, but very experience-driven</x:v>
      </x:c>
    </x:row>
    <x:row r="106" ht="32" customHeight="1">
      <x:c r="A106" s="30" t="str">
        <x:v>QB0938</x:v>
      </x:c>
      <x:c r="B106" s="30" t="str">
        <x:v>Barclays</x:v>
      </x:c>
      <x:c r="C106" s="30" t="str">
        <x:v>IBD / GCM</x:v>
      </x:c>
      <x:c r="D106" s="31" t="str">
        <x:v>Self intro: walk me through your experiences</x:v>
      </x:c>
      <x:c r="E106" s="31" t="str">
        <x:v>Tell me about yourself / walk me through your resume</x:v>
      </x:c>
      <x:c r="F106" s="31" t="str">
        <x:v>Resume &amp; Experience</x:v>
      </x:c>
      <x:c r="G106" s="30" t="str">
        <x:v>CL0001</x:v>
      </x:c>
      <x:c r="H106" s="32" t="n">
        <x:f>COUNTIF($G$5:$G$302,G106)</x:f>
        <x:v>141</x:v>
      </x:c>
      <x:c r="I106" s="30" t="str">
        <x:v>A4</x:v>
      </x:c>
      <x:c r="J106" s="31" t="str">
        <x:v>2024 SA | Emily | Emily 1st round</x:v>
      </x:c>
    </x:row>
    <x:row r="107" ht="32" customHeight="1">
      <x:c r="A107" s="30" t="str">
        <x:v>QB0939</x:v>
      </x:c>
      <x:c r="B107" s="30" t="str">
        <x:v>Barclays</x:v>
      </x:c>
      <x:c r="C107" s="30" t="str">
        <x:v>IBD / GCM</x:v>
      </x:c>
      <x:c r="D107" s="31" t="str">
        <x:v>Her self intro</x:v>
      </x:c>
      <x:c r="E107" s="31" t="str">
        <x:v>Tell me about yourself / walk me through your resume</x:v>
      </x:c>
      <x:c r="F107" s="31" t="str">
        <x:v>Resume &amp; Experience</x:v>
      </x:c>
      <x:c r="G107" s="30" t="str">
        <x:v>CL0001</x:v>
      </x:c>
      <x:c r="H107" s="32" t="n">
        <x:f>COUNTIF($G$5:$G$302,G107)</x:f>
        <x:v>141</x:v>
      </x:c>
      <x:c r="I107" s="30" t="str">
        <x:v>C4</x:v>
      </x:c>
      <x:c r="J107" s="31" t="str">
        <x:v>2nd round | Emily 1st round</x:v>
      </x:c>
    </x:row>
    <x:row r="108" ht="32" customHeight="1">
      <x:c r="A108" s="30" t="str">
        <x:v>QB0944</x:v>
      </x:c>
      <x:c r="B108" s="30" t="str">
        <x:v>Barclays</x:v>
      </x:c>
      <x:c r="C108" s="30" t="str">
        <x:v>IBD / GCM</x:v>
      </x:c>
      <x:c r="D108" s="31" t="str">
        <x:v>self intro</x:v>
      </x:c>
      <x:c r="E108" s="31" t="str">
        <x:v>Tell me about yourself / walk me through your resume</x:v>
      </x:c>
      <x:c r="F108" s="31" t="str">
        <x:v>Resume &amp; Experience</x:v>
      </x:c>
      <x:c r="G108" s="30" t="str">
        <x:v>CL0001</x:v>
      </x:c>
      <x:c r="H108" s="32" t="n">
        <x:f>COUNTIF($G$5:$G$302,G108)</x:f>
        <x:v>141</x:v>
      </x:c>
      <x:c r="I108" s="30" t="str">
        <x:v>E5</x:v>
      </x:c>
      <x:c r="J108" s="31" t="str">
        <x:v>SPD Regan | Regan | Henry (more tech, aggresive, drill)</x:v>
      </x:c>
    </x:row>
    <x:row r="109" ht="32" customHeight="1">
      <x:c r="A109" s="30" t="str">
        <x:v>QB0945</x:v>
      </x:c>
      <x:c r="B109" s="30" t="str">
        <x:v>Barclays</x:v>
      </x:c>
      <x:c r="C109" s="30" t="str">
        <x:v>IBD / GCM</x:v>
      </x:c>
      <x:c r="D109" s="31" t="str">
        <x:v>Self Intro</x:v>
      </x:c>
      <x:c r="E109" s="31" t="str">
        <x:v>Tell me about yourself / walk me through your resume</x:v>
      </x:c>
      <x:c r="F109" s="31" t="str">
        <x:v>Resume &amp; Experience</x:v>
      </x:c>
      <x:c r="G109" s="30" t="str">
        <x:v>CL0001</x:v>
      </x:c>
      <x:c r="H109" s="32" t="n">
        <x:f>COUNTIF($G$5:$G$302,G109)</x:f>
        <x:v>141</x:v>
      </x:c>
      <x:c r="I109" s="30" t="str">
        <x:v>G5</x:v>
      </x:c>
      <x:c r="J109" s="31" t="str">
        <x:v>18 Barclays SPD Emily | Emily | Henry</x:v>
      </x:c>
    </x:row>
    <x:row r="110" ht="48" customHeight="1">
      <x:c r="A110" s="30" t="str">
        <x:v>QB0947</x:v>
      </x:c>
      <x:c r="B110" s="30" t="str">
        <x:v>Barclays</x:v>
      </x:c>
      <x:c r="C110" s="30" t="str">
        <x:v>IBD / GCM</x:v>
      </x:c>
      <x:c r="D110" s="31" t="str">
        <x:v>Tell me more about your case competition experience, what is your role in that case competition and in a team setting?</x:v>
      </x:c>
      <x:c r="E110" s="31" t="str">
        <x:v>Tell me more about your case competition experience, what is your role in that case competition and in a team setting</x:v>
      </x:c>
      <x:c r="F110" s="31" t="str">
        <x:v>Resume &amp; Experience</x:v>
      </x:c>
      <x:c r="G110" s="30" t="str">
        <x:v>CL0769</x:v>
      </x:c>
      <x:c r="H110" s="32" t="n">
        <x:f>COUNTIF($G$5:$G$302,G110)</x:f>
        <x:v>1</x:v>
      </x:c>
      <x:c r="I110" s="30" t="str">
        <x:v>C6</x:v>
      </x:c>
      <x:c r="J110" s="31" t="str">
        <x:v>Emily 1st round | Her self intro | Tell me about yourself</x:v>
      </x:c>
    </x:row>
    <x:row r="111" ht="32" customHeight="1">
      <x:c r="A111" s="30" t="str">
        <x:v>QB0949</x:v>
      </x:c>
      <x:c r="B111" s="30" t="str">
        <x:v>Barclays</x:v>
      </x:c>
      <x:c r="C111" s="30" t="str">
        <x:v>IBD / GCM</x:v>
      </x:c>
      <x:c r="D111" s="31" t="str">
        <x:v>Your experience in HKEX and what do you usually look at</x:v>
      </x:c>
      <x:c r="E111" s="31" t="str">
        <x:v>Your experience in HKEX and what do you usually look at</x:v>
      </x:c>
      <x:c r="F111" s="31" t="str">
        <x:v>Resume &amp; Experience</x:v>
      </x:c>
      <x:c r="G111" s="30" t="str">
        <x:v>CL1214</x:v>
      </x:c>
      <x:c r="H111" s="32" t="n">
        <x:f>COUNTIF($G$5:$G$302,G111)</x:f>
        <x:v>1</x:v>
      </x:c>
      <x:c r="I111" s="30" t="str">
        <x:v>G6</x:v>
      </x:c>
      <x:c r="J111" s="31" t="str">
        <x:v>Emily | Henry | Self Intro</x:v>
      </x:c>
    </x:row>
    <x:row r="112" ht="32" customHeight="1">
      <x:c r="A112" s="30" t="str">
        <x:v>QB0953</x:v>
      </x:c>
      <x:c r="B112" s="30" t="str">
        <x:v>Barclays</x:v>
      </x:c>
      <x:c r="C112" s="30" t="str">
        <x:v>IBD / GCM</x:v>
      </x:c>
      <x:c r="D112" s="31" t="str">
        <x:v>What’s the most memorable experience you had in HKEX</x:v>
      </x:c>
      <x:c r="E112" s="31" t="str">
        <x:v>What’s the most memorable experience you had in HKEX</x:v>
      </x:c>
      <x:c r="F112" s="31" t="str">
        <x:v>Resume &amp; Experience</x:v>
      </x:c>
      <x:c r="G112" s="30" t="str">
        <x:v>CL1054</x:v>
      </x:c>
      <x:c r="H112" s="32" t="n">
        <x:f>COUNTIF($G$5:$G$302,G112)</x:f>
        <x:v>1</x:v>
      </x:c>
      <x:c r="I112" s="30" t="str">
        <x:v>G7</x:v>
      </x:c>
      <x:c r="J112" s="31" t="str">
        <x:v>Henry | Self Intro | Your experience in HKEX and what do you usually look at</x:v>
      </x:c>
    </x:row>
    <x:row r="113" ht="48" customHeight="1">
      <x:c r="A113" s="30" t="str">
        <x:v>QB0956</x:v>
      </x:c>
      <x:c r="B113" s="30" t="str">
        <x:v>Barclays</x:v>
      </x:c>
      <x:c r="C113" s="30" t="str">
        <x:v>IBD / GCM</x:v>
      </x:c>
      <x:c r="D113" s="31" t="str">
        <x:v>what did you learn in ur ECM internship</x:v>
      </x:c>
      <x:c r="E113" s="31" t="str">
        <x:v>What did you learn in ur ECM internship</x:v>
      </x:c>
      <x:c r="F113" s="31" t="str">
        <x:v>Resume &amp; Experience</x:v>
      </x:c>
      <x:c r="G113" s="30" t="str">
        <x:v>CL0908</x:v>
      </x:c>
      <x:c r="H113" s="32" t="n">
        <x:f>COUNTIF($G$5:$G$302,G113)</x:f>
        <x:v>1</x:v>
      </x:c>
      <x:c r="I113" s="30" t="str">
        <x:v>E8</x:v>
      </x:c>
      <x:c r="J113" s="31" t="str">
        <x:v>self intro | tell me about your deal exp | why did you use overall breast cancer market share and not the specific treatment</x:v>
      </x:c>
    </x:row>
    <x:row r="114" ht="48" customHeight="1">
      <x:c r="A114" s="30" t="str">
        <x:v>QB0958</x:v>
      </x:c>
      <x:c r="B114" s="30" t="str">
        <x:v>Barclays</x:v>
      </x:c>
      <x:c r="C114" s="30" t="str">
        <x:v>IBD / GCM</x:v>
      </x:c>
      <x:c r="D114" s="31" t="str">
        <x:v>What is your most favourite and least favourite internship and why</x:v>
      </x:c>
      <x:c r="E114" s="31" t="str">
        <x:v>What is your most favourite and least favourite internship and why</x:v>
      </x:c>
      <x:c r="F114" s="31" t="str">
        <x:v>Resume &amp; Experience</x:v>
      </x:c>
      <x:c r="G114" s="30" t="str">
        <x:v>CL1004</x:v>
      </x:c>
      <x:c r="H114" s="32" t="n">
        <x:f>COUNTIF($G$5:$G$302,G114)</x:f>
        <x:v>1</x:v>
      </x:c>
      <x:c r="I114" s="30" t="str">
        <x:v>A9</x:v>
      </x:c>
      <x:c r="J114" s="31" t="str">
        <x:v>How do you manage risks? | What are your strengths? | Biggest weakness and how you would mitigate it</x:v>
      </x:c>
    </x:row>
    <x:row r="115" ht="48" customHeight="1">
      <x:c r="A115" s="30" t="str">
        <x:v>QB0962</x:v>
      </x:c>
      <x:c r="B115" s="30" t="str">
        <x:v>Barclays</x:v>
      </x:c>
      <x:c r="C115" s="30" t="str">
        <x:v>IBD / GCM</x:v>
      </x:c>
      <x:c r="D115" s="31" t="str">
        <x:v>For my most favourite internship, walk through deal, ask about equity-linked notes and whether it is closed</x:v>
      </x:c>
      <x:c r="E115" s="31" t="str">
        <x:v>Walk me through a deal you worked on</x:v>
      </x:c>
      <x:c r="F115" s="31" t="str">
        <x:v>Resume &amp; Experience</x:v>
      </x:c>
      <x:c r="G115" s="30" t="str">
        <x:v>CL0017</x:v>
      </x:c>
      <x:c r="H115" s="32" t="n">
        <x:f>COUNTIF($G$5:$G$302,G115)</x:f>
        <x:v>8</x:v>
      </x:c>
      <x:c r="I115" s="30" t="str">
        <x:v>A10</x:v>
      </x:c>
      <x:c r="J115" s="31" t="str">
        <x:v>What are your strengths? | Biggest weakness and how you would mitigate it | What is your most favourite and least favourite internship and why</x:v>
      </x:c>
    </x:row>
    <x:row r="116" ht="68" customHeight="1">
      <x:c r="A116" s="30" t="str">
        <x:v>QB0964</x:v>
      </x:c>
      <x:c r="B116" s="30" t="str">
        <x:v>Barclays</x:v>
      </x:c>
      <x:c r="C116" s="30" t="str">
        <x:v>IBD / GCM</x:v>
      </x:c>
      <x:c r="D116" s="31" t="str">
        <x:v>what did you do at KPMG</x:v>
      </x:c>
      <x:c r="E116" s="31" t="str">
        <x:v>What did you do at KPMG</x:v>
      </x:c>
      <x:c r="F116" s="31" t="str">
        <x:v>Resume &amp; Experience</x:v>
      </x:c>
      <x:c r="G116" s="30" t="str">
        <x:v>CL0897</x:v>
      </x:c>
      <x:c r="H116" s="32" t="n">
        <x:f>COUNTIF($G$5:$G$302,G116)</x:f>
        <x:v>1</x:v>
      </x:c>
      <x:c r="I116" s="30" t="str">
        <x:v>E10</x:v>
      </x:c>
      <x:c r="J116" s="31" t="str">
        <x:v>why did you use overall breast cancer market share and not the specific treatment | what did you learn in ur ECM internship | how can we provide value to both investors and the client when issuing convertible bonds</x:v>
      </x:c>
    </x:row>
    <x:row r="117" ht="48" customHeight="1">
      <x:c r="A117" s="30" t="str">
        <x:v>QB0965</x:v>
      </x:c>
      <x:c r="B117" s="30" t="str">
        <x:v>Barclays</x:v>
      </x:c>
      <x:c r="C117" s="30" t="str">
        <x:v>IBD / GCM</x:v>
      </x:c>
      <x:c r="D117" s="31" t="str">
        <x:v>Biggest challenge you faced in your Daiwa internship</x:v>
      </x:c>
      <x:c r="E117" s="31" t="str">
        <x:v>Tell me about a challenge, setback, or failure</x:v>
      </x:c>
      <x:c r="F117" s="31" t="str">
        <x:v>Resume &amp; Experience</x:v>
      </x:c>
      <x:c r="G117" s="30" t="str">
        <x:v>CL0007</x:v>
      </x:c>
      <x:c r="H117" s="32" t="n">
        <x:f>COUNTIF($G$5:$G$302,G117)</x:f>
        <x:v>2</x:v>
      </x:c>
      <x:c r="I117" s="30" t="str">
        <x:v>G10</x:v>
      </x:c>
      <x:c r="J117" s="31" t="str">
        <x:v>What’s the most memorable experience you had in HKEX | What’s the best fund investment that was done by HKEX in your opinion and why | Experience in Daiwa</x:v>
      </x:c>
    </x:row>
    <x:row r="118" ht="48" customHeight="1">
      <x:c r="A118" s="30" t="str">
        <x:v>QB0976</x:v>
      </x:c>
      <x:c r="B118" s="30" t="str">
        <x:v>Barclays</x:v>
      </x:c>
      <x:c r="C118" s="30" t="str">
        <x:v>IBD / GCM</x:v>
      </x:c>
      <x:c r="D118" s="31" t="str">
        <x:v>where did you go to school in gz? (in chinese)</x:v>
      </x:c>
      <x:c r="E118" s="31" t="str">
        <x:v>Where did you go to school in gz? (in chinese)</x:v>
      </x:c>
      <x:c r="F118" s="31" t="str">
        <x:v>Resume &amp; Experience</x:v>
      </x:c>
      <x:c r="G118" s="30" t="str">
        <x:v>CL1085</x:v>
      </x:c>
      <x:c r="H118" s="32" t="n">
        <x:f>COUNTIF($G$5:$G$302,G118)</x:f>
        <x:v>1</x:v>
      </x:c>
      <x:c r="I118" s="30" t="str">
        <x:v>E13</x:v>
      </x:c>
      <x:c r="J118" s="31" t="str">
        <x:v>what did you do at KPMG | did you interact with clients at KPMG (in chinese) | why did you go back to gz? (in chinese)</x:v>
      </x:c>
    </x:row>
    <x:row r="119" ht="32" customHeight="1">
      <x:c r="A119" s="30" t="str">
        <x:v>QB0979</x:v>
      </x:c>
      <x:c r="B119" s="30" t="str">
        <x:v>Barclays</x:v>
      </x:c>
      <x:c r="C119" s="30" t="str">
        <x:v>IBD / GCM</x:v>
      </x:c>
      <x:c r="D119" s="31" t="str">
        <x:v>Self intro</x:v>
      </x:c>
      <x:c r="E119" s="31" t="str">
        <x:v>Tell me about yourself / walk me through your resume</x:v>
      </x:c>
      <x:c r="F119" s="31" t="str">
        <x:v>Resume &amp; Experience</x:v>
      </x:c>
      <x:c r="G119" s="30" t="str">
        <x:v>CL0001</x:v>
      </x:c>
      <x:c r="H119" s="32" t="n">
        <x:f>COUNTIF($G$5:$G$302,G119)</x:f>
        <x:v>141</x:v>
      </x:c>
      <x:c r="I119" s="30" t="str">
        <x:v>G14</x:v>
      </x:c>
      <x:c r="J119" s="31" t="str">
        <x:v>Tell more about PCB industry outlook and observation | Key drivers in the DCF | Michael</x:v>
      </x:c>
    </x:row>
    <x:row r="120" ht="48" customHeight="1">
      <x:c r="A120" s="30" t="str">
        <x:v>QB0993</x:v>
      </x:c>
      <x:c r="B120" s="30" t="str">
        <x:v>Barclays</x:v>
      </x:c>
      <x:c r="C120" s="30" t="str">
        <x:v>IBD / GCM</x:v>
      </x:c>
      <x:c r="D120" s="31" t="str">
        <x:v>Tell me about your leadership or teamwork in a case competition experience</x:v>
      </x:c>
      <x:c r="E120" s="31" t="str">
        <x:v>Tell me about your leadership or teamwork in a case competition experience</x:v>
      </x:c>
      <x:c r="F120" s="31" t="str">
        <x:v>Resume &amp; Experience</x:v>
      </x:c>
      <x:c r="G120" s="30" t="str">
        <x:v>CL0754</x:v>
      </x:c>
      <x:c r="H120" s="32" t="n">
        <x:f>COUNTIF($G$5:$G$302,G120)</x:f>
        <x:v>1</x:v>
      </x:c>
      <x:c r="I120" s="30" t="str">
        <x:v>G19</x:v>
      </x:c>
      <x:c r="J120" s="31" t="str">
        <x:v>Pre-IPO deal, what you did | Outlook for the company, investment thesis, company overview | What is the biggest challenge you've faced</x:v>
      </x:c>
    </x:row>
    <x:row r="121" ht="32" customHeight="1">
      <x:c r="A121" s="30" t="str">
        <x:v>QB0995</x:v>
      </x:c>
      <x:c r="B121" s="30" t="str">
        <x:v>Barclays</x:v>
      </x:c>
      <x:c r="C121" s="30" t="str">
        <x:v>IBD / GCM</x:v>
      </x:c>
      <x:c r="D121" s="31" t="str">
        <x:v>walk me through a deal</x:v>
      </x:c>
      <x:c r="E121" s="31" t="str">
        <x:v>Walk me through a deal</x:v>
      </x:c>
      <x:c r="F121" s="31" t="str">
        <x:v>Resume &amp; Experience</x:v>
      </x:c>
      <x:c r="G121" s="30" t="str">
        <x:v>CL0024</x:v>
      </x:c>
      <x:c r="H121" s="32" t="n">
        <x:f>COUNTIF($G$5:$G$302,G121)</x:f>
        <x:v>3</x:v>
      </x:c>
      <x:c r="I121" s="30" t="str">
        <x:v>E20</x:v>
      </x:c>
      <x:c r="J121" s="31" t="str">
        <x:v>any questions | Michael (more behavioural) | which team in barclays</x:v>
      </x:c>
    </x:row>
    <x:row r="122" ht="68" customHeight="1">
      <x:c r="A122" s="30" t="str">
        <x:v>QB1000</x:v>
      </x:c>
      <x:c r="B122" s="30" t="str">
        <x:v>Barclays</x:v>
      </x:c>
      <x:c r="C122" s="30" t="str">
        <x:v>IBD / GCM</x:v>
      </x:c>
      <x:c r="D122" s="31" t="str">
        <x:v>Tell me about a deal you worked on.</x:v>
      </x:c>
      <x:c r="E122" s="31" t="str">
        <x:v>Walk me through a deal you worked on</x:v>
      </x:c>
      <x:c r="F122" s="31" t="str">
        <x:v>Resume &amp; Experience</x:v>
      </x:c>
      <x:c r="G122" s="30" t="str">
        <x:v>CL0017</x:v>
      </x:c>
      <x:c r="H122" s="32" t="n">
        <x:f>COUNTIF($G$5:$G$302,G122)</x:f>
        <x:v>8</x:v>
      </x:c>
      <x:c r="I122" s="30" t="str">
        <x:v>A22</x:v>
      </x:c>
      <x:c r="J122" s="31" t="str">
        <x:v>Give me short introduction of yourself. | Why do you think your previous exp will help you at Barclays? | What coverage are you interested in working on at Barclays?</x:v>
      </x:c>
    </x:row>
    <x:row r="123" ht="32" customHeight="1">
      <x:c r="A123" s="30" t="str">
        <x:v>QB1017</x:v>
      </x:c>
      <x:c r="B123" s="30" t="str">
        <x:v>Barclays</x:v>
      </x:c>
      <x:c r="C123" s="30" t="str">
        <x:v>IBD / GCM</x:v>
      </x:c>
      <x:c r="D123" s="31" t="str">
        <x:v>walk me through a deal</x:v>
      </x:c>
      <x:c r="E123" s="31" t="str">
        <x:v>Walk me through a deal</x:v>
      </x:c>
      <x:c r="F123" s="31" t="str">
        <x:v>Resume &amp; Experience</x:v>
      </x:c>
      <x:c r="G123" s="30" t="str">
        <x:v>CL0024</x:v>
      </x:c>
      <x:c r="H123" s="32" t="n">
        <x:f>COUNTIF($G$5:$G$302,G123)</x:f>
        <x:v>3</x:v>
      </x:c>
      <x:c r="I123" s="30" t="str">
        <x:v>E27</x:v>
      </x:c>
      <x:c r="J123" s="31" t="str">
        <x:v>forgot the rest...quite conversational | any questions | Terry (more behavioural)</x:v>
      </x:c>
    </x:row>
    <x:row r="124" ht="32" customHeight="1">
      <x:c r="A124" s="30" t="str">
        <x:v>QB1021</x:v>
      </x:c>
      <x:c r="B124" s="30" t="str">
        <x:v>Barclays</x:v>
      </x:c>
      <x:c r="C124" s="30" t="str">
        <x:v>IBD / GCM</x:v>
      </x:c>
      <x:c r="D124" s="31" t="str">
        <x:v>tell me something not on your cv</x:v>
      </x:c>
      <x:c r="E124" s="31" t="str">
        <x:v>Tell me something not on your cv</x:v>
      </x:c>
      <x:c r="F124" s="31" t="str">
        <x:v>Resume &amp; Experience</x:v>
      </x:c>
      <x:c r="G124" s="30" t="str">
        <x:v>CL0773</x:v>
      </x:c>
      <x:c r="H124" s="32" t="n">
        <x:f>COUNTIF($G$5:$G$302,G124)</x:f>
        <x:v>1</x:v>
      </x:c>
      <x:c r="I124" s="30" t="str">
        <x:v>E29</x:v>
      </x:c>
      <x:c r="J124" s="31" t="str">
        <x:v>Terry (more behavioural) | walk me through a deal | why barclays</x:v>
      </x:c>
    </x:row>
    <x:row r="125" ht="32" customHeight="1">
      <x:c r="A125" s="30" t="str">
        <x:v>QB1022</x:v>
      </x:c>
      <x:c r="B125" s="30" t="str">
        <x:v>Barclays</x:v>
      </x:c>
      <x:c r="C125" s="30" t="str">
        <x:v>IBD / GCM</x:v>
      </x:c>
      <x:c r="D125" s="31" t="str">
        <x:v>Self intro</x:v>
      </x:c>
      <x:c r="E125" s="31" t="str">
        <x:v>Tell me about yourself / walk me through your resume</x:v>
      </x:c>
      <x:c r="F125" s="31" t="str">
        <x:v>Resume &amp; Experience</x:v>
      </x:c>
      <x:c r="G125" s="30" t="str">
        <x:v>CL0001</x:v>
      </x:c>
      <x:c r="H125" s="32" t="n">
        <x:f>COUNTIF($G$5:$G$302,G125)</x:f>
        <x:v>141</x:v>
      </x:c>
      <x:c r="I125" s="30" t="str">
        <x:v>G29</x:v>
      </x:c>
      <x:c r="J125" s="31" t="str">
        <x:v>Why after hkex and equity research you wanna do ibd | (Conversational forgot) | Stefanie</x:v>
      </x:c>
    </x:row>
    <x:row r="126" ht="68" customHeight="1">
      <x:c r="A126" s="30" t="str">
        <x:v>QB1023</x:v>
      </x:c>
      <x:c r="B126" s="30" t="str">
        <x:v>Barclays</x:v>
      </x:c>
      <x:c r="C126" s="30" t="str">
        <x:v>IBD / GCM</x:v>
      </x:c>
      <x:c r="D126" s="31" t="str">
        <x:v>Self Intro</x:v>
      </x:c>
      <x:c r="E126" s="31" t="str">
        <x:v>Tell me about yourself / walk me through your resume</x:v>
      </x:c>
      <x:c r="F126" s="31" t="str">
        <x:v>Resume &amp; Experience</x:v>
      </x:c>
      <x:c r="G126" s="30" t="str">
        <x:v>CL0001</x:v>
      </x:c>
      <x:c r="H126" s="32" t="n">
        <x:f>COUNTIF($G$5:$G$302,G126)</x:f>
        <x:v>141</x:v>
      </x:c>
      <x:c r="I126" s="30" t="str">
        <x:v>A30</x:v>
      </x:c>
      <x:c r="J126" s="31" t="str">
        <x:v>How would you value a piece of art? | Can you speak canto / mandarin? Feel free to ask me questions in mandarin. | Emily 2nd Interview (Interviewer: Richard Li Asso)</x:v>
      </x:c>
    </x:row>
    <x:row r="127" ht="48" customHeight="1">
      <x:c r="A127" s="30" t="str">
        <x:v>QB1026</x:v>
      </x:c>
      <x:c r="B127" s="30" t="str">
        <x:v>Barclays</x:v>
      </x:c>
      <x:c r="C127" s="30" t="str">
        <x:v>IBD / GCM</x:v>
      </x:c>
      <x:c r="D127" s="31" t="str">
        <x:v>What have you done in Daiwa? Major responsibility and project</x:v>
      </x:c>
      <x:c r="E127" s="31" t="str">
        <x:v>What have you done in Daiwa? Major responsibility and project</x:v>
      </x:c>
      <x:c r="F127" s="31" t="str">
        <x:v>Resume &amp; Experience</x:v>
      </x:c>
      <x:c r="G127" s="30" t="str">
        <x:v>CL0950</x:v>
      </x:c>
      <x:c r="H127" s="32" t="n">
        <x:f>COUNTIF($G$5:$G$302,G127)</x:f>
        <x:v>1</x:v>
      </x:c>
      <x:c r="I127" s="30" t="str">
        <x:v>A31</x:v>
      </x:c>
      <x:c r="J127" s="31" t="str">
        <x:v>Can you speak canto / mandarin? Feel free to ask me questions in mandarin. | Emily 2nd Interview (Interviewer: Richard Li Asso) | Self Intro</x:v>
      </x:c>
    </x:row>
    <x:row r="128" ht="32" customHeight="1">
      <x:c r="A128" s="30" t="str">
        <x:v>QB1030</x:v>
      </x:c>
      <x:c r="B128" s="30" t="str">
        <x:v>Barclays</x:v>
      </x:c>
      <x:c r="C128" s="30" t="str">
        <x:v>IBD / GCM</x:v>
      </x:c>
      <x:c r="D128" s="31" t="str">
        <x:v>How did you do the model for your equity research internship</x:v>
      </x:c>
      <x:c r="E128" s="31" t="str">
        <x:v>How did you do the model for your equity research internship</x:v>
      </x:c>
      <x:c r="F128" s="31" t="str">
        <x:v>Resume &amp; Experience</x:v>
      </x:c>
      <x:c r="G128" s="30" t="str">
        <x:v>CL0384</x:v>
      </x:c>
      <x:c r="H128" s="32" t="n">
        <x:f>COUNTIF($G$5:$G$302,G128)</x:f>
        <x:v>1</x:v>
      </x:c>
      <x:c r="I128" s="30" t="str">
        <x:v>G32</x:v>
      </x:c>
      <x:c r="J128" s="31" t="str">
        <x:v>Self intro | What’s special about PUI? | How do you get enterprise value from levered fcf</x:v>
      </x:c>
    </x:row>
    <x:row r="129" ht="32" customHeight="1">
      <x:c r="A129" s="30" t="str">
        <x:v>QB1035</x:v>
      </x:c>
      <x:c r="B129" s="30" t="str">
        <x:v>Barclays</x:v>
      </x:c>
      <x:c r="C129" s="30" t="str">
        <x:v>IBD / GCM</x:v>
      </x:c>
      <x:c r="D129" s="31" t="str">
        <x:v>self intro</x:v>
      </x:c>
      <x:c r="E129" s="31" t="str">
        <x:v>Tell me about yourself / walk me through your resume</x:v>
      </x:c>
      <x:c r="F129" s="31" t="str">
        <x:v>Resume &amp; Experience</x:v>
      </x:c>
      <x:c r="G129" s="30" t="str">
        <x:v>CL0001</x:v>
      </x:c>
      <x:c r="H129" s="32" t="n">
        <x:f>COUNTIF($G$5:$G$302,G129)</x:f>
        <x:v>141</x:v>
      </x:c>
      <x:c r="I129" s="30" t="str">
        <x:v>E34</x:v>
      </x:c>
      <x:c r="J129" s="31" t="str">
        <x:v>forgot the rest...quite conversational | any questions | Stefani (more tech, chinese)</x:v>
      </x:c>
    </x:row>
    <x:row r="130" ht="32" customHeight="1">
      <x:c r="A130" s="30" t="str">
        <x:v>QB1037</x:v>
      </x:c>
      <x:c r="B130" s="30" t="str">
        <x:v>Barclays</x:v>
      </x:c>
      <x:c r="C130" s="30" t="str">
        <x:v>IBD / GCM</x:v>
      </x:c>
      <x:c r="D130" s="31" t="str">
        <x:v>walk me through your internships (in chinese)</x:v>
      </x:c>
      <x:c r="E130" s="31" t="str">
        <x:v>Walk me through your internships (in chinese)</x:v>
      </x:c>
      <x:c r="F130" s="31" t="str">
        <x:v>Resume &amp; Experience</x:v>
      </x:c>
      <x:c r="G130" s="30" t="str">
        <x:v>CL0841</x:v>
      </x:c>
      <x:c r="H130" s="32" t="n">
        <x:f>COUNTIF($G$5:$G$302,G130)</x:f>
        <x:v>1</x:v>
      </x:c>
      <x:c r="I130" s="30" t="str">
        <x:v>E35</x:v>
      </x:c>
      <x:c r="J130" s="31" t="str">
        <x:v>any questions | Stefani (more tech, chinese) | self intro</x:v>
      </x:c>
    </x:row>
    <x:row r="131" ht="48" customHeight="1">
      <x:c r="A131" s="30" t="str">
        <x:v>QB1041</x:v>
      </x:c>
      <x:c r="B131" s="30" t="str">
        <x:v>Barclays</x:v>
      </x:c>
      <x:c r="C131" s="30" t="str">
        <x:v>IBD / GCM</x:v>
      </x:c>
      <x:c r="D131" s="31" t="str">
        <x:v>have you used chinese in your prev internships?</x:v>
      </x:c>
      <x:c r="E131" s="31" t="str">
        <x:v>Have you used chinese in your prev internships</x:v>
      </x:c>
      <x:c r="F131" s="31" t="str">
        <x:v>Resume &amp; Experience</x:v>
      </x:c>
      <x:c r="G131" s="30" t="str">
        <x:v>CL0365</x:v>
      </x:c>
      <x:c r="H131" s="32" t="n">
        <x:f>COUNTIF($G$5:$G$302,G131)</x:f>
        <x:v>1</x:v>
      </x:c>
      <x:c r="I131" s="30" t="str">
        <x:v>E37</x:v>
      </x:c>
      <x:c r="J131" s="31" t="str">
        <x:v>self intro | walk me through your internships (in chinese) | do you like toronto or guangzhou or hong kong (in chinese)</x:v>
      </x:c>
    </x:row>
    <x:row r="132" ht="48" customHeight="1">
      <x:c r="A132" s="30" t="str">
        <x:v>QB1043</x:v>
      </x:c>
      <x:c r="B132" s="30" t="str">
        <x:v>Barclays</x:v>
      </x:c>
      <x:c r="C132" s="30" t="str">
        <x:v>IBD / GCM</x:v>
      </x:c>
      <x:c r="D132" s="31" t="str">
        <x:v>walk me through a deal</x:v>
      </x:c>
      <x:c r="E132" s="31" t="str">
        <x:v>Walk me through a deal</x:v>
      </x:c>
      <x:c r="F132" s="31" t="str">
        <x:v>Resume &amp; Experience</x:v>
      </x:c>
      <x:c r="G132" s="30" t="str">
        <x:v>CL0024</x:v>
      </x:c>
      <x:c r="H132" s="32" t="n">
        <x:f>COUNTIF($G$5:$G$302,G132)</x:f>
        <x:v>3</x:v>
      </x:c>
      <x:c r="I132" s="30" t="str">
        <x:v>E38</x:v>
      </x:c>
      <x:c r="J132" s="31" t="str">
        <x:v>walk me through your internships (in chinese) | do you like toronto or guangzhou or hong kong (in chinese) | have you used chinese in your prev internships?</x:v>
      </x:c>
    </x:row>
    <x:row r="133" ht="48" customHeight="1">
      <x:c r="A133" s="30" t="str">
        <x:v>QB1056</x:v>
      </x:c>
      <x:c r="B133" s="30" t="str">
        <x:v>Barclays</x:v>
      </x:c>
      <x:c r="C133" s="30" t="str">
        <x:v>IBD / GCM</x:v>
      </x:c>
      <x:c r="D133" s="31" t="str">
        <x:v>Self Intro</x:v>
      </x:c>
      <x:c r="E133" s="31" t="str">
        <x:v>Tell me about yourself / walk me through your resume</x:v>
      </x:c>
      <x:c r="F133" s="31" t="str">
        <x:v>Resume &amp; Experience</x:v>
      </x:c>
      <x:c r="G133" s="30" t="str">
        <x:v>CL0001</x:v>
      </x:c>
      <x:c r="H133" s="32" t="n">
        <x:f>COUNTIF($G$5:$G$302,G133)</x:f>
        <x:v>141</x:v>
      </x:c>
      <x:c r="I133" s="30" t="str">
        <x:v>A47</x:v>
      </x:c>
      <x:c r="J133" s="31" t="str">
        <x:v>Technical: deep-dive into FCF | Formula: FCF, NWC, common items of non-cash expense | Jimmy 1st Interview (Interviewer: Crystal Zhu)</x:v>
      </x:c>
    </x:row>
    <x:row r="134" ht="32" customHeight="1">
      <x:c r="A134" s="30" t="str">
        <x:v>QB1057</x:v>
      </x:c>
      <x:c r="B134" s="30" t="str">
        <x:v>Barclays</x:v>
      </x:c>
      <x:c r="C134" s="30" t="str">
        <x:v>IBD / GCM</x:v>
      </x:c>
      <x:c r="D134" s="31" t="str">
        <x:v>Self Intro</x:v>
      </x:c>
      <x:c r="E134" s="31" t="str">
        <x:v>Tell me about yourself / walk me through your resume</x:v>
      </x:c>
      <x:c r="F134" s="31" t="str">
        <x:v>Resume &amp; Experience</x:v>
      </x:c>
      <x:c r="G134" s="30" t="str">
        <x:v>CL0001</x:v>
      </x:c>
      <x:c r="H134" s="32" t="n">
        <x:f>COUNTIF($G$5:$G$302,G134)</x:f>
        <x:v>141</x:v>
      </x:c>
      <x:c r="I134" s="30" t="str">
        <x:v>C47</x:v>
      </x:c>
      <x:c r="J134" s="31" t="str">
        <x:v>Why IBD not PE | 1 question | Jimmy 2nd Interview (Interviewer: Brett Ma)</x:v>
      </x:c>
    </x:row>
    <x:row r="135" ht="48" customHeight="1">
      <x:c r="A135" s="30" t="str">
        <x:v>QB1060</x:v>
      </x:c>
      <x:c r="B135" s="30" t="str">
        <x:v>Barclays</x:v>
      </x:c>
      <x:c r="C135" s="30" t="str">
        <x:v>IBD / GCM</x:v>
      </x:c>
      <x:c r="D135" s="31" t="str">
        <x:v>What did you learn from past intern experience? What do you think you will be doing if admitted to the program?</x:v>
      </x:c>
      <x:c r="E135" s="31" t="str">
        <x:v>What did you learn from past intern experience? What do you think you will be doing if admitted to the program</x:v>
      </x:c>
      <x:c r="F135" s="31" t="str">
        <x:v>Resume &amp; Experience</x:v>
      </x:c>
      <x:c r="G135" s="30" t="str">
        <x:v>CL0906</x:v>
      </x:c>
      <x:c r="H135" s="32" t="n">
        <x:f>COUNTIF($G$5:$G$302,G135)</x:f>
        <x:v>1</x:v>
      </x:c>
      <x:c r="I135" s="30" t="str">
        <x:v>A49</x:v>
      </x:c>
      <x:c r="J135" s="31" t="str">
        <x:v>Jimmy 1st Interview (Interviewer: Crystal Zhu) | Self Intro | Why Barclays?</x:v>
      </x:c>
    </x:row>
    <x:row r="136" ht="68" customHeight="1">
      <x:c r="A136" s="30" t="str">
        <x:v>QB1066</x:v>
      </x:c>
      <x:c r="B136" s="30" t="str">
        <x:v>Barclays</x:v>
      </x:c>
      <x:c r="C136" s="30" t="str">
        <x:v>IBD / GCM</x:v>
      </x:c>
      <x:c r="D136" s="31" t="str">
        <x:v>Have you encoutered different opinion with others in past working experiences?</x:v>
      </x:c>
      <x:c r="E136" s="31" t="str">
        <x:v>Have you encoutered different opinion with others in past working experiences</x:v>
      </x:c>
      <x:c r="F136" s="31" t="str">
        <x:v>Resume &amp; Experience</x:v>
      </x:c>
      <x:c r="G136" s="30" t="str">
        <x:v>CL0362</x:v>
      </x:c>
      <x:c r="H136" s="32" t="n">
        <x:f>COUNTIF($G$5:$G$302,G136)</x:f>
        <x:v>1</x:v>
      </x:c>
      <x:c r="I136" s="30" t="str">
        <x:v>A52</x:v>
      </x:c>
      <x:c r="J136" s="31" t="str">
        <x:v>What did you learn from past intern experience? What do you think you will be doing if admitted to the program? | Tell me about a time you encounter difficulty? | How did you contribute to the financial model?</x:v>
      </x:c>
    </x:row>
    <x:row r="137" ht="48" customHeight="1">
      <x:c r="A137" s="30" t="str">
        <x:v>QB1075</x:v>
      </x:c>
      <x:c r="B137" s="30" t="str">
        <x:v>Barclays</x:v>
      </x:c>
      <x:c r="C137" s="30" t="str">
        <x:v>IBD / GCM</x:v>
      </x:c>
      <x:c r="D137" s="31" t="str">
        <x:v>Self intro</x:v>
      </x:c>
      <x:c r="E137" s="31" t="str">
        <x:v>Tell me about yourself / walk me through your resume</x:v>
      </x:c>
      <x:c r="F137" s="31" t="str">
        <x:v>Resume &amp; Experience</x:v>
      </x:c>
      <x:c r="G137" s="30" t="str">
        <x:v>CL0001</x:v>
      </x:c>
      <x:c r="H137" s="32" t="n">
        <x:f>COUNTIF($G$5:$G$302,G137)</x:f>
        <x:v>141</x:v>
      </x:c>
      <x:c r="I137" s="30" t="str">
        <x:v>A59</x:v>
      </x:c>
      <x:c r="J137" s="31" t="str">
        <x:v>Have you encoutered different opinion with others in past working experiences? | Ask me some question | Jasmine 1st (Kathy Weng, Assistant VP)</x:v>
      </x:c>
    </x:row>
    <x:row r="138" ht="32" customHeight="1">
      <x:c r="A138" s="30" t="str">
        <x:v>QB1078</x:v>
      </x:c>
      <x:c r="B138" s="30" t="str">
        <x:v>Barclays</x:v>
      </x:c>
      <x:c r="C138" s="30" t="str">
        <x:v>IBD / GCM</x:v>
      </x:c>
      <x:c r="D138" s="31" t="str">
        <x:v>self intro</x:v>
      </x:c>
      <x:c r="E138" s="31" t="str">
        <x:v>Tell me about yourself / walk me through your resume</x:v>
      </x:c>
      <x:c r="F138" s="31" t="str">
        <x:v>Resume &amp; Experience</x:v>
      </x:c>
      <x:c r="G138" s="30" t="str">
        <x:v>CL0001</x:v>
      </x:c>
      <x:c r="H138" s="32" t="n">
        <x:f>COUNTIF($G$5:$G$302,G138)</x:f>
        <x:v>141</x:v>
      </x:c>
      <x:c r="I138" s="30" t="str">
        <x:v>C60</x:v>
      </x:c>
      <x:c r="J138" s="31" t="str">
        <x:v>Ask me some question | Jasmine 1st round | 2nd interviewer xuanning fang</x:v>
      </x:c>
    </x:row>
    <x:row r="139" ht="32" customHeight="1">
      <x:c r="A139" s="30" t="str">
        <x:v>QB1107</x:v>
      </x:c>
      <x:c r="B139" s="30" t="str">
        <x:v>Barclays</x:v>
      </x:c>
      <x:c r="C139" s="30" t="str">
        <x:v>IBD / GCM</x:v>
      </x:c>
      <x:c r="D139" s="31" t="str">
        <x:v>Walk me through your resume</x:v>
      </x:c>
      <x:c r="E139" s="31" t="str">
        <x:v>Tell me about yourself / walk me through your resume</x:v>
      </x:c>
      <x:c r="F139" s="31" t="str">
        <x:v>Resume &amp; Experience</x:v>
      </x:c>
      <x:c r="G139" s="30" t="str">
        <x:v>CL0001</x:v>
      </x:c>
      <x:c r="H139" s="32" t="n">
        <x:f>COUNTIF($G$5:$G$302,G139)</x:f>
        <x:v>141</x:v>
      </x:c>
      <x:c r="I139" s="30" t="str">
        <x:v>A78</x:v>
      </x:c>
      <x:c r="J139" s="31" t="str">
        <x:v>你在case com遇到和組員的衝突 | 2025 SA (Emily) | 1st round: Celine Ni, VP (S&amp;T)</x:v>
      </x:c>
    </x:row>
    <x:row r="140" ht="48" customHeight="1">
      <x:c r="A140" s="30" t="str">
        <x:v>QB1113</x:v>
      </x:c>
      <x:c r="B140" s="30" t="str">
        <x:v>Barclays</x:v>
      </x:c>
      <x:c r="C140" s="30" t="str">
        <x:v>IBD / GCM</x:v>
      </x:c>
      <x:c r="D140" s="31" t="str">
        <x:v>What did you do in UBS</x:v>
      </x:c>
      <x:c r="E140" s="31" t="str">
        <x:v>What did you do in UBS</x:v>
      </x:c>
      <x:c r="F140" s="31" t="str">
        <x:v>Resume &amp; Experience</x:v>
      </x:c>
      <x:c r="G140" s="30" t="str">
        <x:v>CL0905</x:v>
      </x:c>
      <x:c r="H140" s="32" t="n">
        <x:f>COUNTIF($G$5:$G$302,G140)</x:f>
        <x:v>1</x:v>
      </x:c>
      <x:c r="I140" s="30" t="str">
        <x:v>A80</x:v>
      </x:c>
      <x:c r="J140" s="31" t="str">
        <x:v>1st round: Celine Ni, VP (S&amp;T) | Walk me through your resume | Did you get return and why not</x:v>
      </x:c>
    </x:row>
    <x:row r="141" ht="48" customHeight="1">
      <x:c r="A141" s="30" t="str">
        <x:v>QB1139</x:v>
      </x:c>
      <x:c r="B141" s="30" t="str">
        <x:v>Barclays</x:v>
      </x:c>
      <x:c r="C141" s="30" t="str">
        <x:v>IBD / GCM</x:v>
      </x:c>
      <x:c r="D141" s="31" t="str">
        <x:v>What did you do in Grant Samuel</x:v>
      </x:c>
      <x:c r="E141" s="31" t="str">
        <x:v>What did you do in Grant Samuel</x:v>
      </x:c>
      <x:c r="F141" s="31" t="str">
        <x:v>Resume &amp; Experience</x:v>
      </x:c>
      <x:c r="G141" s="30" t="str">
        <x:v>CL0899</x:v>
      </x:c>
      <x:c r="H141" s="32" t="n">
        <x:f>COUNTIF($G$5:$G$302,G141)</x:f>
        <x:v>1</x:v>
      </x:c>
      <x:c r="I141" s="30" t="str">
        <x:v>A96</x:v>
      </x:c>
      <x:c r="J141" s="31" t="str">
        <x:v>1st Round: Lucy Wang, Ryan Wu | 2 Interviewers, but idk why it was only 15mins incl Q&amp;A (supposed to be 30mins tho) | Self introduction, why are you here etc.</x:v>
      </x:c>
    </x:row>
    <x:row r="142" ht="32" customHeight="1">
      <x:c r="A142" s="30" t="str">
        <x:v>QB1155</x:v>
      </x:c>
      <x:c r="B142" s="30" t="str">
        <x:v>GS DCMECM</x:v>
      </x:c>
      <x:c r="C142" s="30" t="str">
        <x:v>IBD / GCM</x:v>
      </x:c>
      <x:c r="D142" s="31" t="str">
        <x:v>Self Intro</x:v>
      </x:c>
      <x:c r="E142" s="31" t="str">
        <x:v>Tell me about yourself / walk me through your resume</x:v>
      </x:c>
      <x:c r="F142" s="31" t="str">
        <x:v>Resume &amp; Experience</x:v>
      </x:c>
      <x:c r="G142" s="30" t="str">
        <x:v>CL0001</x:v>
      </x:c>
      <x:c r="H142" s="32" t="n">
        <x:f>COUNTIF($G$5:$G$302,G142)</x:f>
        <x:v>141</x:v>
      </x:c>
      <x:c r="I142" s="30" t="str">
        <x:v>A4</x:v>
      </x:c>
      <x:c r="J142" s="31" t="str">
        <x:v>2025 SA Superday (DCM) | Jasmine 10/10 &amp; 14/10 | 1 Lunkun Deng Bond Syndicate (BJ)</x:v>
      </x:c>
    </x:row>
    <x:row r="143" ht="32" customHeight="1">
      <x:c r="A143" s="30" t="str">
        <x:v>QB1156</x:v>
      </x:c>
      <x:c r="B143" s="30" t="str">
        <x:v>GS DCMECM</x:v>
      </x:c>
      <x:c r="C143" s="30" t="str">
        <x:v>IBD / GCM</x:v>
      </x:c>
      <x:c r="D143" s="31" t="str">
        <x:v>Self Intro</x:v>
      </x:c>
      <x:c r="E143" s="31" t="str">
        <x:v>Tell me about yourself / walk me through your resume</x:v>
      </x:c>
      <x:c r="F143" s="31" t="str">
        <x:v>Resume &amp; Experience</x:v>
      </x:c>
      <x:c r="G143" s="30" t="str">
        <x:v>CL0001</x:v>
      </x:c>
      <x:c r="H143" s="32" t="n">
        <x:f>COUNTIF($G$5:$G$302,G143)</x:f>
        <x:v>141</x:v>
      </x:c>
      <x:c r="I143" s="30" t="str">
        <x:v>B4</x:v>
      </x:c>
      <x:c r="J143" s="31" t="str">
        <x:v>2025 SA Superday (ECM) | Jasmine 17/10 | 1 Phyllis Wang Equity Syndicate Head</x:v>
      </x:c>
    </x:row>
    <x:row r="144" ht="48" customHeight="1">
      <x:c r="A144" s="30" t="str">
        <x:v>QB1167</x:v>
      </x:c>
      <x:c r="B144" s="30" t="str">
        <x:v>GS DCMECM</x:v>
      </x:c>
      <x:c r="C144" s="30" t="str">
        <x:v>IBD / GCM</x:v>
      </x:c>
      <x:c r="D144" s="31" t="str">
        <x:v>Asked back what kind of skill sets / characters are required for DCM, compared to my previous internships // compare the Debt market with PEVCIBD</x:v>
      </x:c>
      <x:c r="E144" s="31" t="str">
        <x:v>Asked back what kind of skill sets / characters are required for DCM, compared to my previous internships // compare the Debt market with PEVCIBD</x:v>
      </x:c>
      <x:c r="F144" s="31" t="str">
        <x:v>Resume &amp; Experience</x:v>
      </x:c>
      <x:c r="G144" s="30" t="str">
        <x:v>CL0147</x:v>
      </x:c>
      <x:c r="H144" s="32" t="n">
        <x:f>COUNTIF($G$5:$G$302,G144)</x:f>
        <x:v>1</x:v>
      </x:c>
      <x:c r="I144" s="30" t="str">
        <x:v>A10</x:v>
      </x:c>
      <x:c r="J144" s="31" t="str">
        <x:v>How does this affect companies who want to issue debt, 1year ago vs now vs future | Credit analysis structure | Questions for him</x:v>
      </x:c>
    </x:row>
    <x:row r="145" ht="48" customHeight="1">
      <x:c r="A145" s="30" t="str">
        <x:v>QB1183</x:v>
      </x:c>
      <x:c r="B145" s="30" t="str">
        <x:v>GS DCMECM</x:v>
      </x:c>
      <x:c r="C145" s="30" t="str">
        <x:v>IBD / GCM</x:v>
      </x:c>
      <x:c r="D145" s="31" t="str">
        <x:v>Self Intro</x:v>
      </x:c>
      <x:c r="E145" s="31" t="str">
        <x:v>Tell me about yourself / walk me through your resume</x:v>
      </x:c>
      <x:c r="F145" s="31" t="str">
        <x:v>Resume &amp; Experience</x:v>
      </x:c>
      <x:c r="G145" s="30" t="str">
        <x:v>CL0001</x:v>
      </x:c>
      <x:c r="H145" s="32" t="n">
        <x:f>COUNTIF($G$5:$G$302,G145)</x:f>
        <x:v>141</x:v>
      </x:c>
      <x:c r="I145" s="30" t="str">
        <x:v>B19</x:v>
      </x:c>
      <x:c r="J145" s="31" t="str">
        <x:v>My position in football and hockey | What makes me a good player | 2 James Wang ECM Co-Head</x:v>
      </x:c>
    </x:row>
    <x:row r="146" ht="92" customHeight="1">
      <x:c r="A146" s="30" t="str">
        <x:v>QB1186</x:v>
      </x:c>
      <x:c r="B146" s="30" t="str">
        <x:v>GS DCMECM</x:v>
      </x:c>
      <x:c r="C146" s="30" t="str">
        <x:v>IBD / GCM</x:v>
      </x:c>
      <x:c r="D146" s="31" t="str">
        <x:v>Self intro</x:v>
      </x:c>
      <x:c r="E146" s="31" t="str">
        <x:v>Tell me about yourself / walk me through your resume</x:v>
      </x:c>
      <x:c r="F146" s="31" t="str">
        <x:v>Resume &amp; Experience</x:v>
      </x:c>
      <x:c r="G146" s="30" t="str">
        <x:v>CL0001</x:v>
      </x:c>
      <x:c r="H146" s="32" t="n">
        <x:f>COUNTIF($G$5:$G$302,G146)</x:f>
        <x:v>141</x:v>
      </x:c>
      <x:c r="I146" s="30" t="str">
        <x:v>A21</x:v>
      </x:c>
      <x:c r="J146" s="31" t="str">
        <x:v>If you are reaching out to a sponsor, asking for specific data to analyse their debt servicing ability, what are the most important data you need to ask for | (she spoke a lot, super nice, so we alr ran out of time here lmao) | 3 Nelson ...</x:v>
      </x:c>
    </x:row>
    <x:row r="147" ht="32" customHeight="1">
      <x:c r="A147" s="30" t="str">
        <x:v>QB1192</x:v>
      </x:c>
      <x:c r="B147" s="30" t="str">
        <x:v>GS DCMECM</x:v>
      </x:c>
      <x:c r="C147" s="30" t="str">
        <x:v>IBD / GCM</x:v>
      </x:c>
      <x:c r="D147" s="31" t="str">
        <x:v>Which internship I liked the most and the least</x:v>
      </x:c>
      <x:c r="E147" s="31" t="str">
        <x:v>Which internship I liked the most and the least</x:v>
      </x:c>
      <x:c r="F147" s="31" t="str">
        <x:v>Resume &amp; Experience</x:v>
      </x:c>
      <x:c r="G147" s="30" t="str">
        <x:v>CL1095</x:v>
      </x:c>
      <x:c r="H147" s="32" t="n">
        <x:f>COUNTIF($G$5:$G$302,G147)</x:f>
        <x:v>1</x:v>
      </x:c>
      <x:c r="I147" s="30" t="str">
        <x:v>A24</x:v>
      </x:c>
      <x:c r="J147" s="31" t="str">
        <x:v>Self intro | Recent LBO trend | How would increase in interest rate affect LBO costs</x:v>
      </x:c>
    </x:row>
    <x:row r="148" ht="32" customHeight="1">
      <x:c r="A148" s="30" t="str">
        <x:v>QB1196</x:v>
      </x:c>
      <x:c r="B148" s="30" t="str">
        <x:v>GS DCMECM</x:v>
      </x:c>
      <x:c r="C148" s="30" t="str">
        <x:v>IBD / GCM</x:v>
      </x:c>
      <x:c r="D148" s="31" t="str">
        <x:v>Self intro</x:v>
      </x:c>
      <x:c r="E148" s="31" t="str">
        <x:v>Tell me about yourself / walk me through your resume</x:v>
      </x:c>
      <x:c r="F148" s="31" t="str">
        <x:v>Resume &amp; Experience</x:v>
      </x:c>
      <x:c r="G148" s="30" t="str">
        <x:v>CL0001</x:v>
      </x:c>
      <x:c r="H148" s="32" t="n">
        <x:f>COUNTIF($G$5:$G$302,G148)</x:f>
        <x:v>141</x:v>
      </x:c>
      <x:c r="I148" s="30" t="str">
        <x:v>B26</x:v>
      </x:c>
      <x:c r="J148" s="31" t="str">
        <x:v>Quite conversational and all behavioral... forgot | Why you | 3 Jason ECM ED</x:v>
      </x:c>
    </x:row>
    <x:row r="149" ht="48" customHeight="1">
      <x:c r="A149" s="30" t="str">
        <x:v>QB1200</x:v>
      </x:c>
      <x:c r="B149" s="30" t="str">
        <x:v>GS DCMECM</x:v>
      </x:c>
      <x:c r="C149" s="30" t="str">
        <x:v>IBD / GCM</x:v>
      </x:c>
      <x:c r="D149" s="31" t="str">
        <x:v>Self Intro</x:v>
      </x:c>
      <x:c r="E149" s="31" t="str">
        <x:v>Tell me about yourself / walk me through your resume</x:v>
      </x:c>
      <x:c r="F149" s="31" t="str">
        <x:v>Resume &amp; Experience</x:v>
      </x:c>
      <x:c r="G149" s="30" t="str">
        <x:v>CL0001</x:v>
      </x:c>
      <x:c r="H149" s="32" t="n">
        <x:f>COUNTIF($G$5:$G$302,G149)</x:f>
        <x:v>141</x:v>
      </x:c>
      <x:c r="I149" s="30" t="str">
        <x:v>A29</x:v>
      </x:c>
      <x:c r="J149" s="31" t="str">
        <x:v>One recent piece of news that affect banks the most | Questions for him | 4 Andrew Chan Head of Bond Syndiate</x:v>
      </x:c>
    </x:row>
    <x:row r="150" ht="68" customHeight="1">
      <x:c r="A150" s="30" t="str">
        <x:v>QB1214</x:v>
      </x:c>
      <x:c r="B150" s="30" t="str">
        <x:v>GS DCMECM</x:v>
      </x:c>
      <x:c r="C150" s="30" t="str">
        <x:v>IBD / GCM</x:v>
      </x:c>
      <x:c r="D150" s="31" t="str">
        <x:v>Self Intro</x:v>
      </x:c>
      <x:c r="E150" s="31" t="str">
        <x:v>Tell me about yourself / walk me through your resume</x:v>
      </x:c>
      <x:c r="F150" s="31" t="str">
        <x:v>Resume &amp; Experience</x:v>
      </x:c>
      <x:c r="G150" s="30" t="str">
        <x:v>CL0001</x:v>
      </x:c>
      <x:c r="H150" s="32" t="n">
        <x:f>COUNTIF($G$5:$G$302,G150)</x:f>
        <x:v>141</x:v>
      </x:c>
      <x:c r="I150" s="30" t="str">
        <x:v>A37</x:v>
      </x:c>
      <x:c r="J150" s="31" t="str">
        <x:v>Brain Teaser: 100 participants, each write a number, the one closest to 80% of the average will win 100K, if same number from multiple participants, the prize will be split in between, what number will you write | Q&amp;A in Cantonese | 5 Da...</x:v>
      </x:c>
    </x:row>
    <x:row r="151" ht="32" customHeight="1">
      <x:c r="A151" s="30" t="str">
        <x:v>QB1217</x:v>
      </x:c>
      <x:c r="B151" s="30" t="str">
        <x:v>GS DCMECM</x:v>
      </x:c>
      <x:c r="C151" s="30" t="str">
        <x:v>IBD / GCM</x:v>
      </x:c>
      <x:c r="D151" s="31" t="str">
        <x:v>Self Intro</x:v>
      </x:c>
      <x:c r="E151" s="31" t="str">
        <x:v>Tell me about yourself / walk me through your resume</x:v>
      </x:c>
      <x:c r="F151" s="31" t="str">
        <x:v>Resume &amp; Experience</x:v>
      </x:c>
      <x:c r="G151" s="30" t="str">
        <x:v>CL0001</x:v>
      </x:c>
      <x:c r="H151" s="32" t="n">
        <x:f>COUNTIF($G$5:$G$302,G151)</x:f>
        <x:v>141</x:v>
      </x:c>
      <x:c r="I151" s="30" t="str">
        <x:v>B38</x:v>
      </x:c>
      <x:c r="J151" s="31" t="str">
        <x:v>27*16 | 10 Additional Rounds | 4 Henry Yu Shanghai</x:v>
      </x:c>
    </x:row>
    <x:row r="152" ht="48" customHeight="1">
      <x:c r="A152" s="30" t="str">
        <x:v>QB1232</x:v>
      </x:c>
      <x:c r="B152" s="30" t="str">
        <x:v>GS DCMECM</x:v>
      </x:c>
      <x:c r="C152" s="30" t="str">
        <x:v>IBD / GCM</x:v>
      </x:c>
      <x:c r="D152" s="31" t="str">
        <x:v>Self Intro</x:v>
      </x:c>
      <x:c r="E152" s="31" t="str">
        <x:v>Tell me about yourself / walk me through your resume</x:v>
      </x:c>
      <x:c r="F152" s="31" t="str">
        <x:v>Resume &amp; Experience</x:v>
      </x:c>
      <x:c r="G152" s="30" t="str">
        <x:v>CL0001</x:v>
      </x:c>
      <x:c r="H152" s="32" t="n">
        <x:f>COUNTIF($G$5:$G$302,G152)</x:f>
        <x:v>141</x:v>
      </x:c>
      <x:c r="I152" s="30" t="str">
        <x:v>B48</x:v>
      </x:c>
      <x:c r="J152" s="31" t="str">
        <x:v>50x P/E firm issues new share to acquire 20x P/E, accretive or dilutive | Questions for him | 5 Allison</x:v>
      </x:c>
    </x:row>
    <x:row r="153" ht="32" customHeight="1">
      <x:c r="A153" s="30" t="str">
        <x:v>QB1258</x:v>
      </x:c>
      <x:c r="B153" s="30" t="str">
        <x:v>Bofa IBD</x:v>
      </x:c>
      <x:c r="C153" s="30" t="str">
        <x:v>IBD / GCM</x:v>
      </x:c>
      <x:c r="D153" s="31" t="str">
        <x:v>Give me a broad overview of your cv</x:v>
      </x:c>
      <x:c r="E153" s="31" t="str">
        <x:v>Tell me about yourself / walk me through your resume</x:v>
      </x:c>
      <x:c r="F153" s="31" t="str">
        <x:v>Resume &amp; Experience</x:v>
      </x:c>
      <x:c r="G153" s="30" t="str">
        <x:v>CL0001</x:v>
      </x:c>
      <x:c r="H153" s="32" t="n">
        <x:f>COUNTIF($G$5:$G$302,G153)</x:f>
        <x:v>141</x:v>
      </x:c>
      <x:c r="I153" s="30" t="str">
        <x:v>C6</x:v>
      </x:c>
      <x:c r="J153" s="31" t="str">
        <x:v>1st Round Regan | 12 April Yu | Tell me about yourself</x:v>
      </x:c>
    </x:row>
    <x:row r="154" ht="68" customHeight="1">
      <x:c r="A154" s="30" t="str">
        <x:v>QB1263</x:v>
      </x:c>
      <x:c r="B154" s="30" t="str">
        <x:v>Bofa IBD</x:v>
      </x:c>
      <x:c r="C154" s="30" t="str">
        <x:v>IBD / GCM</x:v>
      </x:c>
      <x:c r="D154" s="31" t="str">
        <x:v>4any experience in electronic vehicles(get exposed to some, but could share another rragrding different industry in my internship, but she said not really interested😂)</x:v>
      </x:c>
      <x:c r="E154" s="31" t="str">
        <x:v>4any experience in electronic vehicles(get exposed to some, but could share another rragrding different industry in my internship, but she said not really interested😂)</x:v>
      </x:c>
      <x:c r="F154" s="31" t="str">
        <x:v>Resume &amp; Experience</x:v>
      </x:c>
      <x:c r="G154" s="30" t="str">
        <x:v>CL0080</x:v>
      </x:c>
      <x:c r="H154" s="32" t="n">
        <x:f>COUNTIF($G$5:$G$302,G154)</x:f>
        <x:v>1</x:v>
      </x:c>
      <x:c r="I154" s="30" t="str">
        <x:v>E7</x:v>
      </x:c>
      <x:c r="J154" s="31" t="str">
        <x:v>1self intro | 2why ibd considering your bg in pe consulting and dcm? | 3any preference sector for choosing to work? (i said industrials)</x:v>
      </x:c>
    </x:row>
    <x:row r="155" ht="118" customHeight="1">
      <x:c r="A155" s="30" t="str">
        <x:v>QB1272</x:v>
      </x:c>
      <x:c r="B155" s="30" t="str">
        <x:v>Bofa IBD</x:v>
      </x:c>
      <x:c r="C155" s="30" t="str">
        <x:v>IBD / GCM</x:v>
      </x:c>
      <x:c r="D155" s="31" t="str">
        <x:v>Where I grew up in, primary and secondary school, where my parents are from</x:v>
      </x:c>
      <x:c r="E155" s="31" t="str">
        <x:v>Where I grew up in, primary and secondary school, where my parents are from</x:v>
      </x:c>
      <x:c r="F155" s="31" t="str">
        <x:v>Resume &amp; Experience</x:v>
      </x:c>
      <x:c r="G155" s="30" t="str">
        <x:v>CL1088</x:v>
      </x:c>
      <x:c r="H155" s="32" t="n">
        <x:f>COUNTIF($G$5:$G$302,G155)</x:f>
        <x:v>1</x:v>
      </x:c>
      <x:c r="I155" s="30" t="str">
        <x:v>G9</x:v>
      </x:c>
      <x:c r="J155" s="31" t="str">
        <x:v>If I sent you a model done by others and there are a lot of errors, probably because of circular referencing, where would you start checking and how would you make amendments for it? | Terminal growth value use what number for a Chinese ...</x:v>
      </x:c>
    </x:row>
    <x:row r="156" ht="48" customHeight="1">
      <x:c r="A156" s="30" t="str">
        <x:v>QB1297</x:v>
      </x:c>
      <x:c r="B156" s="30" t="str">
        <x:v>Bofa IBD</x:v>
      </x:c>
      <x:c r="C156" s="30" t="str">
        <x:v>IBD / GCM</x:v>
      </x:c>
      <x:c r="D156" s="31" t="str">
        <x:v>Self intro</x:v>
      </x:c>
      <x:c r="E156" s="31" t="str">
        <x:v>Tell me about yourself / walk me through your resume</x:v>
      </x:c>
      <x:c r="F156" s="31" t="str">
        <x:v>Resume &amp; Experience</x:v>
      </x:c>
      <x:c r="G156" s="30" t="str">
        <x:v>CL0001</x:v>
      </x:c>
      <x:c r="H156" s="32" t="n">
        <x:f>COUNTIF($G$5:$G$302,G156)</x:f>
        <x:v>141</x:v>
      </x:c>
      <x:c r="I156" s="30" t="str">
        <x:v>A21</x:v>
      </x:c>
      <x:c r="J156" s="31" t="str">
        <x:v>After 1 year, what happens? Feel free to ask assumption (Tax: 20%) | 1 question | Emily 2nd interviewer Johnny</x:v>
      </x:c>
    </x:row>
    <x:row r="157" ht="92" customHeight="1">
      <x:c r="A157" s="30" t="str">
        <x:v>QB1309</x:v>
      </x:c>
      <x:c r="B157" s="30" t="str">
        <x:v>Bofa IBD</x:v>
      </x:c>
      <x:c r="C157" s="30" t="str">
        <x:v>IBD / GCM</x:v>
      </x:c>
      <x:c r="D157" s="31" t="str">
        <x:v>What did you do for research for HKU Business School</x:v>
      </x:c>
      <x:c r="E157" s="31" t="str">
        <x:v>What did you do for research for HKU Business School</x:v>
      </x:c>
      <x:c r="F157" s="31" t="str">
        <x:v>Resume &amp; Experience</x:v>
      </x:c>
      <x:c r="G157" s="30" t="str">
        <x:v>CL0898</x:v>
      </x:c>
      <x:c r="H157" s="32" t="n">
        <x:f>COUNTIF($G$5:$G$302,G157)</x:f>
        <x:v>1</x:v>
      </x:c>
      <x:c r="I157" s="30" t="str">
        <x:v>C27</x:v>
      </x:c>
      <x:c r="J157" s="31" t="str">
        <x:v>Walk me through the rights issue and your main considerations (e.g. dilution effect, subscription price considerations, timeline) | Distressed clients - what would be your recommendations (choose between restructuring, extend credit line...</x:v>
      </x:c>
    </x:row>
    <x:row r="158" ht="68" customHeight="1">
      <x:c r="A158" s="30" t="str">
        <x:v>QB1314</x:v>
      </x:c>
      <x:c r="B158" s="30" t="str">
        <x:v>Bofa IBD</x:v>
      </x:c>
      <x:c r="C158" s="30" t="str">
        <x:v>IBD / GCM</x:v>
      </x:c>
      <x:c r="D158" s="31" t="str">
        <x:v>Self Intro</x:v>
      </x:c>
      <x:c r="E158" s="31" t="str">
        <x:v>Tell me about yourself / walk me through your resume</x:v>
      </x:c>
      <x:c r="F158" s="31" t="str">
        <x:v>Resume &amp; Experience</x:v>
      </x:c>
      <x:c r="G158" s="30" t="str">
        <x:v>CL0001</x:v>
      </x:c>
      <x:c r="H158" s="32" t="n">
        <x:f>COUNTIF($G$5:$G$302,G158)</x:f>
        <x:v>141</x:v>
      </x:c>
      <x:c r="I158" s="30" t="str">
        <x:v>A31</x:v>
      </x:c>
      <x:c r="J158" s="31" t="str">
        <x:v>Enterprise value: how to account for cash, long term investment, short term financial instrument | Financial instrument taken stock at end of 2022, now 31st Jan 2023, use which value? | 20 Emily Bofa 3rd Interview Sophia</x:v>
      </x:c>
    </x:row>
    <x:row r="159" ht="48" customHeight="1">
      <x:c r="A159" s="30" t="str">
        <x:v>QB1326</x:v>
      </x:c>
      <x:c r="B159" s="30" t="str">
        <x:v>Bofa IBD</x:v>
      </x:c>
      <x:c r="C159" s="30" t="str">
        <x:v>IBD / GCM</x:v>
      </x:c>
      <x:c r="D159" s="31" t="str">
        <x:v>Self Intro</x:v>
      </x:c>
      <x:c r="E159" s="31" t="str">
        <x:v>Tell me about yourself / walk me through your resume</x:v>
      </x:c>
      <x:c r="F159" s="31" t="str">
        <x:v>Resume &amp; Experience</x:v>
      </x:c>
      <x:c r="G159" s="30" t="str">
        <x:v>CL0001</x:v>
      </x:c>
      <x:c r="H159" s="32" t="n">
        <x:f>COUNTIF($G$5:$G$302,G159)</x:f>
        <x:v>141</x:v>
      </x:c>
      <x:c r="I159" s="30" t="str">
        <x:v>A44</x:v>
      </x:c>
      <x:c r="J159" s="31" t="str">
        <x:v>(So she is looking for VIE [Variable Interest Entity]) | What is VIE, and why would company list like VIE? Pros of VIE? | 20 Emily Bofa 4th Interview Henu</x:v>
      </x:c>
    </x:row>
    <x:row r="160" ht="68" customHeight="1">
      <x:c r="A160" s="30" t="str">
        <x:v>QB1338</x:v>
      </x:c>
      <x:c r="B160" s="30" t="str">
        <x:v>Bofa IBD</x:v>
      </x:c>
      <x:c r="C160" s="30" t="str">
        <x:v>IBD / GCM</x:v>
      </x:c>
      <x:c r="D160" s="31" t="str">
        <x:v>His self intro</x:v>
      </x:c>
      <x:c r="E160" s="31" t="str">
        <x:v>Tell me about yourself / walk me through your resume</x:v>
      </x:c>
      <x:c r="F160" s="31" t="str">
        <x:v>Resume &amp; Experience</x:v>
      </x:c>
      <x:c r="G160" s="30" t="str">
        <x:v>CL0001</x:v>
      </x:c>
      <x:c r="H160" s="32" t="n">
        <x:f>COUNTIF($G$5:$G$302,G160)</x:f>
        <x:v>141</x:v>
      </x:c>
      <x:c r="I160" s="30" t="str">
        <x:v>A57</x:v>
      </x:c>
      <x:c r="J160" s="31" t="str">
        <x:v>Same situation, and company has 100 dollars profit, how is it reflected on company A 3 statement? (damn so the 30 NI is profit after tax no need tax damn) | Questions | 24 5th Interview with Bob</x:v>
      </x:c>
    </x:row>
    <x:row r="161" ht="32" customHeight="1">
      <x:c r="A161" s="30" t="str">
        <x:v>QB1339</x:v>
      </x:c>
      <x:c r="B161" s="30" t="str">
        <x:v>Bofa IBD</x:v>
      </x:c>
      <x:c r="C161" s="30" t="str">
        <x:v>IBD / GCM</x:v>
      </x:c>
      <x:c r="D161" s="31" t="str">
        <x:v>My Self intro</x:v>
      </x:c>
      <x:c r="E161" s="31" t="str">
        <x:v>Tell me about yourself / walk me through your resume</x:v>
      </x:c>
      <x:c r="F161" s="31" t="str">
        <x:v>Resume &amp; Experience</x:v>
      </x:c>
      <x:c r="G161" s="30" t="str">
        <x:v>CL0001</x:v>
      </x:c>
      <x:c r="H161" s="32" t="n">
        <x:f>COUNTIF($G$5:$G$302,G161)</x:f>
        <x:v>141</x:v>
      </x:c>
      <x:c r="I161" s="30" t="str">
        <x:v>A58</x:v>
      </x:c>
      <x:c r="J161" s="31" t="str">
        <x:v>Questions | 24 5th Interview with Bob | His self intro</x:v>
      </x:c>
    </x:row>
    <x:row r="162" ht="92" customHeight="1">
      <x:c r="A162" s="30" t="str">
        <x:v>QB1344</x:v>
      </x:c>
      <x:c r="B162" s="30" t="str">
        <x:v>Bofa IBD</x:v>
      </x:c>
      <x:c r="C162" s="30" t="str">
        <x:v>IBD / GCM</x:v>
      </x:c>
      <x:c r="D162" s="31" t="str">
        <x:v>HKEX: what was your responsibility and what did you learn from it?</x:v>
      </x:c>
      <x:c r="E162" s="31" t="str">
        <x:v>HKEX: what was your responsibility and what did you learn from it</x:v>
      </x:c>
      <x:c r="F162" s="31" t="str">
        <x:v>Resume &amp; Experience</x:v>
      </x:c>
      <x:c r="G162" s="30" t="str">
        <x:v>CL0367</x:v>
      </x:c>
      <x:c r="H162" s="32" t="n">
        <x:f>COUNTIF($G$5:$G$302,G162)</x:f>
        <x:v>1</x:v>
      </x:c>
      <x:c r="I162" s="30" t="str">
        <x:v>A63</x:v>
      </x:c>
      <x:c r="J162" s="31" t="str">
        <x:v>Suwen stock initiation: stock pitch, comparable companies how to screen, what multiples you use | Why use EV/EBITDA instead of PE multiple? (he was looking for NI vs EBITDA reasoning) | Dongwei stock initiation: revenue drivers, top-line...</x:v>
      </x:c>
    </x:row>
    <x:row r="163" ht="48" customHeight="1">
      <x:c r="A163" s="30" t="str">
        <x:v>QB1353</x:v>
      </x:c>
      <x:c r="B163" s="30" t="str">
        <x:v>Bofa IBD</x:v>
      </x:c>
      <x:c r="C163" s="30" t="str">
        <x:v>IBD / GCM</x:v>
      </x:c>
      <x:c r="D163" s="31" t="str">
        <x:v>Self Intro and ask bg: where did you grow up in, where is high school, HKU?</x:v>
      </x:c>
      <x:c r="E163" s="31" t="str">
        <x:v>Tell me about yourself / walk me through your resume</x:v>
      </x:c>
      <x:c r="F163" s="31" t="str">
        <x:v>Resume &amp; Experience</x:v>
      </x:c>
      <x:c r="G163" s="30" t="str">
        <x:v>CL0001</x:v>
      </x:c>
      <x:c r="H163" s="32" t="n">
        <x:f>COUNTIF($G$5:$G$302,G163)</x:f>
        <x:v>141</x:v>
      </x:c>
      <x:c r="I163" s="30" t="str">
        <x:v>C71</x:v>
      </x:c>
      <x:c r="J163" s="31" t="str">
        <x:v>Overall went deep into cv exp and asked technical questions based on them | 2025 SA Emily | 8 1st Round (By Sam Hsu Asso)</x:v>
      </x:c>
    </x:row>
    <x:row r="164" ht="32" customHeight="1">
      <x:c r="A164" s="30" t="str">
        <x:v>QB1354</x:v>
      </x:c>
      <x:c r="B164" s="30" t="str">
        <x:v>Bofa IBD</x:v>
      </x:c>
      <x:c r="C164" s="30" t="str">
        <x:v>IBD / GCM</x:v>
      </x:c>
      <x:c r="D164" s="31" t="str">
        <x:v>Self intro</x:v>
      </x:c>
      <x:c r="E164" s="31" t="str">
        <x:v>Tell me about yourself / walk me through your resume</x:v>
      </x:c>
      <x:c r="F164" s="31" t="str">
        <x:v>Resume &amp; Experience</x:v>
      </x:c>
      <x:c r="G164" s="30" t="str">
        <x:v>CL0001</x:v>
      </x:c>
      <x:c r="H164" s="32" t="n">
        <x:f>COUNTIF($G$5:$G$302,G164)</x:f>
        <x:v>141</x:v>
      </x:c>
      <x:c r="I164" s="30" t="str">
        <x:v>A72</x:v>
      </x:c>
      <x:c r="J164" s="31" t="str">
        <x:v>2025 FT | 1st Round Jimmy | 8 Andy Shin, M&amp;A</x:v>
      </x:c>
    </x:row>
    <x:row r="165" ht="68" customHeight="1">
      <x:c r="A165" s="30" t="str">
        <x:v>QB1363</x:v>
      </x:c>
      <x:c r="B165" s="30" t="str">
        <x:v>Bofa IBD</x:v>
      </x:c>
      <x:c r="C165" s="30" t="str">
        <x:v>IBD / GCM</x:v>
      </x:c>
      <x:c r="D165" s="31" t="str">
        <x:v>UBS walk me through a deal you worked on (Oil vessel)</x:v>
      </x:c>
      <x:c r="E165" s="31" t="str">
        <x:v>Walk me through a deal you worked on</x:v>
      </x:c>
      <x:c r="F165" s="31" t="str">
        <x:v>Resume &amp; Experience</x:v>
      </x:c>
      <x:c r="G165" s="30" t="str">
        <x:v>CL0017</x:v>
      </x:c>
      <x:c r="H165" s="32" t="n">
        <x:f>COUNTIF($G$5:$G$302,G165)</x:f>
        <x:v>8</x:v>
      </x:c>
      <x:c r="I165" s="30" t="str">
        <x:v>C76</x:v>
      </x:c>
      <x:c r="J165" s="31" t="str">
        <x:v>Daiwa energy storage: walk me through industry, trends, company, highlight | How is the electricity price like in China? Fluctuate to market or fixed? | Is the electricity connected to the grid?</x:v>
      </x:c>
    </x:row>
    <x:row r="166" ht="32" customHeight="1">
      <x:c r="A166" s="30" t="str">
        <x:v>QB1373</x:v>
      </x:c>
      <x:c r="B166" s="30" t="str">
        <x:v>Bofa IBD</x:v>
      </x:c>
      <x:c r="C166" s="30" t="str">
        <x:v>IBD / GCM</x:v>
      </x:c>
      <x:c r="D166" s="31" t="str">
        <x:v>Self intro</x:v>
      </x:c>
      <x:c r="E166" s="31" t="str">
        <x:v>Tell me about yourself / walk me through your resume</x:v>
      </x:c>
      <x:c r="F166" s="31" t="str">
        <x:v>Resume &amp; Experience</x:v>
      </x:c>
      <x:c r="G166" s="30" t="str">
        <x:v>CL0001</x:v>
      </x:c>
      <x:c r="H166" s="32" t="n">
        <x:f>COUNTIF($G$5:$G$302,G166)</x:f>
        <x:v>141</x:v>
      </x:c>
      <x:c r="I166" s="30" t="str">
        <x:v>A83</x:v>
      </x:c>
      <x:c r="J166" s="31" t="str">
        <x:v>Any account to be created and why? | What is goodwill? | 8 Tim Tian, FSG</x:v>
      </x:c>
    </x:row>
    <x:row r="167" ht="68" customHeight="1">
      <x:c r="A167" s="30" t="str">
        <x:v>QB1380</x:v>
      </x:c>
      <x:c r="B167" s="30" t="str">
        <x:v>Bofa IBD</x:v>
      </x:c>
      <x:c r="C167" s="30" t="str">
        <x:v>IBD / GCM</x:v>
      </x:c>
      <x:c r="D167" s="31" t="str">
        <x:v>Walk me through a valuation project you had</x:v>
      </x:c>
      <x:c r="E167" s="31" t="str">
        <x:v>Walk me through a valuation project you had</x:v>
      </x:c>
      <x:c r="F167" s="31" t="str">
        <x:v>Resume &amp; Experience</x:v>
      </x:c>
      <x:c r="G167" s="30" t="str">
        <x:v>CL0830</x:v>
      </x:c>
      <x:c r="H167" s="32" t="n">
        <x:f>COUNTIF($G$5:$G$302,G167)</x:f>
        <x:v>1</x:v>
      </x:c>
      <x:c r="I167" s="30" t="str">
        <x:v>C86</x:v>
      </x:c>
      <x:c r="J167" s="31" t="str">
        <x:v>Self Intro, why would you want to work with us? | Why no return? What was the feedback you got? What specific techncial skills you lack? What project was it | For the credit analysis, what was the revenue build up? How did you do the mod...</x:v>
      </x:c>
    </x:row>
    <x:row r="168" ht="68" customHeight="1">
      <x:c r="A168" s="30" t="str">
        <x:v>QB1397</x:v>
      </x:c>
      <x:c r="B168" s="30" t="str">
        <x:v>Bofa IBD</x:v>
      </x:c>
      <x:c r="C168" s="30" t="str">
        <x:v>IBD / GCM</x:v>
      </x:c>
      <x:c r="D168" s="31" t="str">
        <x:v>How did you do comps analysis for the international school platform?</x:v>
      </x:c>
      <x:c r="E168" s="31" t="str">
        <x:v>How did you do comps analysis for the international school platform</x:v>
      </x:c>
      <x:c r="F168" s="31" t="str">
        <x:v>Resume &amp; Experience</x:v>
      </x:c>
      <x:c r="G168" s="30" t="str">
        <x:v>CL0381</x:v>
      </x:c>
      <x:c r="H168" s="32" t="n">
        <x:f>COUNTIF($G$5:$G$302,G168)</x:f>
        <x:v>1</x:v>
      </x:c>
      <x:c r="I168" s="30" t="str">
        <x:v>A96</x:v>
      </x:c>
      <x:c r="J168" s="31" t="str">
        <x:v>Tell me about the IT service company you did in BLK, what kind of IT service does it provide? | What is the top line? How did you determine the revenue growth rate? | How did you justify this company is growing faster than market average...</x:v>
      </x:c>
    </x:row>
    <x:row r="169" ht="32" customHeight="1">
      <x:c r="A169" s="30" t="str">
        <x:v>QB1422</x:v>
      </x:c>
      <x:c r="B169" s="30" t="str">
        <x:v>Bofa GCM</x:v>
      </x:c>
      <x:c r="C169" s="30" t="str">
        <x:v>IBD / GCM</x:v>
      </x:c>
      <x:c r="D169" s="31" t="str">
        <x:v>Self-intro</x:v>
      </x:c>
      <x:c r="E169" s="31" t="str">
        <x:v>Tell me about yourself / walk me through your resume</x:v>
      </x:c>
      <x:c r="F169" s="31" t="str">
        <x:v>Resume &amp; Experience</x:v>
      </x:c>
      <x:c r="G169" s="30" t="str">
        <x:v>CL0001</x:v>
      </x:c>
      <x:c r="H169" s="32" t="n">
        <x:f>COUNTIF($G$5:$G$302,G169)</x:f>
        <x:v>141</x:v>
      </x:c>
      <x:c r="I169" s="30" t="str">
        <x:v>A3</x:v>
      </x:c>
      <x:c r="J169" s="31" t="str">
        <x:v>2026 SA | DCM Asso</x:v>
      </x:c>
    </x:row>
    <x:row r="170" ht="32" customHeight="1">
      <x:c r="A170" s="30" t="str">
        <x:v>QB1423</x:v>
      </x:c>
      <x:c r="B170" s="30" t="str">
        <x:v>Bofa GCM</x:v>
      </x:c>
      <x:c r="C170" s="30" t="str">
        <x:v>IBD / GCM</x:v>
      </x:c>
      <x:c r="D170" s="31" t="str">
        <x:v>Self-intro</x:v>
      </x:c>
      <x:c r="E170" s="31" t="str">
        <x:v>Tell me about yourself / walk me through your resume</x:v>
      </x:c>
      <x:c r="F170" s="31" t="str">
        <x:v>Resume &amp; Experience</x:v>
      </x:c>
      <x:c r="G170" s="30" t="str">
        <x:v>CL0001</x:v>
      </x:c>
      <x:c r="H170" s="32" t="n">
        <x:f>COUNTIF($G$5:$G$302,G170)</x:f>
        <x:v>141</x:v>
      </x:c>
      <x:c r="I170" s="30" t="str">
        <x:v>B3</x:v>
      </x:c>
      <x:c r="J170" s="31" t="str">
        <x:v>ECM Asso</x:v>
      </x:c>
    </x:row>
    <x:row r="171" ht="32" customHeight="1">
      <x:c r="A171" s="30" t="str">
        <x:v>QB1424</x:v>
      </x:c>
      <x:c r="B171" s="30" t="str">
        <x:v>Bofa GCM</x:v>
      </x:c>
      <x:c r="C171" s="30" t="str">
        <x:v>IBD / GCM</x:v>
      </x:c>
      <x:c r="D171" s="31" t="str">
        <x:v>Self-intro</x:v>
      </x:c>
      <x:c r="E171" s="31" t="str">
        <x:v>Tell me about yourself / walk me through your resume</x:v>
      </x:c>
      <x:c r="F171" s="31" t="str">
        <x:v>Resume &amp; Experience</x:v>
      </x:c>
      <x:c r="G171" s="30" t="str">
        <x:v>CL0001</x:v>
      </x:c>
      <x:c r="H171" s="32" t="n">
        <x:f>COUNTIF($G$5:$G$302,G171)</x:f>
        <x:v>141</x:v>
      </x:c>
      <x:c r="I171" s="30" t="str">
        <x:v>C3</x:v>
      </x:c>
      <x:c r="J171" s="31" t="str">
        <x:v>Equity-linked solution D</x:v>
      </x:c>
    </x:row>
    <x:row r="172" ht="32" customHeight="1">
      <x:c r="A172" s="30" t="str">
        <x:v>QB1425</x:v>
      </x:c>
      <x:c r="B172" s="30" t="str">
        <x:v>Bofa GCM</x:v>
      </x:c>
      <x:c r="C172" s="30" t="str">
        <x:v>IBD / GCM</x:v>
      </x:c>
      <x:c r="D172" s="31" t="str">
        <x:v>Self-intro</x:v>
      </x:c>
      <x:c r="E172" s="31" t="str">
        <x:v>Tell me about yourself / walk me through your resume</x:v>
      </x:c>
      <x:c r="F172" s="31" t="str">
        <x:v>Resume &amp; Experience</x:v>
      </x:c>
      <x:c r="G172" s="30" t="str">
        <x:v>CL0001</x:v>
      </x:c>
      <x:c r="H172" s="32" t="n">
        <x:f>COUNTIF($G$5:$G$302,G172)</x:f>
        <x:v>141</x:v>
      </x:c>
      <x:c r="I172" s="30" t="str">
        <x:v>D3</x:v>
      </x:c>
      <x:c r="J172" s="31" t="str">
        <x:v>ECM D</x:v>
      </x:c>
    </x:row>
    <x:row r="173" ht="32" customHeight="1">
      <x:c r="A173" s="30" t="str">
        <x:v>QB1430</x:v>
      </x:c>
      <x:c r="B173" s="30" t="str">
        <x:v>Bofa GCM</x:v>
      </x:c>
      <x:c r="C173" s="30" t="str">
        <x:v>IBD / GCM</x:v>
      </x:c>
      <x:c r="D173" s="31" t="str">
        <x:v>Walk thru deal by Bofa (I talked about IPO deal)</x:v>
      </x:c>
      <x:c r="E173" s="31" t="str">
        <x:v>Discuss a recent deal completed by this firm</x:v>
      </x:c>
      <x:c r="F173" s="31" t="str">
        <x:v>Resume &amp; Experience</x:v>
      </x:c>
      <x:c r="G173" s="30" t="str">
        <x:v>CL0008</x:v>
      </x:c>
      <x:c r="H173" s="32" t="n">
        <x:f>COUNTIF($G$5:$G$302,G173)</x:f>
        <x:v>4</x:v>
      </x:c>
      <x:c r="I173" s="30" t="str">
        <x:v>A5</x:v>
      </x:c>
      <x:c r="J173" s="31" t="str">
        <x:v>DCM Asso | Self-intro | Why Bofa &amp; why GCM</x:v>
      </x:c>
    </x:row>
    <x:row r="174" ht="32" customHeight="1">
      <x:c r="A174" s="30" t="str">
        <x:v>QB1433</x:v>
      </x:c>
      <x:c r="B174" s="30" t="str">
        <x:v>Bofa GCM</x:v>
      </x:c>
      <x:c r="C174" s="30" t="str">
        <x:v>IBD / GCM</x:v>
      </x:c>
      <x:c r="D174" s="31" t="str">
        <x:v>NB internship detail, sector I'm working on and investment thesis</x:v>
      </x:c>
      <x:c r="E174" s="31" t="str">
        <x:v>NB internship detail, sector I'm working on and investment thesis</x:v>
      </x:c>
      <x:c r="F174" s="31" t="str">
        <x:v>Resume &amp; Experience</x:v>
      </x:c>
      <x:c r="G174" s="30" t="str">
        <x:v>CL0617</x:v>
      </x:c>
      <x:c r="H174" s="32" t="n">
        <x:f>COUNTIF($G$5:$G$302,G174)</x:f>
        <x:v>1</x:v>
      </x:c>
      <x:c r="I174" s="30" t="str">
        <x:v>D5</x:v>
      </x:c>
      <x:c r="J174" s="31" t="str">
        <x:v>ECM D | Self-intro | followup on my self intro, like my background, when i came to hk</x:v>
      </x:c>
    </x:row>
    <x:row r="175" ht="48" customHeight="1">
      <x:c r="A175" s="30" t="str">
        <x:v>QB1437</x:v>
      </x:c>
      <x:c r="B175" s="30" t="str">
        <x:v>Bofa GCM</x:v>
      </x:c>
      <x:c r="C175" s="30" t="str">
        <x:v>IBD / GCM</x:v>
      </x:c>
      <x:c r="D175" s="31" t="str">
        <x:v>ER internship, pitched him a stock I worked on</x:v>
      </x:c>
      <x:c r="E175" s="31" t="str">
        <x:v>ER internship, pitched him a stock I worked on</x:v>
      </x:c>
      <x:c r="F175" s="31" t="str">
        <x:v>Resume &amp; Experience</x:v>
      </x:c>
      <x:c r="G175" s="30" t="str">
        <x:v>CL0313</x:v>
      </x:c>
      <x:c r="H175" s="32" t="n">
        <x:f>COUNTIF($G$5:$G$302,G175)</x:f>
        <x:v>1</x:v>
      </x:c>
      <x:c r="I175" s="30" t="str">
        <x:v>D6</x:v>
      </x:c>
      <x:c r="J175" s="31" t="str">
        <x:v>Self-intro | followup on my self intro, like my background, when i came to hk | NB internship detail, sector I'm working on and investment thesis</x:v>
      </x:c>
    </x:row>
    <x:row r="176" ht="32" customHeight="1">
      <x:c r="A176" s="30" t="str">
        <x:v>QB1464</x:v>
      </x:c>
      <x:c r="B176" s="30" t="str">
        <x:v>Bofa GCM</x:v>
      </x:c>
      <x:c r="C176" s="30" t="str">
        <x:v>IBD / GCM</x:v>
      </x:c>
      <x:c r="D176" s="31" t="str">
        <x:v>Self-intro</x:v>
      </x:c>
      <x:c r="E176" s="31" t="str">
        <x:v>Tell me about yourself / walk me through your resume</x:v>
      </x:c>
      <x:c r="F176" s="31" t="str">
        <x:v>Resume &amp; Experience</x:v>
      </x:c>
      <x:c r="G176" s="30" t="str">
        <x:v>CL0001</x:v>
      </x:c>
      <x:c r="H176" s="32" t="n">
        <x:f>COUNTIF($G$5:$G$302,G176)</x:f>
        <x:v>141</x:v>
      </x:c>
      <x:c r="I176" s="30" t="str">
        <x:v>A17</x:v>
      </x:c>
      <x:c r="J176" s="31" t="str">
        <x:v>(~25min) | 2026 FT Kari | Lisa Huang - Asso</x:v>
      </x:c>
    </x:row>
    <x:row r="177" ht="32" customHeight="1">
      <x:c r="A177" s="30" t="str">
        <x:v>QB1473</x:v>
      </x:c>
      <x:c r="B177" s="30" t="str">
        <x:v>JPM</x:v>
      </x:c>
      <x:c r="C177" s="30" t="str">
        <x:v>IBD / GCM</x:v>
      </x:c>
      <x:c r="D177" s="31" t="str">
        <x:v>self intro (she said 5 mins walk thru?? )</x:v>
      </x:c>
      <x:c r="E177" s="31" t="str">
        <x:v>Tell me about yourself / walk me through your resume</x:v>
      </x:c>
      <x:c r="F177" s="31" t="str">
        <x:v>Resume &amp; Experience</x:v>
      </x:c>
      <x:c r="G177" s="30" t="str">
        <x:v>CL0001</x:v>
      </x:c>
      <x:c r="H177" s="32" t="n">
        <x:f>COUNTIF($G$5:$G$302,G177)</x:f>
        <x:v>141</x:v>
      </x:c>
      <x:c r="I177" s="30" t="str">
        <x:v>A4</x:v>
      </x:c>
      <x:c r="J177" s="31" t="str">
        <x:v>2024 SA | 23 Jasmine 1st round (Victoria Cai) | resume based</x:v>
      </x:c>
    </x:row>
    <x:row r="178" ht="32" customHeight="1">
      <x:c r="A178" s="30" t="str">
        <x:v>QB1476</x:v>
      </x:c>
      <x:c r="B178" s="30" t="str">
        <x:v>JPM</x:v>
      </x:c>
      <x:c r="C178" s="30" t="str">
        <x:v>IBD / GCM</x:v>
      </x:c>
      <x:c r="D178" s="31" t="str">
        <x:v>self intro</x:v>
      </x:c>
      <x:c r="E178" s="31" t="str">
        <x:v>Tell me about yourself / walk me through your resume</x:v>
      </x:c>
      <x:c r="F178" s="31" t="str">
        <x:v>Resume &amp; Experience</x:v>
      </x:c>
      <x:c r="G178" s="30" t="str">
        <x:v>CL0001</x:v>
      </x:c>
      <x:c r="H178" s="32" t="n">
        <x:f>COUNTIF($G$5:$G$302,G178)</x:f>
        <x:v>141</x:v>
      </x:c>
      <x:c r="I178" s="30" t="str">
        <x:v>C5</x:v>
      </x:c>
      <x:c r="J178" s="31" t="str">
        <x:v>JPM spd Jasmine | Raymond Lau -ipo</x:v>
      </x:c>
    </x:row>
    <x:row r="179" ht="32" customHeight="1">
      <x:c r="A179" s="30" t="str">
        <x:v>QB1497</x:v>
      </x:c>
      <x:c r="B179" s="30" t="str">
        <x:v>JPM</x:v>
      </x:c>
      <x:c r="C179" s="30" t="str">
        <x:v>IBD / GCM</x:v>
      </x:c>
      <x:c r="D179" s="31" t="str">
        <x:v>self intro</x:v>
      </x:c>
      <x:c r="E179" s="31" t="str">
        <x:v>Tell me about yourself / walk me through your resume</x:v>
      </x:c>
      <x:c r="F179" s="31" t="str">
        <x:v>Resume &amp; Experience</x:v>
      </x:c>
      <x:c r="G179" s="30" t="str">
        <x:v>CL0001</x:v>
      </x:c>
      <x:c r="H179" s="32" t="n">
        <x:f>COUNTIF($G$5:$G$302,G179)</x:f>
        <x:v>141</x:v>
      </x:c>
      <x:c r="I179" s="30" t="str">
        <x:v>C18</x:v>
      </x:c>
      <x:c r="J179" s="31" t="str">
        <x:v>toughest time in life | am i still in touch with my host family | Shawn Jiang -ecm</x:v>
      </x:c>
    </x:row>
    <x:row r="180" ht="92" customHeight="1">
      <x:c r="A180" s="30" t="str">
        <x:v>QB1509</x:v>
      </x:c>
      <x:c r="B180" s="30" t="str">
        <x:v>JPM</x:v>
      </x:c>
      <x:c r="C180" s="30" t="str">
        <x:v>IBD / GCM</x:v>
      </x:c>
      <x:c r="D180" s="31" t="str">
        <x:v>self intro</x:v>
      </x:c>
      <x:c r="E180" s="31" t="str">
        <x:v>Tell me about yourself / walk me through your resume</x:v>
      </x:c>
      <x:c r="F180" s="31" t="str">
        <x:v>Resume &amp; Experience</x:v>
      </x:c>
      <x:c r="G180" s="30" t="str">
        <x:v>CL0001</x:v>
      </x:c>
      <x:c r="H180" s="32" t="n">
        <x:f>COUNTIF($G$5:$G$302,G180)</x:f>
        <x:v>141</x:v>
      </x:c>
      <x:c r="I180" s="30" t="str">
        <x:v>C26</x:v>
      </x:c>
      <x:c r="J180" s="31" t="str">
        <x:v>why is my top preference being m&amp;a and industry coverage | (i said cuz my past internships more related, and then he started telling me about why ecm is good for 10 minutes :o……….. and no more questions…….. and i asked some cliche questi...</x:v>
      </x:c>
    </x:row>
    <x:row r="181" ht="32" customHeight="1">
      <x:c r="A181" s="30" t="str">
        <x:v>QB1530</x:v>
      </x:c>
      <x:c r="B181" s="30" t="str">
        <x:v>Grant Samuel</x:v>
      </x:c>
      <x:c r="C181" s="30" t="str">
        <x:v>IBD / GCM</x:v>
      </x:c>
      <x:c r="D181" s="31" t="str">
        <x:v>What did you do in BNP?</x:v>
      </x:c>
      <x:c r="E181" s="31" t="str">
        <x:v>What did you do in BNP</x:v>
      </x:c>
      <x:c r="F181" s="31" t="str">
        <x:v>Resume &amp; Experience</x:v>
      </x:c>
      <x:c r="G181" s="30" t="str">
        <x:v>CL0026</x:v>
      </x:c>
      <x:c r="H181" s="32" t="n">
        <x:f>COUNTIF($G$5:$G$302,G181)</x:f>
        <x:v>3</x:v>
      </x:c>
      <x:c r="I181" s="30" t="str">
        <x:v>A5</x:v>
      </x:c>
      <x:c r="J181" s="31" t="str">
        <x:v>IBD First Round | Beata | Anthony So: Analyst (TMT)</x:v>
      </x:c>
    </x:row>
    <x:row r="182" ht="32" customHeight="1">
      <x:c r="A182" s="30" t="str">
        <x:v>QB1556</x:v>
      </x:c>
      <x:c r="B182" s="30" t="str">
        <x:v>Moelis</x:v>
      </x:c>
      <x:c r="C182" s="30" t="str">
        <x:v>IBD / GCM</x:v>
      </x:c>
      <x:c r="D182" s="31" t="str">
        <x:v>Self intro</x:v>
      </x:c>
      <x:c r="E182" s="31" t="str">
        <x:v>Tell me about yourself / walk me through your resume</x:v>
      </x:c>
      <x:c r="F182" s="31" t="str">
        <x:v>Resume &amp; Experience</x:v>
      </x:c>
      <x:c r="G182" s="30" t="str">
        <x:v>CL0001</x:v>
      </x:c>
      <x:c r="H182" s="32" t="n">
        <x:f>COUNTIF($G$5:$G$302,G182)</x:f>
        <x:v>141</x:v>
      </x:c>
      <x:c r="I182" s="30" t="str">
        <x:v>A3</x:v>
      </x:c>
      <x:c r="J182" s="31" t="str">
        <x:v>2025 IBD Summer | 1st interviewer Asso Chelsea</x:v>
      </x:c>
    </x:row>
    <x:row r="183" ht="32" customHeight="1">
      <x:c r="A183" s="30" t="str">
        <x:v>QB1557</x:v>
      </x:c>
      <x:c r="B183" s="30" t="str">
        <x:v>Moelis</x:v>
      </x:c>
      <x:c r="C183" s="30" t="str">
        <x:v>IBD / GCM</x:v>
      </x:c>
      <x:c r="D183" s="31" t="str">
        <x:v>How did you do DCF for the energy storage company in ur ER internship?</x:v>
      </x:c>
      <x:c r="E183" s="31" t="str">
        <x:v>How did you do DCF for the energy storage company in ur ER internship</x:v>
      </x:c>
      <x:c r="F183" s="31" t="str">
        <x:v>Resume &amp; Experience</x:v>
      </x:c>
      <x:c r="G183" s="30" t="str">
        <x:v>CL0382</x:v>
      </x:c>
      <x:c r="H183" s="32" t="n">
        <x:f>COUNTIF($G$5:$G$302,G183)</x:f>
        <x:v>1</x:v>
      </x:c>
      <x:c r="I183" s="30" t="str">
        <x:v>A4</x:v>
      </x:c>
      <x:c r="J183" s="31" t="str">
        <x:v>2025 IBD Summer | 1st interviewer Asso Chelsea | Self intro</x:v>
      </x:c>
    </x:row>
    <x:row r="184" ht="48" customHeight="1">
      <x:c r="A184" s="30" t="str">
        <x:v>QB1570</x:v>
      </x:c>
      <x:c r="B184" s="30" t="str">
        <x:v>Moelis</x:v>
      </x:c>
      <x:c r="C184" s="30" t="str">
        <x:v>IBD / GCM</x:v>
      </x:c>
      <x:c r="D184" s="31" t="str">
        <x:v>Self intro</x:v>
      </x:c>
      <x:c r="E184" s="31" t="str">
        <x:v>Tell me about yourself / walk me through your resume</x:v>
      </x:c>
      <x:c r="F184" s="31" t="str">
        <x:v>Resume &amp; Experience</x:v>
      </x:c>
      <x:c r="G184" s="30" t="str">
        <x:v>CL0001</x:v>
      </x:c>
      <x:c r="H184" s="32" t="n">
        <x:f>COUNTIF($G$5:$G$302,G184)</x:f>
        <x:v>141</x:v>
      </x:c>
      <x:c r="I184" s="30" t="str">
        <x:v>A18</x:v>
      </x:c>
      <x:c r="J184" s="31" t="str">
        <x:v>CAPEX $100 to buy PPE? | What are the factors that will affect the NPV of the company? | 2nd interviewer VP Sophia (Metal and mining M&amp;A)</x:v>
      </x:c>
    </x:row>
    <x:row r="185" ht="48" customHeight="1">
      <x:c r="A185" s="30" t="str">
        <x:v>QB1571</x:v>
      </x:c>
      <x:c r="B185" s="30" t="str">
        <x:v>Moelis</x:v>
      </x:c>
      <x:c r="C185" s="30" t="str">
        <x:v>IBD / GCM</x:v>
      </x:c>
      <x:c r="D185" s="31" t="str">
        <x:v>Tell me about CPS deal in UBS: responsibilities, investment highlight, DCF assumptions</x:v>
      </x:c>
      <x:c r="E185" s="31" t="str">
        <x:v>Discuss a recent deal completed by this firm</x:v>
      </x:c>
      <x:c r="F185" s="31" t="str">
        <x:v>Resume &amp; Experience</x:v>
      </x:c>
      <x:c r="G185" s="30" t="str">
        <x:v>CL0008</x:v>
      </x:c>
      <x:c r="H185" s="32" t="n">
        <x:f>COUNTIF($G$5:$G$302,G185)</x:f>
        <x:v>4</x:v>
      </x:c>
      <x:c r="I185" s="30" t="str">
        <x:v>A19</x:v>
      </x:c>
      <x:c r="J185" s="31" t="str">
        <x:v>What are the factors that will affect the NPV of the company? | 2nd interviewer VP Sophia (Metal and mining M&amp;A) | Self intro</x:v>
      </x:c>
    </x:row>
    <x:row r="186" ht="32" customHeight="1">
      <x:c r="A186" s="30" t="str">
        <x:v>QB1578</x:v>
      </x:c>
      <x:c r="B186" s="30" t="str">
        <x:v>Moelis</x:v>
      </x:c>
      <x:c r="C186" s="30" t="str">
        <x:v>IBD / GCM</x:v>
      </x:c>
      <x:c r="D186" s="31" t="str">
        <x:v>Self-introduction</x:v>
      </x:c>
      <x:c r="E186" s="31" t="str">
        <x:v>Tell me about yourself / walk me through your resume</x:v>
      </x:c>
      <x:c r="F186" s="31" t="str">
        <x:v>Resume &amp; Experience</x:v>
      </x:c>
      <x:c r="G186" s="30" t="str">
        <x:v>CL0001</x:v>
      </x:c>
      <x:c r="H186" s="32" t="n">
        <x:f>COUNTIF($G$5:$G$302,G186)</x:f>
        <x:v>141</x:v>
      </x:c>
      <x:c r="I186" s="30" t="str">
        <x:v>A27</x:v>
      </x:c>
      <x:c r="J186" s="31" t="str">
        <x:v>What is the IRR? (20%) | Beata (First Round) | Kevin Kee, Metal and mining, Associate</x:v>
      </x:c>
    </x:row>
    <x:row r="187" ht="32" customHeight="1">
      <x:c r="A187" s="30" t="str">
        <x:v>QB1579</x:v>
      </x:c>
      <x:c r="B187" s="30" t="str">
        <x:v>Moelis</x:v>
      </x:c>
      <x:c r="C187" s="30" t="str">
        <x:v>IBD / GCM</x:v>
      </x:c>
      <x:c r="D187" s="31" t="str">
        <x:v>Walk me through your resume</x:v>
      </x:c>
      <x:c r="E187" s="31" t="str">
        <x:v>Tell me about yourself / walk me through your resume</x:v>
      </x:c>
      <x:c r="F187" s="31" t="str">
        <x:v>Resume &amp; Experience</x:v>
      </x:c>
      <x:c r="G187" s="30" t="str">
        <x:v>CL0001</x:v>
      </x:c>
      <x:c r="H187" s="32" t="n">
        <x:f>COUNTIF($G$5:$G$302,G187)</x:f>
        <x:v>141</x:v>
      </x:c>
      <x:c r="I187" s="30" t="str">
        <x:v>C27</x:v>
      </x:c>
      <x:c r="J187" s="31" t="str">
        <x:v>Keven Li Liu - VP</x:v>
      </x:c>
    </x:row>
    <x:row r="188" ht="32" customHeight="1">
      <x:c r="A188" s="30" t="str">
        <x:v>QB1585</x:v>
      </x:c>
      <x:c r="B188" s="30" t="str">
        <x:v>Moelis</x:v>
      </x:c>
      <x:c r="C188" s="30" t="str">
        <x:v>IBD / GCM</x:v>
      </x:c>
      <x:c r="D188" s="31" t="str">
        <x:v>i. What did you do?</x:v>
      </x:c>
      <x:c r="E188" s="31" t="str">
        <x:v>I. What did you do</x:v>
      </x:c>
      <x:c r="F188" s="31" t="str">
        <x:v>Resume &amp; Experience</x:v>
      </x:c>
      <x:c r="G188" s="30" t="str">
        <x:v>CL0507</x:v>
      </x:c>
      <x:c r="H188" s="32" t="n">
        <x:f>COUNTIF($G$5:$G$302,G188)</x:f>
        <x:v>1</x:v>
      </x:c>
      <x:c r="I188" s="30" t="str">
        <x:v>A37</x:v>
      </x:c>
      <x:c r="J188" s="31" t="str">
        <x:v>Why Moelis? | BNP Paribas | l Restaurant chain pitch</x:v>
      </x:c>
    </x:row>
    <x:row r="189" ht="32" customHeight="1">
      <x:c r="A189" s="30" t="str">
        <x:v>QB1587</x:v>
      </x:c>
      <x:c r="B189" s="30" t="str">
        <x:v>Moelis</x:v>
      </x:c>
      <x:c r="C189" s="30" t="str">
        <x:v>IBD / GCM</x:v>
      </x:c>
      <x:c r="D189" s="31" t="str">
        <x:v>i. What did you do? Also walked through some industry trends</x:v>
      </x:c>
      <x:c r="E189" s="31" t="str">
        <x:v>I. What did you do? Also walked through some industry trends</x:v>
      </x:c>
      <x:c r="F189" s="31" t="str">
        <x:v>Resume &amp; Experience</x:v>
      </x:c>
      <x:c r="G189" s="30" t="str">
        <x:v>CL0508</x:v>
      </x:c>
      <x:c r="H189" s="32" t="n">
        <x:f>COUNTIF($G$5:$G$302,G189)</x:f>
        <x:v>1</x:v>
      </x:c>
      <x:c r="I189" s="30" t="str">
        <x:v>A41</x:v>
      </x:c>
      <x:c r="J189" s="31" t="str">
        <x:v>l Restaurant chain pitch | i. What did you do? | l EV pitch</x:v>
      </x:c>
    </x:row>
    <x:row r="190" ht="32" customHeight="1">
      <x:c r="A190" s="30" t="str">
        <x:v>QB1608</x:v>
      </x:c>
      <x:c r="B190" s="30" t="str">
        <x:v>Jefferies</x:v>
      </x:c>
      <x:c r="C190" s="30" t="str">
        <x:v>IBD / GCM</x:v>
      </x:c>
      <x:c r="D190" s="31" t="str">
        <x:v>Walk me through your resume</x:v>
      </x:c>
      <x:c r="E190" s="31" t="str">
        <x:v>Tell me about yourself / walk me through your resume</x:v>
      </x:c>
      <x:c r="F190" s="31" t="str">
        <x:v>Resume &amp; Experience</x:v>
      </x:c>
      <x:c r="G190" s="30" t="str">
        <x:v>CL0001</x:v>
      </x:c>
      <x:c r="H190" s="32" t="n">
        <x:f>COUNTIF($G$5:$G$302,G190)</x:f>
        <x:v>141</x:v>
      </x:c>
      <x:c r="I190" s="30" t="str">
        <x:v>A5</x:v>
      </x:c>
      <x:c r="J190" s="31" t="str">
        <x:v>IBD First Round | Beata | 1st Interviewer: Jim Chen, Private Capital Advisory</x:v>
      </x:c>
    </x:row>
    <x:row r="191" ht="32" customHeight="1">
      <x:c r="A191" s="30" t="str">
        <x:v>QB1609</x:v>
      </x:c>
      <x:c r="B191" s="30" t="str">
        <x:v>Jefferies</x:v>
      </x:c>
      <x:c r="C191" s="30" t="str">
        <x:v>IBD / GCM</x:v>
      </x:c>
      <x:c r="D191" s="31" t="str">
        <x:v>Self-introduction / walk me through your resume</x:v>
      </x:c>
      <x:c r="E191" s="31" t="str">
        <x:v>Tell me about yourself / walk me through your resume</x:v>
      </x:c>
      <x:c r="F191" s="31" t="str">
        <x:v>Resume &amp; Experience</x:v>
      </x:c>
      <x:c r="G191" s="30" t="str">
        <x:v>CL0001</x:v>
      </x:c>
      <x:c r="H191" s="32" t="n">
        <x:f>COUNTIF($G$5:$G$302,G191)</x:f>
        <x:v>141</x:v>
      </x:c>
      <x:c r="I191" s="30" t="str">
        <x:v>C5</x:v>
      </x:c>
      <x:c r="J191" s="31" t="str">
        <x:v>2nd Interviewer: Lori Li, Industrials</x:v>
      </x:c>
    </x:row>
    <x:row r="192" ht="32" customHeight="1">
      <x:c r="A192" s="30" t="str">
        <x:v>QB1611</x:v>
      </x:c>
      <x:c r="B192" s="30" t="str">
        <x:v>Jefferies</x:v>
      </x:c>
      <x:c r="C192" s="30" t="str">
        <x:v>IBD / GCM</x:v>
      </x:c>
      <x:c r="D192" s="31" t="str">
        <x:v>l You did an exchange in PKU?</x:v>
      </x:c>
      <x:c r="E192" s="31" t="str">
        <x:v>L You did an exchange in PKU</x:v>
      </x:c>
      <x:c r="F192" s="31" t="str">
        <x:v>Resume &amp; Experience</x:v>
      </x:c>
      <x:c r="G192" s="30" t="str">
        <x:v>CL0588</x:v>
      </x:c>
      <x:c r="H192" s="32" t="n">
        <x:f>COUNTIF($G$5:$G$302,G192)</x:f>
        <x:v>1</x:v>
      </x:c>
      <x:c r="I192" s="30" t="str">
        <x:v>C6</x:v>
      </x:c>
      <x:c r="J192" s="31" t="str">
        <x:v>2nd Interviewer: Lori Li, Industrials | Self-introduction / walk me through your resume</x:v>
      </x:c>
    </x:row>
    <x:row r="193" ht="48" customHeight="1">
      <x:c r="A193" s="30" t="str">
        <x:v>QB1617</x:v>
      </x:c>
      <x:c r="B193" s="30" t="str">
        <x:v>Jefferies</x:v>
      </x:c>
      <x:c r="C193" s="30" t="str">
        <x:v>IBD / GCM</x:v>
      </x:c>
      <x:c r="D193" s="31" t="str">
        <x:v>l What did you do in the deal?</x:v>
      </x:c>
      <x:c r="E193" s="31" t="str">
        <x:v>L What did you do in the deal</x:v>
      </x:c>
      <x:c r="F193" s="31" t="str">
        <x:v>Resume &amp; Experience</x:v>
      </x:c>
      <x:c r="G193" s="30" t="str">
        <x:v>CL0585</x:v>
      </x:c>
      <x:c r="H193" s="32" t="n">
        <x:f>COUNTIF($G$5:$G$302,G193)</x:f>
        <x:v>1</x:v>
      </x:c>
      <x:c r="I193" s="30" t="str">
        <x:v>C9</x:v>
      </x:c>
      <x:c r="J193" s="31" t="str">
        <x:v>l You did an exchange in PKU? | Why Jefferies? | M&amp;A deal involving an Indian pharma company acquiring a French counterpart</x:v>
      </x:c>
    </x:row>
    <x:row r="194" ht="48" customHeight="1">
      <x:c r="A194" s="30" t="str">
        <x:v>QB1623</x:v>
      </x:c>
      <x:c r="B194" s="30" t="str">
        <x:v>Jefferies</x:v>
      </x:c>
      <x:c r="C194" s="30" t="str">
        <x:v>IBD / GCM</x:v>
      </x:c>
      <x:c r="D194" s="31" t="str">
        <x:v>l (I said a pitch) What did you do (+ explanation)?</x:v>
      </x:c>
      <x:c r="E194" s="31" t="str">
        <x:v>L (I said a pitch) What did you do (+ explanation)</x:v>
      </x:c>
      <x:c r="F194" s="31" t="str">
        <x:v>Resume &amp; Experience</x:v>
      </x:c>
      <x:c r="G194" s="30" t="str">
        <x:v>CL0569</x:v>
      </x:c>
      <x:c r="H194" s="32" t="n">
        <x:f>COUNTIF($G$5:$G$302,G194)</x:f>
        <x:v>1</x:v>
      </x:c>
      <x:c r="I194" s="30" t="str">
        <x:v>C12</x:v>
      </x:c>
      <x:c r="J194" s="31" t="str">
        <x:v>l What did you do in the deal? | l Did you do any modelling? | Tell me a transaction that you were deeply involved</x:v>
      </x:c>
    </x:row>
    <x:row r="195" ht="48" customHeight="1">
      <x:c r="A195" s="30" t="str">
        <x:v>QB1652</x:v>
      </x:c>
      <x:c r="B195" s="30" t="str">
        <x:v>Jefferies</x:v>
      </x:c>
      <x:c r="C195" s="30" t="str">
        <x:v>IBD / GCM</x:v>
      </x:c>
      <x:c r="D195" s="31" t="str">
        <x:v>l Self-introduction</x:v>
      </x:c>
      <x:c r="E195" s="31" t="str">
        <x:v>Tell me about yourself / walk me through your resume</x:v>
      </x:c>
      <x:c r="F195" s="31" t="str">
        <x:v>Resume &amp; Experience</x:v>
      </x:c>
      <x:c r="G195" s="30" t="str">
        <x:v>CL0001</x:v>
      </x:c>
      <x:c r="H195" s="32" t="n">
        <x:f>COUNTIF($G$5:$G$302,G195)</x:f>
        <x:v>141</x:v>
      </x:c>
      <x:c r="I195" s="30" t="str">
        <x:v>A31</x:v>
      </x:c>
      <x:c r="J195" s="31" t="str">
        <x:v>IBD Superday | Beata | 1st Interviewer: Philip Li, Head of HK Investment Banking, Consumer Retail</x:v>
      </x:c>
    </x:row>
    <x:row r="196" ht="32" customHeight="1">
      <x:c r="A196" s="30" t="str">
        <x:v>QB1655</x:v>
      </x:c>
      <x:c r="B196" s="30" t="str">
        <x:v>Jefferies</x:v>
      </x:c>
      <x:c r="C196" s="30" t="str">
        <x:v>IBD / GCM</x:v>
      </x:c>
      <x:c r="D196" s="31" t="str">
        <x:v>l self introduction – doesn’t have my cv on hand</x:v>
      </x:c>
      <x:c r="E196" s="31" t="str">
        <x:v>Tell me about yourself / walk me through your resume</x:v>
      </x:c>
      <x:c r="F196" s="31" t="str">
        <x:v>Resume &amp; Experience</x:v>
      </x:c>
      <x:c r="G196" s="30" t="str">
        <x:v>CL0001</x:v>
      </x:c>
      <x:c r="H196" s="32" t="n">
        <x:f>COUNTIF($G$5:$G$302,G196)</x:f>
        <x:v>141</x:v>
      </x:c>
      <x:c r="I196" s="30" t="str">
        <x:v>G31</x:v>
      </x:c>
      <x:c r="J196" s="31" t="str">
        <x:v>Interviewer 4: Brian Chu, SVP Healthcare</x:v>
      </x:c>
    </x:row>
    <x:row r="197" ht="48" customHeight="1">
      <x:c r="A197" s="30" t="str">
        <x:v>QB1669</x:v>
      </x:c>
      <x:c r="B197" s="30" t="str">
        <x:v>Jefferies</x:v>
      </x:c>
      <x:c r="C197" s="30" t="str">
        <x:v>IBD / GCM</x:v>
      </x:c>
      <x:c r="D197" s="31" t="str">
        <x:v>l Any deal experience?</x:v>
      </x:c>
      <x:c r="E197" s="31" t="str">
        <x:v>L Any deal experience</x:v>
      </x:c>
      <x:c r="F197" s="31" t="str">
        <x:v>Resume &amp; Experience</x:v>
      </x:c>
      <x:c r="G197" s="30" t="str">
        <x:v>CL0570</x:v>
      </x:c>
      <x:c r="H197" s="32" t="n">
        <x:f>COUNTIF($G$5:$G$302,G197)</x:f>
        <x:v>1</x:v>
      </x:c>
      <x:c r="I197" s="30" t="str">
        <x:v>C41</x:v>
      </x:c>
      <x:c r="J197" s="31" t="str">
        <x:v>l Mandarin for the rest | l Share a work you’ve done in BNP | l He’s from TMT team so he’s interested in the OTA project as well</x:v>
      </x:c>
    </x:row>
    <x:row r="198" ht="92" customHeight="1">
      <x:c r="A198" s="30" t="str">
        <x:v>QB1741</x:v>
      </x:c>
      <x:c r="B198" s="30" t="str">
        <x:v>BNP Paribas</x:v>
      </x:c>
      <x:c r="C198" s="30" t="str">
        <x:v>IBD / GCM</x:v>
      </x:c>
      <x:c r="D198" s="31" t="str">
        <x:v>They are interested in my experience in the pharmaceutical industry, curious about my methodologies, and importantly, the logic must be sound.</x:v>
      </x:c>
      <x:c r="E198" s="31" t="str">
        <x:v>They are interested in my experience in the pharmaceutical industry, curious about my methodologies, and importantly, the logic must be sound</x:v>
      </x:c>
      <x:c r="F198" s="31" t="str">
        <x:v>Resume &amp; Experience</x:v>
      </x:c>
      <x:c r="G198" s="30" t="str">
        <x:v>CL0790</x:v>
      </x:c>
      <x:c r="H198" s="32" t="n">
        <x:f>COUNTIF($G$5:$G$302,G198)</x:f>
        <x:v>1</x:v>
      </x:c>
      <x:c r="I198" s="30" t="str">
        <x:v>C21</x:v>
      </x:c>
      <x:c r="J198" s="31" t="str">
        <x:v>Hong Kong Stock Exchange Listing Process | How exactly do you apply the comparable company valuation method (this could be in the technology industry, or it could be an industry you've worked in before)? | A rather rough comparison betwe...</x:v>
      </x:c>
    </x:row>
    <x:row r="199" ht="32" customHeight="1">
      <x:c r="A199" s="30" t="str">
        <x:v>QB1766</x:v>
      </x:c>
      <x:c r="B199" s="30" t="str">
        <x:v>BNP Paribas</x:v>
      </x:c>
      <x:c r="C199" s="30" t="str">
        <x:v>IBD / GCM</x:v>
      </x:c>
      <x:c r="D199" s="31" t="str">
        <x:v>Walk through of CV</x:v>
      </x:c>
      <x:c r="E199" s="31" t="str">
        <x:v>Walk through of CV</x:v>
      </x:c>
      <x:c r="F199" s="31" t="str">
        <x:v>Resume &amp; Experience</x:v>
      </x:c>
      <x:c r="G199" s="30" t="str">
        <x:v>CL0849</x:v>
      </x:c>
      <x:c r="H199" s="32" t="n">
        <x:f>COUNTIF($G$5:$G$302,G199)</x:f>
        <x:v>1</x:v>
      </x:c>
      <x:c r="I199" s="30" t="str">
        <x:v>A35</x:v>
      </x:c>
      <x:c r="J199" s="31" t="str">
        <x:v>Charles | Round 1 (VP + Asso) | VP - Nichole (English)</x:v>
      </x:c>
    </x:row>
    <x:row r="200" ht="68" customHeight="1">
      <x:c r="A200" s="30" t="str">
        <x:v>QB1767</x:v>
      </x:c>
      <x:c r="B200" s="30" t="str">
        <x:v>BNP Paribas</x:v>
      </x:c>
      <x:c r="C200" s="30" t="str">
        <x:v>IBD / GCM</x:v>
      </x:c>
      <x:c r="D200" s="31" t="str">
        <x:v>What did you do in the M&amp;A precedent transaction research? The purpose?</x:v>
      </x:c>
      <x:c r="E200" s="31" t="str">
        <x:v>What did you do in the M&amp;A precedent transaction research? The purpose</x:v>
      </x:c>
      <x:c r="F200" s="31" t="str">
        <x:v>Resume &amp; Experience</x:v>
      </x:c>
      <x:c r="G200" s="30" t="str">
        <x:v>CL0904</x:v>
      </x:c>
      <x:c r="H200" s="32" t="n">
        <x:f>COUNTIF($G$5:$G$302,G200)</x:f>
        <x:v>1</x:v>
      </x:c>
      <x:c r="I200" s="30" t="str">
        <x:v>C35</x:v>
      </x:c>
      <x:c r="J200" s="31" t="str">
        <x:v>My insights into the TMT industry and why I chose TMT (I originally worked primarily in pharmaceuticals). | The language is translated from Mandarin to English. | Asso (English + Mandarin)</x:v>
      </x:c>
    </x:row>
    <x:row r="201" ht="68" customHeight="1">
      <x:c r="A201" s="30" t="str">
        <x:v>QB1768</x:v>
      </x:c>
      <x:c r="B201" s="30" t="str">
        <x:v>BNP Paribas</x:v>
      </x:c>
      <x:c r="C201" s="30" t="str">
        <x:v>IBD / GCM</x:v>
      </x:c>
      <x:c r="D201" s="31" t="str">
        <x:v>Walk through experiences, show understanding of M&amp;A</x:v>
      </x:c>
      <x:c r="E201" s="31" t="str">
        <x:v>Walk through experiences, show understanding of M&amp;A</x:v>
      </x:c>
      <x:c r="F201" s="31" t="str">
        <x:v>Resume &amp; Experience</x:v>
      </x:c>
      <x:c r="G201" s="30" t="str">
        <x:v>CL0847</x:v>
      </x:c>
      <x:c r="H201" s="32" t="n">
        <x:f>COUNTIF($G$5:$G$302,G201)</x:f>
        <x:v>1</x:v>
      </x:c>
      <x:c r="I201" s="30" t="str">
        <x:v>E35</x:v>
      </x:c>
      <x:c r="J201" s="31" t="str">
        <x:v>In short, make sure you have a flagship project that you can talk about for 30 minutes straight, and that you know all the details. | Round 2 (D) | D - Calvin (English)</x:v>
      </x:c>
    </x:row>
    <x:row r="202" ht="32" customHeight="1">
      <x:c r="A202" s="30" t="str">
        <x:v>QB1769</x:v>
      </x:c>
      <x:c r="B202" s="30" t="str">
        <x:v>BNP Paribas</x:v>
      </x:c>
      <x:c r="C202" s="30" t="str">
        <x:v>IBD / GCM</x:v>
      </x:c>
      <x:c r="D202" s="31" t="str">
        <x:v>Detailed questions on lastest internship (start with "tell us what did you do...")</x:v>
      </x:c>
      <x:c r="E202" s="31" t="str">
        <x:v>Detailed questions on lastest internship (start with "tell us what did you do...")</x:v>
      </x:c>
      <x:c r="F202" s="31" t="str">
        <x:v>Resume &amp; Experience</x:v>
      </x:c>
      <x:c r="G202" s="30" t="str">
        <x:v>CL0233</x:v>
      </x:c>
      <x:c r="H202" s="32" t="n">
        <x:f>COUNTIF($G$5:$G$302,G202)</x:f>
        <x:v>1</x:v>
      </x:c>
      <x:c r="I202" s="30" t="str">
        <x:v>A36</x:v>
      </x:c>
      <x:c r="J202" s="31" t="str">
        <x:v>Round 1 (VP + Asso) | VP - Nichole (English) | Walk through of CV</x:v>
      </x:c>
    </x:row>
    <x:row r="203" ht="48" customHeight="1">
      <x:c r="A203" s="30" t="str">
        <x:v>QB1790</x:v>
      </x:c>
      <x:c r="B203" s="30" t="str">
        <x:v>BNP Paribas</x:v>
      </x:c>
      <x:c r="C203" s="30" t="str">
        <x:v>IBD / GCM</x:v>
      </x:c>
      <x:c r="D203" s="31" t="str">
        <x:v>Talk about previous internships, what have you learnt</x:v>
      </x:c>
      <x:c r="E203" s="31" t="str">
        <x:v>Talk about previous internships, what have you learnt</x:v>
      </x:c>
      <x:c r="F203" s="31" t="str">
        <x:v>Resume &amp; Experience</x:v>
      </x:c>
      <x:c r="G203" s="30" t="str">
        <x:v>CL0696</x:v>
      </x:c>
      <x:c r="H203" s="32" t="n">
        <x:f>COUNTIF($G$5:$G$302,G203)</x:f>
        <x:v>1</x:v>
      </x:c>
      <x:c r="I203" s="30" t="str">
        <x:v>C43</x:v>
      </x:c>
      <x:c r="J203" s="31" t="str">
        <x:v>Basic understanding of the documents (NDA, CIM) | How about buy-side, difference? | (Change to Mandarin)</x:v>
      </x:c>
    </x:row>
    <x:row r="204" ht="48" customHeight="1">
      <x:c r="A204" s="30" t="str">
        <x:v>QB1793</x:v>
      </x:c>
      <x:c r="B204" s="30" t="str">
        <x:v>BNP Paribas</x:v>
      </x:c>
      <x:c r="C204" s="30" t="str">
        <x:v>IBD / GCM</x:v>
      </x:c>
      <x:c r="D204" s="31" t="str">
        <x:v>Relationship between my internships (same company different offices)</x:v>
      </x:c>
      <x:c r="E204" s="31" t="str">
        <x:v>Relationship between my internships (same company different offices)</x:v>
      </x:c>
      <x:c r="F204" s="31" t="str">
        <x:v>Resume &amp; Experience</x:v>
      </x:c>
      <x:c r="G204" s="30" t="str">
        <x:v>CL0660</x:v>
      </x:c>
      <x:c r="H204" s="32" t="n">
        <x:f>COUNTIF($G$5:$G$302,G204)</x:f>
        <x:v>1</x:v>
      </x:c>
      <x:c r="I204" s="30" t="str">
        <x:v>C44</x:v>
      </x:c>
      <x:c r="J204" s="31" t="str">
        <x:v>How about buy-side, difference? | (Change to Mandarin) | Talk about previous internships, what have you learnt</x:v>
      </x:c>
    </x:row>
    <x:row r="205" ht="48" customHeight="1">
      <x:c r="A205" s="30" t="str">
        <x:v>QB1887</x:v>
      </x:c>
      <x:c r="B205" s="30" t="str">
        <x:v>Lazard</x:v>
      </x:c>
      <x:c r="C205" s="30" t="str">
        <x:v>IBD / GCM</x:v>
      </x:c>
      <x:c r="D205" s="31" t="str">
        <x:v>Self intro</x:v>
      </x:c>
      <x:c r="E205" s="31" t="str">
        <x:v>Tell me about yourself / walk me through your resume</x:v>
      </x:c>
      <x:c r="F205" s="31" t="str">
        <x:v>Resume &amp; Experience</x:v>
      </x:c>
      <x:c r="G205" s="30" t="str">
        <x:v>CL0001</x:v>
      </x:c>
      <x:c r="H205" s="32" t="n">
        <x:f>COUNTIF($G$5:$G$302,G205)</x:f>
        <x:v>141</x:v>
      </x:c>
      <x:c r="I205" s="30" t="str">
        <x:v>A3</x:v>
      </x:c>
      <x:c r="J205" s="31" t="str">
        <x:v>2025 offcycle Emily Final round interview (other rounds are basic accounting + deal based questions) | 1st interview</x:v>
      </x:c>
    </x:row>
    <x:row r="206" ht="48" customHeight="1">
      <x:c r="A206" s="30" t="str">
        <x:v>QB1888</x:v>
      </x:c>
      <x:c r="B206" s="30" t="str">
        <x:v>Lazard</x:v>
      </x:c>
      <x:c r="C206" s="30" t="str">
        <x:v>IBD / GCM</x:v>
      </x:c>
      <x:c r="D206" s="31" t="str">
        <x:v>Self introduction</x:v>
      </x:c>
      <x:c r="E206" s="31" t="str">
        <x:v>Tell me about yourself / walk me through your resume</x:v>
      </x:c>
      <x:c r="F206" s="31" t="str">
        <x:v>Resume &amp; Experience</x:v>
      </x:c>
      <x:c r="G206" s="30" t="str">
        <x:v>CL0001</x:v>
      </x:c>
      <x:c r="H206" s="32" t="n">
        <x:f>COUNTIF($G$5:$G$302,G206)</x:f>
        <x:v>141</x:v>
      </x:c>
      <x:c r="I206" s="30" t="str">
        <x:v>C3</x:v>
      </x:c>
      <x:c r="J206" s="31" t="str">
        <x:v>2025 H2 Off-cycle Kate Final Round (1st round was 2 analysts with basic 400q questions) | 1st Interview - Mengxin Liu (VP) in Chinese</x:v>
      </x:c>
    </x:row>
    <x:row r="207" ht="48" customHeight="1">
      <x:c r="A207" s="30" t="str">
        <x:v>QB1889</x:v>
      </x:c>
      <x:c r="B207" s="30" t="str">
        <x:v>Lazard</x:v>
      </x:c>
      <x:c r="C207" s="30" t="str">
        <x:v>IBD / GCM</x:v>
      </x:c>
      <x:c r="D207" s="31" t="str">
        <x:v>Major responsibilities in deal, company and industry overview</x:v>
      </x:c>
      <x:c r="E207" s="31" t="str">
        <x:v>Major responsibilities in deal, company and industry overview</x:v>
      </x:c>
      <x:c r="F207" s="31" t="str">
        <x:v>Resume &amp; Experience</x:v>
      </x:c>
      <x:c r="G207" s="30" t="str">
        <x:v>CL0037</x:v>
      </x:c>
      <x:c r="H207" s="32" t="n">
        <x:f>COUNTIF($G$5:$G$302,G207)</x:f>
        <x:v>2</x:v>
      </x:c>
      <x:c r="I207" s="30" t="str">
        <x:v>A4</x:v>
      </x:c>
      <x:c r="J207" s="31" t="str">
        <x:v>2025 offcycle Emily Final round interview (other rounds are basic accounting + deal based questions) | 1st interview | Self intro</x:v>
      </x:c>
    </x:row>
    <x:row r="208" ht="68" customHeight="1">
      <x:c r="A208" s="30" t="str">
        <x:v>QB1906</x:v>
      </x:c>
      <x:c r="B208" s="30" t="str">
        <x:v>Lazard</x:v>
      </x:c>
      <x:c r="C208" s="30" t="str">
        <x:v>IBD / GCM</x:v>
      </x:c>
      <x:c r="D208" s="31" t="str">
        <x:v>Self intro</x:v>
      </x:c>
      <x:c r="E208" s="31" t="str">
        <x:v>Tell me about yourself / walk me through your resume</x:v>
      </x:c>
      <x:c r="F208" s="31" t="str">
        <x:v>Resume &amp; Experience</x:v>
      </x:c>
      <x:c r="G208" s="30" t="str">
        <x:v>CL0001</x:v>
      </x:c>
      <x:c r="H208" s="32" t="n">
        <x:f>COUNTIF($G$5:$G$302,G208)</x:f>
        <x:v>141</x:v>
      </x:c>
      <x:c r="I208" s="30" t="str">
        <x:v>A13</x:v>
      </x:c>
      <x:c r="J208" s="31" t="str">
        <x:v>For private company, what equity value should we use when calculating its enterprise value / % of equity when calculating WACC? | Why we can use book value since book value differs a lot from market value? | 2nd interview</x:v>
      </x:c>
    </x:row>
    <x:row r="209" ht="48" customHeight="1">
      <x:c r="A209" s="30" t="str">
        <x:v>QB1908</x:v>
      </x:c>
      <x:c r="B209" s="30" t="str">
        <x:v>Lazard</x:v>
      </x:c>
      <x:c r="C209" s="30" t="str">
        <x:v>IBD / GCM</x:v>
      </x:c>
      <x:c r="D209" s="31" t="str">
        <x:v>Major responsibilities in deal, company and industry overview</x:v>
      </x:c>
      <x:c r="E209" s="31" t="str">
        <x:v>Major responsibilities in deal, company and industry overview</x:v>
      </x:c>
      <x:c r="F209" s="31" t="str">
        <x:v>Resume &amp; Experience</x:v>
      </x:c>
      <x:c r="G209" s="30" t="str">
        <x:v>CL0037</x:v>
      </x:c>
      <x:c r="H209" s="32" t="n">
        <x:f>COUNTIF($G$5:$G$302,G209)</x:f>
        <x:v>2</x:v>
      </x:c>
      <x:c r="I209" s="30" t="str">
        <x:v>A14</x:v>
      </x:c>
      <x:c r="J209" s="31" t="str">
        <x:v>Why we can use book value since book value differs a lot from market value? | 2nd interview | Self intro</x:v>
      </x:c>
    </x:row>
    <x:row r="210" ht="118" customHeight="1">
      <x:c r="A210" s="30" t="str">
        <x:v>QB1918</x:v>
      </x:c>
      <x:c r="B210" s="30" t="str">
        <x:v>Lazard</x:v>
      </x:c>
      <x:c r="C210" s="30" t="str">
        <x:v>IBD / GCM</x:v>
      </x:c>
      <x:c r="D210" s="31" t="str">
        <x:v>Self introduction</x:v>
      </x:c>
      <x:c r="E210" s="31" t="str">
        <x:v>Tell me about yourself / walk me through your resume</x:v>
      </x:c>
      <x:c r="F210" s="31" t="str">
        <x:v>Resume &amp; Experience</x:v>
      </x:c>
      <x:c r="G210" s="30" t="str">
        <x:v>CL0001</x:v>
      </x:c>
      <x:c r="H210" s="32" t="n">
        <x:f>COUNTIF($G$5:$G$302,G210)</x:f>
        <x:v>141</x:v>
      </x:c>
      <x:c r="I210" s="30" t="str">
        <x:v>C19</x:v>
      </x:c>
      <x:c r="J210" s="31" t="str">
        <x:v>What is the process of a buy-side M&amp;A, what would advisor do in each stage | If your client is a PE 100% exit, and you get 3 bids, how would you decide who to sign the SPA with? Anything to look at besides price? (I asked for her suggest...</x:v>
      </x:c>
    </x:row>
    <x:row r="211" ht="118" customHeight="1">
      <x:c r="A211" s="30" t="str">
        <x:v>QB1920</x:v>
      </x:c>
      <x:c r="B211" s="30" t="str">
        <x:v>Lazard</x:v>
      </x:c>
      <x:c r="C211" s="30" t="str">
        <x:v>IBD / GCM</x:v>
      </x:c>
      <x:c r="D211" s="31" t="str">
        <x:v>CV project - ask in detail abt a CIM on market / investment rationale / sale process walk through</x:v>
      </x:c>
      <x:c r="E211" s="31" t="str">
        <x:v>CV project - ask in detail abt a CIM on market / investment rationale / sale process walk through</x:v>
      </x:c>
      <x:c r="F211" s="31" t="str">
        <x:v>Resume &amp; Experience</x:v>
      </x:c>
      <x:c r="G211" s="30" t="str">
        <x:v>CL0213</x:v>
      </x:c>
      <x:c r="H211" s="32" t="n">
        <x:f>COUNTIF($G$5:$G$302,G211)</x:f>
        <x:v>1</x:v>
      </x:c>
      <x:c r="I211" s="30" t="str">
        <x:v>C20</x:v>
      </x:c>
      <x:c r="J211" s="31" t="str">
        <x:v>If your client is a PE 100% exit, and you get 3 bids, how would you decide who to sign the SPA with? Anything to look at besides price? (I asked for her suggested answer in the ask back, she mention Compliance - if the target is a US com...</x:v>
      </x:c>
    </x:row>
    <x:row r="212" ht="48" customHeight="1">
      <x:c r="A212" s="30" t="str">
        <x:v>QB1933</x:v>
      </x:c>
      <x:c r="B212" s="30" t="str">
        <x:v>Lazard</x:v>
      </x:c>
      <x:c r="C212" s="30" t="str">
        <x:v>IBD / GCM</x:v>
      </x:c>
      <x:c r="D212" s="31" t="str">
        <x:v>What did you do in BNP?</x:v>
      </x:c>
      <x:c r="E212" s="31" t="str">
        <x:v>What did you do in BNP</x:v>
      </x:c>
      <x:c r="F212" s="31" t="str">
        <x:v>Resume &amp; Experience</x:v>
      </x:c>
      <x:c r="G212" s="30" t="str">
        <x:v>CL0026</x:v>
      </x:c>
      <x:c r="H212" s="32" t="n">
        <x:f>COUNTIF($G$5:$G$302,G212)</x:f>
        <x:v>3</x:v>
      </x:c>
      <x:c r="I212" s="30" t="str">
        <x:v>A31</x:v>
      </x:c>
      <x:c r="J212" s="31" t="str">
        <x:v>2025 Summer - Beata | 1st Interview - Michael | (Aside from the self introduction part, it was conducted in full Mandarin)</x:v>
      </x:c>
    </x:row>
    <x:row r="213" ht="48" customHeight="1">
      <x:c r="A213" s="30" t="str">
        <x:v>QB1950</x:v>
      </x:c>
      <x:c r="B213" s="30" t="str">
        <x:v>Lazard</x:v>
      </x:c>
      <x:c r="C213" s="30" t="str">
        <x:v>IBD / GCM</x:v>
      </x:c>
      <x:c r="D213" s="31" t="str">
        <x:v>What did you do in BNP</x:v>
      </x:c>
      <x:c r="E213" s="31" t="str">
        <x:v>What did you do in BNP</x:v>
      </x:c>
      <x:c r="F213" s="31" t="str">
        <x:v>Resume &amp; Experience</x:v>
      </x:c>
      <x:c r="G213" s="30" t="str">
        <x:v>CL0026</x:v>
      </x:c>
      <x:c r="H213" s="32" t="n">
        <x:f>COUNTIF($G$5:$G$302,G213)</x:f>
        <x:v>3</x:v>
      </x:c>
      <x:c r="I213" s="30" t="str">
        <x:v>A50</x:v>
      </x:c>
      <x:c r="J213" s="31" t="str">
        <x:v>有一個公司今年會花100capex 這個公司對financial statement什麼影響 | 10 depreciation會對3FS有什麼影響 | 3rd Interview - Mengxin</x:v>
      </x:c>
    </x:row>
    <x:row r="214" ht="48" customHeight="1">
      <x:c r="A214" s="30" t="str">
        <x:v>QB1981</x:v>
      </x:c>
      <x:c r="B214" s="30" t="str">
        <x:v>Lazard</x:v>
      </x:c>
      <x:c r="C214" s="30" t="str">
        <x:v>IBD / GCM</x:v>
      </x:c>
      <x:c r="D214" s="31" t="str">
        <x:v>What's your role in BNP Parbias/ what did you do (like your role, no need to be in detail)</x:v>
      </x:c>
      <x:c r="E214" s="31" t="str">
        <x:v>What's your role in BNP Parbias/ what did you do (like your role, no need to be in detail)</x:v>
      </x:c>
      <x:c r="F214" s="31" t="str">
        <x:v>Resume &amp; Experience</x:v>
      </x:c>
      <x:c r="G214" s="30" t="str">
        <x:v>CL1067</x:v>
      </x:c>
      <x:c r="H214" s="32" t="n">
        <x:f>COUNTIF($G$5:$G$302,G214)</x:f>
        <x:v>1</x:v>
      </x:c>
      <x:c r="I214" s="30" t="str">
        <x:v>A84</x:v>
      </x:c>
      <x:c r="J214" s="31" t="str">
        <x:v>為什麼想做M&amp;A（相比其他products） | 6th Interview - CEO of Greater China | (Condcuted in full Mandarin)</x:v>
      </x:c>
    </x:row>
    <x:row r="215" ht="32" customHeight="1">
      <x:c r="A215" s="30" t="str">
        <x:v>QB2001</x:v>
      </x:c>
      <x:c r="B215" s="30" t="str">
        <x:v>Nomura</x:v>
      </x:c>
      <x:c r="C215" s="30" t="str">
        <x:v>IBD / GCM</x:v>
      </x:c>
      <x:c r="D215" s="31" t="str">
        <x:v>self intro</x:v>
      </x:c>
      <x:c r="E215" s="31" t="str">
        <x:v>Tell me about yourself / walk me through your resume</x:v>
      </x:c>
      <x:c r="F215" s="31" t="str">
        <x:v>Resume &amp; Experience</x:v>
      </x:c>
      <x:c r="G215" s="30" t="str">
        <x:v>CL0001</x:v>
      </x:c>
      <x:c r="H215" s="32" t="n">
        <x:f>COUNTIF($G$5:$G$302,G215)</x:f>
        <x:v>141</x:v>
      </x:c>
      <x:c r="I215" s="30" t="str">
        <x:v>A5</x:v>
      </x:c>
      <x:c r="J215" s="31" t="str">
        <x:v>First Round | Jasmine | nomura pi - first yr asso</x:v>
      </x:c>
    </x:row>
    <x:row r="216" ht="32" customHeight="1">
      <x:c r="A216" s="30" t="str">
        <x:v>QB2004</x:v>
      </x:c>
      <x:c r="B216" s="30" t="str">
        <x:v>Nomura</x:v>
      </x:c>
      <x:c r="C216" s="30" t="str">
        <x:v>IBD / GCM</x:v>
      </x:c>
      <x:c r="D216" s="31" t="str">
        <x:v>self intro</x:v>
      </x:c>
      <x:c r="E216" s="31" t="str">
        <x:v>Tell me about yourself / walk me through your resume</x:v>
      </x:c>
      <x:c r="F216" s="31" t="str">
        <x:v>Resume &amp; Experience</x:v>
      </x:c>
      <x:c r="G216" s="30" t="str">
        <x:v>CL0001</x:v>
      </x:c>
      <x:c r="H216" s="32" t="n">
        <x:f>COUNTIF($G$5:$G$302,G216)</x:f>
        <x:v>141</x:v>
      </x:c>
      <x:c r="I216" s="30" t="str">
        <x:v>C6</x:v>
      </x:c>
      <x:c r="J216" s="31" t="str">
        <x:v>17 Jasmine | nomura spd | leon li</x:v>
      </x:c>
    </x:row>
    <x:row r="217" ht="32" customHeight="1">
      <x:c r="A217" s="30" t="str">
        <x:v>QB2006</x:v>
      </x:c>
      <x:c r="B217" s="30" t="str">
        <x:v>Nomura</x:v>
      </x:c>
      <x:c r="C217" s="30" t="str">
        <x:v>IBD / GCM</x:v>
      </x:c>
      <x:c r="D217" s="31" t="str">
        <x:v>tell me about your experience in the US</x:v>
      </x:c>
      <x:c r="E217" s="31" t="str">
        <x:v>Tell me about your experience in the US</x:v>
      </x:c>
      <x:c r="F217" s="31" t="str">
        <x:v>Resume &amp; Experience</x:v>
      </x:c>
      <x:c r="G217" s="30" t="str">
        <x:v>CL0752</x:v>
      </x:c>
      <x:c r="H217" s="32" t="n">
        <x:f>COUNTIF($G$5:$G$302,G217)</x:f>
        <x:v>1</x:v>
      </x:c>
      <x:c r="I217" s="30" t="str">
        <x:v>C7</x:v>
      </x:c>
      <x:c r="J217" s="31" t="str">
        <x:v>nomura spd | leon li | self intro</x:v>
      </x:c>
    </x:row>
    <x:row r="218" ht="48" customHeight="1">
      <x:c r="A218" s="30" t="str">
        <x:v>QB2016</x:v>
      </x:c>
      <x:c r="B218" s="30" t="str">
        <x:v>Nomura</x:v>
      </x:c>
      <x:c r="C218" s="30" t="str">
        <x:v>IBD / GCM</x:v>
      </x:c>
      <x:c r="D218" s="31" t="str">
        <x:v>how did you secure the internships (i said cold email)</x:v>
      </x:c>
      <x:c r="E218" s="31" t="str">
        <x:v>How did you secure the internships (i said cold email)</x:v>
      </x:c>
      <x:c r="F218" s="31" t="str">
        <x:v>Resume &amp; Experience</x:v>
      </x:c>
      <x:c r="G218" s="30" t="str">
        <x:v>CL0393</x:v>
      </x:c>
      <x:c r="H218" s="32" t="n">
        <x:f>COUNTIF($G$5:$G$302,G218)</x:f>
        <x:v>1</x:v>
      </x:c>
      <x:c r="I218" s="30" t="str">
        <x:v>C12</x:v>
      </x:c>
      <x:c r="J218" s="31" t="str">
        <x:v>tell me about your first job - tech startup | have you thought about being an entrepreneur | is it common for people with your degree to pursue ibd</x:v>
      </x:c>
    </x:row>
    <x:row r="219" ht="48" customHeight="1">
      <x:c r="A219" s="30" t="str">
        <x:v>QB2023</x:v>
      </x:c>
      <x:c r="B219" s="30" t="str">
        <x:v>Nomura</x:v>
      </x:c>
      <x:c r="C219" s="30" t="str">
        <x:v>IBD / GCM</x:v>
      </x:c>
      <x:c r="D219" s="31" t="str">
        <x:v>tell me about your aibc experience, is it an ongoing conference</x:v>
      </x:c>
      <x:c r="E219" s="31" t="str">
        <x:v>Tell me about your aibc experience, is it an ongoing conference</x:v>
      </x:c>
      <x:c r="F219" s="31" t="str">
        <x:v>Resume &amp; Experience</x:v>
      </x:c>
      <x:c r="G219" s="30" t="str">
        <x:v>CL0750</x:v>
      </x:c>
      <x:c r="H219" s="32" t="n">
        <x:f>COUNTIF($G$5:$G$302,G219)</x:f>
        <x:v>1</x:v>
      </x:c>
      <x:c r="I219" s="30" t="str">
        <x:v>C16</x:v>
      </x:c>
      <x:c r="J219" s="31" t="str">
        <x:v>how many did u cold email and how many replied | experience in ibd and pe | how do you see yourself short-term and long-term in ibd and pe</x:v>
      </x:c>
    </x:row>
    <x:row r="220" ht="32" customHeight="1">
      <x:c r="A220" s="30" t="str">
        <x:v>QB2026</x:v>
      </x:c>
      <x:c r="B220" s="30" t="str">
        <x:v>Nomura</x:v>
      </x:c>
      <x:c r="C220" s="30" t="str">
        <x:v>IBD / GCM</x:v>
      </x:c>
      <x:c r="D220" s="31" t="str">
        <x:v>Self introduction</x:v>
      </x:c>
      <x:c r="E220" s="31" t="str">
        <x:v>Tell me about yourself / walk me through your resume</x:v>
      </x:c>
      <x:c r="F220" s="31" t="str">
        <x:v>Resume &amp; Experience</x:v>
      </x:c>
      <x:c r="G220" s="30" t="str">
        <x:v>CL0001</x:v>
      </x:c>
      <x:c r="H220" s="32" t="n">
        <x:f>COUNTIF($G$5:$G$302,G220)</x:f>
        <x:v>141</x:v>
      </x:c>
      <x:c r="I220" s="30" t="str">
        <x:v>A18</x:v>
      </x:c>
      <x:c r="J220" s="31" t="str">
        <x:v>a time when you face failure | any questions | Yvette</x:v>
      </x:c>
    </x:row>
    <x:row r="221" ht="32" customHeight="1">
      <x:c r="A221" s="30" t="str">
        <x:v>QB2039</x:v>
      </x:c>
      <x:c r="B221" s="30" t="str">
        <x:v>Nomura</x:v>
      </x:c>
      <x:c r="C221" s="30" t="str">
        <x:v>IBD / GCM</x:v>
      </x:c>
      <x:c r="D221" s="31" t="str">
        <x:v>self intro</x:v>
      </x:c>
      <x:c r="E221" s="31" t="str">
        <x:v>Tell me about yourself / walk me through your resume</x:v>
      </x:c>
      <x:c r="F221" s="31" t="str">
        <x:v>Resume &amp; Experience</x:v>
      </x:c>
      <x:c r="G221" s="30" t="str">
        <x:v>CL0001</x:v>
      </x:c>
      <x:c r="H221" s="32" t="n">
        <x:f>COUNTIF($G$5:$G$302,G221)</x:f>
        <x:v>141</x:v>
      </x:c>
      <x:c r="I221" s="30" t="str">
        <x:v>C25</x:v>
      </x:c>
      <x:c r="J221" s="31" t="str">
        <x:v>what do you know about nomura | any questions | pramath verma</x:v>
      </x:c>
    </x:row>
    <x:row r="222" ht="32" customHeight="1">
      <x:c r="A222" s="30" t="str">
        <x:v>QB2058</x:v>
      </x:c>
      <x:c r="B222" s="30" t="str">
        <x:v>Nomura</x:v>
      </x:c>
      <x:c r="C222" s="30" t="str">
        <x:v>IBD / GCM</x:v>
      </x:c>
      <x:c r="D222" s="31" t="str">
        <x:v>walk through resume</x:v>
      </x:c>
      <x:c r="E222" s="31" t="str">
        <x:v>Tell me about yourself / walk me through your resume</x:v>
      </x:c>
      <x:c r="F222" s="31" t="str">
        <x:v>Resume &amp; Experience</x:v>
      </x:c>
      <x:c r="G222" s="30" t="str">
        <x:v>CL0001</x:v>
      </x:c>
      <x:c r="H222" s="32" t="n">
        <x:f>COUNTIF($G$5:$G$302,G222)</x:f>
        <x:v>141</x:v>
      </x:c>
      <x:c r="I222" s="30" t="str">
        <x:v>A39</x:v>
      </x:c>
      <x:c r="J222" s="31" t="str">
        <x:v>2025 SA | Daisy 25/10 | with Benson from International Syndicated team</x:v>
      </x:c>
    </x:row>
    <x:row r="223" ht="32" customHeight="1">
      <x:c r="A223" s="30" t="str">
        <x:v>QB2059</x:v>
      </x:c>
      <x:c r="B223" s="30" t="str">
        <x:v>Nomura</x:v>
      </x:c>
      <x:c r="C223" s="30" t="str">
        <x:v>IBD / GCM</x:v>
      </x:c>
      <x:c r="D223" s="31" t="str">
        <x:v>Self-intro</x:v>
      </x:c>
      <x:c r="E223" s="31" t="str">
        <x:v>Tell me about yourself / walk me through your resume</x:v>
      </x:c>
      <x:c r="F223" s="31" t="str">
        <x:v>Resume &amp; Experience</x:v>
      </x:c>
      <x:c r="G223" s="30" t="str">
        <x:v>CL0001</x:v>
      </x:c>
      <x:c r="H223" s="32" t="n">
        <x:f>COUNTIF($G$5:$G$302,G223)</x:f>
        <x:v>141</x:v>
      </x:c>
      <x:c r="I223" s="30" t="str">
        <x:v>C39</x:v>
      </x:c>
      <x:c r="J223" s="31" t="str">
        <x:v>any questions | SPD | Kevin Ng--TMT ED</x:v>
      </x:c>
    </x:row>
    <x:row r="224" ht="32" customHeight="1">
      <x:c r="A224" s="30" t="str">
        <x:v>QB2060</x:v>
      </x:c>
      <x:c r="B224" s="30" t="str">
        <x:v>Nomura</x:v>
      </x:c>
      <x:c r="C224" s="30" t="str">
        <x:v>IBD / GCM</x:v>
      </x:c>
      <x:c r="D224" s="31" t="str">
        <x:v>(he asked me to elaborate a lot more almost cover every experience in details)</x:v>
      </x:c>
      <x:c r="E224" s="31" t="str">
        <x:v>(he asked me to elaborate a lot more almost cover every experience in details)</x:v>
      </x:c>
      <x:c r="F224" s="31" t="str">
        <x:v>Resume &amp; Experience</x:v>
      </x:c>
      <x:c r="G224" s="30" t="str">
        <x:v>CL0055</x:v>
      </x:c>
      <x:c r="H224" s="32" t="n">
        <x:f>COUNTIF($G$5:$G$302,G224)</x:f>
        <x:v>1</x:v>
      </x:c>
      <x:c r="I224" s="30" t="str">
        <x:v>A40</x:v>
      </x:c>
      <x:c r="J224" s="31" t="str">
        <x:v>Daisy 25/10 | with Benson from International Syndicated team | walk through resume</x:v>
      </x:c>
    </x:row>
    <x:row r="225" ht="48" customHeight="1">
      <x:c r="A225" s="30" t="str">
        <x:v>QB2072</x:v>
      </x:c>
      <x:c r="B225" s="30" t="str">
        <x:v>Nomura</x:v>
      </x:c>
      <x:c r="C225" s="30" t="str">
        <x:v>IBD / GCM</x:v>
      </x:c>
      <x:c r="D225" s="31" t="str">
        <x:v>Self-intro</x:v>
      </x:c>
      <x:c r="E225" s="31" t="str">
        <x:v>Tell me about yourself / walk me through your resume</x:v>
      </x:c>
      <x:c r="F225" s="31" t="str">
        <x:v>Resume &amp; Experience</x:v>
      </x:c>
      <x:c r="G225" s="30" t="str">
        <x:v>CL0001</x:v>
      </x:c>
      <x:c r="H225" s="32" t="n">
        <x:f>COUNTIF($G$5:$G$302,G225)</x:f>
        <x:v>141</x:v>
      </x:c>
      <x:c r="I225" s="30" t="str">
        <x:v>C46</x:v>
      </x:c>
      <x:c r="J225" s="31" t="str">
        <x:v>Baidu acquiring Sensetime deal walk through, do it make sense, why 5 yrs | What do you do in your spare time | Timothy Wong--Levfin vp</x:v>
      </x:c>
    </x:row>
    <x:row r="226" ht="32" customHeight="1">
      <x:c r="A226" s="30" t="str">
        <x:v>QB2074</x:v>
      </x:c>
      <x:c r="B226" s="30" t="str">
        <x:v>Nomura</x:v>
      </x:c>
      <x:c r="C226" s="30" t="str">
        <x:v>IBD / GCM</x:v>
      </x:c>
      <x:c r="D226" s="31" t="str">
        <x:v>What did you do at equity research internship</x:v>
      </x:c>
      <x:c r="E226" s="31" t="str">
        <x:v>What did you do at equity research internship</x:v>
      </x:c>
      <x:c r="F226" s="31" t="str">
        <x:v>Resume &amp; Experience</x:v>
      </x:c>
      <x:c r="G226" s="30" t="str">
        <x:v>CL0896</x:v>
      </x:c>
      <x:c r="H226" s="32" t="n">
        <x:f>COUNTIF($G$5:$G$302,G226)</x:f>
        <x:v>1</x:v>
      </x:c>
      <x:c r="I226" s="30" t="str">
        <x:v>C47</x:v>
      </x:c>
      <x:c r="J226" s="31" t="str">
        <x:v>What do you do in your spare time | Timothy Wong--Levfin vp | Self-intro</x:v>
      </x:c>
    </x:row>
    <x:row r="227" ht="48" customHeight="1">
      <x:c r="A227" s="30" t="str">
        <x:v>QB2082</x:v>
      </x:c>
      <x:c r="B227" s="30" t="str">
        <x:v>Nomura</x:v>
      </x:c>
      <x:c r="C227" s="30" t="str">
        <x:v>IBD / GCM</x:v>
      </x:c>
      <x:c r="D227" s="31" t="str">
        <x:v>Walk through the M&amp;A deal you did in your first internship</x:v>
      </x:c>
      <x:c r="E227" s="31" t="str">
        <x:v>Walk me through a deal you worked on</x:v>
      </x:c>
      <x:c r="F227" s="31" t="str">
        <x:v>Resume &amp; Experience</x:v>
      </x:c>
      <x:c r="G227" s="30" t="str">
        <x:v>CL0017</x:v>
      </x:c>
      <x:c r="H227" s="32" t="n">
        <x:f>COUNTIF($G$5:$G$302,G227)</x:f>
        <x:v>8</x:v>
      </x:c>
      <x:c r="I227" s="30" t="str">
        <x:v>C51</x:v>
      </x:c>
      <x:c r="J227" s="31" t="str">
        <x:v>How did u build the DCF model for BYD | Discuss tariff effect on Chinese EV makers blabla | Discuss Trump's presidency's effect on Chinese EV makers blabla</x:v>
      </x:c>
    </x:row>
    <x:row r="228" ht="92" customHeight="1">
      <x:c r="A228" s="30" t="str">
        <x:v>QB2090</x:v>
      </x:c>
      <x:c r="B228" s="30" t="str">
        <x:v>Nomura</x:v>
      </x:c>
      <x:c r="C228" s="30" t="str">
        <x:v>IBD / GCM</x:v>
      </x:c>
      <x:c r="D228" s="31" t="str">
        <x:v>Do you have experience doing comparable comps and precedant transaction analysis in your previous internship?</x:v>
      </x:c>
      <x:c r="E228" s="31" t="str">
        <x:v>Do you have experience doing comparable comps and precedant transaction analysis in your previous internship</x:v>
      </x:c>
      <x:c r="F228" s="31" t="str">
        <x:v>Resume &amp; Experience</x:v>
      </x:c>
      <x:c r="G228" s="30" t="str">
        <x:v>CL0272</x:v>
      </x:c>
      <x:c r="H228" s="32" t="n">
        <x:f>COUNTIF($G$5:$G$302,G228)</x:f>
        <x:v>1</x:v>
      </x:c>
      <x:c r="I228" s="30" t="str">
        <x:v>C60</x:v>
      </x:c>
      <x:c r="J228" s="31" t="str">
        <x:v>Case study--advising on a European engineering company specialized in the provision of soil studies, financial sponsor exit strategies, business model analysis, accounting, basic valuation, DCF | What's the difference between comparable ...</x:v>
      </x:c>
    </x:row>
    <x:row r="229" ht="68" customHeight="1">
      <x:c r="A229" s="30" t="str">
        <x:v>QB2121</x:v>
      </x:c>
      <x:c r="B229" s="30" t="str">
        <x:v>Nomura</x:v>
      </x:c>
      <x:c r="C229" s="30" t="str">
        <x:v>IBD / GCM</x:v>
      </x:c>
      <x:c r="D229" s="31" t="str">
        <x:v>Talk more about internships, projects you worked on in the last internship</x:v>
      </x:c>
      <x:c r="E229" s="31" t="str">
        <x:v>Talk more about internships, projects you worked on in the last internship</x:v>
      </x:c>
      <x:c r="F229" s="31" t="str">
        <x:v>Resume &amp; Experience</x:v>
      </x:c>
      <x:c r="G229" s="30" t="str">
        <x:v>CL0698</x:v>
      </x:c>
      <x:c r="H229" s="32" t="n">
        <x:f>COUNTIF($G$5:$G$302,G229)</x:f>
        <x:v>1</x:v>
      </x:c>
      <x:c r="I229" s="30" t="str">
        <x:v>A90</x:v>
      </x:c>
      <x:c r="J229" s="31" t="str">
        <x:v>No technicals super chill | (She did not open cam, but I recognized her from Women Who Lead) | Introduce yourself, past experience, why you want to join Nomura (I talked about the deal that she introduced us during the event)</x:v>
      </x:c>
    </x:row>
    <x:row r="230" ht="32" customHeight="1">
      <x:c r="A230" s="30" t="str">
        <x:v>QB2146</x:v>
      </x:c>
      <x:c r="B230" s="30" t="str">
        <x:v>Houlihan Lokey</x:v>
      </x:c>
      <x:c r="C230" s="30" t="str">
        <x:v>IBD / GCM</x:v>
      </x:c>
      <x:c r="D230" s="31" t="str">
        <x:v>Self intro</x:v>
      </x:c>
      <x:c r="E230" s="31" t="str">
        <x:v>Tell me about yourself / walk me through your resume</x:v>
      </x:c>
      <x:c r="F230" s="31" t="str">
        <x:v>Resume &amp; Experience</x:v>
      </x:c>
      <x:c r="G230" s="30" t="str">
        <x:v>CL0001</x:v>
      </x:c>
      <x:c r="H230" s="32" t="n">
        <x:f>COUNTIF($G$5:$G$302,G230)</x:f>
        <x:v>141</x:v>
      </x:c>
      <x:c r="I230" s="30" t="str">
        <x:v>B3</x:v>
      </x:c>
      <x:c r="J230" s="31" t="str">
        <x:v>2nd round</x:v>
      </x:c>
    </x:row>
    <x:row r="231" ht="32" customHeight="1">
      <x:c r="A231" s="30" t="str">
        <x:v>QB2147</x:v>
      </x:c>
      <x:c r="B231" s="30" t="str">
        <x:v>Houlihan Lokey</x:v>
      </x:c>
      <x:c r="C231" s="30" t="str">
        <x:v>IBD / GCM</x:v>
      </x:c>
      <x:c r="D231" s="31" t="str">
        <x:v>Self Intro</x:v>
      </x:c>
      <x:c r="E231" s="31" t="str">
        <x:v>Tell me about yourself / walk me through your resume</x:v>
      </x:c>
      <x:c r="F231" s="31" t="str">
        <x:v>Resume &amp; Experience</x:v>
      </x:c>
      <x:c r="G231" s="30" t="str">
        <x:v>CL0001</x:v>
      </x:c>
      <x:c r="H231" s="32" t="n">
        <x:f>COUNTIF($G$5:$G$302,G231)</x:f>
        <x:v>141</x:v>
      </x:c>
      <x:c r="I231" s="30" t="str">
        <x:v>A4</x:v>
      </x:c>
      <x:c r="J231" s="31" t="str">
        <x:v>2025 SA | 1st round (Emily) | (20 mins interview)</x:v>
      </x:c>
    </x:row>
    <x:row r="232" ht="32" customHeight="1">
      <x:c r="A232" s="30" t="str">
        <x:v>QB2148</x:v>
      </x:c>
      <x:c r="B232" s="30" t="str">
        <x:v>Houlihan Lokey</x:v>
      </x:c>
      <x:c r="C232" s="30" t="str">
        <x:v>IBD / GCM</x:v>
      </x:c>
      <x:c r="D232" s="31" t="str">
        <x:v>Talk about a deal you worked on</x:v>
      </x:c>
      <x:c r="E232" s="31" t="str">
        <x:v>Walk me through a deal you worked on</x:v>
      </x:c>
      <x:c r="F232" s="31" t="str">
        <x:v>Resume &amp; Experience</x:v>
      </x:c>
      <x:c r="G232" s="30" t="str">
        <x:v>CL0017</x:v>
      </x:c>
      <x:c r="H232" s="32" t="n">
        <x:f>COUNTIF($G$5:$G$302,G232)</x:f>
        <x:v>8</x:v>
      </x:c>
      <x:c r="I232" s="30" t="str">
        <x:v>B4</x:v>
      </x:c>
      <x:c r="J232" s="31" t="str">
        <x:v>2nd round | Self intro</x:v>
      </x:c>
    </x:row>
    <x:row r="233" ht="68" customHeight="1">
      <x:c r="A233" s="30" t="str">
        <x:v>QB2164</x:v>
      </x:c>
      <x:c r="B233" s="30" t="str">
        <x:v>Houlihan Lokey</x:v>
      </x:c>
      <x:c r="C233" s="30" t="str">
        <x:v>IBD / GCM</x:v>
      </x:c>
      <x:c r="D233" s="31" t="str">
        <x:v>Tell me something not on your resume, what do you do in your free time</x:v>
      </x:c>
      <x:c r="E233" s="31" t="str">
        <x:v>Tell me something not on your resume, what do you do in your free time</x:v>
      </x:c>
      <x:c r="F233" s="31" t="str">
        <x:v>Resume &amp; Experience</x:v>
      </x:c>
      <x:c r="G233" s="30" t="str">
        <x:v>CL0774</x:v>
      </x:c>
      <x:c r="H233" s="32" t="n">
        <x:f>COUNTIF($G$5:$G$302,G233)</x:f>
        <x:v>1</x:v>
      </x:c>
      <x:c r="I233" s="30" t="str">
        <x:v>A21</x:v>
      </x:c>
      <x:c r="J233" s="31" t="str">
        <x:v>Emily (40 mins interview + 10 mins Q&amp;A) | Self Intro, Why HL, Why restructuring | Very demanding work, can you handle it? How will you balance your hobbies and interests?</x:v>
      </x:c>
    </x:row>
    <x:row r="234" ht="68" customHeight="1">
      <x:c r="A234" s="30" t="str">
        <x:v>QB2165</x:v>
      </x:c>
      <x:c r="B234" s="30" t="str">
        <x:v>Houlihan Lokey</x:v>
      </x:c>
      <x:c r="C234" s="30" t="str">
        <x:v>IBD / GCM</x:v>
      </x:c>
      <x:c r="D234" s="31" t="str">
        <x:v>Tell me a company on your resume, and how do you evaluate the company</x:v>
      </x:c>
      <x:c r="E234" s="31" t="str">
        <x:v>Tell me a company on your resume, and how do you evaluate the company</x:v>
      </x:c>
      <x:c r="F234" s="31" t="str">
        <x:v>Resume &amp; Experience</x:v>
      </x:c>
      <x:c r="G234" s="30" t="str">
        <x:v>CL0703</x:v>
      </x:c>
      <x:c r="H234" s="32" t="n">
        <x:f>COUNTIF($G$5:$G$302,G234)</x:f>
        <x:v>1</x:v>
      </x:c>
      <x:c r="I234" s="30" t="str">
        <x:v>A22</x:v>
      </x:c>
      <x:c r="J234" s="31" t="str">
        <x:v>Self Intro, Why HL, Why restructuring | Very demanding work, can you handle it? How will you balance your hobbies and interests? | Tell me something not on your resume, what do you do in your free time</x:v>
      </x:c>
    </x:row>
    <x:row r="235" ht="68" customHeight="1">
      <x:c r="A235" s="30" t="str">
        <x:v>QB2226</x:v>
      </x:c>
      <x:c r="B235" s="30" t="str">
        <x:v>GS PWM</x:v>
      </x:c>
      <x:c r="C235" s="30" t="str">
        <x:v>PWM / AM</x:v>
      </x:c>
      <x:c r="D235" s="31" t="str">
        <x:v>All of the rounds begin with a quick self intro</x:v>
      </x:c>
      <x:c r="E235" s="31" t="str">
        <x:v>Tell me about yourself / walk me through your resume</x:v>
      </x:c>
      <x:c r="F235" s="31" t="str">
        <x:v>Resume &amp; Experience</x:v>
      </x:c>
      <x:c r="G235" s="30" t="str">
        <x:v>CL0001</x:v>
      </x:c>
      <x:c r="H235" s="32" t="n">
        <x:f>COUNTIF($G$5:$G$302,G235)</x:f>
        <x:v>141</x:v>
      </x:c>
      <x:c r="I235" s="30" t="str">
        <x:v>A31</x:v>
      </x:c>
      <x:c r="J235" s="31" t="str">
        <x:v>20min x 5 (Five round 1v1) | Each has EXACTLY 5 questions (typically 4 English + 1 Mandarin, but some interviewers ask most/all of the Qs in Mandarin) | All of the interviewers are front line sales (pwm advisors)</x:v>
      </x:c>
    </x:row>
    <x:row r="236" ht="68" customHeight="1">
      <x:c r="A236" s="30" t="str">
        <x:v>QB2255</x:v>
      </x:c>
      <x:c r="B236" s="30" t="str">
        <x:v>JPM PB</x:v>
      </x:c>
      <x:c r="C236" s="30" t="str">
        <x:v>PWM / AM</x:v>
      </x:c>
      <x:c r="D236" s="31" t="str">
        <x:v>You have lots of intern experience and how do you manage to do that?</x:v>
      </x:c>
      <x:c r="E236" s="31" t="str">
        <x:v>You have lots of intern experience and how do you manage to do that</x:v>
      </x:c>
      <x:c r="F236" s="31" t="str">
        <x:v>Resume &amp; Experience</x:v>
      </x:c>
      <x:c r="G236" s="30" t="str">
        <x:v>CL1202</x:v>
      </x:c>
      <x:c r="H236" s="32" t="n">
        <x:f>COUNTIF($G$5:$G$302,G236)</x:f>
        <x:v>1</x:v>
      </x:c>
      <x:c r="I236" s="30" t="str">
        <x:v>A9</x:v>
      </x:c>
      <x:c r="J236" s="31" t="str">
        <x:v>First: HK Team Advisor-Investor Helen Ng | Within the advisor, do you want to be banker or investor? | Maybe you have some misconceptions about them. Elaborate. Answer it again.</x:v>
      </x:c>
    </x:row>
    <x:row r="237" ht="68" customHeight="1">
      <x:c r="A237" s="30" t="str">
        <x:v>QB2257</x:v>
      </x:c>
      <x:c r="B237" s="30" t="str">
        <x:v>JPM PB</x:v>
      </x:c>
      <x:c r="C237" s="30" t="str">
        <x:v>PWM / AM</x:v>
      </x:c>
      <x:c r="D237" s="31" t="str">
        <x:v>Of all the internships you've done, which one do you like best?</x:v>
      </x:c>
      <x:c r="E237" s="31" t="str">
        <x:v>Of all the internships you've done, which one do you like best</x:v>
      </x:c>
      <x:c r="F237" s="31" t="str">
        <x:v>Resume &amp; Experience</x:v>
      </x:c>
      <x:c r="G237" s="30" t="str">
        <x:v>CL0624</x:v>
      </x:c>
      <x:c r="H237" s="32" t="n">
        <x:f>COUNTIF($G$5:$G$302,G237)</x:f>
        <x:v>1</x:v>
      </x:c>
      <x:c r="I237" s="30" t="str">
        <x:v>A10</x:v>
      </x:c>
      <x:c r="J237" s="31" t="str">
        <x:v>Within the advisor, do you want to be banker or investor? | Maybe you have some misconceptions about them. Elaborate. Answer it again. | You have lots of intern experience and how do you manage to do that?</x:v>
      </x:c>
    </x:row>
    <x:row r="238" ht="32" customHeight="1">
      <x:c r="A238" s="30" t="str">
        <x:v>QB2267</x:v>
      </x:c>
      <x:c r="B238" s="30" t="str">
        <x:v>JPM PB</x:v>
      </x:c>
      <x:c r="C238" s="30" t="str">
        <x:v>PWM / AM</x:v>
      </x:c>
      <x:c r="D238" s="31" t="str">
        <x:v>self intro</x:v>
      </x:c>
      <x:c r="E238" s="31" t="str">
        <x:v>Tell me about yourself / walk me through your resume</x:v>
      </x:c>
      <x:c r="F238" s="31" t="str">
        <x:v>Resume &amp; Experience</x:v>
      </x:c>
      <x:c r="G238" s="30" t="str">
        <x:v>CL0001</x:v>
      </x:c>
      <x:c r="H238" s="32" t="n">
        <x:f>COUNTIF($G$5:$G$302,G238)</x:f>
        <x:v>141</x:v>
      </x:c>
      <x:c r="I238" s="30" t="str">
        <x:v>A20</x:v>
      </x:c>
      <x:c r="J238" s="31" t="str">
        <x:v>Forget | 反问 | Second: TW Team Advisor-Single Coverage Ethan Lan</x:v>
      </x:c>
    </x:row>
    <x:row r="239" ht="48" customHeight="1">
      <x:c r="A239" s="30" t="str">
        <x:v>QB2293</x:v>
      </x:c>
      <x:c r="B239" s="30" t="str">
        <x:v>JPM AM</x:v>
      </x:c>
      <x:c r="C239" s="30" t="str">
        <x:v>PWM / AM</x:v>
      </x:c>
      <x:c r="D239" s="31" t="str">
        <x:v>Lots of CV-based questions but more on the project/leadership/voluntary related experiences but not internship ones.</x:v>
      </x:c>
      <x:c r="E239" s="31" t="str">
        <x:v>Lots of CV-based questions but more on the project/leadership/voluntary related experiences but not internship ones</x:v>
      </x:c>
      <x:c r="F239" s="31" t="str">
        <x:v>Resume &amp; Experience</x:v>
      </x:c>
      <x:c r="G239" s="30" t="str">
        <x:v>CL0593</x:v>
      </x:c>
      <x:c r="H239" s="32" t="n">
        <x:f>COUNTIF($G$5:$G$302,G239)</x:f>
        <x:v>1</x:v>
      </x:c>
      <x:c r="I239" s="30" t="str">
        <x:v>G7</x:v>
      </x:c>
      <x:c r="J239" s="31" t="str">
        <x:v>Pre-SPD in-person meeting | w/ a British White Guy from the Tele Implementation? | Just to know you a bit more.</x:v>
      </x:c>
    </x:row>
    <x:row r="240" ht="32" customHeight="1">
      <x:c r="A240" s="30" t="str">
        <x:v>QB2305</x:v>
      </x:c>
      <x:c r="B240" s="30" t="str">
        <x:v>JPM AM</x:v>
      </x:c>
      <x:c r="C240" s="30" t="str">
        <x:v>PWM / AM</x:v>
      </x:c>
      <x:c r="D240" s="31" t="str">
        <x:v>Quick self intro</x:v>
      </x:c>
      <x:c r="E240" s="31" t="str">
        <x:v>Tell me about yourself / walk me through your resume</x:v>
      </x:c>
      <x:c r="F240" s="31" t="str">
        <x:v>Resume &amp; Experience</x:v>
      </x:c>
      <x:c r="G240" s="30" t="str">
        <x:v>CL0001</x:v>
      </x:c>
      <x:c r="H240" s="32" t="n">
        <x:f>COUNTIF($G$5:$G$302,G240)</x:f>
        <x:v>141</x:v>
      </x:c>
      <x:c r="I240" s="30" t="str">
        <x:v>G14</x:v>
      </x:c>
      <x:c r="J240" s="31" t="str">
        <x:v>What roles are you interested within the JPMAM? | 反问 | w/ Natalie, from Product Strategy?</x:v>
      </x:c>
    </x:row>
    <x:row r="241" ht="32" customHeight="1">
      <x:c r="A241" s="30" t="str">
        <x:v>QB2307</x:v>
      </x:c>
      <x:c r="B241" s="30" t="str">
        <x:v>JPM AM</x:v>
      </x:c>
      <x:c r="C241" s="30" t="str">
        <x:v>PWM / AM</x:v>
      </x:c>
      <x:c r="D241" s="31" t="str">
        <x:v>Where did you attend your high school? And how did you learn your English?</x:v>
      </x:c>
      <x:c r="E241" s="31" t="str">
        <x:v>Where did you attend your high school? And how did you learn your English</x:v>
      </x:c>
      <x:c r="F241" s="31" t="str">
        <x:v>Resume &amp; Experience</x:v>
      </x:c>
      <x:c r="G241" s="30" t="str">
        <x:v>CL1084</x:v>
      </x:c>
      <x:c r="H241" s="32" t="n">
        <x:f>COUNTIF($G$5:$G$302,G241)</x:f>
        <x:v>1</x:v>
      </x:c>
      <x:c r="I241" s="30" t="str">
        <x:v>G15</x:v>
      </x:c>
      <x:c r="J241" s="31" t="str">
        <x:v>反问 | w/ Natalie, from Product Strategy? | Quick self intro</x:v>
      </x:c>
    </x:row>
    <x:row r="242" ht="48" customHeight="1">
      <x:c r="A242" s="30" t="str">
        <x:v>QB2314</x:v>
      </x:c>
      <x:c r="B242" s="30" t="str">
        <x:v>JPM AM</x:v>
      </x:c>
      <x:c r="C242" s="30" t="str">
        <x:v>PWM / AM</x:v>
      </x:c>
      <x:c r="D242" s="31" t="str">
        <x:v>I've seen lots of experiences within Chinese banks. What are the points that you like and dislike about them?</x:v>
      </x:c>
      <x:c r="E242" s="31" t="str">
        <x:v>I've seen lots of experiences within Chinese banks. What are the points that you like and dislike about them</x:v>
      </x:c>
      <x:c r="F242" s="31" t="str">
        <x:v>Resume &amp; Experience</x:v>
      </x:c>
      <x:c r="G242" s="30" t="str">
        <x:v>CL0510</x:v>
      </x:c>
      <x:c r="H242" s="32" t="n">
        <x:f>COUNTIF($G$5:$G$302,G242)</x:f>
        <x:v>1</x:v>
      </x:c>
      <x:c r="I242" s="30" t="str">
        <x:v>G19</x:v>
      </x:c>
      <x:c r="J242" s="31" t="str">
        <x:v>What motivates you to be here today? (Why JPM?) | What roles are you interested within the JPMAM? | Share a piece of feedback that you've received before.</x:v>
      </x:c>
    </x:row>
    <x:row r="243" ht="32" customHeight="1">
      <x:c r="A243" s="30" t="str">
        <x:v>QB2323</x:v>
      </x:c>
      <x:c r="B243" s="30" t="str">
        <x:v>JPM AM</x:v>
      </x:c>
      <x:c r="C243" s="30" t="str">
        <x:v>PWM / AM</x:v>
      </x:c>
      <x:c r="D243" s="31" t="str">
        <x:v>Self intro</x:v>
      </x:c>
      <x:c r="E243" s="31" t="str">
        <x:v>Tell me about yourself / walk me through your resume</x:v>
      </x:c>
      <x:c r="F243" s="31" t="str">
        <x:v>Resume &amp; Experience</x:v>
      </x:c>
      <x:c r="G243" s="30" t="str">
        <x:v>CL0001</x:v>
      </x:c>
      <x:c r="H243" s="32" t="n">
        <x:f>COUNTIF($G$5:$G$302,G243)</x:f>
        <x:v>141</x:v>
      </x:c>
      <x:c r="I243" s="30" t="str">
        <x:v>G25</x:v>
      </x:c>
      <x:c r="J243" s="31" t="str">
        <x:v>反问 | SPD one-on-one | w/ Jacky Cheung in Product Strategy Team</x:v>
      </x:c>
    </x:row>
    <x:row r="244" ht="68" customHeight="1">
      <x:c r="A244" s="30" t="str">
        <x:v>QB2330</x:v>
      </x:c>
      <x:c r="B244" s="30" t="str">
        <x:v>JPM AM</x:v>
      </x:c>
      <x:c r="C244" s="30" t="str">
        <x:v>PWM / AM</x:v>
      </x:c>
      <x:c r="D244" s="31" t="str">
        <x:v>Do you prefer to work in teams or work independently? And give me an example of having the contrast experiences.</x:v>
      </x:c>
      <x:c r="E244" s="31" t="str">
        <x:v>Do you prefer to work in teams or work independently? And give me an example of having the contrast experiences</x:v>
      </x:c>
      <x:c r="F244" s="31" t="str">
        <x:v>Resume &amp; Experience</x:v>
      </x:c>
      <x:c r="G244" s="30" t="str">
        <x:v>CL0287</x:v>
      </x:c>
      <x:c r="H244" s="32" t="n">
        <x:f>COUNTIF($G$5:$G$302,G244)</x:f>
        <x:v>1</x:v>
      </x:c>
      <x:c r="I244" s="30" t="str">
        <x:v>G30</x:v>
      </x:c>
      <x:c r="J244" s="31" t="str">
        <x:v>Describe a time when you are working in a team and have conflicts with others. How do you handle that? | Do you have any preference between client roles and investment roles? | Integrity is very important. Give me an example of doing the...</x:v>
      </x:c>
    </x:row>
    <x:row r="245" ht="68" customHeight="1">
      <x:c r="A245" s="30" t="str">
        <x:v>QB2366</x:v>
      </x:c>
      <x:c r="B245" s="30" t="str">
        <x:v>HSBC PB</x:v>
      </x:c>
      <x:c r="C245" s="30" t="str">
        <x:v>PWM / AM</x:v>
      </x:c>
      <x:c r="D245" s="31" t="str">
        <x:v>Sometimes PB interviews seem simple, but you need to incorporate client-facing experience into your answers to make them more relevant.</x:v>
      </x:c>
      <x:c r="E245" s="31" t="str">
        <x:v>Sometimes PB interviews seem simple, but you need to incorporate client-facing experience into your answers to make them more relevant</x:v>
      </x:c>
      <x:c r="F245" s="31" t="str">
        <x:v>Resume &amp; Experience</x:v>
      </x:c>
      <x:c r="G245" s="30" t="str">
        <x:v>CL0689</x:v>
      </x:c>
      <x:c r="H245" s="32" t="n">
        <x:f>COUNTIF($G$5:$G$302,G245)</x:f>
        <x:v>1</x:v>
      </x:c>
      <x:c r="I245" s="30" t="str">
        <x:v>A15</x:v>
      </x:c>
      <x:c r="J245" s="31" t="str">
        <x:v>如何进入过去的某个实习公司（我的是Bain） | 在Bain做了啥 | It's also recommended to prepare for PB client demand trends, situational questions, and some investment assessment technical knowledge.</x:v>
      </x:c>
    </x:row>
    <x:row r="246" ht="32" customHeight="1">
      <x:c r="A246" s="30" t="str">
        <x:v>QB2374</x:v>
      </x:c>
      <x:c r="B246" s="30" t="str">
        <x:v>BlackRock</x:v>
      </x:c>
      <x:c r="C246" s="30" t="str">
        <x:v>PWM / AM</x:v>
      </x:c>
      <x:c r="D246" s="31" t="str">
        <x:v>Self Introduction</x:v>
      </x:c>
      <x:c r="E246" s="31" t="str">
        <x:v>Tell me about yourself / walk me through your resume</x:v>
      </x:c>
      <x:c r="F246" s="31" t="str">
        <x:v>Resume &amp; Experience</x:v>
      </x:c>
      <x:c r="G246" s="30" t="str">
        <x:v>CL0001</x:v>
      </x:c>
      <x:c r="H246" s="32" t="n">
        <x:f>COUNTIF($G$5:$G$302,G246)</x:f>
        <x:v>141</x:v>
      </x:c>
      <x:c r="I246" s="30" t="str">
        <x:v>A6</x:v>
      </x:c>
      <x:c r="J246" s="31" t="str">
        <x:v>First Interviewer | Beata | Peng Chau (PB)</x:v>
      </x:c>
    </x:row>
    <x:row r="247" ht="32" customHeight="1">
      <x:c r="A247" s="30" t="str">
        <x:v>QB2375</x:v>
      </x:c>
      <x:c r="B247" s="30" t="str">
        <x:v>BlackRock</x:v>
      </x:c>
      <x:c r="C247" s="30" t="str">
        <x:v>PWM / AM</x:v>
      </x:c>
      <x:c r="D247" s="31" t="str">
        <x:v>Self introduction</x:v>
      </x:c>
      <x:c r="E247" s="31" t="str">
        <x:v>Tell me about yourself / walk me through your resume</x:v>
      </x:c>
      <x:c r="F247" s="31" t="str">
        <x:v>Resume &amp; Experience</x:v>
      </x:c>
      <x:c r="G247" s="30" t="str">
        <x:v>CL0001</x:v>
      </x:c>
      <x:c r="H247" s="32" t="n">
        <x:f>COUNTIF($G$5:$G$302,G247)</x:f>
        <x:v>141</x:v>
      </x:c>
      <x:c r="I247" s="30" t="str">
        <x:v>C6</x:v>
      </x:c>
      <x:c r="J247" s="31" t="str">
        <x:v>Second Interviewer | Kristy Chan (Institutional)</x:v>
      </x:c>
    </x:row>
    <x:row r="248" ht="48" customHeight="1">
      <x:c r="A248" s="30" t="str">
        <x:v>QB2376</x:v>
      </x:c>
      <x:c r="B248" s="30" t="str">
        <x:v>BlackRock</x:v>
      </x:c>
      <x:c r="C248" s="30" t="str">
        <x:v>PWM / AM</x:v>
      </x:c>
      <x:c r="D248" s="31" t="str">
        <x:v>You're majoring in AMPB, what things that you learnt from your program do you think can be brought to your internship here?</x:v>
      </x:c>
      <x:c r="E248" s="31" t="str">
        <x:v>You're majoring in AMPB, what things that you learnt from your program do you think can be brought to your internship here</x:v>
      </x:c>
      <x:c r="F248" s="31" t="str">
        <x:v>Resume &amp; Experience</x:v>
      </x:c>
      <x:c r="G248" s="30" t="str">
        <x:v>CL1211</x:v>
      </x:c>
      <x:c r="H248" s="32" t="n">
        <x:f>COUNTIF($G$5:$G$302,G248)</x:f>
        <x:v>1</x:v>
      </x:c>
      <x:c r="I248" s="30" t="str">
        <x:v>A7</x:v>
      </x:c>
      <x:c r="J248" s="31" t="str">
        <x:v>Beata | Peng Chau (PB) | Self Introduction</x:v>
      </x:c>
    </x:row>
    <x:row r="249" ht="92" customHeight="1">
      <x:c r="A249" s="30" t="str">
        <x:v>QB2384</x:v>
      </x:c>
      <x:c r="B249" s="30" t="str">
        <x:v>BlackRock</x:v>
      </x:c>
      <x:c r="C249" s="30" t="str">
        <x:v>PWM / AM</x:v>
      </x:c>
      <x:c r="D249" s="31" t="str">
        <x:v>CV question - tell me project you did at Bain &amp; Company (not very deep)</x:v>
      </x:c>
      <x:c r="E249" s="31" t="str">
        <x:v>CV question - tell me project you did at Bain &amp; Company (not very deep)</x:v>
      </x:c>
      <x:c r="F249" s="31" t="str">
        <x:v>Resume &amp; Experience</x:v>
      </x:c>
      <x:c r="G249" s="30" t="str">
        <x:v>CL0215</x:v>
      </x:c>
      <x:c r="H249" s="32" t="n">
        <x:f>COUNTIF($G$5:$G$302,G249)</x:f>
        <x:v>1</x:v>
      </x:c>
      <x:c r="I249" s="30" t="str">
        <x:v>A11</x:v>
      </x:c>
      <x:c r="J249" s="31" t="str">
        <x:v>Continuing the last question, do you know how to use Bloomberg? | workplace scenario: you're currently working on one task, your manager asks you to help another, what will you do? | CV question - tell me more about your work at ING Bank...</x:v>
      </x:c>
    </x:row>
    <x:row r="250" ht="92" customHeight="1">
      <x:c r="A250" s="30" t="str">
        <x:v>QB2386</x:v>
      </x:c>
      <x:c r="B250" s="30" t="str">
        <x:v>BlackRock</x:v>
      </x:c>
      <x:c r="C250" s="30" t="str">
        <x:v>PWM / AM</x:v>
      </x:c>
      <x:c r="D250" s="31" t="str">
        <x:v>is there a time when your approach to a task was not ok, and what did you do</x:v>
      </x:c>
      <x:c r="E250" s="31" t="str">
        <x:v>Is there a time when your approach to a task was not ok, and what did you do</x:v>
      </x:c>
      <x:c r="F250" s="31" t="str">
        <x:v>Resume &amp; Experience</x:v>
      </x:c>
      <x:c r="G250" s="30" t="str">
        <x:v>CL0560</x:v>
      </x:c>
      <x:c r="H250" s="32" t="n">
        <x:f>COUNTIF($G$5:$G$302,G250)</x:f>
        <x:v>1</x:v>
      </x:c>
      <x:c r="I250" s="30" t="str">
        <x:v>A12</x:v>
      </x:c>
      <x:c r="J250" s="31" t="str">
        <x:v>workplace scenario: you're currently working on one task, your manager asks you to help another, what will you do? | CV question - tell me more about your work at ING Bank on the pitchbook (cantonese) | CV question - tell me project you ...</x:v>
      </x:c>
    </x:row>
    <x:row r="251" ht="48" customHeight="1">
      <x:c r="A251" s="30" t="str">
        <x:v>QB2393</x:v>
      </x:c>
      <x:c r="B251" s="30" t="str">
        <x:v>BlackRock</x:v>
      </x:c>
      <x:c r="C251" s="30" t="str">
        <x:v>PWM / AM</x:v>
      </x:c>
      <x:c r="D251" s="31" t="str">
        <x:v>also asked me about a case competition experience on my cv</x:v>
      </x:c>
      <x:c r="E251" s="31" t="str">
        <x:v>Also asked me about a case competition experience on my cv</x:v>
      </x:c>
      <x:c r="F251" s="31" t="str">
        <x:v>Resume &amp; Experience</x:v>
      </x:c>
      <x:c r="G251" s="30" t="str">
        <x:v>CL0107</x:v>
      </x:c>
      <x:c r="H251" s="32" t="n">
        <x:f>COUNTIF($G$5:$G$302,G251)</x:f>
        <x:v>1</x:v>
      </x:c>
      <x:c r="I251" s="30" t="str">
        <x:v>A17</x:v>
      </x:c>
      <x:c r="J251" s="31" t="str">
        <x:v>active fund vs passive fund | any questions for me? | (she asked a question in mandarin as well, but i dont remember what that was lmao)</x:v>
      </x:c>
    </x:row>
    <x:row r="252" ht="32" customHeight="1">
      <x:c r="A252" s="30" t="str">
        <x:v>QB2400</x:v>
      </x:c>
      <x:c r="B252" s="30" t="str">
        <x:v>BlackRock</x:v>
      </x:c>
      <x:c r="C252" s="30" t="str">
        <x:v>PWM / AM</x:v>
      </x:c>
      <x:c r="D252" s="31" t="str">
        <x:v>Introduce yourself</x:v>
      </x:c>
      <x:c r="E252" s="31" t="str">
        <x:v>Tell me about yourself / walk me through your resume</x:v>
      </x:c>
      <x:c r="F252" s="31" t="str">
        <x:v>Resume &amp; Experience</x:v>
      </x:c>
      <x:c r="G252" s="30" t="str">
        <x:v>CL0001</x:v>
      </x:c>
      <x:c r="H252" s="32" t="n">
        <x:f>COUNTIF($G$5:$G$302,G252)</x:f>
        <x:v>141</x:v>
      </x:c>
      <x:c r="I252" s="30" t="str">
        <x:v>A28</x:v>
      </x:c>
      <x:c r="J252" s="31" t="str">
        <x:v>2025 SA | Fundamental Equities | Round 1 (interviewer 1)</x:v>
      </x:c>
    </x:row>
    <x:row r="253" ht="48" customHeight="1">
      <x:c r="A253" s="30" t="str">
        <x:v>QB2406</x:v>
      </x:c>
      <x:c r="B253" s="30" t="str">
        <x:v>BlackRock</x:v>
      </x:c>
      <x:c r="C253" s="30" t="str">
        <x:v>PWM / AM</x:v>
      </x:c>
      <x:c r="D253" s="31" t="str">
        <x:v>introduce yourself</x:v>
      </x:c>
      <x:c r="E253" s="31" t="str">
        <x:v>Tell me about yourself / walk me through your resume</x:v>
      </x:c>
      <x:c r="F253" s="31" t="str">
        <x:v>Resume &amp; Experience</x:v>
      </x:c>
      <x:c r="G253" s="30" t="str">
        <x:v>CL0001</x:v>
      </x:c>
      <x:c r="H253" s="32" t="n">
        <x:f>COUNTIF($G$5:$G$302,G253)</x:f>
        <x:v>141</x:v>
      </x:c>
      <x:c r="I253" s="30" t="str">
        <x:v>A35</x:v>
      </x:c>
      <x:c r="J253" s="31" t="str">
        <x:v>asset allocation question | tell me a time about when u took a risk without knowing the outcome | Round 1 (Interviewer 2)</x:v>
      </x:c>
    </x:row>
    <x:row r="254" ht="32" customHeight="1">
      <x:c r="A254" s="30" t="str">
        <x:v>QB2431</x:v>
      </x:c>
      <x:c r="B254" s="30" t="str">
        <x:v>Mckinsey</x:v>
      </x:c>
      <x:c r="C254" s="30" t="str">
        <x:v>Consulting</x:v>
      </x:c>
      <x:c r="D254" s="31" t="str">
        <x:v>Give me an broad overview of ur cv</x:v>
      </x:c>
      <x:c r="E254" s="31" t="str">
        <x:v>Tell me about yourself / walk me through your resume</x:v>
      </x:c>
      <x:c r="F254" s="31" t="str">
        <x:v>Resume &amp; Experience</x:v>
      </x:c>
      <x:c r="G254" s="30" t="str">
        <x:v>CL0001</x:v>
      </x:c>
      <x:c r="H254" s="32" t="n">
        <x:f>COUNTIF($G$5:$G$302,G254)</x:f>
        <x:v>141</x:v>
      </x:c>
      <x:c r="I254" s="30" t="str">
        <x:v>A5</x:v>
      </x:c>
      <x:c r="J254" s="31" t="str">
        <x:v>Regan | Mckinsey hr screening interview | Tell me about yourself</x:v>
      </x:c>
    </x:row>
    <x:row r="255" ht="68" customHeight="1">
      <x:c r="A255" s="30" t="str">
        <x:v>QB2434</x:v>
      </x:c>
      <x:c r="B255" s="30" t="str">
        <x:v>Mckinsey</x:v>
      </x:c>
      <x:c r="C255" s="30" t="str">
        <x:v>Consulting</x:v>
      </x:c>
      <x:c r="D255" s="31" t="str">
        <x:v>Tell me about a time u worked in a team. Did u face any challenges? what was teamwork dynamic? What was number of people in the team? what backgrounds are they from?</x:v>
      </x:c>
      <x:c r="E255" s="31" t="str">
        <x:v>Tell me about a challenge, setback, or failure</x:v>
      </x:c>
      <x:c r="F255" s="31" t="str">
        <x:v>Resume &amp; Experience</x:v>
      </x:c>
      <x:c r="G255" s="30" t="str">
        <x:v>CL0007</x:v>
      </x:c>
      <x:c r="H255" s="32" t="n">
        <x:f>COUNTIF($G$5:$G$302,G255)</x:f>
        <x:v>2</x:v>
      </x:c>
      <x:c r="I255" s="30" t="str">
        <x:v>A8</x:v>
      </x:c>
      <x:c r="J255" s="31" t="str">
        <x:v>Give me an broad overview of ur cv | Why consulting not IBD | Other than “people personality” why consulting</x:v>
      </x:c>
    </x:row>
    <x:row r="256" ht="32" customHeight="1">
      <x:c r="A256" s="30" t="str">
        <x:v>QB2499</x:v>
      </x:c>
      <x:c r="B256" s="30" t="str">
        <x:v>BCG</x:v>
      </x:c>
      <x:c r="C256" s="30" t="str">
        <x:v>Consulting</x:v>
      </x:c>
      <x:c r="D256" s="31" t="str">
        <x:v>Self intro</x:v>
      </x:c>
      <x:c r="E256" s="31" t="str">
        <x:v>Tell me about yourself / walk me through your resume</x:v>
      </x:c>
      <x:c r="F256" s="31" t="str">
        <x:v>Resume &amp; Experience</x:v>
      </x:c>
      <x:c r="G256" s="30" t="str">
        <x:v>CL0001</x:v>
      </x:c>
      <x:c r="H256" s="32" t="n">
        <x:f>COUNTIF($G$5:$G$302,G256)</x:f>
        <x:v>141</x:v>
      </x:c>
      <x:c r="I256" s="30" t="str">
        <x:v>A3</x:v>
      </x:c>
      <x:c r="J256" s="31" t="str">
        <x:v>2025 FT Emily | 24 Winson Chen</x:v>
      </x:c>
    </x:row>
    <x:row r="257" ht="32" customHeight="1">
      <x:c r="A257" s="30" t="str">
        <x:v>QB2506</x:v>
      </x:c>
      <x:c r="B257" s="30" t="str">
        <x:v>BCG</x:v>
      </x:c>
      <x:c r="C257" s="30" t="str">
        <x:v>Consulting</x:v>
      </x:c>
      <x:c r="D257" s="31" t="str">
        <x:v>self-intro</x:v>
      </x:c>
      <x:c r="E257" s="31" t="str">
        <x:v>Tell me about yourself / walk me through your resume</x:v>
      </x:c>
      <x:c r="F257" s="31" t="str">
        <x:v>Resume &amp; Experience</x:v>
      </x:c>
      <x:c r="G257" s="30" t="str">
        <x:v>CL0001</x:v>
      </x:c>
      <x:c r="H257" s="32" t="n">
        <x:f>COUNTIF($G$5:$G$302,G257)</x:f>
        <x:v>141</x:v>
      </x:c>
      <x:c r="I257" s="30" t="str">
        <x:v>A11</x:v>
      </x:c>
      <x:c r="J257" s="31" t="str">
        <x:v>Questions | 2026 FT Kari | R1 10/31 Mengjie Sun</x:v>
      </x:c>
    </x:row>
    <x:row r="258" ht="32" customHeight="1">
      <x:c r="A258" s="30" t="str">
        <x:v>QB2541</x:v>
      </x:c>
      <x:c r="B258" s="30" t="str">
        <x:v>MS IED</x:v>
      </x:c>
      <x:c r="C258" s="30" t="str">
        <x:v>Sales &amp; Trading</x:v>
      </x:c>
      <x:c r="D258" s="31" t="str">
        <x:v>introduce yourself</x:v>
      </x:c>
      <x:c r="E258" s="31" t="str">
        <x:v>Tell me about yourself / walk me through your resume</x:v>
      </x:c>
      <x:c r="F258" s="31" t="str">
        <x:v>Resume &amp; Experience</x:v>
      </x:c>
      <x:c r="G258" s="30" t="str">
        <x:v>CL0001</x:v>
      </x:c>
      <x:c r="H258" s="32" t="n">
        <x:f>COUNTIF($G$5:$G$302,G258)</x:f>
        <x:v>141</x:v>
      </x:c>
      <x:c r="I258" s="30" t="str">
        <x:v>I3</x:v>
      </x:c>
      <x:c r="J258" s="31" t="str">
        <x:v>Round 2 (Akshat &amp; Anitej)</x:v>
      </x:c>
    </x:row>
    <x:row r="259" ht="68" customHeight="1">
      <x:c r="A259" s="30" t="str">
        <x:v>QB2566</x:v>
      </x:c>
      <x:c r="B259" s="30" t="str">
        <x:v>MS IED</x:v>
      </x:c>
      <x:c r="C259" s="30" t="str">
        <x:v>Sales &amp; Trading</x:v>
      </x:c>
      <x:c r="D259" s="31" t="str">
        <x:v>self introduction</x:v>
      </x:c>
      <x:c r="E259" s="31" t="str">
        <x:v>Tell me about yourself / walk me through your resume</x:v>
      </x:c>
      <x:c r="F259" s="31" t="str">
        <x:v>Resume &amp; Experience</x:v>
      </x:c>
      <x:c r="G259" s="30" t="str">
        <x:v>CL0001</x:v>
      </x:c>
      <x:c r="H259" s="32" t="n">
        <x:f>COUNTIF($G$5:$G$302,G259)</x:f>
        <x:v>141</x:v>
      </x:c>
      <x:c r="I259" s="30" t="str">
        <x:v>I17</x:v>
      </x:c>
      <x:c r="J259" s="31" t="str">
        <x:v>considering ur background in qfin which is more technical, why do u want to do more of the fundamental side of things | talking about my previous boss and asked me to talk about his life story and how he is lmao | Round 2 (Joanna - secur...</x:v>
      </x:c>
    </x:row>
    <x:row r="260" ht="32" customHeight="1">
      <x:c r="A260" s="30" t="str">
        <x:v>QB2567</x:v>
      </x:c>
      <x:c r="B260" s="30" t="str">
        <x:v>MS IED</x:v>
      </x:c>
      <x:c r="C260" s="30" t="str">
        <x:v>Sales &amp; Trading</x:v>
      </x:c>
      <x:c r="D260" s="31" t="str">
        <x:v>self introduction</x:v>
      </x:c>
      <x:c r="E260" s="31" t="str">
        <x:v>Tell me about yourself / walk me through your resume</x:v>
      </x:c>
      <x:c r="F260" s="31" t="str">
        <x:v>Resume &amp; Experience</x:v>
      </x:c>
      <x:c r="G260" s="30" t="str">
        <x:v>CL0001</x:v>
      </x:c>
      <x:c r="H260" s="32" t="n">
        <x:f>COUNTIF($G$5:$G$302,G260)</x:f>
        <x:v>141</x:v>
      </x:c>
      <x:c r="I260" s="30" t="str">
        <x:v>N17</x:v>
      </x:c>
      <x:c r="J260" s="31" t="str">
        <x:v>Followup 1 (Sean - cross producy sales)</x:v>
      </x:c>
    </x:row>
    <x:row r="261" ht="48" customHeight="1">
      <x:c r="A261" s="30" t="str">
        <x:v>QB2574</x:v>
      </x:c>
      <x:c r="B261" s="30" t="str">
        <x:v>MS IED</x:v>
      </x:c>
      <x:c r="C261" s="30" t="str">
        <x:v>Sales &amp; Trading</x:v>
      </x:c>
      <x:c r="D261" s="31" t="str">
        <x:v>asked a lot about CV, especially the mainland security firm experience (cuz of her background from mainland)</x:v>
      </x:c>
      <x:c r="E261" s="31" t="str">
        <x:v>Asked a lot about CV, especially the mainland security firm experience (cuz of her background from mainland)</x:v>
      </x:c>
      <x:c r="F261" s="31" t="str">
        <x:v>Resume &amp; Experience</x:v>
      </x:c>
      <x:c r="G261" s="30" t="str">
        <x:v>CL0143</x:v>
      </x:c>
      <x:c r="H261" s="32" t="n">
        <x:f>COUNTIF($G$5:$G$302,G261)</x:f>
        <x:v>1</x:v>
      </x:c>
      <x:c r="I261" s="30" t="str">
        <x:v>R18</x:v>
      </x:c>
      <x:c r="J261" s="31" t="str">
        <x:v>Followup 2 (Anqi Jiang) | self introduction (rest of the interview all in mandarin)</x:v>
      </x:c>
    </x:row>
    <x:row r="262" ht="68" customHeight="1">
      <x:c r="A262" s="30" t="str">
        <x:v>QB2603</x:v>
      </x:c>
      <x:c r="B262" s="30" t="str">
        <x:v>MS IED</x:v>
      </x:c>
      <x:c r="C262" s="30" t="str">
        <x:v>Sales &amp; Trading</x:v>
      </x:c>
      <x:c r="D262" s="31" t="str">
        <x:v>Walk me through you CV</x:v>
      </x:c>
      <x:c r="E262" s="31" t="str">
        <x:v>Walk me through you CV</x:v>
      </x:c>
      <x:c r="F262" s="31" t="str">
        <x:v>Resume &amp; Experience</x:v>
      </x:c>
      <x:c r="G262" s="30" t="str">
        <x:v>CL0840</x:v>
      </x:c>
      <x:c r="H262" s="32" t="n">
        <x:f>COUNTIF($G$5:$G$302,G262)</x:f>
        <x:v>1</x:v>
      </x:c>
      <x:c r="I262" s="30" t="str">
        <x:v>A42</x:v>
      </x:c>
      <x:c r="J262" s="31" t="str">
        <x:v>What's your passion for your future career? | What's the stock price of MS today and what are some of the drivers of the stock recently? | Round 2 (Sharon Sham - ED, Ele Trading)</x:v>
      </x:c>
    </x:row>
    <x:row r="263" ht="32" customHeight="1">
      <x:c r="A263" s="30" t="str">
        <x:v>QB2616</x:v>
      </x:c>
      <x:c r="B263" s="30" t="str">
        <x:v>Barclays GM</x:v>
      </x:c>
      <x:c r="C263" s="30" t="str">
        <x:v>Sales &amp; Trading</x:v>
      </x:c>
      <x:c r="D263" s="31" t="str">
        <x:v>Self intro</x:v>
      </x:c>
      <x:c r="E263" s="31" t="str">
        <x:v>Tell me about yourself / walk me through your resume</x:v>
      </x:c>
      <x:c r="F263" s="31" t="str">
        <x:v>Resume &amp; Experience</x:v>
      </x:c>
      <x:c r="G263" s="30" t="str">
        <x:v>CL0001</x:v>
      </x:c>
      <x:c r="H263" s="32" t="n">
        <x:f>COUNTIF($G$5:$G$302,G263)</x:f>
        <x:v>141</x:v>
      </x:c>
      <x:c r="I263" s="30" t="str">
        <x:v>A6</x:v>
      </x:c>
      <x:c r="J263" s="31" t="str">
        <x:v>First Round - Cash Equity Team | John | With Cathy Burbridge, from PT Team, Asso?</x:v>
      </x:c>
    </x:row>
    <x:row r="264" ht="48" customHeight="1">
      <x:c r="A264" s="30" t="str">
        <x:v>QB2629</x:v>
      </x:c>
      <x:c r="B264" s="30" t="str">
        <x:v>BofA (GM)</x:v>
      </x:c>
      <x:c r="C264" s="30" t="str">
        <x:v>Sales &amp; Trading</x:v>
      </x:c>
      <x:c r="D264" s="31" t="str">
        <x:v>self intro</x:v>
      </x:c>
      <x:c r="E264" s="31" t="str">
        <x:v>Tell me about yourself / walk me through your resume</x:v>
      </x:c>
      <x:c r="F264" s="31" t="str">
        <x:v>Resume &amp; Experience</x:v>
      </x:c>
      <x:c r="G264" s="30" t="str">
        <x:v>CL0001</x:v>
      </x:c>
      <x:c r="H264" s="32" t="n">
        <x:f>COUNTIF($G$5:$G$302,G264)</x:f>
        <x:v>141</x:v>
      </x:c>
      <x:c r="I264" s="30" t="str">
        <x:v>A5</x:v>
      </x:c>
      <x:c r="J264" s="31" t="str">
        <x:v>John | First Round | 24 with Equities Trading - Christelle Nachar, Director (Developed Markets Index)</x:v>
      </x:c>
    </x:row>
    <x:row r="265" ht="48" customHeight="1">
      <x:c r="A265" s="30" t="str">
        <x:v>QB2639</x:v>
      </x:c>
      <x:c r="B265" s="30" t="str">
        <x:v>BofA (GM)</x:v>
      </x:c>
      <x:c r="C265" s="30" t="str">
        <x:v>Sales &amp; Trading</x:v>
      </x:c>
      <x:c r="D265" s="31" t="str">
        <x:v>self intro</x:v>
      </x:c>
      <x:c r="E265" s="31" t="str">
        <x:v>Tell me about yourself / walk me through your resume</x:v>
      </x:c>
      <x:c r="F265" s="31" t="str">
        <x:v>Resume &amp; Experience</x:v>
      </x:c>
      <x:c r="G265" s="30" t="str">
        <x:v>CL0001</x:v>
      </x:c>
      <x:c r="H265" s="32" t="n">
        <x:f>COUNTIF($G$5:$G$302,G265)</x:f>
        <x:v>141</x:v>
      </x:c>
      <x:c r="I265" s="30" t="str">
        <x:v>A16</x:v>
      </x:c>
      <x:c r="J265" s="31" t="str">
        <x:v>反问 | What's the collaborative environment in BofA look like? | 28 with Equities Sales - Stacy He, Associate (Prime Brokerage)</x:v>
      </x:c>
    </x:row>
    <x:row r="266" ht="48" customHeight="1">
      <x:c r="A266" s="30" t="str">
        <x:v>QB2640</x:v>
      </x:c>
      <x:c r="B266" s="30" t="str">
        <x:v>BofA (GM)</x:v>
      </x:c>
      <x:c r="C266" s="30" t="str">
        <x:v>Sales &amp; Trading</x:v>
      </x:c>
      <x:c r="D266" s="31" t="str">
        <x:v>CV based: First related internship, what did you do and what did you learn from it?</x:v>
      </x:c>
      <x:c r="E266" s="31" t="str">
        <x:v>CV based: First related internship, what did you do and what did you learn from it</x:v>
      </x:c>
      <x:c r="F266" s="31" t="str">
        <x:v>Resume &amp; Experience</x:v>
      </x:c>
      <x:c r="G266" s="30" t="str">
        <x:v>CL0211</x:v>
      </x:c>
      <x:c r="H266" s="32" t="n">
        <x:f>COUNTIF($G$5:$G$302,G266)</x:f>
        <x:v>1</x:v>
      </x:c>
      <x:c r="I266" s="30" t="str">
        <x:v>A17</x:v>
      </x:c>
      <x:c r="J266" s="31" t="str">
        <x:v>What's the collaborative environment in BofA look like? | 28 with Equities Sales - Stacy He, Associate (Prime Brokerage) | self intro</x:v>
      </x:c>
    </x:row>
    <x:row r="267" ht="92" customHeight="1">
      <x:c r="A267" s="30" t="str">
        <x:v>QB2643</x:v>
      </x:c>
      <x:c r="B267" s="30" t="str">
        <x:v>BofA (GM)</x:v>
      </x:c>
      <x:c r="C267" s="30" t="str">
        <x:v>Sales &amp; Trading</x:v>
      </x:c>
      <x:c r="D267" s="31" t="str">
        <x:v>CV based: Second related internship, what did you do and what did you learn from it?</x:v>
      </x:c>
      <x:c r="E267" s="31" t="str">
        <x:v>CV based: Second related internship, what did you do and what did you learn from it</x:v>
      </x:c>
      <x:c r="F267" s="31" t="str">
        <x:v>Resume &amp; Experience</x:v>
      </x:c>
      <x:c r="G267" s="30" t="str">
        <x:v>CL0212</x:v>
      </x:c>
      <x:c r="H267" s="32" t="n">
        <x:f>COUNTIF($G$5:$G$302,G267)</x:f>
        <x:v>1</x:v>
      </x:c>
      <x:c r="I267" s="30" t="str">
        <x:v>A20</x:v>
      </x:c>
      <x:c r="J267" s="31" t="str">
        <x:v>CV based: First related internship, what did you do and what did you learn from it? | Follow up: Is there any multitasking examples? What do you set the priorities for different tasks? | Follow up: What if two sales give you tasks and ne...</x:v>
      </x:c>
    </x:row>
    <x:row r="268" ht="32" customHeight="1">
      <x:c r="A268" s="30" t="str">
        <x:v>QB2651</x:v>
      </x:c>
      <x:c r="B268" s="30" t="str">
        <x:v>BofA (GM)</x:v>
      </x:c>
      <x:c r="C268" s="30" t="str">
        <x:v>Sales &amp; Trading</x:v>
      </x:c>
      <x:c r="D268" s="31" t="str">
        <x:v>self-intro</x:v>
      </x:c>
      <x:c r="E268" s="31" t="str">
        <x:v>Tell me about yourself / walk me through your resume</x:v>
      </x:c>
      <x:c r="F268" s="31" t="str">
        <x:v>Resume &amp; Experience</x:v>
      </x:c>
      <x:c r="G268" s="30" t="str">
        <x:v>CL0001</x:v>
      </x:c>
      <x:c r="H268" s="32" t="n">
        <x:f>COUNTIF($G$5:$G$302,G268)</x:f>
        <x:v>141</x:v>
      </x:c>
      <x:c r="I268" s="30" t="str">
        <x:v>A30</x:v>
      </x:c>
      <x:c r="J268" s="31" t="str">
        <x:v>反问 | SPD | 27 with Gordon Lai – Director, Equities Sales</x:v>
      </x:c>
    </x:row>
    <x:row r="269" ht="68" customHeight="1">
      <x:c r="A269" s="30" t="str">
        <x:v>QB2662</x:v>
      </x:c>
      <x:c r="B269" s="30" t="str">
        <x:v>BofA (GM)</x:v>
      </x:c>
      <x:c r="C269" s="30" t="str">
        <x:v>Sales &amp; Trading</x:v>
      </x:c>
      <x:c r="D269" s="31" t="str">
        <x:v>self-intro</x:v>
      </x:c>
      <x:c r="E269" s="31" t="str">
        <x:v>Tell me about yourself / walk me through your resume</x:v>
      </x:c>
      <x:c r="F269" s="31" t="str">
        <x:v>Resume &amp; Experience</x:v>
      </x:c>
      <x:c r="G269" s="30" t="str">
        <x:v>CL0001</x:v>
      </x:c>
      <x:c r="H269" s="32" t="n">
        <x:f>COUNTIF($G$5:$G$302,G269)</x:f>
        <x:v>141</x:v>
      </x:c>
      <x:c r="I269" s="30" t="str">
        <x:v>A42</x:v>
      </x:c>
      <x:c r="J269" s="31" t="str">
        <x:v>What kinds of skill sets do you believe that you've been equipped with and make you suitable for a sales? | 反问 | 27 with David Sbarro – Managing Director, FICC Trading</x:v>
      </x:c>
    </x:row>
    <x:row r="270" ht="48" customHeight="1">
      <x:c r="A270" s="30" t="str">
        <x:v>QB2670</x:v>
      </x:c>
      <x:c r="B270" s="30" t="str">
        <x:v>BofA (GM)</x:v>
      </x:c>
      <x:c r="C270" s="30" t="str">
        <x:v>Sales &amp; Trading</x:v>
      </x:c>
      <x:c r="D270" s="31" t="str">
        <x:v>Is there any particularly project that you're doing and find interesting during the current internship?</x:v>
      </x:c>
      <x:c r="E270" s="31" t="str">
        <x:v>Is there any particularly project that you're doing and find interesting during the current internship</x:v>
      </x:c>
      <x:c r="F270" s="31" t="str">
        <x:v>Resume &amp; Experience</x:v>
      </x:c>
      <x:c r="G270" s="30" t="str">
        <x:v>CL0561</x:v>
      </x:c>
      <x:c r="H270" s="32" t="n">
        <x:f>COUNTIF($G$5:$G$302,G270)</x:f>
        <x:v>1</x:v>
      </x:c>
      <x:c r="I270" s="30" t="str">
        <x:v>A50</x:v>
      </x:c>
      <x:c r="J270" s="31" t="str">
        <x:v>Any trading ideas about the market now? | Are you familiar with company valuation? | How is EBITDA derived?</x:v>
      </x:c>
    </x:row>
    <x:row r="271" ht="68" customHeight="1">
      <x:c r="A271" s="30" t="str">
        <x:v>QB2671</x:v>
      </x:c>
      <x:c r="B271" s="30" t="str">
        <x:v>BofA (GM)</x:v>
      </x:c>
      <x:c r="C271" s="30" t="str">
        <x:v>Sales &amp; Trading</x:v>
      </x:c>
      <x:c r="D271" s="31" t="str">
        <x:v>Anything you particularly want to highlight on your CV?</x:v>
      </x:c>
      <x:c r="E271" s="31" t="str">
        <x:v>Anything you particularly want to highlight on your CV</x:v>
      </x:c>
      <x:c r="F271" s="31" t="str">
        <x:v>Resume &amp; Experience</x:v>
      </x:c>
      <x:c r="G271" s="30" t="str">
        <x:v>CL0130</x:v>
      </x:c>
      <x:c r="H271" s="32" t="n">
        <x:f>COUNTIF($G$5:$G$302,G271)</x:f>
        <x:v>1</x:v>
      </x:c>
      <x:c r="I271" s="30" t="str">
        <x:v>A51</x:v>
      </x:c>
      <x:c r="J271" s="31" t="str">
        <x:v>Are you familiar with company valuation? | How is EBITDA derived? | Is there any particularly project that you're doing and find interesting during the current internship?</x:v>
      </x:c>
    </x:row>
    <x:row r="272" ht="48" customHeight="1">
      <x:c r="A272" s="30" t="str">
        <x:v>QB2674</x:v>
      </x:c>
      <x:c r="B272" s="30" t="str">
        <x:v>BofA (GM)</x:v>
      </x:c>
      <x:c r="C272" s="30" t="str">
        <x:v>Sales &amp; Trading</x:v>
      </x:c>
      <x:c r="D272" s="31" t="str">
        <x:v>self-intro</x:v>
      </x:c>
      <x:c r="E272" s="31" t="str">
        <x:v>Tell me about yourself / walk me through your resume</x:v>
      </x:c>
      <x:c r="F272" s="31" t="str">
        <x:v>Resume &amp; Experience</x:v>
      </x:c>
      <x:c r="G272" s="30" t="str">
        <x:v>CL0001</x:v>
      </x:c>
      <x:c r="H272" s="32" t="n">
        <x:f>COUNTIF($G$5:$G$302,G272)</x:f>
        <x:v>141</x:v>
      </x:c>
      <x:c r="I272" s="30" t="str">
        <x:v>A55</x:v>
      </x:c>
      <x:c r="J272" s="31" t="str">
        <x:v>Anything you particularly want to highlight on your CV? | 反问 | 27 with Qilin Wei – Managing Director, FICC Trading</x:v>
      </x:c>
    </x:row>
    <x:row r="273" ht="32" customHeight="1">
      <x:c r="A273" s="30" t="str">
        <x:v>QB2685</x:v>
      </x:c>
      <x:c r="B273" s="30" t="str">
        <x:v>HSBC (GM)</x:v>
      </x:c>
      <x:c r="C273" s="30" t="str">
        <x:v>Sales &amp; Trading</x:v>
      </x:c>
      <x:c r="D273" s="31" t="str">
        <x:v>self introduction</x:v>
      </x:c>
      <x:c r="E273" s="31" t="str">
        <x:v>Tell me about yourself / walk me through your resume</x:v>
      </x:c>
      <x:c r="F273" s="31" t="str">
        <x:v>Resume &amp; Experience</x:v>
      </x:c>
      <x:c r="G273" s="30" t="str">
        <x:v>CL0001</x:v>
      </x:c>
      <x:c r="H273" s="32" t="n">
        <x:f>COUNTIF($G$5:$G$302,G273)</x:f>
        <x:v>141</x:v>
      </x:c>
      <x:c r="I273" s="30" t="str">
        <x:v>L3</x:v>
      </x:c>
      <x:c r="J273" s="31" t="str">
        <x:v>Hazel - Round 1 (equity derivative trading)</x:v>
      </x:c>
    </x:row>
    <x:row r="274" ht="32" customHeight="1">
      <x:c r="A274" s="30" t="str">
        <x:v>QB2686</x:v>
      </x:c>
      <x:c r="B274" s="30" t="str">
        <x:v>HSBC (GM)</x:v>
      </x:c>
      <x:c r="C274" s="30" t="str">
        <x:v>Sales &amp; Trading</x:v>
      </x:c>
      <x:c r="D274" s="31" t="str">
        <x:v>what is ur favourite subject in school</x:v>
      </x:c>
      <x:c r="E274" s="31" t="str">
        <x:v>What is ur favourite subject in school</x:v>
      </x:c>
      <x:c r="F274" s="31" t="str">
        <x:v>Resume &amp; Experience</x:v>
      </x:c>
      <x:c r="G274" s="30" t="str">
        <x:v>CL0998</x:v>
      </x:c>
      <x:c r="H274" s="32" t="n">
        <x:f>COUNTIF($G$5:$G$302,G274)</x:f>
        <x:v>1</x:v>
      </x:c>
      <x:c r="I274" s="30" t="str">
        <x:v>A4</x:v>
      </x:c>
      <x:c r="J274" s="31" t="str">
        <x:v>2025 SA | Round 1 (Erik from High Touch Sales) | introduce urself</x:v>
      </x:c>
    </x:row>
    <x:row r="275" ht="32" customHeight="1">
      <x:c r="A275" s="30" t="str">
        <x:v>QB2705</x:v>
      </x:c>
      <x:c r="B275" s="30" t="str">
        <x:v>HSBC (GM)</x:v>
      </x:c>
      <x:c r="C275" s="30" t="str">
        <x:v>Sales &amp; Trading</x:v>
      </x:c>
      <x:c r="D275" s="31" t="str">
        <x:v>self introduction</x:v>
      </x:c>
      <x:c r="E275" s="31" t="str">
        <x:v>Tell me about yourself / walk me through your resume</x:v>
      </x:c>
      <x:c r="F275" s="31" t="str">
        <x:v>Resume &amp; Experience</x:v>
      </x:c>
      <x:c r="G275" s="30" t="str">
        <x:v>CL0001</x:v>
      </x:c>
      <x:c r="H275" s="32" t="n">
        <x:f>COUNTIF($G$5:$G$302,G275)</x:f>
        <x:v>141</x:v>
      </x:c>
      <x:c r="I275" s="30" t="str">
        <x:v>L14</x:v>
      </x:c>
      <x:c r="J275" s="31" t="str">
        <x:v>ethical challenge | question for the interviewer | Round 2 (fx and rates trading)</x:v>
      </x:c>
    </x:row>
    <x:row r="276" ht="48" customHeight="1">
      <x:c r="A276" s="30" t="str">
        <x:v>QB2726</x:v>
      </x:c>
      <x:c r="B276" s="30" t="str">
        <x:v>HSBC (GM)</x:v>
      </x:c>
      <x:c r="C276" s="30" t="str">
        <x:v>Sales &amp; Trading</x:v>
      </x:c>
      <x:c r="D276" s="31" t="str">
        <x:v>self intro</x:v>
      </x:c>
      <x:c r="E276" s="31" t="str">
        <x:v>Tell me about yourself / walk me through your resume</x:v>
      </x:c>
      <x:c r="F276" s="31" t="str">
        <x:v>Resume &amp; Experience</x:v>
      </x:c>
      <x:c r="G276" s="30" t="str">
        <x:v>CL0001</x:v>
      </x:c>
      <x:c r="H276" s="32" t="n">
        <x:f>COUNTIF($G$5:$G$302,G276)</x:f>
        <x:v>141</x:v>
      </x:c>
      <x:c r="I276" s="30" t="str">
        <x:v>L25</x:v>
      </x:c>
      <x:c r="J276" s="31" t="str">
        <x:v>another brainteaser (forget the question but need to know GBPUSD rate) | Something u do that makes you consider the long-term impact | Round3 (corporate sales)</x:v>
      </x:c>
    </x:row>
    <x:row r="277" ht="48" customHeight="1">
      <x:c r="A277" s="30" t="str">
        <x:v>QB2737</x:v>
      </x:c>
      <x:c r="B277" s="30" t="str">
        <x:v>HSBC (GM)</x:v>
      </x:c>
      <x:c r="C277" s="30" t="str">
        <x:v>Sales &amp; Trading</x:v>
      </x:c>
      <x:c r="D277" s="31" t="str">
        <x:v>what do you want to take away from this internship experience</x:v>
      </x:c>
      <x:c r="E277" s="31" t="str">
        <x:v>What do you want to take away from this internship experience</x:v>
      </x:c>
      <x:c r="F277" s="31" t="str">
        <x:v>Resume &amp; Experience</x:v>
      </x:c>
      <x:c r="G277" s="30" t="str">
        <x:v>CL0936</x:v>
      </x:c>
      <x:c r="H277" s="32" t="n">
        <x:f>COUNTIF($G$5:$G$302,G277)</x:f>
        <x:v>1</x:v>
      </x:c>
      <x:c r="I277" s="30" t="str">
        <x:v>L31</x:v>
      </x:c>
      <x:c r="J277" s="31" t="str">
        <x:v>how interest rate affects the global markets and different assets | 1mil asset allocation | brainteaser (lily pound)</x:v>
      </x:c>
    </x:row>
    <x:row r="278" ht="68" customHeight="1">
      <x:c r="A278" s="30" t="str">
        <x:v>QB2747</x:v>
      </x:c>
      <x:c r="B278" s="30" t="str">
        <x:v>JPM (GM)</x:v>
      </x:c>
      <x:c r="C278" s="30" t="str">
        <x:v>Sales &amp; Trading</x:v>
      </x:c>
      <x:c r="D278" s="31" t="str">
        <x:v>Self Intro</x:v>
      </x:c>
      <x:c r="E278" s="31" t="str">
        <x:v>Tell me about yourself / walk me through your resume</x:v>
      </x:c>
      <x:c r="F278" s="31" t="str">
        <x:v>Resume &amp; Experience</x:v>
      </x:c>
      <x:c r="G278" s="30" t="str">
        <x:v>CL0001</x:v>
      </x:c>
      <x:c r="H278" s="32" t="n">
        <x:f>COUNTIF($G$5:$G$302,G278)</x:f>
        <x:v>141</x:v>
      </x:c>
      <x:c r="I278" s="30" t="str">
        <x:v>A6</x:v>
      </x:c>
      <x:c r="J278" s="31" t="str">
        <x:v>Just Chat (But they prefer Candidates less aggresive &amp; from Mainland China schools) | US NYC Sales Superday (Michael, Asuka, Elliotte) | They have a Question List:</x:v>
      </x:c>
    </x:row>
    <x:row r="279" ht="68" customHeight="1">
      <x:c r="A279" s="30" t="str">
        <x:v>QB2761</x:v>
      </x:c>
      <x:c r="B279" s="30" t="str">
        <x:v>UBS(GM Off cycle)</x:v>
      </x:c>
      <x:c r="C279" s="30" t="str">
        <x:v>Sales &amp; Trading</x:v>
      </x:c>
      <x:c r="D279" s="31" t="str">
        <x:v>Coding proficiency, any project experience with python</x:v>
      </x:c>
      <x:c r="E279" s="31" t="str">
        <x:v>Coding proficiency, any project experience with python</x:v>
      </x:c>
      <x:c r="F279" s="31" t="str">
        <x:v>Resume &amp; Experience</x:v>
      </x:c>
      <x:c r="G279" s="30" t="str">
        <x:v>CL0199</x:v>
      </x:c>
      <x:c r="H279" s="32" t="n">
        <x:f>COUNTIF($G$5:$G$302,G279)</x:f>
        <x:v>1</x:v>
      </x:c>
      <x:c r="I279" s="30" t="str">
        <x:v>A14</x:v>
      </x:c>
      <x:c r="J279" s="31" t="str">
        <x:v>Also asked about UBS Sustainability Commitment, how do I think I would be a great fit for UBS Sustainability initiatives | 45 mins with Sandra | 30 mins CV grill</x:v>
      </x:c>
    </x:row>
    <x:row r="280" ht="48" customHeight="1">
      <x:c r="A280" s="30" t="str">
        <x:v>QB2764</x:v>
      </x:c>
      <x:c r="B280" s="30" t="str">
        <x:v>UBS(GM Off cycle)</x:v>
      </x:c>
      <x:c r="C280" s="30" t="str">
        <x:v>Sales &amp; Trading</x:v>
      </x:c>
      <x:c r="D280" s="31" t="str">
        <x:v>Self intro</x:v>
      </x:c>
      <x:c r="E280" s="31" t="str">
        <x:v>Tell me about yourself / walk me through your resume</x:v>
      </x:c>
      <x:c r="F280" s="31" t="str">
        <x:v>Resume &amp; Experience</x:v>
      </x:c>
      <x:c r="G280" s="30" t="str">
        <x:v>CL0001</x:v>
      </x:c>
      <x:c r="H280" s="32" t="n">
        <x:f>COUNTIF($G$5:$G$302,G280)</x:f>
        <x:v>141</x:v>
      </x:c>
      <x:c r="I280" s="30" t="str">
        <x:v>A18</x:v>
      </x:c>
      <x:c r="J280" s="31" t="str">
        <x:v>Coding proficiency, any project experience with python | First Round (Derivatives and Solutions) | Claire Li and Mandy Ip</x:v>
      </x:c>
    </x:row>
    <x:row r="281" ht="32" customHeight="1">
      <x:c r="A281" s="30" t="str">
        <x:v>QB2770</x:v>
      </x:c>
      <x:c r="B281" s="30" t="str">
        <x:v>UBS(GM Off cycle)</x:v>
      </x:c>
      <x:c r="C281" s="30" t="str">
        <x:v>Sales &amp; Trading</x:v>
      </x:c>
      <x:c r="D281" s="31" t="str">
        <x:v>Self intro</x:v>
      </x:c>
      <x:c r="E281" s="31" t="str">
        <x:v>Tell me about yourself / walk me through your resume</x:v>
      </x:c>
      <x:c r="F281" s="31" t="str">
        <x:v>Resume &amp; Experience</x:v>
      </x:c>
      <x:c r="G281" s="30" t="str">
        <x:v>CL0001</x:v>
      </x:c>
      <x:c r="H281" s="32" t="n">
        <x:f>COUNTIF($G$5:$G$302,G281)</x:f>
        <x:v>141</x:v>
      </x:c>
      <x:c r="I281" s="30" t="str">
        <x:v>A25</x:v>
      </x:c>
      <x:c r="J281" s="31" t="str">
        <x:v>CV grill | Super day (Derivatives and Solutions) | Thomas Wang &amp; Sheen Liu</x:v>
      </x:c>
    </x:row>
    <x:row r="282" ht="32" customHeight="1">
      <x:c r="A282" s="30" t="str">
        <x:v>QB2793</x:v>
      </x:c>
      <x:c r="B282" s="30" t="str">
        <x:v>Others (eg. PE, CB...)</x:v>
      </x:c>
      <x:c r="C282" s="30" t="str">
        <x:v>PE / VC / Other</x:v>
      </x:c>
      <x:c r="D282" s="31" t="str">
        <x:v>Self intro</x:v>
      </x:c>
      <x:c r="E282" s="31" t="str">
        <x:v>Tell me about yourself / walk me through your resume</x:v>
      </x:c>
      <x:c r="F282" s="31" t="str">
        <x:v>Resume &amp; Experience</x:v>
      </x:c>
      <x:c r="G282" s="30" t="str">
        <x:v>CL0001</x:v>
      </x:c>
      <x:c r="H282" s="32" t="n">
        <x:f>COUNTIF($G$5:$G$302,G282)</x:f>
        <x:v>141</x:v>
      </x:c>
      <x:c r="I282" s="30" t="str">
        <x:v>A3</x:v>
      </x:c>
      <x:c r="J282" s="31" t="str">
        <x:v>Hony Capital (Cindy) | 45742</x:v>
      </x:c>
    </x:row>
    <x:row r="283" ht="32" customHeight="1">
      <x:c r="A283" s="30" t="str">
        <x:v>QB2794</x:v>
      </x:c>
      <x:c r="B283" s="30" t="str">
        <x:v>Others (eg. PE, CB...)</x:v>
      </x:c>
      <x:c r="C283" s="30" t="str">
        <x:v>PE / VC / Other</x:v>
      </x:c>
      <x:c r="D283" s="31" t="str">
        <x:v>Self intro</x:v>
      </x:c>
      <x:c r="E283" s="31" t="str">
        <x:v>Tell me about yourself / walk me through your resume</x:v>
      </x:c>
      <x:c r="F283" s="31" t="str">
        <x:v>Resume &amp; Experience</x:v>
      </x:c>
      <x:c r="G283" s="30" t="str">
        <x:v>CL0001</x:v>
      </x:c>
      <x:c r="H283" s="32" t="n">
        <x:f>COUNTIF($G$5:$G$302,G283)</x:f>
        <x:v>141</x:v>
      </x:c>
      <x:c r="I283" s="30" t="str">
        <x:v>E3</x:v>
      </x:c>
      <x:c r="J283" s="31" t="str">
        <x:v>Pamalican (Regina) | March 31st 2025</x:v>
      </x:c>
    </x:row>
    <x:row r="284" ht="32" customHeight="1">
      <x:c r="A284" s="30" t="str">
        <x:v>QB2795</x:v>
      </x:c>
      <x:c r="B284" s="30" t="str">
        <x:v>Others (eg. PE, CB...)</x:v>
      </x:c>
      <x:c r="C284" s="30" t="str">
        <x:v>PE / VC / Other</x:v>
      </x:c>
      <x:c r="D284" s="31" t="str">
        <x:v>What did you do in Huatai Investment Banking, any deals</x:v>
      </x:c>
      <x:c r="E284" s="31" t="str">
        <x:v>What did you do in Huatai Investment Banking, any deals</x:v>
      </x:c>
      <x:c r="F284" s="31" t="str">
        <x:v>Resume &amp; Experience</x:v>
      </x:c>
      <x:c r="G284" s="30" t="str">
        <x:v>CL0901</x:v>
      </x:c>
      <x:c r="H284" s="32" t="n">
        <x:f>COUNTIF($G$5:$G$302,G284)</x:f>
        <x:v>1</x:v>
      </x:c>
      <x:c r="I284" s="30" t="str">
        <x:v>A4</x:v>
      </x:c>
      <x:c r="J284" s="31" t="str">
        <x:v>Hony Capital (Cindy) | 45742 | Self intro</x:v>
      </x:c>
    </x:row>
    <x:row r="285" ht="32" customHeight="1">
      <x:c r="A285" s="30" t="str">
        <x:v>QB2800</x:v>
      </x:c>
      <x:c r="B285" s="30" t="str">
        <x:v>Others (eg. PE, CB...)</x:v>
      </x:c>
      <x:c r="C285" s="30" t="str">
        <x:v>PE / VC / Other</x:v>
      </x:c>
      <x:c r="D285" s="31" t="str">
        <x:v>Hobbies outside work &amp; school</x:v>
      </x:c>
      <x:c r="E285" s="31" t="str">
        <x:v>What are your interests outside work and school?</x:v>
      </x:c>
      <x:c r="F285" s="31" t="str">
        <x:v>Resume &amp; Experience</x:v>
      </x:c>
      <x:c r="G285" s="30" t="str">
        <x:v>CL0014</x:v>
      </x:c>
      <x:c r="H285" s="32" t="n">
        <x:f>COUNTIF($G$5:$G$302,G285)</x:f>
        <x:v>1</x:v>
      </x:c>
      <x:c r="I285" s="30" t="str">
        <x:v>E6</x:v>
      </x:c>
      <x:c r="J285" s="31" t="str">
        <x:v>Self intro | CV questions (all related to what's on CV) | Recent deals</x:v>
      </x:c>
    </x:row>
    <x:row r="286" ht="32" customHeight="1">
      <x:c r="A286" s="30" t="str">
        <x:v>QB2812</x:v>
      </x:c>
      <x:c r="B286" s="30" t="str">
        <x:v>Neuberger Berman</x:v>
      </x:c>
      <x:c r="C286" s="30" t="str">
        <x:v>PWM / AM</x:v>
      </x:c>
      <x:c r="D286" s="31" t="str">
        <x:v>Walk though current internships</x:v>
      </x:c>
      <x:c r="E286" s="31" t="str">
        <x:v>Walk though current internships</x:v>
      </x:c>
      <x:c r="F286" s="31" t="str">
        <x:v>Resume &amp; Experience</x:v>
      </x:c>
      <x:c r="G286" s="30" t="str">
        <x:v>CL0845</x:v>
      </x:c>
      <x:c r="H286" s="32" t="n">
        <x:f>COUNTIF($G$5:$G$302,G286)</x:f>
        <x:v>1</x:v>
      </x:c>
      <x:c r="I286" s="30" t="str">
        <x:v>A5</x:v>
      </x:c>
      <x:c r="J286" s="31" t="str">
        <x:v>2025 H2 Off-cycle Kate | First round was with Anna Wong, all CV qs and chat | 2nd round</x:v>
      </x:c>
    </x:row>
    <x:row r="287" ht="48" customHeight="1">
      <x:c r="A287" s="30" t="str">
        <x:v>QB2813</x:v>
      </x:c>
      <x:c r="B287" s="30" t="str">
        <x:v>Neuberger Berman</x:v>
      </x:c>
      <x:c r="C287" s="30" t="str">
        <x:v>PWM / AM</x:v>
      </x:c>
      <x:c r="D287" s="31" t="str">
        <x:v>Ask what I do and the deals for each internship</x:v>
      </x:c>
      <x:c r="E287" s="31" t="str">
        <x:v>Ask what I do and the deals for each internship</x:v>
      </x:c>
      <x:c r="F287" s="31" t="str">
        <x:v>Resume &amp; Experience</x:v>
      </x:c>
      <x:c r="G287" s="30" t="str">
        <x:v>CL0142</x:v>
      </x:c>
      <x:c r="H287" s="32" t="n">
        <x:f>COUNTIF($G$5:$G$302,G287)</x:f>
        <x:v>1</x:v>
      </x:c>
      <x:c r="I287" s="30" t="str">
        <x:v>A6</x:v>
      </x:c>
      <x:c r="J287" s="31" t="str">
        <x:v>First round was with Anna Wong, all CV qs and chat | 2nd round | Walk though current internships</x:v>
      </x:c>
    </x:row>
    <x:row r="288" ht="48" customHeight="1">
      <x:c r="A288" s="30" t="str">
        <x:v>QB2818</x:v>
      </x:c>
      <x:c r="B288" s="30" t="str">
        <x:v>Neuberger Berman</x:v>
      </x:c>
      <x:c r="C288" s="30" t="str">
        <x:v>PWM / AM</x:v>
      </x:c>
      <x:c r="D288" s="31" t="str">
        <x:v>What's you fav and least fav park of your current internship</x:v>
      </x:c>
      <x:c r="E288" s="31" t="str">
        <x:v>What's you fav and least fav park of your current internship</x:v>
      </x:c>
      <x:c r="F288" s="31" t="str">
        <x:v>Resume &amp; Experience</x:v>
      </x:c>
      <x:c r="G288" s="30" t="str">
        <x:v>CL1062</x:v>
      </x:c>
      <x:c r="H288" s="32" t="n">
        <x:f>COUNTIF($G$5:$G$302,G288)</x:f>
        <x:v>1</x:v>
      </x:c>
      <x:c r="I288" s="30" t="str">
        <x:v>A11</x:v>
      </x:c>
      <x:c r="J288" s="31" t="str">
        <x:v>How US tariff would affect PE &amp; share a market event | What is a good IPO candidate | Personal trait why pick you</x:v>
      </x:c>
    </x:row>
    <x:row r="289" ht="32" customHeight="1">
      <x:c r="A289" s="30" t="str">
        <x:v>QB2824</x:v>
      </x:c>
      <x:c r="B289" s="30" t="str">
        <x:v>UBS AM</x:v>
      </x:c>
      <x:c r="C289" s="30" t="str">
        <x:v>PWM / AM</x:v>
      </x:c>
      <x:c r="D289" s="31" t="str">
        <x:v>Self introduction</x:v>
      </x:c>
      <x:c r="E289" s="31" t="str">
        <x:v>Tell me about yourself / walk me through your resume</x:v>
      </x:c>
      <x:c r="F289" s="31" t="str">
        <x:v>Resume &amp; Experience</x:v>
      </x:c>
      <x:c r="G289" s="30" t="str">
        <x:v>CL0001</x:v>
      </x:c>
      <x:c r="H289" s="32" t="n">
        <x:f>COUNTIF($G$5:$G$302,G289)</x:f>
        <x:v>141</x:v>
      </x:c>
      <x:c r="I289" s="30" t="str">
        <x:v>A4</x:v>
      </x:c>
      <x:c r="J289" s="31" t="str">
        <x:v>2025 | UBS AM SPD | Behavioural</x:v>
      </x:c>
    </x:row>
    <x:row r="290" ht="32" customHeight="1">
      <x:c r="A290" s="30" t="str">
        <x:v>QB2826</x:v>
      </x:c>
      <x:c r="B290" s="30" t="str">
        <x:v>UBS AM</x:v>
      </x:c>
      <x:c r="C290" s="30" t="str">
        <x:v>PWM / AM</x:v>
      </x:c>
      <x:c r="D290" s="31" t="str">
        <x:v>How was your experience in UBS?</x:v>
      </x:c>
      <x:c r="E290" s="31" t="str">
        <x:v>How was your experience in UBS</x:v>
      </x:c>
      <x:c r="F290" s="31" t="str">
        <x:v>Resume &amp; Experience</x:v>
      </x:c>
      <x:c r="G290" s="30" t="str">
        <x:v>CL0486</x:v>
      </x:c>
      <x:c r="H290" s="32" t="n">
        <x:f>COUNTIF($G$5:$G$302,G290)</x:f>
        <x:v>1</x:v>
      </x:c>
      <x:c r="I290" s="30" t="str">
        <x:v>A6</x:v>
      </x:c>
      <x:c r="J290" s="31" t="str">
        <x:v>Behavioural | Self introduction | Why AM ?</x:v>
      </x:c>
    </x:row>
    <x:row r="291" ht="32" customHeight="1">
      <x:c r="A291" s="30" t="str">
        <x:v>QB2834</x:v>
      </x:c>
      <x:c r="B291" s="30" t="str">
        <x:v>UBS AM</x:v>
      </x:c>
      <x:c r="C291" s="30" t="str">
        <x:v>PWM / AM</x:v>
      </x:c>
      <x:c r="D291" s="31" t="str">
        <x:v>Self introduction</x:v>
      </x:c>
      <x:c r="E291" s="31" t="str">
        <x:v>Tell me about yourself / walk me through your resume</x:v>
      </x:c>
      <x:c r="F291" s="31" t="str">
        <x:v>Resume &amp; Experience</x:v>
      </x:c>
      <x:c r="G291" s="30" t="str">
        <x:v>CL0001</x:v>
      </x:c>
      <x:c r="H291" s="32" t="n">
        <x:f>COUNTIF($G$5:$G$302,G291)</x:f>
        <x:v>141</x:v>
      </x:c>
      <x:c r="I291" s="30" t="str">
        <x:v>A15</x:v>
      </x:c>
      <x:c r="J291" s="31" t="str">
        <x:v>What do you do in IBC? | A time you made a risky decision? | Technical</x:v>
      </x:c>
    </x:row>
    <x:row r="292" ht="32" customHeight="1">
      <x:c r="A292" s="30" t="str">
        <x:v>QB2849</x:v>
      </x:c>
      <x:c r="B292" s="30" t="str">
        <x:v>Fountainvest</x:v>
      </x:c>
      <x:c r="C292" s="30" t="str">
        <x:v>PE / VC / Other</x:v>
      </x:c>
      <x:c r="D292" s="31" t="str">
        <x:v>Self Intro</x:v>
      </x:c>
      <x:c r="E292" s="31" t="str">
        <x:v>Tell me about yourself / walk me through your resume</x:v>
      </x:c>
      <x:c r="F292" s="31" t="str">
        <x:v>Resume &amp; Experience</x:v>
      </x:c>
      <x:c r="G292" s="30" t="str">
        <x:v>CL0001</x:v>
      </x:c>
      <x:c r="H292" s="32" t="n">
        <x:f>COUNTIF($G$5:$G$302,G292)</x:f>
        <x:v>141</x:v>
      </x:c>
      <x:c r="I292" s="30" t="str">
        <x:v>B3</x:v>
      </x:c>
      <x:c r="J292" s="31" t="str">
        <x:v>2025 SH offcycle (Emily) | Will Weng 12/9</x:v>
      </x:c>
    </x:row>
    <x:row r="293" ht="32" customHeight="1">
      <x:c r="A293" s="30" t="str">
        <x:v>QB2851</x:v>
      </x:c>
      <x:c r="B293" s="30" t="str">
        <x:v>Fountainvest</x:v>
      </x:c>
      <x:c r="C293" s="30" t="str">
        <x:v>PE / VC / Other</x:v>
      </x:c>
      <x:c r="D293" s="31" t="str">
        <x:v>Tell me about a deal you worked on</x:v>
      </x:c>
      <x:c r="E293" s="31" t="str">
        <x:v>Walk me through a deal you worked on</x:v>
      </x:c>
      <x:c r="F293" s="31" t="str">
        <x:v>Resume &amp; Experience</x:v>
      </x:c>
      <x:c r="G293" s="30" t="str">
        <x:v>CL0017</x:v>
      </x:c>
      <x:c r="H293" s="32" t="n">
        <x:f>COUNTIF($G$5:$G$302,G293)</x:f>
        <x:v>8</x:v>
      </x:c>
      <x:c r="I293" s="30" t="str">
        <x:v>B4</x:v>
      </x:c>
      <x:c r="J293" s="31" t="str">
        <x:v>2025 SH offcycle (Emily) | Will Weng 12/9 | Self Intro</x:v>
      </x:c>
    </x:row>
    <x:row r="294" ht="68" customHeight="1">
      <x:c r="A294" s="30" t="str">
        <x:v>QB2863</x:v>
      </x:c>
      <x:c r="B294" s="30" t="str">
        <x:v>Fountainvest</x:v>
      </x:c>
      <x:c r="C294" s="30" t="str">
        <x:v>PE / VC / Other</x:v>
      </x:c>
      <x:c r="D294" s="31" t="str">
        <x:v>Background questions: where are you from? Where you grew up in?</x:v>
      </x:c>
      <x:c r="E294" s="31" t="str">
        <x:v>Background questions: where are you from? Where you grew up in</x:v>
      </x:c>
      <x:c r="F294" s="31" t="str">
        <x:v>Resume &amp; Experience</x:v>
      </x:c>
      <x:c r="G294" s="30" t="str">
        <x:v>CL0153</x:v>
      </x:c>
      <x:c r="H294" s="32" t="n">
        <x:f>COUNTIF($G$5:$G$302,G294)</x:f>
        <x:v>1</x:v>
      </x:c>
      <x:c r="I294" s="30" t="str">
        <x:v>A12</x:v>
      </x:c>
      <x:c r="J294" s="31" t="str">
        <x:v>Please complete the test in English. | Showcase your original thinking and unique perspective on the company's potential as an investment opportunity. | 1st round Michael Li (All putonghua)</x:v>
      </x:c>
    </x:row>
    <x:row r="295" ht="48" customHeight="1">
      <x:c r="A295" s="30" t="str">
        <x:v>QB2868</x:v>
      </x:c>
      <x:c r="B295" s="30" t="str">
        <x:v>Fountainvest</x:v>
      </x:c>
      <x:c r="C295" s="30" t="str">
        <x:v>PE / VC / Other</x:v>
      </x:c>
      <x:c r="D295" s="31" t="str">
        <x:v>What did you do in the CPS deal? Tell me about the company, industry, drivers, model assumptions, oil field analysis</x:v>
      </x:c>
      <x:c r="E295" s="31" t="str">
        <x:v>What did you do in the CPS deal? Tell me about the company, industry, drivers, model assumptions, oil field analysis</x:v>
      </x:c>
      <x:c r="F295" s="31" t="str">
        <x:v>Resume &amp; Experience</x:v>
      </x:c>
      <x:c r="G295" s="30" t="str">
        <x:v>CL0903</x:v>
      </x:c>
      <x:c r="H295" s="32" t="n">
        <x:f>COUNTIF($G$5:$G$302,G295)</x:f>
        <x:v>1</x:v>
      </x:c>
      <x:c r="I295" s="30" t="str">
        <x:v>A17</x:v>
      </x:c>
      <x:c r="J295" s="31" t="str">
        <x:v>Why didn't you get return from UBS? | What did you learn in UBS? | How do you dissect and understand an industry?</x:v>
      </x:c>
    </x:row>
    <x:row r="296" ht="32" customHeight="1">
      <x:c r="A296" s="30" t="str">
        <x:v>QB2872</x:v>
      </x:c>
      <x:c r="B296" s="30" t="str">
        <x:v>Centrium</x:v>
      </x:c>
      <x:c r="C296" s="30" t="str">
        <x:v>PE / VC / Other</x:v>
      </x:c>
      <x:c r="D296" s="31" t="str">
        <x:v>Self intro, basic info (can work f2f? when can start?)</x:v>
      </x:c>
      <x:c r="E296" s="31" t="str">
        <x:v>Tell me about yourself / walk me through your resume</x:v>
      </x:c>
      <x:c r="F296" s="31" t="str">
        <x:v>Resume &amp; Experience</x:v>
      </x:c>
      <x:c r="G296" s="30" t="str">
        <x:v>CL0001</x:v>
      </x:c>
      <x:c r="H296" s="32" t="n">
        <x:f>COUNTIF($G$5:$G$302,G296)</x:f>
        <x:v>141</x:v>
      </x:c>
      <x:c r="I296" s="30" t="str">
        <x:v>A3</x:v>
      </x:c>
      <x:c r="J296" s="31" t="str">
        <x:v>2025 offcycle (Emily) | 45608</x:v>
      </x:c>
    </x:row>
    <x:row r="297" ht="48" customHeight="1">
      <x:c r="A297" s="30" t="str">
        <x:v>QB2874</x:v>
      </x:c>
      <x:c r="B297" s="30" t="str">
        <x:v>Centrium</x:v>
      </x:c>
      <x:c r="C297" s="30" t="str">
        <x:v>PE / VC / Other</x:v>
      </x:c>
      <x:c r="D297" s="31" t="str">
        <x:v>Ask about all 3 deals in UBS (eg. industry, responsibilities, DCF revenue assumptions, multiples, operating metrics, geographical presence)</x:v>
      </x:c>
      <x:c r="E297" s="31" t="str">
        <x:v>Discuss a recent deal completed by this firm</x:v>
      </x:c>
      <x:c r="F297" s="31" t="str">
        <x:v>Resume &amp; Experience</x:v>
      </x:c>
      <x:c r="G297" s="30" t="str">
        <x:v>CL0008</x:v>
      </x:c>
      <x:c r="H297" s="32" t="n">
        <x:f>COUNTIF($G$5:$G$302,G297)</x:f>
        <x:v>4</x:v>
      </x:c>
      <x:c r="I297" s="30" t="str">
        <x:v>A5</x:v>
      </x:c>
      <x:c r="J297" s="31" t="str">
        <x:v>45608 | Self intro, basic info (can work f2f? when can start?) | Do you have any bio experiences? Why do you want to work in healthcare?</x:v>
      </x:c>
    </x:row>
    <x:row r="298" ht="48" customHeight="1">
      <x:c r="A298" s="30" t="str">
        <x:v>QB2878</x:v>
      </x:c>
      <x:c r="B298" s="30" t="str">
        <x:v>MSPEA</x:v>
      </x:c>
      <x:c r="C298" s="30" t="str">
        <x:v>PE / VC / Other</x:v>
      </x:c>
      <x:c r="D298" s="31" t="str">
        <x:v>self introduction</x:v>
      </x:c>
      <x:c r="E298" s="31" t="str">
        <x:v>Tell me about yourself / walk me through your resume</x:v>
      </x:c>
      <x:c r="F298" s="31" t="str">
        <x:v>Resume &amp; Experience</x:v>
      </x:c>
      <x:c r="G298" s="30" t="str">
        <x:v>CL0001</x:v>
      </x:c>
      <x:c r="H298" s="32" t="n">
        <x:f>COUNTIF($G$5:$G$302,G298)</x:f>
        <x:v>141</x:v>
      </x:c>
      <x:c r="I298" s="30" t="str">
        <x:v>A3</x:v>
      </x:c>
      <x:c r="J298" s="31" t="str">
        <x:v>2025 offcycle (Emily): process: written test, 1st round interview with 2 analyst, final round with a VP/ED | 1st interviewer</x:v>
      </x:c>
    </x:row>
    <x:row r="299" ht="32" customHeight="1">
      <x:c r="A299" s="30" t="str">
        <x:v>QB2912</x:v>
      </x:c>
      <x:c r="B299" s="30" t="str">
        <x:v>Warburg Pincus</x:v>
      </x:c>
      <x:c r="C299" s="30" t="str">
        <x:v>PE / VC / Other</x:v>
      </x:c>
      <x:c r="D299" s="31" t="str">
        <x:v>What were people's background of intern batch mates in UBS?</x:v>
      </x:c>
      <x:c r="E299" s="31" t="str">
        <x:v>What were people's background of intern batch mates in UBS</x:v>
      </x:c>
      <x:c r="F299" s="31" t="str">
        <x:v>Resume &amp; Experience</x:v>
      </x:c>
      <x:c r="G299" s="30" t="str">
        <x:v>CL1037</x:v>
      </x:c>
      <x:c r="H299" s="32" t="n">
        <x:f>COUNTIF($G$5:$G$302,G299)</x:f>
        <x:v>1</x:v>
      </x:c>
      <x:c r="I299" s="30" t="str">
        <x:v>A3</x:v>
      </x:c>
      <x:c r="J299" s="31" t="str">
        <x:v>2025 offcycle FIG | Why no return from UBS?</x:v>
      </x:c>
    </x:row>
    <x:row r="300" ht="48" customHeight="1">
      <x:c r="A300" s="30" t="str">
        <x:v>QB2913</x:v>
      </x:c>
      <x:c r="B300" s="30" t="str">
        <x:v>Warburg Pincus</x:v>
      </x:c>
      <x:c r="C300" s="30" t="str">
        <x:v>PE / VC / Other</x:v>
      </x:c>
      <x:c r="D300" s="31" t="str">
        <x:v>Describe responsibilities of the FIG deal, investment highlights, valuation multiples</x:v>
      </x:c>
      <x:c r="E300" s="31" t="str">
        <x:v>Describe responsibilities of the FIG deal, investment highlights, valuation multiples</x:v>
      </x:c>
      <x:c r="F300" s="31" t="str">
        <x:v>Resume &amp; Experience</x:v>
      </x:c>
      <x:c r="G300" s="30" t="str">
        <x:v>CL0232</x:v>
      </x:c>
      <x:c r="H300" s="32" t="n">
        <x:f>COUNTIF($G$5:$G$302,G300)</x:f>
        <x:v>1</x:v>
      </x:c>
      <x:c r="I300" s="30" t="str">
        <x:v>A4</x:v>
      </x:c>
      <x:c r="J300" s="31" t="str">
        <x:v>2025 offcycle FIG | Why no return from UBS? | What were people's background of intern batch mates in UBS?</x:v>
      </x:c>
    </x:row>
    <x:row r="301" ht="92" customHeight="1">
      <x:c r="A301" s="30" t="str">
        <x:v>QB2950</x:v>
      </x:c>
      <x:c r="B301" s="30" t="str">
        <x:v>HKEX</x:v>
      </x:c>
      <x:c r="C301" s="30" t="str">
        <x:v>PE / VC / Other</x:v>
      </x:c>
      <x:c r="D301" s="31" t="str">
        <x:v>Asked about my view on HK IPOs, as I wrote about A1 filings in my current experience</x:v>
      </x:c>
      <x:c r="E301" s="31" t="str">
        <x:v>Asked about my view on HK IPOs, as I wrote about A1 filings in my current experience</x:v>
      </x:c>
      <x:c r="F301" s="31" t="str">
        <x:v>Resume &amp; Experience</x:v>
      </x:c>
      <x:c r="G301" s="30" t="str">
        <x:v>CL0144</x:v>
      </x:c>
      <x:c r="H301" s="32" t="n">
        <x:f>COUNTIF($G$5:$G$302,G301)</x:f>
        <x:v>1</x:v>
      </x:c>
      <x:c r="I301" s="30" t="str">
        <x:v>A22</x:v>
      </x:c>
      <x:c r="J301" s="31" t="str">
        <x:v>Notes: HKEX’s website is very informative, look up as much information as you can before the interview, show your familiarity with the company to the interviewers | 2026 HKEX global client development - Anna | Had only one round intervie...</x:v>
      </x:c>
    </x:row>
    <x:row r="302" ht="32" customHeight="1">
      <x:c r="A302" s="30" t="str">
        <x:v>QB2987</x:v>
      </x:c>
      <x:c r="B302" s="30" t="str">
        <x:v>Mindworks Capital</x:v>
      </x:c>
      <x:c r="C302" s="30" t="str">
        <x:v>PE / VC / Other</x:v>
      </x:c>
      <x:c r="D302" s="31" t="str">
        <x:v>What did u do in previous internship</x:v>
      </x:c>
      <x:c r="E302" s="31" t="str">
        <x:v>What did u do in previous internship</x:v>
      </x:c>
      <x:c r="F302" s="31" t="str">
        <x:v>Resume &amp; Experience</x:v>
      </x:c>
      <x:c r="G302" s="30" t="str">
        <x:v>CL0894</x:v>
      </x:c>
      <x:c r="H302" s="32" t="n">
        <x:f>COUNTIF($G$5:$G$302,G302)</x:f>
        <x:v>1</x:v>
      </x:c>
      <x:c r="I302" s="30" t="str">
        <x:v>A6</x:v>
      </x:c>
      <x:c r="J302" s="31" t="str">
        <x:v>学院面试 | Why Mindworks | Understanding of VC</x:v>
      </x:c>
    </x:row>
  </x:sheetData>
  <x:mergeCells>
    <x:mergeCell ref="A1:J1"/>
    <x:mergeCell ref="A2:J2"/>
  </x:mergeCells>
  <x:conditionalFormatting sqref="H5:H302">
    <x:cfRule type="cellIs" dxfId="11" priority="1" operator="greaterThan">
      <x:formula>1</x:formula>
    </x:cfRule>
  </x:conditionalFormatting>
  <x:pageMargins left="0.7" right="0.7" top="0.75" bottom="0.75" header="0.3" footer="0.3"/>
  <x:tableParts count="1">
    <x:tablePart xmlns:r="http://schemas.openxmlformats.org/officeDocument/2006/relationships" r:id="R718f7e1c7b9f4a2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Behavioral &amp; Situational</x:v>
      </x:c>
      <x:c r="B1" s="3"/>
      <x:c r="C1" s="3"/>
      <x:c r="D1" s="3"/>
      <x:c r="E1" s="3"/>
      <x:c r="F1" s="3"/>
      <x:c r="G1" s="3"/>
      <x:c r="H1" s="3"/>
      <x:c r="I1" s="3"/>
      <x:c r="J1" s="3"/>
    </x:row>
    <x:row r="2" ht="30" customHeight="1">
      <x:c r="A2" s="7" t="str">
        <x:v>Preparation list for Behavioral &amp; Situational.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92" customHeight="1">
      <x:c r="A5" s="30" t="str">
        <x:v>QB0156</x:v>
      </x:c>
      <x:c r="B5" s="30" t="str">
        <x:v>MS IBD</x:v>
      </x:c>
      <x:c r="C5" s="30" t="str">
        <x:v>IBD / GCM</x:v>
      </x:c>
      <x:c r="D5" s="31" t="str">
        <x:v>Tell me your biggest strength and weakness</x:v>
      </x:c>
      <x:c r="E5" s="31" t="str">
        <x:v>What are your greatest strengths and weaknesses?</x:v>
      </x:c>
      <x:c r="F5" s="31" t="str">
        <x:v>Behavioral &amp; Situational</x:v>
      </x:c>
      <x:c r="G5" s="30" t="str">
        <x:v>CL0025</x:v>
      </x:c>
      <x:c r="H5" s="32" t="n">
        <x:f>COUNTIF($G$5:$G$72,G5)</x:f>
        <x:v>3</x:v>
      </x:c>
      <x:c r="I5" s="30" t="str">
        <x:v>A64</x:v>
      </x:c>
      <x:c r="J5" s="31" t="str">
        <x:v>Who i talked to in MS before, who was my first round interviewer | ⁠Why not PB, regulatory work or consulting since you did those internships before | As you can see, you are in the same round as two Masters student, and usually the supe...</x:v>
      </x:c>
    </x:row>
    <x:row r="6" ht="92" customHeight="1">
      <x:c r="A6" s="30" t="str">
        <x:v>QB0158</x:v>
      </x:c>
      <x:c r="B6" s="30" t="str">
        <x:v>MS IBD</x:v>
      </x:c>
      <x:c r="C6" s="30" t="str">
        <x:v>IBD / GCM</x:v>
      </x:c>
      <x:c r="D6" s="31" t="str">
        <x:v>What's a time you faced challenges and how did you manage it</x:v>
      </x:c>
      <x:c r="E6" s="31" t="str">
        <x:v>Tell me about a challenge, setback, or failure</x:v>
      </x:c>
      <x:c r="F6" s="31" t="str">
        <x:v>Behavioral &amp; Situational</x:v>
      </x:c>
      <x:c r="G6" s="30" t="str">
        <x:v>CL0007</x:v>
      </x:c>
      <x:c r="H6" s="32" t="n">
        <x:f>COUNTIF($G$5:$G$72,G6)</x:f>
        <x:v>12</x:v>
      </x:c>
      <x:c r="I6" s="30" t="str">
        <x:v>A65</x:v>
      </x:c>
      <x:c r="J6" s="31" t="str">
        <x:v>⁠Why not PB, regulatory work or consulting since you did those internships before | As you can see, you are in the same round as two Masters student, and usually the superday applicant pool is full of people with direct ibd experience al...</x:v>
      </x:c>
    </x:row>
    <x:row r="7" ht="48" customHeight="1">
      <x:c r="A7" s="30" t="str">
        <x:v>QB0163</x:v>
      </x:c>
      <x:c r="B7" s="30" t="str">
        <x:v>MS IBD</x:v>
      </x:c>
      <x:c r="C7" s="30" t="str">
        <x:v>IBD / GCM</x:v>
      </x:c>
      <x:c r="D7" s="31" t="str">
        <x:v>What's a time you faced challenges and how did you manage it</x:v>
      </x:c>
      <x:c r="E7" s="31" t="str">
        <x:v>Tell me about a challenge, setback, or failure</x:v>
      </x:c>
      <x:c r="F7" s="31" t="str">
        <x:v>Behavioral &amp; Situational</x:v>
      </x:c>
      <x:c r="G7" s="30" t="str">
        <x:v>CL0007</x:v>
      </x:c>
      <x:c r="H7" s="32" t="n">
        <x:f>COUNTIF($G$5:$G$72,G7)</x:f>
        <x:v>12</x:v>
      </x:c>
      <x:c r="I7" s="30" t="str">
        <x:v>C67</x:v>
      </x:c>
      <x:c r="J7" s="31" t="str">
        <x:v>Rationale for cross-border M&amp;As | Recent news that affect banking, esp HK and China | What MS deals do I know</x:v>
      </x:c>
    </x:row>
    <x:row r="8" ht="48" customHeight="1">
      <x:c r="A8" s="30" t="str">
        <x:v>QB0207</x:v>
      </x:c>
      <x:c r="B8" s="30" t="str">
        <x:v>MS IBD</x:v>
      </x:c>
      <x:c r="C8" s="30" t="str">
        <x:v>IBD / GCM</x:v>
      </x:c>
      <x:c r="D8" s="31" t="str">
        <x:v>Whats the most common mistake for DCF</x:v>
      </x:c>
      <x:c r="E8" s="31" t="str">
        <x:v>Whats the most common mistake for DCF</x:v>
      </x:c>
      <x:c r="F8" s="31" t="str">
        <x:v>Behavioral &amp; Situational</x:v>
      </x:c>
      <x:c r="G8" s="30" t="str">
        <x:v>CL1074</x:v>
      </x:c>
      <x:c r="H8" s="32" t="n">
        <x:f>COUNTIF($G$5:$G$72,G8)</x:f>
        <x:v>1</x:v>
      </x:c>
      <x:c r="I8" s="30" t="str">
        <x:v>C96</x:v>
      </x:c>
      <x:c r="J8" s="31" t="str">
        <x:v>Whats your one area of improvement | Revenue to profit for a coffee shop again hahaha | Walk me through a DCF, and how to get the FCF and everything</x:v>
      </x:c>
    </x:row>
    <x:row r="9" ht="92" customHeight="1">
      <x:c r="A9" s="30" t="str">
        <x:v>QB0210</x:v>
      </x:c>
      <x:c r="B9" s="30" t="str">
        <x:v>MS IBD</x:v>
      </x:c>
      <x:c r="C9" s="30" t="str">
        <x:v>IBD / GCM</x:v>
      </x:c>
      <x:c r="D9" s="31" t="str">
        <x:v>(I acc didnt quite get the answer, but she said its the most common mistake - that we should use the projected EBITDA as well - like use 2029's EBITDA to arrive at the exit multiple)</x:v>
      </x:c>
      <x:c r="E9" s="31" t="str">
        <x:v>(I acc didnt quite get the answer, but she said its the most common mistake - that we should use the projected EBITDA as well - like use 2029's EBITDA to arrive at the exit multiple)</x:v>
      </x:c>
      <x:c r="F9" s="31" t="str">
        <x:v>Behavioral &amp; Situational</x:v>
      </x:c>
      <x:c r="G9" s="30" t="str">
        <x:v>CL0056</x:v>
      </x:c>
      <x:c r="H9" s="32" t="n">
        <x:f>COUNTIF($G$5:$G$72,G9)</x:f>
        <x:v>1</x:v>
      </x:c>
      <x:c r="I9" s="30" t="str">
        <x:v>C99</x:v>
      </x:c>
      <x:c r="J9" s="31" t="str">
        <x:v>Whats the most common mistake for DCF | For example, now is 2025 the EV/EBITDA multiple is 10x, you are exiting in 2029, and the EBITDA is 30m, could you apply the 10x multiple to get the terminal value | How about now its 2026, and the ...</x:v>
      </x:c>
    </x:row>
    <x:row r="10" ht="68" customHeight="1">
      <x:c r="A10" s="30" t="str">
        <x:v>QB0254</x:v>
      </x:c>
      <x:c r="B10" s="30" t="str">
        <x:v>MS GCM</x:v>
      </x:c>
      <x:c r="C10" s="30" t="str">
        <x:v>IBD / GCM</x:v>
      </x:c>
      <x:c r="D10" s="31" t="str">
        <x:v>What would you do if your boss/team is demanding a deliverable from you that you are unfamiliar with?</x:v>
      </x:c>
      <x:c r="E10" s="31" t="str">
        <x:v>What would you do if your boss/team is demanding a deliverable from you that you are unfamiliar with</x:v>
      </x:c>
      <x:c r="F10" s="31" t="str">
        <x:v>Behavioral &amp; Situational</x:v>
      </x:c>
      <x:c r="G10" s="30" t="str">
        <x:v>CL1039</x:v>
      </x:c>
      <x:c r="H10" s="32" t="n">
        <x:f>COUNTIF($G$5:$G$72,G10)</x:f>
        <x:v>1</x:v>
      </x:c>
      <x:c r="I10" s="30" t="str">
        <x:v>A11</x:v>
      </x:c>
      <x:c r="J10" s="31" t="str">
        <x:v>US interest rate forecast | Will Fed look at nonfarm payroll data vs unemployment rate to decide for interest rate | Why are there huge cut in tech and bank jobs, but unemployment data is still very low</x:v>
      </x:c>
    </x:row>
    <x:row r="11" ht="48" customHeight="1">
      <x:c r="A11" s="30" t="str">
        <x:v>QB0311</x:v>
      </x:c>
      <x:c r="B11" s="30" t="str">
        <x:v>MS GCM</x:v>
      </x:c>
      <x:c r="C11" s="30" t="str">
        <x:v>IBD / GCM</x:v>
      </x:c>
      <x:c r="D11" s="31" t="str">
        <x:v>do you have some challenging time in your life? Share your story</x:v>
      </x:c>
      <x:c r="E11" s="31" t="str">
        <x:v>Tell me about a challenge, setback, or failure</x:v>
      </x:c>
      <x:c r="F11" s="31" t="str">
        <x:v>Behavioral &amp; Situational</x:v>
      </x:c>
      <x:c r="G11" s="30" t="str">
        <x:v>CL0007</x:v>
      </x:c>
      <x:c r="H11" s="32" t="n">
        <x:f>COUNTIF($G$5:$G$72,G11)</x:f>
        <x:v>12</x:v>
      </x:c>
      <x:c r="I11" s="30" t="str">
        <x:v>C63</x:v>
      </x:c>
      <x:c r="J11" s="31" t="str">
        <x:v>healthcare industry, gimme a firm | how chinese drug company grow big globally? | how will a chinese company stand out compare to US companies</x:v>
      </x:c>
    </x:row>
    <x:row r="12" ht="32" customHeight="1">
      <x:c r="A12" s="30" t="str">
        <x:v>QB0375</x:v>
      </x:c>
      <x:c r="B12" s="30" t="str">
        <x:v>MS GCM</x:v>
      </x:c>
      <x:c r="C12" s="30" t="str">
        <x:v>IBD / GCM</x:v>
      </x:c>
      <x:c r="D12" s="31" t="str">
        <x:v>stock your team covered with the highest market cap ( and i pitched a stock)</x:v>
      </x:c>
      <x:c r="E12" s="31" t="str">
        <x:v>Stock your team covered with the highest market cap ( and i pitched a stock)</x:v>
      </x:c>
      <x:c r="F12" s="31" t="str">
        <x:v>Behavioral &amp; Situational</x:v>
      </x:c>
      <x:c r="G12" s="30" t="str">
        <x:v>CL0691</x:v>
      </x:c>
      <x:c r="H12" s="32" t="n">
        <x:f>COUNTIF($G$5:$G$72,G12)</x:f>
        <x:v>1</x:v>
      </x:c>
      <x:c r="I12" s="30" t="str">
        <x:v>C114</x:v>
      </x:c>
      <x:c r="J12" s="31" t="str">
        <x:v>self intro | Why GCM instead of other divisions? | Why not ER?</x:v>
      </x:c>
    </x:row>
    <x:row r="13" ht="48" customHeight="1">
      <x:c r="A13" s="30" t="str">
        <x:v>QB0447</x:v>
      </x:c>
      <x:c r="B13" s="30" t="str">
        <x:v>UBS IBD</x:v>
      </x:c>
      <x:c r="C13" s="30" t="str">
        <x:v>IBD / GCM</x:v>
      </x:c>
      <x:c r="D13" s="31" t="str">
        <x:v>What's ur strength and weaknesses</x:v>
      </x:c>
      <x:c r="E13" s="31" t="str">
        <x:v>What are your greatest strengths and weaknesses?</x:v>
      </x:c>
      <x:c r="F13" s="31" t="str">
        <x:v>Behavioral &amp; Situational</x:v>
      </x:c>
      <x:c r="G13" s="30" t="str">
        <x:v>CL0025</x:v>
      </x:c>
      <x:c r="H13" s="32" t="n">
        <x:f>COUNTIF($G$5:$G$72,G13)</x:f>
        <x:v>3</x:v>
      </x:c>
      <x:c r="I13" s="30" t="str">
        <x:v>A7</x:v>
      </x:c>
      <x:c r="J13" s="31" t="str">
        <x:v>Self intro | Walk me thru ur first deal, closed? | Why afterwards HKEX and Equity research?</x:v>
      </x:c>
    </x:row>
    <x:row r="14" ht="92" customHeight="1">
      <x:c r="A14" s="30" t="str">
        <x:v>QB0458</x:v>
      </x:c>
      <x:c r="B14" s="30" t="str">
        <x:v>UBS IBD</x:v>
      </x:c>
      <x:c r="C14" s="30" t="str">
        <x:v>IBD / GCM</x:v>
      </x:c>
      <x:c r="D14" s="31" t="str">
        <x:v>Give me an example showing that you're detail oriented</x:v>
      </x:c>
      <x:c r="E14" s="31" t="str">
        <x:v>Give me an example showing that you're detail oriented</x:v>
      </x:c>
      <x:c r="F14" s="31" t="str">
        <x:v>Behavioral &amp; Situational</x:v>
      </x:c>
      <x:c r="G14" s="30" t="str">
        <x:v>CL0346</x:v>
      </x:c>
      <x:c r="H14" s="32" t="n">
        <x:f>COUNTIF($G$5:$G$72,G14)</x:f>
        <x:v>1</x:v>
      </x:c>
      <x:c r="I14" s="30" t="str">
        <x:v>K9</x:v>
      </x:c>
      <x:c r="J14" s="31" t="str">
        <x:v>Only asked about one internship experience but asked about all the bullet points | For that internship experience ask about DCF and comps in detail | e.g., how did you do comps, how did you select the comparables, how did you find WACC i...</x:v>
      </x:c>
    </x:row>
    <x:row r="15" ht="68" customHeight="1">
      <x:c r="A15" s="30" t="str">
        <x:v>QB0472</x:v>
      </x:c>
      <x:c r="B15" s="30" t="str">
        <x:v>UBS IBD</x:v>
      </x:c>
      <x:c r="C15" s="30" t="str">
        <x:v>IBD / GCM</x:v>
      </x:c>
      <x:c r="D15" s="31" t="str">
        <x:v>What team do you wanna do if you join us</x:v>
      </x:c>
      <x:c r="E15" s="31" t="str">
        <x:v>What team do you wanna do if you join us</x:v>
      </x:c>
      <x:c r="F15" s="31" t="str">
        <x:v>Behavioral &amp; Situational</x:v>
      </x:c>
      <x:c r="G15" s="30" t="str">
        <x:v>CL1030</x:v>
      </x:c>
      <x:c r="H15" s="32" t="n">
        <x:f>COUNTIF($G$5:$G$72,G15)</x:f>
        <x:v>1</x:v>
      </x:c>
      <x:c r="I15" s="30" t="str">
        <x:v>K14</x:v>
      </x:c>
      <x:c r="J15" s="31" t="str">
        <x:v>You have done two case comps but seems like that you were interested in marketing why | (i said sthsth and also said the skills were transferrable) | What skills do you think are applicable to IBD</x:v>
      </x:c>
    </x:row>
    <x:row r="16" ht="48" customHeight="1">
      <x:c r="A16" s="30" t="str">
        <x:v>QB0477</x:v>
      </x:c>
      <x:c r="B16" s="30" t="str">
        <x:v>UBS IBD</x:v>
      </x:c>
      <x:c r="C16" s="30" t="str">
        <x:v>IBD / GCM</x:v>
      </x:c>
      <x:c r="D16" s="31" t="str">
        <x:v>Tell me a time you had to make a decision with risks</x:v>
      </x:c>
      <x:c r="E16" s="31" t="str">
        <x:v>Tell me a time you had to make a decision with risks</x:v>
      </x:c>
      <x:c r="F16" s="31" t="str">
        <x:v>Behavioral &amp; Situational</x:v>
      </x:c>
      <x:c r="G16" s="30" t="str">
        <x:v>CL0713</x:v>
      </x:c>
      <x:c r="H16" s="32" t="n">
        <x:f>COUNTIF($G$5:$G$72,G16)</x:f>
        <x:v>1</x:v>
      </x:c>
      <x:c r="I16" s="30" t="str">
        <x:v>D16</x:v>
      </x:c>
      <x:c r="J16" s="31" t="str">
        <x:v>Self Intro | Tell me a time you made a sustainable decision? | Sustainable as in good for your growth (clarified)</x:v>
      </x:c>
    </x:row>
    <x:row r="17" ht="48" customHeight="1">
      <x:c r="A17" s="30" t="str">
        <x:v>QB0479</x:v>
      </x:c>
      <x:c r="B17" s="30" t="str">
        <x:v>UBS IBD</x:v>
      </x:c>
      <x:c r="C17" s="30" t="str">
        <x:v>IBD / GCM</x:v>
      </x:c>
      <x:c r="D17" s="31" t="str">
        <x:v>Tell me a time you faced challenges</x:v>
      </x:c>
      <x:c r="E17" s="31" t="str">
        <x:v>Tell me about a challenge, setback, or failure</x:v>
      </x:c>
      <x:c r="F17" s="31" t="str">
        <x:v>Behavioral &amp; Situational</x:v>
      </x:c>
      <x:c r="G17" s="30" t="str">
        <x:v>CL0007</x:v>
      </x:c>
      <x:c r="H17" s="32" t="n">
        <x:f>COUNTIF($G$5:$G$72,G17)</x:f>
        <x:v>12</x:v>
      </x:c>
      <x:c r="I17" s="30" t="str">
        <x:v>D17</x:v>
      </x:c>
      <x:c r="J17" s="31" t="str">
        <x:v>Tell me a time you made a sustainable decision? | Sustainable as in good for your growth (clarified) | Tell me a time you had to make a decision with risks</x:v>
      </x:c>
    </x:row>
    <x:row r="18" ht="48" customHeight="1">
      <x:c r="A18" s="30" t="str">
        <x:v>QB0483</x:v>
      </x:c>
      <x:c r="B18" s="30" t="str">
        <x:v>UBS IBD</x:v>
      </x:c>
      <x:c r="C18" s="30" t="str">
        <x:v>IBD / GCM</x:v>
      </x:c>
      <x:c r="D18" s="31" t="str">
        <x:v>Tell me a time you created an innovative approach to solve a problem</x:v>
      </x:c>
      <x:c r="E18" s="31" t="str">
        <x:v>Tell me a time you created an innovative approach to solve a problem</x:v>
      </x:c>
      <x:c r="F18" s="31" t="str">
        <x:v>Behavioral &amp; Situational</x:v>
      </x:c>
      <x:c r="G18" s="30" t="str">
        <x:v>CL0711</x:v>
      </x:c>
      <x:c r="H18" s="32" t="n">
        <x:f>COUNTIF($G$5:$G$72,G18)</x:f>
        <x:v>1</x:v>
      </x:c>
      <x:c r="I18" s="30" t="str">
        <x:v>D19</x:v>
      </x:c>
      <x:c r="J18" s="31" t="str">
        <x:v>Tell me a time you had to make a decision with risks | Tell me a time you faced challenges | Gold innovative award for BOCHK, what is the comp about</x:v>
      </x:c>
    </x:row>
    <x:row r="19" ht="92" customHeight="1">
      <x:c r="A19" s="30" t="str">
        <x:v>QB0503</x:v>
      </x:c>
      <x:c r="B19" s="30" t="str">
        <x:v>UBS IBD</x:v>
      </x:c>
      <x:c r="C19" s="30" t="str">
        <x:v>IBD / GCM</x:v>
      </x:c>
      <x:c r="D19" s="31" t="str">
        <x:v>considering the continued growth in ASEAN as opposed to the stagnant developments of the Greater China markets, do you think Singapore will overtake HK as an international financial hub in the future? What are the respective strengths and weaknesses of these 2 cities?</x:v>
      </x:c>
      <x:c r="E19" s="31" t="str">
        <x:v>What are your greatest strengths and weaknesses?</x:v>
      </x:c>
      <x:c r="F19" s="31" t="str">
        <x:v>Behavioral &amp; Situational</x:v>
      </x:c>
      <x:c r="G19" s="30" t="str">
        <x:v>CL0025</x:v>
      </x:c>
      <x:c r="H19" s="32" t="n">
        <x:f>COUNTIF($G$5:$G$72,G19)</x:f>
        <x:v>3</x:v>
      </x:c>
      <x:c r="I19" s="30" t="str">
        <x:v>A34</x:v>
      </x:c>
      <x:c r="J19" s="31" t="str">
        <x:v>2025 SA | 1st round | 9 Germaine (webinar with 2 rounds of group discussions)</x:v>
      </x:c>
    </x:row>
    <x:row r="20" ht="118" customHeight="1">
      <x:c r="A20" s="30" t="str">
        <x:v>QB0508</x:v>
      </x:c>
      <x:c r="B20" s="30" t="str">
        <x:v>UBS IBD</x:v>
      </x:c>
      <x:c r="C20" s="30" t="str">
        <x:v>IBD / GCM</x:v>
      </x:c>
      <x:c r="D20" s="31" t="str">
        <x:v>in light of continued challenging developments of china real estate space, what do you think is the medium term impact on the overall chinese economy and ultimately financial markets and companies valuation</x:v>
      </x:c>
      <x:c r="E20" s="31" t="str">
        <x:v>Tell me about a challenge, setback, or failure</x:v>
      </x:c>
      <x:c r="F20" s="31" t="str">
        <x:v>Behavioral &amp; Situational</x:v>
      </x:c>
      <x:c r="G20" s="30" t="str">
        <x:v>CL0007</x:v>
      </x:c>
      <x:c r="H20" s="32" t="n">
        <x:f>COUNTIF($G$5:$G$72,G20)</x:f>
        <x:v>12</x:v>
      </x:c>
      <x:c r="I20" s="30" t="str">
        <x:v>A39</x:v>
      </x:c>
      <x:c r="J20" s="31" t="str">
        <x:v>this year we saw a substantial surge in USD/JPY, until an abrupt correction in July. What do you think is the cause and how do you see this impacting businesses in Japan and financial markets around the world? | please discuss how the US...</x:v>
      </x:c>
    </x:row>
    <x:row r="21" ht="68" customHeight="1">
      <x:c r="A21" s="30" t="str">
        <x:v>QB0530</x:v>
      </x:c>
      <x:c r="B21" s="30" t="str">
        <x:v>UBS IBD</x:v>
      </x:c>
      <x:c r="C21" s="30" t="str">
        <x:v>IBD / GCM</x:v>
      </x:c>
      <x:c r="D21" s="31" t="str">
        <x:v>Tell me about a time where you faced challenges and how you overcame it</x:v>
      </x:c>
      <x:c r="E21" s="31" t="str">
        <x:v>Tell me about a challenge, setback, or failure</x:v>
      </x:c>
      <x:c r="F21" s="31" t="str">
        <x:v>Behavioral &amp; Situational</x:v>
      </x:c>
      <x:c r="G21" s="30" t="str">
        <x:v>CL0007</x:v>
      </x:c>
      <x:c r="H21" s="32" t="n">
        <x:f>COUNTIF($G$5:$G$72,G21)</x:f>
        <x:v>12</x:v>
      </x:c>
      <x:c r="I21" s="30" t="str">
        <x:v>A61</x:v>
      </x:c>
      <x:c r="J21" s="31" t="str">
        <x:v>Basically just asked about each internship experience one by one | PwC ESG Challenge - why this case competition? do you care a lot about ESG? | Why use this competition to know more about ESG?</x:v>
      </x:c>
    </x:row>
    <x:row r="22" ht="92" customHeight="1">
      <x:c r="A22" s="30" t="str">
        <x:v>QB0535</x:v>
      </x:c>
      <x:c r="B22" s="30" t="str">
        <x:v>UBS IBD</x:v>
      </x:c>
      <x:c r="C22" s="30" t="str">
        <x:v>IBD / GCM</x:v>
      </x:c>
      <x:c r="D22" s="31" t="str">
        <x:v>In light of continued challenging situations of internally, say the real estate slump, and externally, say the trade tensions that's impacting the Chinese economy. What do you think is the medium-term impact on the overall Chinese economy. What’s the ultimate impact on financial markets and valuations</x:v>
      </x:c>
      <x:c r="E22" s="31" t="str">
        <x:v>Tell me about a challenge, setback, or failure</x:v>
      </x:c>
      <x:c r="F22" s="31" t="str">
        <x:v>Behavioral &amp; Situational</x:v>
      </x:c>
      <x:c r="G22" s="30" t="str">
        <x:v>CL0007</x:v>
      </x:c>
      <x:c r="H22" s="32" t="n">
        <x:f>COUNTIF($G$5:$G$72,G22)</x:f>
        <x:v>12</x:v>
      </x:c>
      <x:c r="I22" s="30" t="str">
        <x:v>A68</x:v>
      </x:c>
      <x:c r="J22" s="31" t="str">
        <x:v>1st round | 10/18 Kate (webinar with 2 rounds of group discussions) | In light of decent deglobalisation trends, what is your view of the role of HK as a global financial hub going forward</x:v>
      </x:c>
    </x:row>
    <x:row r="23" ht="92" customHeight="1">
      <x:c r="A23" s="30" t="str">
        <x:v>QB0541</x:v>
      </x:c>
      <x:c r="B23" s="30" t="str">
        <x:v>UBS IBD</x:v>
      </x:c>
      <x:c r="C23" s="30" t="str">
        <x:v>IBD / GCM</x:v>
      </x:c>
      <x:c r="D23" s="31" t="str">
        <x:v>What’s your view on digital assets development? If you’re the management team member, what’s your policy in terms of digital assets?</x:v>
      </x:c>
      <x:c r="E23" s="31" t="str">
        <x:v>What’s your view on digital assets development? If you’re the management team member, what’s your policy in terms of digital assets</x:v>
      </x:c>
      <x:c r="F23" s="31" t="str">
        <x:v>Behavioral &amp; Situational</x:v>
      </x:c>
      <x:c r="G23" s="30" t="str">
        <x:v>CL1070</x:v>
      </x:c>
      <x:c r="H23" s="32" t="n">
        <x:f>COUNTIF($G$5:$G$72,G23)</x:f>
        <x:v>1</x:v>
      </x:c>
      <x:c r="I23" s="30" t="str">
        <x:v>A74</x:v>
      </x:c>
      <x:c r="J23" s="31" t="str">
        <x:v>What do you think would be the impact or consequences of tariffs on Asian economies in the short/medium/long term | How would you compare the outlook of starting your career in investment banking v.s. PE/VC? | In current market, what is ...</x:v>
      </x:c>
    </x:row>
    <x:row r="24" ht="68" customHeight="1">
      <x:c r="A24" s="30" t="str">
        <x:v>QB0631</x:v>
      </x:c>
      <x:c r="B24" s="30" t="str">
        <x:v>Deutsche</x:v>
      </x:c>
      <x:c r="C24" s="30" t="str">
        <x:v>IBD / GCM</x:v>
      </x:c>
      <x:c r="D24" s="31" t="str">
        <x:v>雖然你想進M&amp;A，但我覺得妳會適合hk coverage team，你會願意嗎？(i said yes and also asked for permission to show my knowledge in hk ipo deal of DB since when she asked me m&amp;a i said a european deal...)</x:v>
      </x:c>
      <x:c r="E24" s="31" t="str">
        <x:v>雖然你想進M&amp;A，但我覺得妳會適合hk coverage team，你會願意嗎？(i said yes and also asked for permission to show my knowledge in hk ipo deal of DB since when she asked me m&amp;a i said a european deal...)</x:v>
      </x:c>
      <x:c r="F24" s="31" t="str">
        <x:v>Behavioral &amp; Situational</x:v>
      </x:c>
      <x:c r="G24" s="30" t="str">
        <x:v>CL1258</x:v>
      </x:c>
      <x:c r="H24" s="32" t="n">
        <x:f>COUNTIF($G$5:$G$72,G24)</x:f>
        <x:v>1</x:v>
      </x:c>
      <x:c r="I24" s="30" t="str">
        <x:v>C28</x:v>
      </x:c>
      <x:c r="J24" s="31" t="str">
        <x:v>DB的一個M&amp;A Deal | DB有很多客戶是內地的國企，他們有自己不同的工作風格和文化，你覺得身為香港人，你會願意做嗎？還是你比較prefer跟more sophisticated的客戶交流? | 你有特別想進的組嗎？</x:v>
      </x:c>
    </x:row>
    <x:row r="25" ht="48" customHeight="1">
      <x:c r="A25" s="30" t="str">
        <x:v>QB0729</x:v>
      </x:c>
      <x:c r="B25" s="30" t="str">
        <x:v>Deutsche</x:v>
      </x:c>
      <x:c r="C25" s="30" t="str">
        <x:v>IBD / GCM</x:v>
      </x:c>
      <x:c r="D25" s="31" t="str">
        <x:v>Have you ever failed?</x:v>
      </x:c>
      <x:c r="E25" s="31" t="str">
        <x:v>Have you ever failed</x:v>
      </x:c>
      <x:c r="F25" s="31" t="str">
        <x:v>Behavioral &amp; Situational</x:v>
      </x:c>
      <x:c r="G25" s="30" t="str">
        <x:v>CL0363</x:v>
      </x:c>
      <x:c r="H25" s="32" t="n">
        <x:f>COUNTIF($G$5:$G$72,G25)</x:f>
        <x:v>1</x:v>
      </x:c>
      <x:c r="I25" s="30" t="str">
        <x:v>A87</x:v>
      </x:c>
      <x:c r="J25" s="31" t="str">
        <x:v>Why DB | Walk me through one project you did that involved valuation | What multiple did you use</x:v>
      </x:c>
    </x:row>
    <x:row r="26" ht="48" customHeight="1">
      <x:c r="A26" s="30" t="str">
        <x:v>QB0778</x:v>
      </x:c>
      <x:c r="B26" s="30" t="str">
        <x:v>Deutsche</x:v>
      </x:c>
      <x:c r="C26" s="30" t="str">
        <x:v>IBD / GCM</x:v>
      </x:c>
      <x:c r="D26" s="31" t="str">
        <x:v>怎么看待DB这种比较小的team size？和GS之类的大Team相比你认为你更喜欢哪一个</x:v>
      </x:c>
      <x:c r="E26" s="31" t="str">
        <x:v>怎么看待DB这种比较小的team size？和GS之类的大Team相比你认为你更喜欢哪一个</x:v>
      </x:c>
      <x:c r="F26" s="31" t="str">
        <x:v>Behavioral &amp; Situational</x:v>
      </x:c>
      <x:c r="G26" s="30" t="str">
        <x:v>CL1240</x:v>
      </x:c>
      <x:c r="H26" s="32" t="n">
        <x:f>COUNTIF($G$5:$G$72,G26)</x:f>
        <x:v>1</x:v>
      </x:c>
      <x:c r="I26" s="30" t="str">
        <x:v>A117</x:v>
      </x:c>
      <x:c r="J26" s="31" t="str">
        <x:v>Self Intro + Why DB | Why HK (He knows I am from SH so specifically Why HK but not SH) | 怎么看待IBD的long Hours？</x:v>
      </x:c>
    </x:row>
    <x:row r="27" ht="48" customHeight="1">
      <x:c r="A27" s="30" t="str">
        <x:v>QB0780</x:v>
      </x:c>
      <x:c r="B27" s="30" t="str">
        <x:v>Deutsche</x:v>
      </x:c>
      <x:c r="C27" s="30" t="str">
        <x:v>IBD / GCM</x:v>
      </x:c>
      <x:c r="D27" s="31" t="str">
        <x:v>你觉得你的老板会怎么形容你？三个词</x:v>
      </x:c>
      <x:c r="E27" s="31" t="str">
        <x:v>你觉得你的老板会怎么形容你？三个词</x:v>
      </x:c>
      <x:c r="F27" s="31" t="str">
        <x:v>Behavioral &amp; Situational</x:v>
      </x:c>
      <x:c r="G27" s="30" t="str">
        <x:v>CL1230</x:v>
      </x:c>
      <x:c r="H27" s="32" t="n">
        <x:f>COUNTIF($G$5:$G$72,G27)</x:f>
        <x:v>1</x:v>
      </x:c>
      <x:c r="I27" s="30" t="str">
        <x:v>A118</x:v>
      </x:c>
      <x:c r="J27" s="31" t="str">
        <x:v>Why HK (He knows I am from SH so specifically Why HK but not SH) | 怎么看待IBD的long Hours？ | 怎么看待DB这种比较小的team size？和GS之类的大Team相比你认为你更喜欢哪一个</x:v>
      </x:c>
    </x:row>
    <x:row r="28" ht="32" customHeight="1">
      <x:c r="A28" s="30" t="str">
        <x:v>QB0782</x:v>
      </x:c>
      <x:c r="B28" s="30" t="str">
        <x:v>Deutsche</x:v>
      </x:c>
      <x:c r="C28" s="30" t="str">
        <x:v>IBD / GCM</x:v>
      </x:c>
      <x:c r="D28" s="31" t="str">
        <x:v>最大的缺点是什么？</x:v>
      </x:c>
      <x:c r="E28" s="31" t="str">
        <x:v>最大的缺点是什么</x:v>
      </x:c>
      <x:c r="F28" s="31" t="str">
        <x:v>Behavioral &amp; Situational</x:v>
      </x:c>
      <x:c r="G28" s="30" t="str">
        <x:v>CL1233</x:v>
      </x:c>
      <x:c r="H28" s="32" t="n">
        <x:f>COUNTIF($G$5:$G$72,G28)</x:f>
        <x:v>1</x:v>
      </x:c>
      <x:c r="I28" s="30" t="str">
        <x:v>A119</x:v>
      </x:c>
      <x:c r="J28" s="31" t="str">
        <x:v>怎么看待IBD的long Hours？ | 怎么看待DB这种比较小的team size？和GS之类的大Team相比你认为你更喜欢哪一个 | 你觉得你的老板会怎么形容你？三个词</x:v>
      </x:c>
    </x:row>
    <x:row r="29" ht="48" customHeight="1">
      <x:c r="A29" s="30" t="str">
        <x:v>QB0810</x:v>
      </x:c>
      <x:c r="B29" s="30" t="str">
        <x:v>Deutsche</x:v>
      </x:c>
      <x:c r="C29" s="30" t="str">
        <x:v>IBD / GCM</x:v>
      </x:c>
      <x:c r="D29" s="31" t="str">
        <x:v>Tell me about the robotics team ( I kinda emphasize that when answering the first question...)</x:v>
      </x:c>
      <x:c r="E29" s="31" t="str">
        <x:v>Tell me about the robotics team ( I kinda emphasize that when answering the first question...)</x:v>
      </x:c>
      <x:c r="F29" s="31" t="str">
        <x:v>Behavioral &amp; Situational</x:v>
      </x:c>
      <x:c r="G29" s="30" t="str">
        <x:v>CL0745</x:v>
      </x:c>
      <x:c r="H29" s="32" t="n">
        <x:f>COUNTIF($G$5:$G$72,G29)</x:f>
        <x:v>1</x:v>
      </x:c>
      <x:c r="I29" s="30" t="str">
        <x:v>A139</x:v>
      </x:c>
      <x:c r="J29" s="31" t="str">
        <x:v>Walk me through your resume | 2 Cases did in PEI - what did you do?, valuation, multiples | 1 Case did in previous internship - what did you do</x:v>
      </x:c>
    </x:row>
    <x:row r="30" ht="32" customHeight="1">
      <x:c r="A30" s="30" t="str">
        <x:v>QB0835</x:v>
      </x:c>
      <x:c r="B30" s="30" t="str">
        <x:v>Deutsche</x:v>
      </x:c>
      <x:c r="C30" s="30" t="str">
        <x:v>IBD / GCM</x:v>
      </x:c>
      <x:c r="D30" s="31" t="str">
        <x:v>Tell me a challenge - what is your biggest takeaway</x:v>
      </x:c>
      <x:c r="E30" s="31" t="str">
        <x:v>Tell me about a challenge, setback, or failure</x:v>
      </x:c>
      <x:c r="F30" s="31" t="str">
        <x:v>Behavioral &amp; Situational</x:v>
      </x:c>
      <x:c r="G30" s="30" t="str">
        <x:v>CL0007</x:v>
      </x:c>
      <x:c r="H30" s="32" t="n">
        <x:f>COUNTIF($G$5:$G$72,G30)</x:f>
        <x:v>12</x:v>
      </x:c>
      <x:c r="I30" s="30" t="str">
        <x:v>A155</x:v>
      </x:c>
      <x:c r="J30" s="31" t="str">
        <x:v>Why DB | Why Hong Kong | Why investment banking</x:v>
      </x:c>
    </x:row>
    <x:row r="31" ht="48" customHeight="1">
      <x:c r="A31" s="30" t="str">
        <x:v>QB0842</x:v>
      </x:c>
      <x:c r="B31" s="30" t="str">
        <x:v>Deutsche</x:v>
      </x:c>
      <x:c r="C31" s="30" t="str">
        <x:v>IBD / GCM</x:v>
      </x:c>
      <x:c r="D31" s="31" t="str">
        <x:v>How to manage ddl conflict</x:v>
      </x:c>
      <x:c r="E31" s="31" t="str">
        <x:v>How to manage ddl conflict</x:v>
      </x:c>
      <x:c r="F31" s="31" t="str">
        <x:v>Behavioral &amp; Situational</x:v>
      </x:c>
      <x:c r="G31" s="30" t="str">
        <x:v>CL0479</x:v>
      </x:c>
      <x:c r="H31" s="32" t="n">
        <x:f>COUNTIF($G$5:$G$72,G31)</x:f>
        <x:v>1</x:v>
      </x:c>
      <x:c r="I31" s="30" t="str">
        <x:v>A159</x:v>
      </x:c>
      <x:c r="J31" s="31" t="str">
        <x:v>Strength and weakness | Tell me a time you noticed a mistake and what did you do | How do you split work</x:v>
      </x:c>
    </x:row>
    <x:row r="32" ht="32" customHeight="1">
      <x:c r="A32" s="30" t="str">
        <x:v>QB0878</x:v>
      </x:c>
      <x:c r="B32" s="30" t="str">
        <x:v>Citi</x:v>
      </x:c>
      <x:c r="C32" s="30" t="str">
        <x:v>IBD / GCM</x:v>
      </x:c>
      <x:c r="D32" s="31" t="str">
        <x:v>What's your biggest strength compared to all your competitors?</x:v>
      </x:c>
      <x:c r="E32" s="31" t="str">
        <x:v>What is your biggest strength / weakness?</x:v>
      </x:c>
      <x:c r="F32" s="31" t="str">
        <x:v>Behavioral &amp; Situational</x:v>
      </x:c>
      <x:c r="G32" s="30" t="str">
        <x:v>CL0027</x:v>
      </x:c>
      <x:c r="H32" s="32" t="n">
        <x:f>COUNTIF($G$5:$G$72,G32)</x:f>
        <x:v>3</x:v>
      </x:c>
      <x:c r="I32" s="30" t="str">
        <x:v>B16</x:v>
      </x:c>
      <x:c r="J32" s="31" t="str">
        <x:v>Self Intro | Why IBD | Why Citi</x:v>
      </x:c>
    </x:row>
    <x:row r="33" ht="48" customHeight="1">
      <x:c r="A33" s="30" t="str">
        <x:v>QB0879</x:v>
      </x:c>
      <x:c r="B33" s="30" t="str">
        <x:v>Citi</x:v>
      </x:c>
      <x:c r="C33" s="30" t="str">
        <x:v>IBD / GCM</x:v>
      </x:c>
      <x:c r="D33" s="31" t="str">
        <x:v>What if someone in your team is not performing as expected (like in that case), how do you deal with it?</x:v>
      </x:c>
      <x:c r="E33" s="31" t="str">
        <x:v>What if someone in your team is not performing as expected (like in that case), how do you deal with it</x:v>
      </x:c>
      <x:c r="F33" s="31" t="str">
        <x:v>Behavioral &amp; Situational</x:v>
      </x:c>
      <x:c r="G33" s="30" t="str">
        <x:v>CL0954</x:v>
      </x:c>
      <x:c r="H33" s="32" t="n">
        <x:f>COUNTIF($G$5:$G$72,G33)</x:f>
        <x:v>1</x:v>
      </x:c>
      <x:c r="I33" s="30" t="str">
        <x:v>B17</x:v>
      </x:c>
      <x:c r="J33" s="31" t="str">
        <x:v>Why IBD | Why Citi | What's your biggest strength compared to all your competitors?</x:v>
      </x:c>
    </x:row>
    <x:row r="34" ht="68" customHeight="1">
      <x:c r="A34" s="30" t="str">
        <x:v>QB0880</x:v>
      </x:c>
      <x:c r="B34" s="30" t="str">
        <x:v>Citi</x:v>
      </x:c>
      <x:c r="C34" s="30" t="str">
        <x:v>IBD / GCM</x:v>
      </x:c>
      <x:c r="D34" s="31" t="str">
        <x:v>Tell me a time your worked in a team and you faced a challenge, how did you deal with it?</x:v>
      </x:c>
      <x:c r="E34" s="31" t="str">
        <x:v>Tell me about a challenge, setback, or failure</x:v>
      </x:c>
      <x:c r="F34" s="31" t="str">
        <x:v>Behavioral &amp; Situational</x:v>
      </x:c>
      <x:c r="G34" s="30" t="str">
        <x:v>CL0007</x:v>
      </x:c>
      <x:c r="H34" s="32" t="n">
        <x:f>COUNTIF($G$5:$G$72,G34)</x:f>
        <x:v>12</x:v>
      </x:c>
      <x:c r="I34" s="30" t="str">
        <x:v>B18</x:v>
      </x:c>
      <x:c r="J34" s="31" t="str">
        <x:v>Why Citi | What's your biggest strength compared to all your competitors? | What if someone in your team is not performing as expected (like in that case), how do you deal with it?</x:v>
      </x:c>
    </x:row>
    <x:row r="35" ht="92" customHeight="1">
      <x:c r="A35" s="30" t="str">
        <x:v>QB0882</x:v>
      </x:c>
      <x:c r="B35" s="30" t="str">
        <x:v>Citi</x:v>
      </x:c>
      <x:c r="C35" s="30" t="str">
        <x:v>IBD / GCM</x:v>
      </x:c>
      <x:c r="D35" s="31" t="str">
        <x:v>The work in investment bank is very stressful and demanding, with concurrent demands from supervisors, how do you deal with that?</x:v>
      </x:c>
      <x:c r="E35" s="31" t="str">
        <x:v>The work in investment bank is very stressful and demanding, with concurrent demands from supervisors, how do you deal with that</x:v>
      </x:c>
      <x:c r="F35" s="31" t="str">
        <x:v>Behavioral &amp; Situational</x:v>
      </x:c>
      <x:c r="G35" s="30" t="str">
        <x:v>CL0784</x:v>
      </x:c>
      <x:c r="H35" s="32" t="n">
        <x:f>COUNTIF($G$5:$G$72,G35)</x:f>
        <x:v>1</x:v>
      </x:c>
      <x:c r="I35" s="30" t="str">
        <x:v>B20</x:v>
      </x:c>
      <x:c r="J35" s="31" t="str">
        <x:v>What if someone in your team is not performing as expected (like in that case), how do you deal with it? | Tell me a time your worked in a team and you faced a challenge, how did you deal with it? | There's a steep learning curve in inve...</x:v>
      </x:c>
    </x:row>
    <x:row r="36" ht="48" customHeight="1">
      <x:c r="A36" s="30" t="str">
        <x:v>QB0920</x:v>
      </x:c>
      <x:c r="B36" s="30" t="str">
        <x:v>Citi</x:v>
      </x:c>
      <x:c r="C36" s="30" t="str">
        <x:v>IBD / GCM</x:v>
      </x:c>
      <x:c r="D36" s="31" t="str">
        <x:v>Don’t be aggressive, I personally answered 3 to 4 questions, and didn’t answer the most difficult LBO question, but still got into the 2nd round interview</x:v>
      </x:c>
      <x:c r="E36" s="31" t="str">
        <x:v>Don’t be aggressive, I personally answered 3 to 4 questions, and didn’t answer the most difficult LBO question, but still got into the 2nd round interview</x:v>
      </x:c>
      <x:c r="F36" s="31" t="str">
        <x:v>Behavioral &amp; Situational</x:v>
      </x:c>
      <x:c r="G36" s="30" t="str">
        <x:v>CL0303</x:v>
      </x:c>
      <x:c r="H36" s="32" t="n">
        <x:f>COUNTIF($G$5:$G$72,G36)</x:f>
        <x:v>1</x:v>
      </x:c>
      <x:c r="I36" s="30" t="str">
        <x:v>A89</x:v>
      </x:c>
      <x:c r="J36" s="31" t="str">
        <x:v>Technical questions: | Race to be the first to answer | Questions range from easiest 3-statement questions to LBO model, widely covered but not so deep</x:v>
      </x:c>
    </x:row>
    <x:row r="37" ht="48" customHeight="1">
      <x:c r="A37" s="30" t="str">
        <x:v>QB0950</x:v>
      </x:c>
      <x:c r="B37" s="30" t="str">
        <x:v>Barclays</x:v>
      </x:c>
      <x:c r="C37" s="30" t="str">
        <x:v>IBD / GCM</x:v>
      </x:c>
      <x:c r="D37" s="31" t="str">
        <x:v>What are your strengths?</x:v>
      </x:c>
      <x:c r="E37" s="31" t="str">
        <x:v>What are your strengths</x:v>
      </x:c>
      <x:c r="F37" s="31" t="str">
        <x:v>Behavioral &amp; Situational</x:v>
      </x:c>
      <x:c r="G37" s="30" t="str">
        <x:v>CL0887</x:v>
      </x:c>
      <x:c r="H37" s="32" t="n">
        <x:f>COUNTIF($G$5:$G$72,G37)</x:f>
        <x:v>1</x:v>
      </x:c>
      <x:c r="I37" s="30" t="str">
        <x:v>A7</x:v>
      </x:c>
      <x:c r="J37" s="31" t="str">
        <x:v>Self intro: walk me through your experiences | Why IBD and why Barclays | How do you manage risks?</x:v>
      </x:c>
    </x:row>
    <x:row r="38" ht="68" customHeight="1">
      <x:c r="A38" s="30" t="str">
        <x:v>QB0967</x:v>
      </x:c>
      <x:c r="B38" s="30" t="str">
        <x:v>Barclays</x:v>
      </x:c>
      <x:c r="C38" s="30" t="str">
        <x:v>IBD / GCM</x:v>
      </x:c>
      <x:c r="D38" s="31" t="str">
        <x:v>Views are conflicting for the effect on ESG investing, what are your views?</x:v>
      </x:c>
      <x:c r="E38" s="31" t="str">
        <x:v>Views are conflicting for the effect on ESG investing, what are your views</x:v>
      </x:c>
      <x:c r="F38" s="31" t="str">
        <x:v>Behavioral &amp; Situational</x:v>
      </x:c>
      <x:c r="G38" s="30" t="str">
        <x:v>CL0815</x:v>
      </x:c>
      <x:c r="H38" s="32" t="n">
        <x:f>COUNTIF($G$5:$G$72,G38)</x:f>
        <x:v>1</x:v>
      </x:c>
      <x:c r="I38" s="30" t="str">
        <x:v>C11</x:v>
      </x:c>
      <x:c r="J38" s="31" t="str">
        <x:v>Tell me more about ESG and what’s your view on it? | Tell me more about S and G since it is not really viewed upon a lot by others | Tell me ESG in the investing perspective</x:v>
      </x:c>
    </x:row>
    <x:row r="39" ht="48" customHeight="1">
      <x:c r="A39" s="30" t="str">
        <x:v>QB0989</x:v>
      </x:c>
      <x:c r="B39" s="30" t="str">
        <x:v>Barclays</x:v>
      </x:c>
      <x:c r="C39" s="30" t="str">
        <x:v>IBD / GCM</x:v>
      </x:c>
      <x:c r="D39" s="31" t="str">
        <x:v>What is the biggest challenge you've faced</x:v>
      </x:c>
      <x:c r="E39" s="31" t="str">
        <x:v>Tell me about a challenge, setback, or failure</x:v>
      </x:c>
      <x:c r="F39" s="31" t="str">
        <x:v>Behavioral &amp; Situational</x:v>
      </x:c>
      <x:c r="G39" s="30" t="str">
        <x:v>CL0007</x:v>
      </x:c>
      <x:c r="H39" s="32" t="n">
        <x:f>COUNTIF($G$5:$G$72,G39)</x:f>
        <x:v>12</x:v>
      </x:c>
      <x:c r="I39" s="30" t="str">
        <x:v>G18</x:v>
      </x:c>
      <x:c r="J39" s="31" t="str">
        <x:v>Why Barclays and why IBD | Pre-IPO deal, what you did | Outlook for the company, investment thesis, company overview</x:v>
      </x:c>
    </x:row>
    <x:row r="40" ht="48" customHeight="1">
      <x:c r="A40" s="30" t="str">
        <x:v>QB0992</x:v>
      </x:c>
      <x:c r="B40" s="30" t="str">
        <x:v>Barclays</x:v>
      </x:c>
      <x:c r="C40" s="30" t="str">
        <x:v>IBD / GCM</x:v>
      </x:c>
      <x:c r="D40" s="31" t="str">
        <x:v>which team in barclays</x:v>
      </x:c>
      <x:c r="E40" s="31" t="str">
        <x:v>Which team in barclays</x:v>
      </x:c>
      <x:c r="F40" s="31" t="str">
        <x:v>Behavioral &amp; Situational</x:v>
      </x:c>
      <x:c r="G40" s="30" t="str">
        <x:v>CL1104</x:v>
      </x:c>
      <x:c r="H40" s="32" t="n">
        <x:f>COUNTIF($G$5:$G$72,G40)</x:f>
        <x:v>1</x:v>
      </x:c>
      <x:c r="I40" s="30" t="str">
        <x:v>E19</x:v>
      </x:c>
      <x:c r="J40" s="31" t="str">
        <x:v>where did you go to school in gz? (in chinese) | any questions | Michael (more behavioural)</x:v>
      </x:c>
    </x:row>
    <x:row r="41" ht="48" customHeight="1">
      <x:c r="A41" s="30" t="str">
        <x:v>QB0998</x:v>
      </x:c>
      <x:c r="B41" s="30" t="str">
        <x:v>Barclays</x:v>
      </x:c>
      <x:c r="C41" s="30" t="str">
        <x:v>IBD / GCM</x:v>
      </x:c>
      <x:c r="D41" s="31" t="str">
        <x:v>Walk me through your most recent case comp. Team dynamic? Role? Valuation? - deep dive</x:v>
      </x:c>
      <x:c r="E41" s="31" t="str">
        <x:v>Walk me through your most recent case comp. Team dynamic? Role? Valuation? - deep dive</x:v>
      </x:c>
      <x:c r="F41" s="31" t="str">
        <x:v>Behavioral &amp; Situational</x:v>
      </x:c>
      <x:c r="G41" s="30" t="str">
        <x:v>CL0842</x:v>
      </x:c>
      <x:c r="H41" s="32" t="n">
        <x:f>COUNTIF($G$5:$G$72,G41)</x:f>
        <x:v>1</x:v>
      </x:c>
      <x:c r="I41" s="30" t="str">
        <x:v>C21</x:v>
      </x:c>
      <x:c r="J41" s="31" t="str">
        <x:v>Barclays R2 - Alice Sun | Tell me about your self | Why start your career in Hong Kong and not US/EU?</x:v>
      </x:c>
    </x:row>
    <x:row r="42" ht="32" customHeight="1">
      <x:c r="A42" s="30" t="str">
        <x:v>QB1001</x:v>
      </x:c>
      <x:c r="B42" s="30" t="str">
        <x:v>Barclays</x:v>
      </x:c>
      <x:c r="C42" s="30" t="str">
        <x:v>IBD / GCM</x:v>
      </x:c>
      <x:c r="D42" s="31" t="str">
        <x:v>tell me about a time you faced a challenge</x:v>
      </x:c>
      <x:c r="E42" s="31" t="str">
        <x:v>Tell me about a challenge, setback, or failure</x:v>
      </x:c>
      <x:c r="F42" s="31" t="str">
        <x:v>Behavioral &amp; Situational</x:v>
      </x:c>
      <x:c r="G42" s="30" t="str">
        <x:v>CL0007</x:v>
      </x:c>
      <x:c r="H42" s="32" t="n">
        <x:f>COUNTIF($G$5:$G$72,G42)</x:f>
        <x:v>12</x:v>
      </x:c>
      <x:c r="I42" s="30" t="str">
        <x:v>E22</x:v>
      </x:c>
      <x:c r="J42" s="31" t="str">
        <x:v>which team in barclays | walk me through a deal | why barclays</x:v>
      </x:c>
    </x:row>
    <x:row r="43" ht="48" customHeight="1">
      <x:c r="A43" s="30" t="str">
        <x:v>QB1033</x:v>
      </x:c>
      <x:c r="B43" s="30" t="str">
        <x:v>Barclays</x:v>
      </x:c>
      <x:c r="C43" s="30" t="str">
        <x:v>IBD / GCM</x:v>
      </x:c>
      <x:c r="D43" s="31" t="str">
        <x:v>What’s your biggest weakness compared to other candidates</x:v>
      </x:c>
      <x:c r="E43" s="31" t="str">
        <x:v>What is your biggest strength / weakness?</x:v>
      </x:c>
      <x:c r="F43" s="31" t="str">
        <x:v>Behavioral &amp; Situational</x:v>
      </x:c>
      <x:c r="G43" s="30" t="str">
        <x:v>CL0027</x:v>
      </x:c>
      <x:c r="H43" s="32" t="n">
        <x:f>COUNTIF($G$5:$G$72,G43)</x:f>
        <x:v>3</x:v>
      </x:c>
      <x:c r="I43" s="30" t="str">
        <x:v>G33</x:v>
      </x:c>
      <x:c r="J43" s="31" t="str">
        <x:v>What’s special about PUI? | How do you get enterprise value from levered fcf | How did you do the model for your equity research internship</x:v>
      </x:c>
    </x:row>
    <x:row r="44" ht="48" customHeight="1">
      <x:c r="A44" s="30" t="str">
        <x:v>QB1062</x:v>
      </x:c>
      <x:c r="B44" s="30" t="str">
        <x:v>Barclays</x:v>
      </x:c>
      <x:c r="C44" s="30" t="str">
        <x:v>IBD / GCM</x:v>
      </x:c>
      <x:c r="D44" s="31" t="str">
        <x:v>Tell me about a time you encounter difficulty?</x:v>
      </x:c>
      <x:c r="E44" s="31" t="str">
        <x:v>Tell me about a time you encounter difficulty</x:v>
      </x:c>
      <x:c r="F44" s="31" t="str">
        <x:v>Behavioral &amp; Situational</x:v>
      </x:c>
      <x:c r="G44" s="30" t="str">
        <x:v>CL0733</x:v>
      </x:c>
      <x:c r="H44" s="32" t="n">
        <x:f>COUNTIF($G$5:$G$72,G44)</x:f>
        <x:v>1</x:v>
      </x:c>
      <x:c r="I44" s="30" t="str">
        <x:v>A50</x:v>
      </x:c>
      <x:c r="J44" s="31" t="str">
        <x:v>Self Intro | Why Barclays? | What did you learn from past intern experience? What do you think you will be doing if admitted to the program?</x:v>
      </x:c>
    </x:row>
    <x:row r="45" ht="32" customHeight="1">
      <x:c r="A45" s="30" t="str">
        <x:v>QB1081</x:v>
      </x:c>
      <x:c r="B45" s="30" t="str">
        <x:v>Barclays</x:v>
      </x:c>
      <x:c r="C45" s="30" t="str">
        <x:v>IBD / GCM</x:v>
      </x:c>
      <x:c r="D45" s="31" t="str">
        <x:v>how would your colleague describe you and what are your areas of improvement</x:v>
      </x:c>
      <x:c r="E45" s="31" t="str">
        <x:v>How would your colleague describe you and what are your areas of improvement</x:v>
      </x:c>
      <x:c r="F45" s="31" t="str">
        <x:v>Behavioral &amp; Situational</x:v>
      </x:c>
      <x:c r="G45" s="30" t="str">
        <x:v>CL0501</x:v>
      </x:c>
      <x:c r="H45" s="32" t="n">
        <x:f>COUNTIF($G$5:$G$72,G45)</x:f>
        <x:v>1</x:v>
      </x:c>
      <x:c r="I45" s="30" t="str">
        <x:v>A62</x:v>
      </x:c>
      <x:c r="J45" s="31" t="str">
        <x:v>Self intro | Your work in TR | Industry trend, comps</x:v>
      </x:c>
    </x:row>
    <x:row r="46" ht="48" customHeight="1">
      <x:c r="A46" s="30" t="str">
        <x:v>QB1094</x:v>
      </x:c>
      <x:c r="B46" s="30" t="str">
        <x:v>Barclays</x:v>
      </x:c>
      <x:c r="C46" s="30" t="str">
        <x:v>IBD / GCM</x:v>
      </x:c>
      <x:c r="D46" s="31" t="str">
        <x:v>tell me about your sports jouney/ or any difficulty you’ve encountered</x:v>
      </x:c>
      <x:c r="E46" s="31" t="str">
        <x:v>Tell me about your sports jouney/ or any difficulty you’ve encountered</x:v>
      </x:c>
      <x:c r="F46" s="31" t="str">
        <x:v>Behavioral &amp; Situational</x:v>
      </x:c>
      <x:c r="G46" s="30" t="str">
        <x:v>CL0756</x:v>
      </x:c>
      <x:c r="H46" s="32" t="n">
        <x:f>COUNTIF($G$5:$G$72,G46)</x:f>
        <x:v>1</x:v>
      </x:c>
      <x:c r="I46" s="30" t="str">
        <x:v>C68</x:v>
      </x:c>
      <x:c r="J46" s="31" t="str">
        <x:v>how to get enterprise value and what does it mean | tell me about the dcf you did for the esport company | any other valuation method aside dcf</x:v>
      </x:c>
    </x:row>
    <x:row r="47" ht="32" customHeight="1">
      <x:c r="A47" s="30" t="str">
        <x:v>QB1135</x:v>
      </x:c>
      <x:c r="B47" s="30" t="str">
        <x:v>Barclays</x:v>
      </x:c>
      <x:c r="C47" s="30" t="str">
        <x:v>IBD / GCM</x:v>
      </x:c>
      <x:c r="D47" s="31" t="str">
        <x:v>(During the written test round they said it's for Capital Markets Team though)</x:v>
      </x:c>
      <x:c r="E47" s="31" t="str">
        <x:v>(During the written test round they said it's for Capital Markets Team though)</x:v>
      </x:c>
      <x:c r="F47" s="31" t="str">
        <x:v>Behavioral &amp; Situational</x:v>
      </x:c>
      <x:c r="G47" s="30" t="str">
        <x:v>CL0054</x:v>
      </x:c>
      <x:c r="H47" s="32" t="n">
        <x:f>COUNTIF($G$5:$G$72,G47)</x:f>
        <x:v>1</x:v>
      </x:c>
      <x:c r="I47" s="30" t="str">
        <x:v>A92</x:v>
      </x:c>
      <x:c r="J47" s="31" t="str">
        <x:v>How many FED meeting are left in the year | Questions | 2026 IBD Grad (Beata)</x:v>
      </x:c>
    </x:row>
    <x:row r="48" ht="92" customHeight="1">
      <x:c r="A48" s="30" t="str">
        <x:v>QB1281</x:v>
      </x:c>
      <x:c r="B48" s="30" t="str">
        <x:v>Bofa IBD</x:v>
      </x:c>
      <x:c r="C48" s="30" t="str">
        <x:v>IBD / GCM</x:v>
      </x:c>
      <x:c r="D48" s="31" t="str">
        <x:v>8 jsa question, team 1 gave u a job, needa finish 12am. when working till 9pm, team b md gave you another project to do. also needa finish 12am. what would you do?</x:v>
      </x:c>
      <x:c r="E48" s="31" t="str">
        <x:v>8 jsa question, team 1 gave u a job, needa finish 12am. when working till 9pm, team b md gave you another project to do. also needa finish 12am. what would you do</x:v>
      </x:c>
      <x:c r="F48" s="31" t="str">
        <x:v>Behavioral &amp; Situational</x:v>
      </x:c>
      <x:c r="G48" s="30" t="str">
        <x:v>CL0087</x:v>
      </x:c>
      <x:c r="H48" s="32" t="n">
        <x:f>COUNTIF($G$5:$G$72,G48)</x:f>
        <x:v>1</x:v>
      </x:c>
      <x:c r="I48" s="30" t="str">
        <x:v>E12</x:v>
      </x:c>
      <x:c r="J48" s="31" t="str">
        <x:v>6any valuation job before? tell me difference between different valuation mathod, (basically pros and cons) | 7how 3 statement changed if there will be minority interest? | 8 ev question, can equity value be negative? difference between ...</x:v>
      </x:c>
    </x:row>
    <x:row r="49" ht="118" customHeight="1">
      <x:c r="A49" s="30" t="str">
        <x:v>QB1386</x:v>
      </x:c>
      <x:c r="B49" s="30" t="str">
        <x:v>Bofa IBD</x:v>
      </x:c>
      <x:c r="C49" s="30" t="str">
        <x:v>IBD / GCM</x:v>
      </x:c>
      <x:c r="D49" s="31" t="str">
        <x:v>16 2nd Round Yining, ED China Team &amp; Chelsy(?) TMT</x:v>
      </x:c>
      <x:c r="E49" s="31" t="str">
        <x:v>16 2nd Round Yining, ED China Team &amp; Chelsy(?) TMT</x:v>
      </x:c>
      <x:c r="F49" s="31" t="str">
        <x:v>Behavioral &amp; Situational</x:v>
      </x:c>
      <x:c r="G49" s="30" t="str">
        <x:v>CL0066</x:v>
      </x:c>
      <x:c r="H49" s="32" t="n">
        <x:f>COUNTIF($G$5:$G$72,G49)</x:f>
        <x:v>1</x:v>
      </x:c>
      <x:c r="I49" s="30" t="str">
        <x:v>A90</x:v>
      </x:c>
      <x:c r="J49" s="31" t="str">
        <x:v>Any protection if indian premium collapse in the future, how would you plan to save the valuation? | How do you project the growth rate for revenues given you brokedown revenue by single client account? | A company has two shareholders, ...</x:v>
      </x:c>
    </x:row>
    <x:row r="50" ht="48" customHeight="1">
      <x:c r="A50" s="30" t="str">
        <x:v>QB1667</x:v>
      </x:c>
      <x:c r="B50" s="30" t="str">
        <x:v>Jefferies</x:v>
      </x:c>
      <x:c r="C50" s="30" t="str">
        <x:v>IBD / GCM</x:v>
      </x:c>
      <x:c r="D50" s="31" t="str">
        <x:v>l He’s from TMT team so he’s interested in the OTA project as well</x:v>
      </x:c>
      <x:c r="E50" s="31" t="str">
        <x:v>L He’s from TMT team so he’s interested in the OTA project as well</x:v>
      </x:c>
      <x:c r="F50" s="31" t="str">
        <x:v>Behavioral &amp; Situational</x:v>
      </x:c>
      <x:c r="G50" s="30" t="str">
        <x:v>CL0577</x:v>
      </x:c>
      <x:c r="H50" s="32" t="n">
        <x:f>COUNTIF($G$5:$G$72,G50)</x:f>
        <x:v>1</x:v>
      </x:c>
      <x:c r="I50" s="30" t="str">
        <x:v>C39</x:v>
      </x:c>
      <x:c r="J50" s="31" t="str">
        <x:v>l Progress with other banks? Is Jefferies your top preference? | l Mandarin for the rest | l Share a work you’ve done in BNP</x:v>
      </x:c>
    </x:row>
    <x:row r="51" ht="68" customHeight="1">
      <x:c r="A51" s="30" t="str">
        <x:v>QB1851</x:v>
      </x:c>
      <x:c r="B51" s="30" t="str">
        <x:v>HSBC</x:v>
      </x:c>
      <x:c r="C51" s="30" t="str">
        <x:v>IBD / GCM</x:v>
      </x:c>
      <x:c r="D51" s="31" t="str">
        <x:v>(i said i was the only intern so no team) then tell me a time when you work INDEPENDENTLY</x:v>
      </x:c>
      <x:c r="E51" s="31" t="str">
        <x:v>(i said i was the only intern so no team) then tell me a time when you work INDEPENDENTLY</x:v>
      </x:c>
      <x:c r="F51" s="31" t="str">
        <x:v>Behavioral &amp; Situational</x:v>
      </x:c>
      <x:c r="G51" s="30" t="str">
        <x:v>CL0059</x:v>
      </x:c>
      <x:c r="H51" s="32" t="n">
        <x:f>COUNTIF($G$5:$G$72,G51)</x:f>
        <x:v>1</x:v>
      </x:c>
      <x:c r="I51" s="30" t="str">
        <x:v>A19</x:v>
      </x:c>
      <x:c r="J51" s="31" t="str">
        <x:v>last time when you worked in a diverse team | (cut and said) why are you always mentioning about the things a year ago | (i said a case comp this summer) why dont you tell me your recent internships</x:v>
      </x:c>
    </x:row>
    <x:row r="52" ht="68" customHeight="1">
      <x:c r="A52" s="30" t="str">
        <x:v>QB1858</x:v>
      </x:c>
      <x:c r="B52" s="30" t="str">
        <x:v>HSBC</x:v>
      </x:c>
      <x:c r="C52" s="30" t="str">
        <x:v>IBD / GCM</x:v>
      </x:c>
      <x:c r="D52" s="31" t="str">
        <x:v>What's your biggest weakness</x:v>
      </x:c>
      <x:c r="E52" s="31" t="str">
        <x:v>What is your biggest strength / weakness?</x:v>
      </x:c>
      <x:c r="F52" s="31" t="str">
        <x:v>Behavioral &amp; Situational</x:v>
      </x:c>
      <x:c r="G52" s="30" t="str">
        <x:v>CL0027</x:v>
      </x:c>
      <x:c r="H52" s="32" t="n">
        <x:f>COUNTIF($G$5:$G$72,G52)</x:f>
        <x:v>3</x:v>
      </x:c>
      <x:c r="I52" s="30" t="str">
        <x:v>C21</x:v>
      </x:c>
      <x:c r="J52" s="31" t="str">
        <x:v>Debt vs equity (not sure if she asked) | beta for tech companies | Do you think it's cheaper for Tech companies like Alibaba and Tencent to raise funds or bluechip companies</x:v>
      </x:c>
    </x:row>
    <x:row r="53" ht="68" customHeight="1">
      <x:c r="A53" s="30" t="str">
        <x:v>QB1928</x:v>
      </x:c>
      <x:c r="B53" s="30" t="str">
        <x:v>Lazard</x:v>
      </x:c>
      <x:c r="C53" s="30" t="str">
        <x:v>IBD / GCM</x:v>
      </x:c>
      <x:c r="D53" s="31" t="str">
        <x:v>What was the team structure of my previous firm like, do I engage with overseas team as well?</x:v>
      </x:c>
      <x:c r="E53" s="31" t="str">
        <x:v>What was the team structure of my previous firm like, do I engage with overseas team as well</x:v>
      </x:c>
      <x:c r="F53" s="31" t="str">
        <x:v>Behavioral &amp; Situational</x:v>
      </x:c>
      <x:c r="G53" s="30" t="str">
        <x:v>CL1036</x:v>
      </x:c>
      <x:c r="H53" s="32" t="n">
        <x:f>COUNTIF($G$5:$G$72,G53)</x:f>
        <x:v>1</x:v>
      </x:c>
      <x:c r="I53" s="30" t="str">
        <x:v>C24</x:v>
      </x:c>
      <x:c r="J53" s="31" t="str">
        <x:v>What part of CIM I did? How long have you stayed in this company and how long does the CIM takes | What is the part of IBD work that I love the most and hate the most | % of working on live deals and % of working on regular works</x:v>
      </x:c>
    </x:row>
    <x:row r="54" ht="32" customHeight="1">
      <x:c r="A54" s="30" t="str">
        <x:v>QB1968</x:v>
      </x:c>
      <x:c r="B54" s="30" t="str">
        <x:v>Lazard</x:v>
      </x:c>
      <x:c r="C54" s="30" t="str">
        <x:v>IBD / GCM</x:v>
      </x:c>
      <x:c r="D54" s="31" t="str">
        <x:v>Transaction comps - key priorities?</x:v>
      </x:c>
      <x:c r="E54" s="31" t="str">
        <x:v>Transaction comps - key priorities</x:v>
      </x:c>
      <x:c r="F54" s="31" t="str">
        <x:v>Behavioral &amp; Situational</x:v>
      </x:c>
      <x:c r="G54" s="30" t="str">
        <x:v>CL0802</x:v>
      </x:c>
      <x:c r="H54" s="32" t="n">
        <x:f>COUNTIF($G$5:$G$72,G54)</x:f>
        <x:v>1</x:v>
      </x:c>
      <x:c r="I54" s="30" t="str">
        <x:v>A69</x:v>
      </x:c>
      <x:c r="J54" s="31" t="str">
        <x:v>一個好的analyst需要具備一些什麼特質 | 有什麼關於你有趣的事情想分享一下嗎 | 如果你要找一個right m&amp;a target，你會問一些什麼問題</x:v>
      </x:c>
    </x:row>
    <x:row r="55" ht="48" customHeight="1">
      <x:c r="A55" s="30" t="str">
        <x:v>QB2050</x:v>
      </x:c>
      <x:c r="B55" s="30" t="str">
        <x:v>Nomura</x:v>
      </x:c>
      <x:c r="C55" s="30" t="str">
        <x:v>IBD / GCM</x:v>
      </x:c>
      <x:c r="D55" s="31" t="str">
        <x:v>tell me a time when you faced challenges</x:v>
      </x:c>
      <x:c r="E55" s="31" t="str">
        <x:v>Tell me about a challenge, setback, or failure</x:v>
      </x:c>
      <x:c r="F55" s="31" t="str">
        <x:v>Behavioral &amp; Situational</x:v>
      </x:c>
      <x:c r="G55" s="30" t="str">
        <x:v>CL0007</x:v>
      </x:c>
      <x:c r="H55" s="32" t="n">
        <x:f>COUNTIF($G$5:$G$72,G55)</x:f>
        <x:v>12</x:v>
      </x:c>
      <x:c r="I55" s="30" t="str">
        <x:v>C32</x:v>
      </x:c>
      <x:c r="J55" s="31" t="str">
        <x:v>how did you do valuation in the project | have you followed the fed interest rate hike | buy-side vs sell-side</x:v>
      </x:c>
    </x:row>
    <x:row r="56" ht="48" customHeight="1">
      <x:c r="A56" s="30" t="str">
        <x:v>QB2064</x:v>
      </x:c>
      <x:c r="B56" s="30" t="str">
        <x:v>Nomura</x:v>
      </x:c>
      <x:c r="C56" s="30" t="str">
        <x:v>IBD / GCM</x:v>
      </x:c>
      <x:c r="D56" s="31" t="str">
        <x:v>Did you meet any conflicts or disagreements during the process</x:v>
      </x:c>
      <x:c r="E56" s="31" t="str">
        <x:v>Tell me about a team conflict and how you handled it</x:v>
      </x:c>
      <x:c r="F56" s="31" t="str">
        <x:v>Behavioral &amp; Situational</x:v>
      </x:c>
      <x:c r="G56" s="30" t="str">
        <x:v>CL0023</x:v>
      </x:c>
      <x:c r="H56" s="32" t="n">
        <x:f>COUNTIF($G$5:$G$72,G56)</x:f>
        <x:v>2</x:v>
      </x:c>
      <x:c r="I56" s="30" t="str">
        <x:v>A42</x:v>
      </x:c>
      <x:c r="J56" s="31" t="str">
        <x:v>walk through resume | (he asked me to elaborate a lot more almost cover every experience in details) | Could you walk me through the DCF model you built for BYD</x:v>
      </x:c>
    </x:row>
    <x:row r="57" ht="32" customHeight="1">
      <x:c r="A57" s="30" t="str">
        <x:v>QB2163</x:v>
      </x:c>
      <x:c r="B57" s="30" t="str">
        <x:v>Houlihan Lokey</x:v>
      </x:c>
      <x:c r="C57" s="30" t="str">
        <x:v>IBD / GCM</x:v>
      </x:c>
      <x:c r="D57" s="31" t="str">
        <x:v>Very demanding work, can you handle it? How will you balance your hobbies and interests?</x:v>
      </x:c>
      <x:c r="E57" s="31" t="str">
        <x:v>What are your interests outside work and school?</x:v>
      </x:c>
      <x:c r="F57" s="31" t="str">
        <x:v>Behavioral &amp; Situational</x:v>
      </x:c>
      <x:c r="G57" s="30" t="str">
        <x:v>CL0014</x:v>
      </x:c>
      <x:c r="H57" s="32" t="n">
        <x:f>COUNTIF($G$5:$G$72,G57)</x:f>
        <x:v>1</x:v>
      </x:c>
      <x:c r="I57" s="30" t="str">
        <x:v>A20</x:v>
      </x:c>
      <x:c r="J57" s="31" t="str">
        <x:v>2024 SA | Emily (40 mins interview + 10 mins Q&amp;A) | Self Intro, Why HL, Why restructuring</x:v>
      </x:c>
    </x:row>
    <x:row r="58" ht="92" customHeight="1">
      <x:c r="A58" s="30" t="str">
        <x:v>QB2215</x:v>
      </x:c>
      <x:c r="B58" s="30" t="str">
        <x:v>GS PWM</x:v>
      </x:c>
      <x:c r="C58" s="30" t="str">
        <x:v>PWM / AM</x:v>
      </x:c>
      <x:c r="D58" s="31" t="str">
        <x:v>Tony - MD from Investment Team; ? - Snr Mgmt Role; ? - Operation Role</x:v>
      </x:c>
      <x:c r="E58" s="31" t="str">
        <x:v>Tony - MD from Investment Team; ? - Snr Mgmt Role; ? - Operation Role</x:v>
      </x:c>
      <x:c r="F58" s="31" t="str">
        <x:v>Behavioral &amp; Situational</x:v>
      </x:c>
      <x:c r="G58" s="30" t="str">
        <x:v>CL0796</x:v>
      </x:c>
      <x:c r="H58" s="32" t="n">
        <x:f>COUNTIF($G$5:$G$72,G58)</x:f>
        <x:v>1</x:v>
      </x:c>
      <x:c r="I58" s="30" t="str">
        <x:v>A23</x:v>
      </x:c>
      <x:c r="J58" s="31" t="str">
        <x:v>60 mins debate between 7 candidates in physically HK office (FOR) and another 7 candidates virtually on Zoom (AGAINST) | Topic: whether trump‘s policy of restricting international student visa is rational for controlling immigration (FOR...</x:v>
      </x:c>
    </x:row>
    <x:row r="59" ht="48" customHeight="1">
      <x:c r="A59" s="30" t="str">
        <x:v>QB2269</x:v>
      </x:c>
      <x:c r="B59" s="30" t="str">
        <x:v>JPM PB</x:v>
      </x:c>
      <x:c r="C59" s="30" t="str">
        <x:v>PWM / AM</x:v>
      </x:c>
      <x:c r="D59" s="31" t="str">
        <x:v>Tell me about a time of teamwork (I said JPM's AWM case and i said we used data to construct the entire portfolio)</x:v>
      </x:c>
      <x:c r="E59" s="31" t="str">
        <x:v>Tell me about a time of teamwork (I said JPM's AWM case and i said we used data to construct the entire portfolio)</x:v>
      </x:c>
      <x:c r="F59" s="31" t="str">
        <x:v>Behavioral &amp; Situational</x:v>
      </x:c>
      <x:c r="G59" s="30" t="str">
        <x:v>CL0729</x:v>
      </x:c>
      <x:c r="H59" s="32" t="n">
        <x:f>COUNTIF($G$5:$G$72,G59)</x:f>
        <x:v>1</x:v>
      </x:c>
      <x:c r="I59" s="30" t="str">
        <x:v>A22</x:v>
      </x:c>
      <x:c r="J59" s="31" t="str">
        <x:v>Second: TW Team Advisor-Single Coverage Ethan Lan | self intro | Forget</x:v>
      </x:c>
    </x:row>
    <x:row r="60" ht="68" customHeight="1">
      <x:c r="A60" s="30" t="str">
        <x:v>QB2273</x:v>
      </x:c>
      <x:c r="B60" s="30" t="str">
        <x:v>JPM PB</x:v>
      </x:c>
      <x:c r="C60" s="30" t="str">
        <x:v>PWM / AM</x:v>
      </x:c>
      <x:c r="D60" s="31" t="str">
        <x:v>Tell me about a time of having conflicts with your teammates (Different ideas on the Exhibition Club)</x:v>
      </x:c>
      <x:c r="E60" s="31" t="str">
        <x:v>Tell me about a team conflict and how you handled it</x:v>
      </x:c>
      <x:c r="F60" s="31" t="str">
        <x:v>Behavioral &amp; Situational</x:v>
      </x:c>
      <x:c r="G60" s="30" t="str">
        <x:v>CL0023</x:v>
      </x:c>
      <x:c r="H60" s="32" t="n">
        <x:f>COUNTIF($G$5:$G$72,G60)</x:f>
        <x:v>2</x:v>
      </x:c>
      <x:c r="I60" s="30" t="str">
        <x:v>A26</x:v>
      </x:c>
      <x:c r="J60" s="31" t="str">
        <x:v>Follow up: How do you analyse those data? What kind of tools? | Follow up: What was your role inside? | Follow up: How did you allocate the work and manage the situation?</x:v>
      </x:c>
    </x:row>
    <x:row r="61" ht="68" customHeight="1">
      <x:c r="A61" s="30" t="str">
        <x:v>QB2312</x:v>
      </x:c>
      <x:c r="B61" s="30" t="str">
        <x:v>JPM AM</x:v>
      </x:c>
      <x:c r="C61" s="30" t="str">
        <x:v>PWM / AM</x:v>
      </x:c>
      <x:c r="D61" s="31" t="str">
        <x:v>Share a piece of feedback that you've received before.</x:v>
      </x:c>
      <x:c r="E61" s="31" t="str">
        <x:v>Share a piece of feedback that you've received before</x:v>
      </x:c>
      <x:c r="F61" s="31" t="str">
        <x:v>Behavioral &amp; Situational</x:v>
      </x:c>
      <x:c r="G61" s="30" t="str">
        <x:v>CL0674</x:v>
      </x:c>
      <x:c r="H61" s="32" t="n">
        <x:f>COUNTIF($G$5:$G$72,G61)</x:f>
        <x:v>1</x:v>
      </x:c>
      <x:c r="I61" s="30" t="str">
        <x:v>G18</x:v>
      </x:c>
      <x:c r="J61" s="31" t="str">
        <x:v>Where did you attend your high school? And how did you learn your English? | What motivates you to be here today? (Why JPM?) | What roles are you interested within the JPMAM?</x:v>
      </x:c>
    </x:row>
    <x:row r="62" ht="48" customHeight="1">
      <x:c r="A62" s="30" t="str">
        <x:v>QB2327</x:v>
      </x:c>
      <x:c r="B62" s="30" t="str">
        <x:v>JPM AM</x:v>
      </x:c>
      <x:c r="C62" s="30" t="str">
        <x:v>PWM / AM</x:v>
      </x:c>
      <x:c r="D62" s="31" t="str">
        <x:v>Describe a time when you are working in a team and have conflicts with others. How do you handle that?</x:v>
      </x:c>
      <x:c r="E62" s="31" t="str">
        <x:v>Describe a time when you are working in a team and have conflicts with others. How do you handle that</x:v>
      </x:c>
      <x:c r="F62" s="31" t="str">
        <x:v>Behavioral &amp; Situational</x:v>
      </x:c>
      <x:c r="G62" s="30" t="str">
        <x:v>CL0231</x:v>
      </x:c>
      <x:c r="H62" s="32" t="n">
        <x:f>COUNTIF($G$5:$G$72,G62)</x:f>
        <x:v>1</x:v>
      </x:c>
      <x:c r="I62" s="30" t="str">
        <x:v>G27</x:v>
      </x:c>
      <x:c r="J62" s="31" t="str">
        <x:v>w/ Jacky Cheung in Product Strategy Team | Self intro | Pitch me one sector or asset class and what's your expectation for it in the future and 5 years horizon</x:v>
      </x:c>
    </x:row>
    <x:row r="63" ht="68" customHeight="1">
      <x:c r="A63" s="30" t="str">
        <x:v>QB2333</x:v>
      </x:c>
      <x:c r="B63" s="30" t="str">
        <x:v>JPM AM</x:v>
      </x:c>
      <x:c r="C63" s="30" t="str">
        <x:v>PWM / AM</x:v>
      </x:c>
      <x:c r="D63" s="31" t="str">
        <x:v>If you're walking into the meeting room for the clients but you suddenly realized a big mistake about the numbers, what will you do?</x:v>
      </x:c>
      <x:c r="E63" s="31" t="str">
        <x:v>If you're walking into the meeting room for the clients but you suddenly realized a big mistake about the numbers, what will you do</x:v>
      </x:c>
      <x:c r="F63" s="31" t="str">
        <x:v>Behavioral &amp; Situational</x:v>
      </x:c>
      <x:c r="G63" s="30" t="str">
        <x:v>CL0533</x:v>
      </x:c>
      <x:c r="H63" s="32" t="n">
        <x:f>COUNTIF($G$5:$G$72,G63)</x:f>
        <x:v>1</x:v>
      </x:c>
      <x:c r="I63" s="30" t="str">
        <x:v>G34</x:v>
      </x:c>
      <x:c r="J63" s="31" t="str">
        <x:v>Do you prefer to work in teams or work independently? And give me an example of having the contrast experiences. | 反问 | w/ Clara Tan, Client Advisor in Global Strategic Clients Team</x:v>
      </x:c>
    </x:row>
    <x:row r="64" ht="92" customHeight="1">
      <x:c r="A64" s="30" t="str">
        <x:v>QB2383</x:v>
      </x:c>
      <x:c r="B64" s="30" t="str">
        <x:v>BlackRock</x:v>
      </x:c>
      <x:c r="C64" s="30" t="str">
        <x:v>PWM / AM</x:v>
      </x:c>
      <x:c r="D64" s="31" t="str">
        <x:v>tell me about your weakness</x:v>
      </x:c>
      <x:c r="E64" s="31" t="str">
        <x:v>Tell me about your weakness</x:v>
      </x:c>
      <x:c r="F64" s="31" t="str">
        <x:v>Behavioral &amp; Situational</x:v>
      </x:c>
      <x:c r="G64" s="30" t="str">
        <x:v>CL0757</x:v>
      </x:c>
      <x:c r="H64" s="32" t="n">
        <x:f>COUNTIF($G$5:$G$72,G64)</x:f>
        <x:v>1</x:v>
      </x:c>
      <x:c r="I64" s="30" t="str">
        <x:v>C10</x:v>
      </x:c>
      <x:c r="J64" s="31" t="str">
        <x:v>active fund vs passive fund (mandarin) | 你認為未來經濟會下行嗎、interest rates viewpoints (cantonese) | suppose there's a client with his asset allcation 60% equities and 40% fixed income, now under the environment of bad economy and the trends of ...</x:v>
      </x:c>
    </x:row>
    <x:row r="65" ht="48" customHeight="1">
      <x:c r="A65" s="30" t="str">
        <x:v>QB2500</x:v>
      </x:c>
      <x:c r="B65" s="30" t="str">
        <x:v>BCG</x:v>
      </x:c>
      <x:c r="C65" s="30" t="str">
        <x:v>Consulting</x:v>
      </x:c>
      <x:c r="D65" s="31" t="str">
        <x:v>Tell me a time where you added added the most value/learnt the most? 2-3 takeaways/add value points</x:v>
      </x:c>
      <x:c r="E65" s="31" t="str">
        <x:v>Tell me a time where you added added the most value/learnt the most? 2-3 takeaways/add value points</x:v>
      </x:c>
      <x:c r="F65" s="31" t="str">
        <x:v>Behavioral &amp; Situational</x:v>
      </x:c>
      <x:c r="G65" s="30" t="str">
        <x:v>CL0710</x:v>
      </x:c>
      <x:c r="H65" s="32" t="n">
        <x:f>COUNTIF($G$5:$G$72,G65)</x:f>
        <x:v>1</x:v>
      </x:c>
      <x:c r="I65" s="30" t="str">
        <x:v>A4</x:v>
      </x:c>
      <x:c r="J65" s="31" t="str">
        <x:v>2025 FT Emily | 24 Winson Chen | Self intro</x:v>
      </x:c>
    </x:row>
    <x:row r="66" ht="68" customHeight="1">
      <x:c r="A66" s="30" t="str">
        <x:v>QB2558</x:v>
      </x:c>
      <x:c r="B66" s="30" t="str">
        <x:v>MS IED</x:v>
      </x:c>
      <x:c r="C66" s="30" t="str">
        <x:v>Sales &amp; Trading</x:v>
      </x:c>
      <x:c r="D66" s="31" t="str">
        <x:v>behavourial on what would u do if client is mad at u and boss is away from desk</x:v>
      </x:c>
      <x:c r="E66" s="31" t="str">
        <x:v>Behavourial on what would u do if client is mad at u and boss is away from desk</x:v>
      </x:c>
      <x:c r="F66" s="31" t="str">
        <x:v>Behavioral &amp; Situational</x:v>
      </x:c>
      <x:c r="G66" s="30" t="str">
        <x:v>CL0159</x:v>
      </x:c>
      <x:c r="H66" s="32" t="n">
        <x:f>COUNTIF($G$5:$G$72,G66)</x:f>
        <x:v>1</x:v>
      </x:c>
      <x:c r="I66" s="30" t="str">
        <x:v>A12</x:v>
      </x:c>
      <x:c r="J66" s="31" t="str">
        <x:v>how to turn annualized risk into daily risk to measure pnl | if you could ask a senior sales person a question what would you ask | some CV questions &amp; why good fit to be a sales</x:v>
      </x:c>
    </x:row>
    <x:row r="67" ht="68" customHeight="1">
      <x:c r="A67" s="30" t="str">
        <x:v>QB2609</x:v>
      </x:c>
      <x:c r="B67" s="30" t="str">
        <x:v>MS IED</x:v>
      </x:c>
      <x:c r="C67" s="30" t="str">
        <x:v>Sales &amp; Trading</x:v>
      </x:c>
      <x:c r="D67" s="31" t="str">
        <x:v>What do you think are the important qualities to become a successful salesperson?</x:v>
      </x:c>
      <x:c r="E67" s="31" t="str">
        <x:v>What do you think are the important qualities to become a successful salesperson</x:v>
      </x:c>
      <x:c r="F67" s="31" t="str">
        <x:v>Behavioral &amp; Situational</x:v>
      </x:c>
      <x:c r="G67" s="30" t="str">
        <x:v>CL0926</x:v>
      </x:c>
      <x:c r="H67" s="32" t="n">
        <x:f>COUNTIF($G$5:$G$72,G67)</x:f>
        <x:v>1</x:v>
      </x:c>
      <x:c r="I67" s="30" t="str">
        <x:v>A48</x:v>
      </x:c>
      <x:c r="J67" s="31" t="str">
        <x:v>Some questions related to my hobbies. How do you balance that with your study/interviews? | Give me a case when you were doing a project and got stuck with it? How did you handle that? | Asked about an intern project that I did before (o...</x:v>
      </x:c>
    </x:row>
    <x:row r="68" ht="32" customHeight="1">
      <x:c r="A68" s="30" t="str">
        <x:v>QB2615</x:v>
      </x:c>
      <x:c r="B68" s="30" t="str">
        <x:v>Barclays GM</x:v>
      </x:c>
      <x:c r="C68" s="30" t="str">
        <x:v>Sales &amp; Trading</x:v>
      </x:c>
      <x:c r="D68" s="31" t="str">
        <x:v>With Cathy Burbridge, from PT Team, Asso?</x:v>
      </x:c>
      <x:c r="E68" s="31" t="str">
        <x:v>With Cathy Burbridge, from PT Team, Asso</x:v>
      </x:c>
      <x:c r="F68" s="31" t="str">
        <x:v>Behavioral &amp; Situational</x:v>
      </x:c>
      <x:c r="G68" s="30" t="str">
        <x:v>CL1186</x:v>
      </x:c>
      <x:c r="H68" s="32" t="n">
        <x:f>COUNTIF($G$5:$G$72,G68)</x:f>
        <x:v>1</x:v>
      </x:c>
      <x:c r="I68" s="30" t="str">
        <x:v>A4</x:v>
      </x:c>
      <x:c r="J68" s="31" t="str">
        <x:v>2026 Summer Analyst | First Round - Cash Equity Team | John</x:v>
      </x:c>
    </x:row>
    <x:row r="69" ht="68" customHeight="1">
      <x:c r="A69" s="30" t="str">
        <x:v>QB2657</x:v>
      </x:c>
      <x:c r="B69" s="30" t="str">
        <x:v>BofA (GM)</x:v>
      </x:c>
      <x:c r="C69" s="30" t="str">
        <x:v>Sales &amp; Trading</x:v>
      </x:c>
      <x:c r="D69" s="31" t="str">
        <x:v>How do you deal with an ethical dillemma or "grey area"?</x:v>
      </x:c>
      <x:c r="E69" s="31" t="str">
        <x:v>How do you deal with an ethical dillemma or "grey area"</x:v>
      </x:c>
      <x:c r="F69" s="31" t="str">
        <x:v>Behavioral &amp; Situational</x:v>
      </x:c>
      <x:c r="G69" s="30" t="str">
        <x:v>CL0403</x:v>
      </x:c>
      <x:c r="H69" s="32" t="n">
        <x:f>COUNTIF($G$5:$G$72,G69)</x:f>
        <x:v>1</x:v>
      </x:c>
      <x:c r="I69" s="30" t="str">
        <x:v>A36</x:v>
      </x:c>
      <x:c r="J69" s="31" t="str">
        <x:v>Follow up: What are the competitors of that stock? | Where is your passion for finance and SnT come from? | Any preference for the particular asset class or roles?</x:v>
      </x:c>
    </x:row>
    <x:row r="70" ht="92" customHeight="1">
      <x:c r="A70" s="30" t="str">
        <x:v>QB2723</x:v>
      </x:c>
      <x:c r="B70" s="30" t="str">
        <x:v>HSBC (GM)</x:v>
      </x:c>
      <x:c r="C70" s="30" t="str">
        <x:v>Sales &amp; Trading</x:v>
      </x:c>
      <x:c r="D70" s="31" t="str">
        <x:v>behavourial: is fairness importnt to you in a team setting and what would u do to ensure fairness if it is impt for u</x:v>
      </x:c>
      <x:c r="E70" s="31" t="str">
        <x:v>Behavourial: is fairness importnt to you in a team setting and what would u do to ensure fairness if it is impt for u</x:v>
      </x:c>
      <x:c r="F70" s="31" t="str">
        <x:v>Behavioral &amp; Situational</x:v>
      </x:c>
      <x:c r="G70" s="30" t="str">
        <x:v>CL0160</x:v>
      </x:c>
      <x:c r="H70" s="32" t="n">
        <x:f>COUNTIF($G$5:$G$72,G70)</x:f>
        <x:v>1</x:v>
      </x:c>
      <x:c r="I70" s="30" t="str">
        <x:v>A24</x:v>
      </x:c>
      <x:c r="J70" s="31" t="str">
        <x:v>brain teaser: Y1 revenue is 100, Y2 decrease 20% from Y3 increase 10%, how many years to get back to over 100 | brain teaser: roll a dice and payoff is whatever u roll, u have the option of rolling again if u dont like your payoff, how m...</x:v>
      </x:c>
    </x:row>
    <x:row r="71" ht="48" customHeight="1">
      <x:c r="A71" s="30" t="str">
        <x:v>QB2829</x:v>
      </x:c>
      <x:c r="B71" s="30" t="str">
        <x:v>UBS AM</x:v>
      </x:c>
      <x:c r="C71" s="30" t="str">
        <x:v>PWM / AM</x:v>
      </x:c>
      <x:c r="D71" s="31" t="str">
        <x:v>Tell me a time you have worked with difficult people?</x:v>
      </x:c>
      <x:c r="E71" s="31" t="str">
        <x:v>Tell me a time you have worked with difficult people</x:v>
      </x:c>
      <x:c r="F71" s="31" t="str">
        <x:v>Behavioral &amp; Situational</x:v>
      </x:c>
      <x:c r="G71" s="30" t="str">
        <x:v>CL0716</x:v>
      </x:c>
      <x:c r="H71" s="32" t="n">
        <x:f>COUNTIF($G$5:$G$72,G71)</x:f>
        <x:v>1</x:v>
      </x:c>
      <x:c r="I71" s="30" t="str">
        <x:v>A9</x:v>
      </x:c>
      <x:c r="J71" s="31" t="str">
        <x:v>How was your experience in UBS? | Tell me a time you have worked with different teams? | Tell me a time you faced an issue at work and how you solved it?</x:v>
      </x:c>
    </x:row>
    <x:row r="72" ht="68" customHeight="1">
      <x:c r="A72" s="30" t="str">
        <x:v>QB2830</x:v>
      </x:c>
      <x:c r="B72" s="30" t="str">
        <x:v>UBS AM</x:v>
      </x:c>
      <x:c r="C72" s="30" t="str">
        <x:v>PWM / AM</x:v>
      </x:c>
      <x:c r="D72" s="31" t="str">
        <x:v>A feedback you received and how you dealt with it?</x:v>
      </x:c>
      <x:c r="E72" s="31" t="str">
        <x:v>A feedback you received and how you dealt with it</x:v>
      </x:c>
      <x:c r="F72" s="31" t="str">
        <x:v>Behavioral &amp; Situational</x:v>
      </x:c>
      <x:c r="G72" s="30" t="str">
        <x:v>CL0090</x:v>
      </x:c>
      <x:c r="H72" s="32" t="n">
        <x:f>COUNTIF($G$5:$G$72,G72)</x:f>
        <x:v>1</x:v>
      </x:c>
      <x:c r="I72" s="30" t="str">
        <x:v>A10</x:v>
      </x:c>
      <x:c r="J72" s="31" t="str">
        <x:v>Tell me a time you have worked with different teams? | Tell me a time you faced an issue at work and how you solved it? | Tell me a time you have worked with difficult people?</x:v>
      </x:c>
    </x:row>
  </x:sheetData>
  <x:mergeCells>
    <x:mergeCell ref="A1:J1"/>
    <x:mergeCell ref="A2:J2"/>
  </x:mergeCells>
  <x:conditionalFormatting sqref="H5:H72">
    <x:cfRule type="cellIs" dxfId="12" priority="1" operator="greaterThan">
      <x:formula>1</x:formula>
    </x:cfRule>
  </x:conditionalFormatting>
  <x:pageMargins left="0.7" right="0.7" top="0.75" bottom="0.75" header="0.3" footer="0.3"/>
  <x:tableParts count="1">
    <x:tablePart xmlns:r="http://schemas.openxmlformats.org/officeDocument/2006/relationships" r:id="R3334f097c1ef478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Accounting &amp; Financial Statements</x:v>
      </x:c>
      <x:c r="B1" s="3"/>
      <x:c r="C1" s="3"/>
      <x:c r="D1" s="3"/>
      <x:c r="E1" s="3"/>
      <x:c r="F1" s="3"/>
      <x:c r="G1" s="3"/>
      <x:c r="H1" s="3"/>
      <x:c r="I1" s="3"/>
      <x:c r="J1" s="3"/>
    </x:row>
    <x:row r="2" ht="30" customHeight="1">
      <x:c r="A2" s="7" t="str">
        <x:v>Preparation list for Accounting &amp; Financial Statements.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QB0024</x:v>
      </x:c>
      <x:c r="B5" s="30" t="str">
        <x:v>MS IBD</x:v>
      </x:c>
      <x:c r="C5" s="30" t="str">
        <x:v>IBD / GCM</x:v>
      </x:c>
      <x:c r="D5" s="31" t="str">
        <x:v>PP&amp;E increase by 10 thousand, 3 statement</x:v>
      </x:c>
      <x:c r="E5" s="31" t="str">
        <x:v>PP&amp;E increase by 10 thousand, 3 statement</x:v>
      </x:c>
      <x:c r="F5" s="31" t="str">
        <x:v>Accounting &amp; Financial Statements</x:v>
      </x:c>
      <x:c r="G5" s="30" t="str">
        <x:v>CL0643</x:v>
      </x:c>
      <x:c r="H5" s="32" t="n">
        <x:f>COUNTIF($G$5:$G$218,G5)</x:f>
        <x:v>1</x:v>
      </x:c>
      <x:c r="I5" s="30" t="str">
        <x:v>A12</x:v>
      </x:c>
      <x:c r="J5" s="31" t="str">
        <x:v>WACC | Cost of equity | Beta</x:v>
      </x:c>
    </x:row>
    <x:row r="6" ht="48" customHeight="1">
      <x:c r="A6" s="30" t="str">
        <x:v>QB0025</x:v>
      </x:c>
      <x:c r="B6" s="30" t="str">
        <x:v>MS IBD</x:v>
      </x:c>
      <x:c r="C6" s="30" t="str">
        <x:v>IBD / GCM</x:v>
      </x:c>
      <x:c r="D6" s="31" t="str">
        <x:v>After 4 years, no residual value, straight-line depreciation for 10 years, tax rate 40%, 3 statement</x:v>
      </x:c>
      <x:c r="E6" s="31" t="str">
        <x:v>After 4 years, no residual value, straight-line depreciation for 10 years, tax rate 40%, 3 statement</x:v>
      </x:c>
      <x:c r="F6" s="31" t="str">
        <x:v>Accounting &amp; Financial Statements</x:v>
      </x:c>
      <x:c r="G6" s="30" t="str">
        <x:v>CL0105</x:v>
      </x:c>
      <x:c r="H6" s="32" t="n">
        <x:f>COUNTIF($G$5:$G$218,G6)</x:f>
        <x:v>1</x:v>
      </x:c>
      <x:c r="I6" s="30" t="str">
        <x:v>A13</x:v>
      </x:c>
      <x:c r="J6" s="31" t="str">
        <x:v>Cost of equity | Beta | PP&amp;E increase by 10 thousand, 3 statement</x:v>
      </x:c>
    </x:row>
    <x:row r="7" ht="68" customHeight="1">
      <x:c r="A7" s="30" t="str">
        <x:v>QB0027</x:v>
      </x:c>
      <x:c r="B7" s="30" t="str">
        <x:v>MS IBD</x:v>
      </x:c>
      <x:c r="C7" s="30" t="str">
        <x:v>IBD / GCM</x:v>
      </x:c>
      <x:c r="D7" s="31" t="str">
        <x:v>How would you project NWC? (basically the accounts receivable turnover thing)</x:v>
      </x:c>
      <x:c r="E7" s="31" t="str">
        <x:v>How would you project NWC? (basically the accounts receivable turnover thing)</x:v>
      </x:c>
      <x:c r="F7" s="31" t="str">
        <x:v>Accounting &amp; Financial Statements</x:v>
      </x:c>
      <x:c r="G7" s="30" t="str">
        <x:v>CL0498</x:v>
      </x:c>
      <x:c r="H7" s="32" t="n">
        <x:f>COUNTIF($G$5:$G$218,G7)</x:f>
        <x:v>1</x:v>
      </x:c>
      <x:c r="I7" s="30" t="str">
        <x:v>A15</x:v>
      </x:c>
      <x:c r="J7" s="31" t="str">
        <x:v>PP&amp;E increase by 10 thousand, 3 statement | After 4 years, no residual value, straight-line depreciation for 10 years, tax rate 40%, 3 statement | Would you rather receive 10 thousand upfront today, or 100 dollars per year for the rest o...</x:v>
      </x:c>
    </x:row>
    <x:row r="8" ht="32" customHeight="1">
      <x:c r="A8" s="30" t="str">
        <x:v>QB0047</x:v>
      </x:c>
      <x:c r="B8" s="30" t="str">
        <x:v>MS IBD</x:v>
      </x:c>
      <x:c r="C8" s="30" t="str">
        <x:v>IBD / GCM</x:v>
      </x:c>
      <x:c r="D8" s="31" t="str">
        <x:v>What is client financing solutions, DCM?</x:v>
      </x:c>
      <x:c r="E8" s="31" t="str">
        <x:v>What is client financing solutions, DCM</x:v>
      </x:c>
      <x:c r="F8" s="31" t="str">
        <x:v>Accounting &amp; Financial Statements</x:v>
      </x:c>
      <x:c r="G8" s="30" t="str">
        <x:v>CL0966</x:v>
      </x:c>
      <x:c r="H8" s="32" t="n">
        <x:f>COUNTIF($G$5:$G$218,G8)</x:f>
        <x:v>1</x:v>
      </x:c>
      <x:c r="I8" s="30" t="str">
        <x:v>H22</x:v>
      </x:c>
      <x:c r="J8" s="31" t="str">
        <x:v>1st round Jasmine 4/10 (Kelly Liu, Asso from TMT) | Self Intro</x:v>
      </x:c>
    </x:row>
    <x:row r="9" ht="48" customHeight="1">
      <x:c r="A9" s="30" t="str">
        <x:v>QB0055</x:v>
      </x:c>
      <x:c r="B9" s="30" t="str">
        <x:v>MS IBD</x:v>
      </x:c>
      <x:c r="C9" s="30" t="str">
        <x:v>IBD / GCM</x:v>
      </x:c>
      <x:c r="D9" s="31" t="str">
        <x:v>3 financial statements</x:v>
      </x:c>
      <x:c r="E9" s="31" t="str">
        <x:v>3 financial statements</x:v>
      </x:c>
      <x:c r="F9" s="31" t="str">
        <x:v>Accounting &amp; Financial Statements</x:v>
      </x:c>
      <x:c r="G9" s="30" t="str">
        <x:v>CL0073</x:v>
      </x:c>
      <x:c r="H9" s="32" t="n">
        <x:f>COUNTIF($G$5:$G$218,G9)</x:f>
        <x:v>1</x:v>
      </x:c>
      <x:c r="I9" s="30" t="str">
        <x:v>C24</x:v>
      </x:c>
      <x:c r="J9" s="31" t="str">
        <x:v>Self Intro + Why IBD | What did you do in Odysseus | AI semiconductor industry - overview, trends, opportunities, risks, competitor analysis, competitive edge</x:v>
      </x:c>
    </x:row>
    <x:row r="10" ht="48" customHeight="1">
      <x:c r="A10" s="30" t="str">
        <x:v>QB0063</x:v>
      </x:c>
      <x:c r="B10" s="30" t="str">
        <x:v>MS IBD</x:v>
      </x:c>
      <x:c r="C10" s="30" t="str">
        <x:v>IBD / GCM</x:v>
      </x:c>
      <x:c r="D10" s="31" t="str">
        <x:v>Walk me through its IS</x:v>
      </x:c>
      <x:c r="E10" s="31" t="str">
        <x:v>Walk me through its IS</x:v>
      </x:c>
      <x:c r="F10" s="31" t="str">
        <x:v>Accounting &amp; Financial Statements</x:v>
      </x:c>
      <x:c r="G10" s="30" t="str">
        <x:v>CL0833</x:v>
      </x:c>
      <x:c r="H10" s="32" t="n">
        <x:f>COUNTIF($G$5:$G$218,G10)</x:f>
        <x:v>1</x:v>
      </x:c>
      <x:c r="I10" s="30" t="str">
        <x:v>F25</x:v>
      </x:c>
      <x:c r="J10" s="31" t="str">
        <x:v>You have internships in other areas, why IBD? | Why MS? | Tell me about a company you researched on for 3 mins</x:v>
      </x:c>
    </x:row>
    <x:row r="11" ht="68" customHeight="1">
      <x:c r="A11" s="30" t="str">
        <x:v>QB0064</x:v>
      </x:c>
      <x:c r="B11" s="30" t="str">
        <x:v>MS IBD</x:v>
      </x:c>
      <x:c r="C11" s="30" t="str">
        <x:v>IBD / GCM</x:v>
      </x:c>
      <x:c r="D11" s="31" t="str">
        <x:v>What is the equation for UFCF</x:v>
      </x:c>
      <x:c r="E11" s="31" t="str">
        <x:v>What is the equation for UFCF</x:v>
      </x:c>
      <x:c r="F11" s="31" t="str">
        <x:v>Accounting &amp; Financial Statements</x:v>
      </x:c>
      <x:c r="G11" s="30" t="str">
        <x:v>CL0047</x:v>
      </x:c>
      <x:c r="H11" s="32" t="n">
        <x:f>COUNTIF($G$5:$G$218,G11)</x:f>
        <x:v>2</x:v>
      </x:c>
      <x:c r="I11" s="30" t="str">
        <x:v>G25</x:v>
      </x:c>
      <x:c r="J11" s="31" t="str">
        <x:v>Did you have return? What's the return rate? (but she was nice about it) | Tell me about one project you worked on in UBS, your responsibilities and its valuation | Walk me through the DCF and key assumptions</x:v>
      </x:c>
    </x:row>
    <x:row r="12" ht="32" customHeight="1">
      <x:c r="A12" s="30" t="str">
        <x:v>QB0069</x:v>
      </x:c>
      <x:c r="B12" s="30" t="str">
        <x:v>MS IBD</x:v>
      </x:c>
      <x:c r="C12" s="30" t="str">
        <x:v>IBD / GCM</x:v>
      </x:c>
      <x:c r="D12" s="31" t="str">
        <x:v>use debt to buy $100 machine, how 3 statements change?</x:v>
      </x:c>
      <x:c r="E12" s="31" t="str">
        <x:v>How does a transaction flow through the three financial statements?</x:v>
      </x:c>
      <x:c r="F12" s="31" t="str">
        <x:v>Accounting &amp; Financial Statements</x:v>
      </x:c>
      <x:c r="G12" s="30" t="str">
        <x:v>CL0004</x:v>
      </x:c>
      <x:c r="H12" s="32" t="n">
        <x:f>COUNTIF($G$5:$G$218,G12)</x:f>
        <x:v>21</x:v>
      </x:c>
      <x:c r="I12" s="30" t="str">
        <x:v>F26</x:v>
      </x:c>
      <x:c r="J12" s="31" t="str">
        <x:v>Why MS? | Tell me about a company you researched on for 3 mins | Walk me through its IS</x:v>
      </x:c>
    </x:row>
    <x:row r="13" ht="48" customHeight="1">
      <x:c r="A13" s="30" t="str">
        <x:v>QB0076</x:v>
      </x:c>
      <x:c r="B13" s="30" t="str">
        <x:v>MS IBD</x:v>
      </x:c>
      <x:c r="C13" s="30" t="str">
        <x:v>IBD / GCM</x:v>
      </x:c>
      <x:c r="D13" s="31" t="str">
        <x:v>100 CAPEX, impact on 3 statement</x:v>
      </x:c>
      <x:c r="E13" s="31" t="str">
        <x:v>100 CAPEX, impact on 3 statement</x:v>
      </x:c>
      <x:c r="F13" s="31" t="str">
        <x:v>Accounting &amp; Financial Statements</x:v>
      </x:c>
      <x:c r="G13" s="30" t="str">
        <x:v>CL0031</x:v>
      </x:c>
      <x:c r="H13" s="32" t="n">
        <x:f>COUNTIF($G$5:$G$218,G13)</x:f>
        <x:v>2</x:v>
      </x:c>
      <x:c r="I13" s="30" t="str">
        <x:v>G27</x:v>
      </x:c>
      <x:c r="J13" s="31" t="str">
        <x:v>Walk me through the DCF and key assumptions | What is the equation for UFCF | You also worked on trading comps in ur 2nd deal, how do you choose the peers ?</x:v>
      </x:c>
    </x:row>
    <x:row r="14" ht="32" customHeight="1">
      <x:c r="A14" s="30" t="str">
        <x:v>QB0079</x:v>
      </x:c>
      <x:c r="B14" s="30" t="str">
        <x:v>MS IBD</x:v>
      </x:c>
      <x:c r="C14" s="30" t="str">
        <x:v>IBD / GCM</x:v>
      </x:c>
      <x:c r="D14" s="31" t="str">
        <x:v>⁠⁠what is cost of debt</x:v>
      </x:c>
      <x:c r="E14" s="31" t="str">
        <x:v>⁠⁠what is cost of debt</x:v>
      </x:c>
      <x:c r="F14" s="31" t="str">
        <x:v>Accounting &amp; Financial Statements</x:v>
      </x:c>
      <x:c r="G14" s="30" t="str">
        <x:v>CL0967</x:v>
      </x:c>
      <x:c r="H14" s="32" t="n">
        <x:f>COUNTIF($G$5:$G$218,G14)</x:f>
        <x:v>1</x:v>
      </x:c>
      <x:c r="I14" s="30" t="str">
        <x:v>C28</x:v>
      </x:c>
      <x:c r="J14" s="31" t="str">
        <x:v>things in balance sheet | walk me through dcf | how to calc WACC</x:v>
      </x:c>
    </x:row>
    <x:row r="15" ht="48" customHeight="1">
      <x:c r="A15" s="30" t="str">
        <x:v>QB0081</x:v>
      </x:c>
      <x:c r="B15" s="30" t="str">
        <x:v>MS IBD</x:v>
      </x:c>
      <x:c r="C15" s="30" t="str">
        <x:v>IBD / GCM</x:v>
      </x:c>
      <x:c r="D15" s="31" t="str">
        <x:v>how 3 statements change?</x:v>
      </x:c>
      <x:c r="E15" s="31" t="str">
        <x:v>How does a transaction flow through the three financial statements?</x:v>
      </x:c>
      <x:c r="F15" s="31" t="str">
        <x:v>Accounting &amp; Financial Statements</x:v>
      </x:c>
      <x:c r="G15" s="30" t="str">
        <x:v>CL0004</x:v>
      </x:c>
      <x:c r="H15" s="32" t="n">
        <x:f>COUNTIF($G$5:$G$218,G15)</x:f>
        <x:v>21</x:v>
      </x:c>
      <x:c r="I15" s="30" t="str">
        <x:v>F28</x:v>
      </x:c>
      <x:c r="J15" s="31" t="str">
        <x:v>Walk me through its IS | use debt to buy $100 machine, how 3 statements change? | One year later: depreciate $10, interest 10%, tax rate 40%</x:v>
      </x:c>
    </x:row>
    <x:row r="16" ht="48" customHeight="1">
      <x:c r="A16" s="30" t="str">
        <x:v>QB0082</x:v>
      </x:c>
      <x:c r="B16" s="30" t="str">
        <x:v>MS IBD</x:v>
      </x:c>
      <x:c r="C16" s="30" t="str">
        <x:v>IBD / GCM</x:v>
      </x:c>
      <x:c r="D16" s="31" t="str">
        <x:v>10 D&amp;A, impact on 3 statement, 40% Tax rate</x:v>
      </x:c>
      <x:c r="E16" s="31" t="str">
        <x:v>10 D&amp;A, impact on 3 statement, 40% Tax rate</x:v>
      </x:c>
      <x:c r="F16" s="31" t="str">
        <x:v>Accounting &amp; Financial Statements</x:v>
      </x:c>
      <x:c r="G16" s="30" t="str">
        <x:v>CL0030</x:v>
      </x:c>
      <x:c r="H16" s="32" t="n">
        <x:f>COUNTIF($G$5:$G$218,G16)</x:f>
        <x:v>2</x:v>
      </x:c>
      <x:c r="I16" s="30" t="str">
        <x:v>G28</x:v>
      </x:c>
      <x:c r="J16" s="31" t="str">
        <x:v>What is the equation for UFCF | You also worked on trading comps in ur 2nd deal, how do you choose the peers ? | 100 CAPEX, impact on 3 statement</x:v>
      </x:c>
    </x:row>
    <x:row r="17" ht="68" customHeight="1">
      <x:c r="A17" s="30" t="str">
        <x:v>QB0084</x:v>
      </x:c>
      <x:c r="B17" s="30" t="str">
        <x:v>MS IBD</x:v>
      </x:c>
      <x:c r="C17" s="30" t="str">
        <x:v>IBD / GCM</x:v>
      </x:c>
      <x:c r="D17" s="31" t="str">
        <x:v>If a company has negative and unstable cash flow, how will you value it</x:v>
      </x:c>
      <x:c r="E17" s="31" t="str">
        <x:v>If a company has negative and unstable cash flow, how will you value it</x:v>
      </x:c>
      <x:c r="F17" s="31" t="str">
        <x:v>Accounting &amp; Financial Statements</x:v>
      </x:c>
      <x:c r="G17" s="30" t="str">
        <x:v>CL0512</x:v>
      </x:c>
      <x:c r="H17" s="32" t="n">
        <x:f>COUNTIF($G$5:$G$218,G17)</x:f>
        <x:v>1</x:v>
      </x:c>
      <x:c r="I17" s="30" t="str">
        <x:v>A29</x:v>
      </x:c>
      <x:c r="J17" s="31" t="str">
        <x:v>What are differences between different exit methods (IPO, strategic purchase...) | How would u analyze a company if you are working for a PE firm | How will an increase in leverage affect wacc</x:v>
      </x:c>
    </x:row>
    <x:row r="18" ht="32" customHeight="1">
      <x:c r="A18" s="30" t="str">
        <x:v>QB0085</x:v>
      </x:c>
      <x:c r="B18" s="30" t="str">
        <x:v>MS IBD</x:v>
      </x:c>
      <x:c r="C18" s="30" t="str">
        <x:v>IBD / GCM</x:v>
      </x:c>
      <x:c r="D18" s="31" t="str">
        <x:v>what is cost of equity</x:v>
      </x:c>
      <x:c r="E18" s="31" t="str">
        <x:v>What is cost of equity</x:v>
      </x:c>
      <x:c r="F18" s="31" t="str">
        <x:v>Accounting &amp; Financial Statements</x:v>
      </x:c>
      <x:c r="G18" s="30" t="str">
        <x:v>CL0045</x:v>
      </x:c>
      <x:c r="H18" s="32" t="n">
        <x:f>COUNTIF($G$5:$G$218,G18)</x:f>
        <x:v>2</x:v>
      </x:c>
      <x:c r="I18" s="30" t="str">
        <x:v>C29</x:v>
      </x:c>
      <x:c r="J18" s="31" t="str">
        <x:v>walk me through dcf | how to calc WACC | ⁠⁠what is cost of debt</x:v>
      </x:c>
    </x:row>
    <x:row r="19" ht="48" customHeight="1">
      <x:c r="A19" s="30" t="str">
        <x:v>QB0089</x:v>
      </x:c>
      <x:c r="B19" s="30" t="str">
        <x:v>MS IBD</x:v>
      </x:c>
      <x:c r="C19" s="30" t="str">
        <x:v>IBD / GCM</x:v>
      </x:c>
      <x:c r="D19" s="31" t="str">
        <x:v>What is the equation for UFCF</x:v>
      </x:c>
      <x:c r="E19" s="31" t="str">
        <x:v>What is the equation for UFCF</x:v>
      </x:c>
      <x:c r="F19" s="31" t="str">
        <x:v>Accounting &amp; Financial Statements</x:v>
      </x:c>
      <x:c r="G19" s="30" t="str">
        <x:v>CL0047</x:v>
      </x:c>
      <x:c r="H19" s="32" t="n">
        <x:f>COUNTIF($G$5:$G$218,G19)</x:f>
        <x:v>2</x:v>
      </x:c>
      <x:c r="I19" s="30" t="str">
        <x:v>H29</x:v>
      </x:c>
      <x:c r="J19" s="31" t="str">
        <x:v>What are some common credit ratios? | Tell me about a project which involves valuation | Walk me through DCF</x:v>
      </x:c>
    </x:row>
    <x:row r="20" ht="48" customHeight="1">
      <x:c r="A20" s="30" t="str">
        <x:v>QB0095</x:v>
      </x:c>
      <x:c r="B20" s="30" t="str">
        <x:v>MS IBD</x:v>
      </x:c>
      <x:c r="C20" s="30" t="str">
        <x:v>IBD / GCM</x:v>
      </x:c>
      <x:c r="D20" s="31" t="str">
        <x:v>100 CAPEX, impact on 3 statement</x:v>
      </x:c>
      <x:c r="E20" s="31" t="str">
        <x:v>100 CAPEX, impact on 3 statement</x:v>
      </x:c>
      <x:c r="F20" s="31" t="str">
        <x:v>Accounting &amp; Financial Statements</x:v>
      </x:c>
      <x:c r="G20" s="30" t="str">
        <x:v>CL0031</x:v>
      </x:c>
      <x:c r="H20" s="32" t="n">
        <x:f>COUNTIF($G$5:$G$218,G20)</x:f>
        <x:v>2</x:v>
      </x:c>
      <x:c r="I20" s="30" t="str">
        <x:v>H30</x:v>
      </x:c>
      <x:c r="J20" s="31" t="str">
        <x:v>Tell me about a project which involves valuation | Walk me through DCF | What is the equation for UFCF</x:v>
      </x:c>
    </x:row>
    <x:row r="21" ht="32" customHeight="1">
      <x:c r="A21" s="30" t="str">
        <x:v>QB0101</x:v>
      </x:c>
      <x:c r="B21" s="30" t="str">
        <x:v>MS IBD</x:v>
      </x:c>
      <x:c r="C21" s="30" t="str">
        <x:v>IBD / GCM</x:v>
      </x:c>
      <x:c r="D21" s="31" t="str">
        <x:v>10 D&amp;A, impact on 3 statement, 40% Tax rate</x:v>
      </x:c>
      <x:c r="E21" s="31" t="str">
        <x:v>10 D&amp;A, impact on 3 statement, 40% Tax rate</x:v>
      </x:c>
      <x:c r="F21" s="31" t="str">
        <x:v>Accounting &amp; Financial Statements</x:v>
      </x:c>
      <x:c r="G21" s="30" t="str">
        <x:v>CL0030</x:v>
      </x:c>
      <x:c r="H21" s="32" t="n">
        <x:f>COUNTIF($G$5:$G$218,G21)</x:f>
        <x:v>2</x:v>
      </x:c>
      <x:c r="I21" s="30" t="str">
        <x:v>H31</x:v>
      </x:c>
      <x:c r="J21" s="31" t="str">
        <x:v>Walk me through DCF | What is the equation for UFCF | 100 CAPEX, impact on 3 statement</x:v>
      </x:c>
    </x:row>
    <x:row r="22" ht="48" customHeight="1">
      <x:c r="A22" s="30" t="str">
        <x:v>QB0107</x:v>
      </x:c>
      <x:c r="B22" s="30" t="str">
        <x:v>MS IBD</x:v>
      </x:c>
      <x:c r="C22" s="30" t="str">
        <x:v>IBD / GCM</x:v>
      </x:c>
      <x:c r="D22" s="31" t="str">
        <x:v>⁠⁠what is the normal market risk premium</x:v>
      </x:c>
      <x:c r="E22" s="31" t="str">
        <x:v>⁠⁠what is the normal market risk premium</x:v>
      </x:c>
      <x:c r="F22" s="31" t="str">
        <x:v>Accounting &amp; Financial Statements</x:v>
      </x:c>
      <x:c r="G22" s="30" t="str">
        <x:v>CL0986</x:v>
      </x:c>
      <x:c r="H22" s="32" t="n">
        <x:f>COUNTIF($G$5:$G$218,G22)</x:f>
        <x:v>1</x:v>
      </x:c>
      <x:c r="I22" s="30" t="str">
        <x:v>C33</x:v>
      </x:c>
      <x:c r="J22" s="31" t="str">
        <x:v>how you get the risk free rate | ⁠⁠so whats the US treasury yield now? | how to get market risk premium</x:v>
      </x:c>
    </x:row>
    <x:row r="23" ht="48" customHeight="1">
      <x:c r="A23" s="30" t="str">
        <x:v>QB0120</x:v>
      </x:c>
      <x:c r="B23" s="30" t="str">
        <x:v>MS IBD</x:v>
      </x:c>
      <x:c r="C23" s="30" t="str">
        <x:v>IBD / GCM</x:v>
      </x:c>
      <x:c r="D23" s="31" t="str">
        <x:v>⁠⁠if a company invests 20% into another company, how does it show up on the 3 statements</x:v>
      </x:c>
      <x:c r="E23" s="31" t="str">
        <x:v>How does a transaction flow through the three financial statements?</x:v>
      </x:c>
      <x:c r="F23" s="31" t="str">
        <x:v>Accounting &amp; Financial Statements</x:v>
      </x:c>
      <x:c r="G23" s="30" t="str">
        <x:v>CL0004</x:v>
      </x:c>
      <x:c r="H23" s="32" t="n">
        <x:f>COUNTIF($G$5:$G$218,G23)</x:f>
        <x:v>21</x:v>
      </x:c>
      <x:c r="I23" s="30" t="str">
        <x:v>C37</x:v>
      </x:c>
      <x:c r="J23" s="31" t="str">
        <x:v>two ways to calc terminal value | how to get the perpetual growth rate in gordon growth method | so what is usual gdp growth rate or inflation rate</x:v>
      </x:c>
    </x:row>
    <x:row r="24" ht="68" customHeight="1">
      <x:c r="A24" s="30" t="str">
        <x:v>QB0122</x:v>
      </x:c>
      <x:c r="B24" s="30" t="str">
        <x:v>MS IBD</x:v>
      </x:c>
      <x:c r="C24" s="30" t="str">
        <x:v>IBD / GCM</x:v>
      </x:c>
      <x:c r="D24" s="31" t="str">
        <x:v>What is goodwill</x:v>
      </x:c>
      <x:c r="E24" s="31" t="str">
        <x:v>What is goodwill</x:v>
      </x:c>
      <x:c r="F24" s="31" t="str">
        <x:v>Accounting &amp; Financial Statements</x:v>
      </x:c>
      <x:c r="G24" s="30" t="str">
        <x:v>CL0046</x:v>
      </x:c>
      <x:c r="H24" s="32" t="n">
        <x:f>COUNTIF($G$5:$G$218,G24)</x:f>
        <x:v>2</x:v>
      </x:c>
      <x:c r="I24" s="30" t="str">
        <x:v>C38</x:v>
      </x:c>
      <x:c r="J24" s="31" t="str">
        <x:v>how to get the perpetual growth rate in gordon growth method | so what is usual gdp growth rate or inflation rate | ⁠⁠if a company invests 20% into another company, how does it show up on the 3 statements</x:v>
      </x:c>
    </x:row>
    <x:row r="25" ht="48" customHeight="1">
      <x:c r="A25" s="30" t="str">
        <x:v>QB0124</x:v>
      </x:c>
      <x:c r="B25" s="30" t="str">
        <x:v>MS IBD</x:v>
      </x:c>
      <x:c r="C25" s="30" t="str">
        <x:v>IBD / GCM</x:v>
      </x:c>
      <x:c r="D25" s="31" t="str">
        <x:v>What is goodwill impairment</x:v>
      </x:c>
      <x:c r="E25" s="31" t="str">
        <x:v>What is goodwill impairment</x:v>
      </x:c>
      <x:c r="F25" s="31" t="str">
        <x:v>Accounting &amp; Financial Statements</x:v>
      </x:c>
      <x:c r="G25" s="30" t="str">
        <x:v>CL0970</x:v>
      </x:c>
      <x:c r="H25" s="32" t="n">
        <x:f>COUNTIF($G$5:$G$218,G25)</x:f>
        <x:v>1</x:v>
      </x:c>
      <x:c r="I25" s="30" t="str">
        <x:v>C39</x:v>
      </x:c>
      <x:c r="J25" s="31" t="str">
        <x:v>so what is usual gdp growth rate or inflation rate | ⁠⁠if a company invests 20% into another company, how does it show up on the 3 statements | What is goodwill</x:v>
      </x:c>
    </x:row>
    <x:row r="26" ht="48" customHeight="1">
      <x:c r="A26" s="30" t="str">
        <x:v>QB0125</x:v>
      </x:c>
      <x:c r="B26" s="30" t="str">
        <x:v>MS IBD</x:v>
      </x:c>
      <x:c r="C26" s="30" t="str">
        <x:v>IBD / GCM</x:v>
      </x:c>
      <x:c r="D26" s="31" t="str">
        <x:v>Do you know deferred tax assets and liabilities?</x:v>
      </x:c>
      <x:c r="E26" s="31" t="str">
        <x:v>Do you know deferred tax assets and liabilities</x:v>
      </x:c>
      <x:c r="F26" s="31" t="str">
        <x:v>Accounting &amp; Financial Statements</x:v>
      </x:c>
      <x:c r="G26" s="30" t="str">
        <x:v>CL0277</x:v>
      </x:c>
      <x:c r="H26" s="32" t="n">
        <x:f>COUNTIF($G$5:$G$218,G26)</x:f>
        <x:v>1</x:v>
      </x:c>
      <x:c r="I26" s="30" t="str">
        <x:v>C40</x:v>
      </x:c>
      <x:c r="J26" s="31" t="str">
        <x:v>⁠⁠if a company invests 20% into another company, how does it show up on the 3 statements | What is goodwill | What is goodwill impairment</x:v>
      </x:c>
    </x:row>
    <x:row r="27" ht="32" customHeight="1">
      <x:c r="A27" s="30" t="str">
        <x:v>QB0131</x:v>
      </x:c>
      <x:c r="B27" s="30" t="str">
        <x:v>MS IBD</x:v>
      </x:c>
      <x:c r="C27" s="30" t="str">
        <x:v>IBD / GCM</x:v>
      </x:c>
      <x:c r="D27" s="31" t="str">
        <x:v>Buy $100 machine by debt - 3 FSs changes today + changes 1 yr after</x:v>
      </x:c>
      <x:c r="E27" s="31" t="str">
        <x:v>Buy $100 machine by debt - 3 FSs changes today + changes 1 yr after</x:v>
      </x:c>
      <x:c r="F27" s="31" t="str">
        <x:v>Accounting &amp; Financial Statements</x:v>
      </x:c>
      <x:c r="G27" s="30" t="str">
        <x:v>CL0178</x:v>
      </x:c>
      <x:c r="H27" s="32" t="n">
        <x:f>COUNTIF($G$5:$G$218,G27)</x:f>
        <x:v>1</x:v>
      </x:c>
      <x:c r="I27" s="30" t="str">
        <x:v>A46</x:v>
      </x:c>
      <x:c r="J27" s="31" t="str">
        <x:v>Kari 9/9 (Jason Tse, Asso) | Yourself | Why MS/Why IBD not consulting/PE</x:v>
      </x:c>
    </x:row>
    <x:row r="28" ht="48" customHeight="1">
      <x:c r="A28" s="30" t="str">
        <x:v>QB0134</x:v>
      </x:c>
      <x:c r="B28" s="30" t="str">
        <x:v>MS IBD</x:v>
      </x:c>
      <x:c r="C28" s="30" t="str">
        <x:v>IBD / GCM</x:v>
      </x:c>
      <x:c r="D28" s="31" t="str">
        <x:v>What is β, predict Walmart's β</x:v>
      </x:c>
      <x:c r="E28" s="31" t="str">
        <x:v>What is β, predict Walmart's β</x:v>
      </x:c>
      <x:c r="F28" s="31" t="str">
        <x:v>Accounting &amp; Financial Statements</x:v>
      </x:c>
      <x:c r="G28" s="30" t="str">
        <x:v>CL1005</x:v>
      </x:c>
      <x:c r="H28" s="32" t="n">
        <x:f>COUNTIF($G$5:$G$218,G28)</x:f>
        <x:v>1</x:v>
      </x:c>
      <x:c r="I28" s="30" t="str">
        <x:v>A49</x:v>
      </x:c>
      <x:c r="J28" s="31" t="str">
        <x:v>Buy $100 machine by debt - 3 FSs changes today + changes 1 yr after | WACC formula | Cost of equity formula</x:v>
      </x:c>
    </x:row>
    <x:row r="29" ht="68" customHeight="1">
      <x:c r="A29" s="30" t="str">
        <x:v>QB0186</x:v>
      </x:c>
      <x:c r="B29" s="30" t="str">
        <x:v>MS IBD</x:v>
      </x:c>
      <x:c r="C29" s="30" t="str">
        <x:v>IBD / GCM</x:v>
      </x:c>
      <x:c r="D29" s="31" t="str">
        <x:v>How good is your technicals</x:v>
      </x:c>
      <x:c r="E29" s="31" t="str">
        <x:v>How good is your technicals</x:v>
      </x:c>
      <x:c r="F29" s="31" t="str">
        <x:v>Accounting &amp; Financial Statements</x:v>
      </x:c>
      <x:c r="G29" s="30" t="str">
        <x:v>CL0441</x:v>
      </x:c>
      <x:c r="H29" s="32" t="n">
        <x:f>COUNTIF($G$5:$G$218,G29)</x:f>
        <x:v>1</x:v>
      </x:c>
      <x:c r="I29" s="30" t="str">
        <x:v>C79</x:v>
      </x:c>
      <x:c r="J29" s="31" t="str">
        <x:v>Pick 2 deals of MS, talk about my views on why the deal would happen | One project did at Nomura | More specific details on the bond - tenor, coupon, structure, size, etc</x:v>
      </x:c>
    </x:row>
    <x:row r="30" ht="48" customHeight="1">
      <x:c r="A30" s="30" t="str">
        <x:v>QB0192</x:v>
      </x:c>
      <x:c r="B30" s="30" t="str">
        <x:v>MS IBD</x:v>
      </x:c>
      <x:c r="C30" s="30" t="str">
        <x:v>IBD / GCM</x:v>
      </x:c>
      <x:c r="D30" s="31" t="str">
        <x:v>What is discount rate</x:v>
      </x:c>
      <x:c r="E30" s="31" t="str">
        <x:v>What is discount rate</x:v>
      </x:c>
      <x:c r="F30" s="31" t="str">
        <x:v>Accounting &amp; Financial Statements</x:v>
      </x:c>
      <x:c r="G30" s="30" t="str">
        <x:v>CL0968</x:v>
      </x:c>
      <x:c r="H30" s="32" t="n">
        <x:f>COUNTIF($G$5:$G$218,G30)</x:f>
        <x:v>1</x:v>
      </x:c>
      <x:c r="I30" s="30" t="str">
        <x:v>C82</x:v>
      </x:c>
      <x:c r="J30" s="31" t="str">
        <x:v>How good is your technicals | Valuation methodologies | Which method gives you highest valuation and why?</x:v>
      </x:c>
    </x:row>
    <x:row r="31" ht="48" customHeight="1">
      <x:c r="A31" s="30" t="str">
        <x:v>QB0199</x:v>
      </x:c>
      <x:c r="B31" s="30" t="str">
        <x:v>MS IBD</x:v>
      </x:c>
      <x:c r="C31" s="30" t="str">
        <x:v>IBD / GCM</x:v>
      </x:c>
      <x:c r="D31" s="31" t="str">
        <x:v>What is cost of equity</x:v>
      </x:c>
      <x:c r="E31" s="31" t="str">
        <x:v>What is cost of equity</x:v>
      </x:c>
      <x:c r="F31" s="31" t="str">
        <x:v>Accounting &amp; Financial Statements</x:v>
      </x:c>
      <x:c r="G31" s="30" t="str">
        <x:v>CL0045</x:v>
      </x:c>
      <x:c r="H31" s="32" t="n">
        <x:f>COUNTIF($G$5:$G$218,G31)</x:f>
        <x:v>2</x:v>
      </x:c>
      <x:c r="I31" s="30" t="str">
        <x:v>C87</x:v>
      </x:c>
      <x:c r="J31" s="31" t="str">
        <x:v>Will you use 5y or other terms rate | Cost of equity or cost of debt higher, why? | When will cost of debt be higher</x:v>
      </x:c>
    </x:row>
    <x:row r="32" ht="68" customHeight="1">
      <x:c r="A32" s="30" t="str">
        <x:v>QB0208</x:v>
      </x:c>
      <x:c r="B32" s="30" t="str">
        <x:v>MS IBD</x:v>
      </x:c>
      <x:c r="C32" s="30" t="str">
        <x:v>IBD / GCM</x:v>
      </x:c>
      <x:c r="D32" s="31" t="str">
        <x:v>For example, now is 2025 the EV/EBITDA multiple is 10x, you are exiting in 2029, and the EBITDA is 30m, could you apply the 10x multiple to get the terminal value</x:v>
      </x:c>
      <x:c r="E32" s="31" t="str">
        <x:v>For example, now is 2025 the EV/EBITDA multiple is 10x, you are exiting in 2029, and the EBITDA is 30m, could you apply the 10x multiple to get the terminal value</x:v>
      </x:c>
      <x:c r="F32" s="31" t="str">
        <x:v>Accounting &amp; Financial Statements</x:v>
      </x:c>
      <x:c r="G32" s="30" t="str">
        <x:v>CL0330</x:v>
      </x:c>
      <x:c r="H32" s="32" t="n">
        <x:f>COUNTIF($G$5:$G$218,G32)</x:f>
        <x:v>1</x:v>
      </x:c>
      <x:c r="I32" s="30" t="str">
        <x:v>C97</x:v>
      </x:c>
      <x:c r="J32" s="31" t="str">
        <x:v>Revenue to profit for a coffee shop again hahaha | Walk me through a DCF, and how to get the FCF and everything | Whats the most common mistake for DCF</x:v>
      </x:c>
    </x:row>
    <x:row r="33" ht="92" customHeight="1">
      <x:c r="A33" s="30" t="str">
        <x:v>QB0209</x:v>
      </x:c>
      <x:c r="B33" s="30" t="str">
        <x:v>MS IBD</x:v>
      </x:c>
      <x:c r="C33" s="30" t="str">
        <x:v>IBD / GCM</x:v>
      </x:c>
      <x:c r="D33" s="31" t="str">
        <x:v>How about now its 2026, and the multiple is 9x, what should you use</x:v>
      </x:c>
      <x:c r="E33" s="31" t="str">
        <x:v>How about now its 2026, and the multiple is 9x, what should you use</x:v>
      </x:c>
      <x:c r="F33" s="31" t="str">
        <x:v>Accounting &amp; Financial Statements</x:v>
      </x:c>
      <x:c r="G33" s="30" t="str">
        <x:v>CL0371</x:v>
      </x:c>
      <x:c r="H33" s="32" t="n">
        <x:f>COUNTIF($G$5:$G$218,G33)</x:f>
        <x:v>1</x:v>
      </x:c>
      <x:c r="I33" s="30" t="str">
        <x:v>C98</x:v>
      </x:c>
      <x:c r="J33" s="31" t="str">
        <x:v>Walk me through a DCF, and how to get the FCF and everything | Whats the most common mistake for DCF | For example, now is 2025 the EV/EBITDA multiple is 10x, you are exiting in 2029, and the EBITDA is 30m, could you apply the 10x multip...</x:v>
      </x:c>
    </x:row>
    <x:row r="34" ht="68" customHeight="1">
      <x:c r="A34" s="30" t="str">
        <x:v>QB0225</x:v>
      </x:c>
      <x:c r="B34" s="30" t="str">
        <x:v>MS IBD</x:v>
      </x:c>
      <x:c r="C34" s="30" t="str">
        <x:v>IBD / GCM</x:v>
      </x:c>
      <x:c r="D34" s="31" t="str">
        <x:v>Walk through the 3 financial statements</x:v>
      </x:c>
      <x:c r="E34" s="31" t="str">
        <x:v>Walk through the 3 financial statements</x:v>
      </x:c>
      <x:c r="F34" s="31" t="str">
        <x:v>Accounting &amp; Financial Statements</x:v>
      </x:c>
      <x:c r="G34" s="30" t="str">
        <x:v>CL0851</x:v>
      </x:c>
      <x:c r="H34" s="32" t="n">
        <x:f>COUNTIF($G$5:$G$218,G34)</x:f>
        <x:v>1</x:v>
      </x:c>
      <x:c r="I34" s="30" t="str">
        <x:v>A112</x:v>
      </x:c>
      <x:c r="J34" s="31" t="str">
        <x:v>Self-intro, why you are here | About last internship: prospectus, your role, solvency ratios, DSCR, protective covenants | Why MS, not Goldman? Name 3 recent MS deals</x:v>
      </x:c>
    </x:row>
    <x:row r="35" ht="68" customHeight="1">
      <x:c r="A35" s="30" t="str">
        <x:v>QB0226</x:v>
      </x:c>
      <x:c r="B35" s="30" t="str">
        <x:v>MS IBD</x:v>
      </x:c>
      <x:c r="C35" s="30" t="str">
        <x:v>IBD / GCM</x:v>
      </x:c>
      <x:c r="D35" s="31" t="str">
        <x:v>How will capital raise affect 3 statements, follow-ups</x:v>
      </x:c>
      <x:c r="E35" s="31" t="str">
        <x:v>How does a transaction flow through the three financial statements?</x:v>
      </x:c>
      <x:c r="F35" s="31" t="str">
        <x:v>Accounting &amp; Financial Statements</x:v>
      </x:c>
      <x:c r="G35" s="30" t="str">
        <x:v>CL0004</x:v>
      </x:c>
      <x:c r="H35" s="32" t="n">
        <x:f>COUNTIF($G$5:$G$218,G35)</x:f>
        <x:v>21</x:v>
      </x:c>
      <x:c r="I35" s="30" t="str">
        <x:v>A113</x:v>
      </x:c>
      <x:c r="J35" s="31" t="str">
        <x:v>About last internship: prospectus, your role, solvency ratios, DSCR, protective covenants | Why MS, not Goldman? Name 3 recent MS deals | Walk through the 3 financial statements</x:v>
      </x:c>
    </x:row>
    <x:row r="36" ht="48" customHeight="1">
      <x:c r="A36" s="30" t="str">
        <x:v>QB0227</x:v>
      </x:c>
      <x:c r="B36" s="30" t="str">
        <x:v>MS IBD</x:v>
      </x:c>
      <x:c r="C36" s="30" t="str">
        <x:v>IBD / GCM</x:v>
      </x:c>
      <x:c r="D36" s="31" t="str">
        <x:v>Raise new debt in 2025, impacts on BS and IS this year and next year</x:v>
      </x:c>
      <x:c r="E36" s="31" t="str">
        <x:v>Raise new debt in 2025, impacts on BS and IS this year and next year</x:v>
      </x:c>
      <x:c r="F36" s="31" t="str">
        <x:v>Accounting &amp; Financial Statements</x:v>
      </x:c>
      <x:c r="G36" s="30" t="str">
        <x:v>CL0658</x:v>
      </x:c>
      <x:c r="H36" s="32" t="n">
        <x:f>COUNTIF($G$5:$G$218,G36)</x:f>
        <x:v>1</x:v>
      </x:c>
      <x:c r="I36" s="30" t="str">
        <x:v>A114</x:v>
      </x:c>
      <x:c r="J36" s="31" t="str">
        <x:v>Why MS, not Goldman? Name 3 recent MS deals | Walk through the 3 financial statements | How will capital raise affect 3 statements, follow-ups</x:v>
      </x:c>
    </x:row>
    <x:row r="37" ht="68" customHeight="1">
      <x:c r="A37" s="30" t="str">
        <x:v>QB0229</x:v>
      </x:c>
      <x:c r="B37" s="30" t="str">
        <x:v>MS IBD</x:v>
      </x:c>
      <x:c r="C37" s="30" t="str">
        <x:v>IBD / GCM</x:v>
      </x:c>
      <x:c r="D37" s="31" t="str">
        <x:v>Explain minority interest, do minority shareholders also share your revenue (only NI sharing)</x:v>
      </x:c>
      <x:c r="E37" s="31" t="str">
        <x:v>Explain minority interest, do minority shareholders also share your revenue (only NI sharing)</x:v>
      </x:c>
      <x:c r="F37" s="31" t="str">
        <x:v>Accounting &amp; Financial Statements</x:v>
      </x:c>
      <x:c r="G37" s="30" t="str">
        <x:v>CL0321</x:v>
      </x:c>
      <x:c r="H37" s="32" t="n">
        <x:f>COUNTIF($G$5:$G$218,G37)</x:f>
        <x:v>1</x:v>
      </x:c>
      <x:c r="I37" s="30" t="str">
        <x:v>A116</x:v>
      </x:c>
      <x:c r="J37" s="31" t="str">
        <x:v>How will capital raise affect 3 statements, follow-ups | Raise new debt in 2025, impacts on BS and IS this year and next year | Calculate EBITDA for a Chinese firm</x:v>
      </x:c>
    </x:row>
    <x:row r="38" ht="48" customHeight="1">
      <x:c r="A38" s="30" t="str">
        <x:v>QB0263</x:v>
      </x:c>
      <x:c r="B38" s="30" t="str">
        <x:v>MS GCM</x:v>
      </x:c>
      <x:c r="C38" s="30" t="str">
        <x:v>IBD / GCM</x:v>
      </x:c>
      <x:c r="D38" s="31" t="str">
        <x:v>What is convertible bonds</x:v>
      </x:c>
      <x:c r="E38" s="31" t="str">
        <x:v>Explain convertible bonds and why an issuer might use them</x:v>
      </x:c>
      <x:c r="F38" s="31" t="str">
        <x:v>Accounting &amp; Financial Statements</x:v>
      </x:c>
      <x:c r="G38" s="30" t="str">
        <x:v>CL0016</x:v>
      </x:c>
      <x:c r="H38" s="32" t="n">
        <x:f>COUNTIF($G$5:$G$218,G38)</x:f>
        <x:v>1</x:v>
      </x:c>
      <x:c r="I38" s="30" t="str">
        <x:v>C21</x:v>
      </x:c>
      <x:c r="J38" s="31" t="str">
        <x:v>Tell me about a deal done by MS, valuation, how did you find the comps for it? | Market outlook | What are some ways to raise funds</x:v>
      </x:c>
    </x:row>
    <x:row r="39" ht="68" customHeight="1">
      <x:c r="A39" s="30" t="str">
        <x:v>QB0277</x:v>
      </x:c>
      <x:c r="B39" s="30" t="str">
        <x:v>MS GCM</x:v>
      </x:c>
      <x:c r="C39" s="30" t="str">
        <x:v>IBD / GCM</x:v>
      </x:c>
      <x:c r="D39" s="31" t="str">
        <x:v>Biggest growth for investment bank in Asia? ( he told me to look into australia and Korea, China is still strong don't get faked)</x:v>
      </x:c>
      <x:c r="E39" s="31" t="str">
        <x:v>Biggest growth for investment bank in Asia? ( he told me to look into australia and Korea, China is still strong don't get faked)</x:v>
      </x:c>
      <x:c r="F39" s="31" t="str">
        <x:v>Accounting &amp; Financial Statements</x:v>
      </x:c>
      <x:c r="G39" s="30" t="str">
        <x:v>CL0163</x:v>
      </x:c>
      <x:c r="H39" s="32" t="n">
        <x:f>COUNTIF($G$5:$G$218,G39)</x:f>
        <x:v>1</x:v>
      </x:c>
      <x:c r="I39" s="30" t="str">
        <x:v>C36</x:v>
      </x:c>
      <x:c r="J39" s="31" t="str">
        <x:v>How would you advise an EV company to raise capital, debt or equity | If you are Tencent CEO, what factors would you look into to decide raise debt or equity | If you are the investment bank, what factors would you look other than the above</x:v>
      </x:c>
    </x:row>
    <x:row r="40" ht="48" customHeight="1">
      <x:c r="A40" s="30" t="str">
        <x:v>QB0332</x:v>
      </x:c>
      <x:c r="B40" s="30" t="str">
        <x:v>MS GCM</x:v>
      </x:c>
      <x:c r="C40" s="30" t="str">
        <x:v>IBD / GCM</x:v>
      </x:c>
      <x:c r="D40" s="31" t="str">
        <x:v>Are you sure NI is positive?</x:v>
      </x:c>
      <x:c r="E40" s="31" t="str">
        <x:v>Are you sure NI is positive</x:v>
      </x:c>
      <x:c r="F40" s="31" t="str">
        <x:v>Accounting &amp; Financial Statements</x:v>
      </x:c>
      <x:c r="G40" s="30" t="str">
        <x:v>CL0137</x:v>
      </x:c>
      <x:c r="H40" s="32" t="n">
        <x:f>COUNTIF($G$5:$G$218,G40)</x:f>
        <x:v>1</x:v>
      </x:c>
      <x:c r="I40" s="30" t="str">
        <x:v>C86</x:v>
      </x:c>
      <x:c r="J40" s="31" t="str">
        <x:v>name 3 Chinese unicorns | (i said xhs): how do you think of xhs's potential trend | Do valuation of xhs;</x:v>
      </x:c>
    </x:row>
    <x:row r="41" ht="92" customHeight="1">
      <x:c r="A41" s="30" t="str">
        <x:v>QB0380</x:v>
      </x:c>
      <x:c r="B41" s="30" t="str">
        <x:v>MS GCM</x:v>
      </x:c>
      <x:c r="C41" s="30" t="str">
        <x:v>IBD / GCM</x:v>
      </x:c>
      <x:c r="D41" s="31" t="str">
        <x:v>is this stock value stock or growth stock?</x:v>
      </x:c>
      <x:c r="E41" s="31" t="str">
        <x:v>Is this stock value stock or growth stock</x:v>
      </x:c>
      <x:c r="F41" s="31" t="str">
        <x:v>Accounting &amp; Financial Statements</x:v>
      </x:c>
      <x:c r="G41" s="30" t="str">
        <x:v>CL0563</x:v>
      </x:c>
      <x:c r="H41" s="32" t="n">
        <x:f>COUNTIF($G$5:$G$218,G41)</x:f>
        <x:v>1</x:v>
      </x:c>
      <x:c r="I41" s="30" t="str">
        <x:v>C117</x:v>
      </x:c>
      <x:c r="J41" s="31" t="str">
        <x:v>stock your team covered with the highest market cap ( and i pitched a stock) | other sector you followed? pitch a stock in that sector (i wanna pitch one listed in mainland, she said No, can only pitch stock listed in hk) | grill on stoc...</x:v>
      </x:c>
    </x:row>
    <x:row r="42" ht="48" customHeight="1">
      <x:c r="A42" s="30" t="str">
        <x:v>QB0423</x:v>
      </x:c>
      <x:c r="B42" s="30" t="str">
        <x:v>MS GCM</x:v>
      </x:c>
      <x:c r="C42" s="30" t="str">
        <x:v>IBD / GCM</x:v>
      </x:c>
      <x:c r="D42" s="31" t="str">
        <x:v>the world is inflationary or deflationary right now?</x:v>
      </x:c>
      <x:c r="E42" s="31" t="str">
        <x:v>The world is inflationary or deflationary right now</x:v>
      </x:c>
      <x:c r="F42" s="31" t="str">
        <x:v>Accounting &amp; Financial Statements</x:v>
      </x:c>
      <x:c r="G42" s="30" t="str">
        <x:v>CL0785</x:v>
      </x:c>
      <x:c r="H42" s="32" t="n">
        <x:f>COUNTIF($G$5:$G$218,G42)</x:f>
        <x:v>1</x:v>
      </x:c>
      <x:c r="I42" s="30" t="str">
        <x:v>C149</x:v>
      </x:c>
      <x:c r="J42" s="31" t="str">
        <x:v>how to find beta | market grill (forgot the question, prob about interest rate) | CV based questions</x:v>
      </x:c>
    </x:row>
    <x:row r="43" ht="48" customHeight="1">
      <x:c r="A43" s="30" t="str">
        <x:v>QB0460</x:v>
      </x:c>
      <x:c r="B43" s="30" t="str">
        <x:v>UBS IBD</x:v>
      </x:c>
      <x:c r="C43" s="30" t="str">
        <x:v>IBD / GCM</x:v>
      </x:c>
      <x:c r="D43" s="31" t="str">
        <x:v>Accounting question: Revenue 100, impact on 3 statement, make your own assumptuons</x:v>
      </x:c>
      <x:c r="E43" s="31" t="str">
        <x:v>Accounting question: Revenue 100, impact on 3 statement, make your own assumptuons</x:v>
      </x:c>
      <x:c r="F43" s="31" t="str">
        <x:v>Accounting &amp; Financial Statements</x:v>
      </x:c>
      <x:c r="G43" s="30" t="str">
        <x:v>CL0098</x:v>
      </x:c>
      <x:c r="H43" s="32" t="n">
        <x:f>COUNTIF($G$5:$G$218,G43)</x:f>
        <x:v>1</x:v>
      </x:c>
      <x:c r="I43" s="30" t="str">
        <x:v>D10</x:v>
      </x:c>
      <x:c r="J43" s="31" t="str">
        <x:v>How do find the WACC? | How do you find cost of debt? | Shouldn't you use interest expense / debt?</x:v>
      </x:c>
    </x:row>
    <x:row r="44" ht="118" customHeight="1">
      <x:c r="A44" s="30" t="str">
        <x:v>QB0505</x:v>
      </x:c>
      <x:c r="B44" s="30" t="str">
        <x:v>UBS IBD</x:v>
      </x:c>
      <x:c r="C44" s="30" t="str">
        <x:v>IBD / GCM</x:v>
      </x:c>
      <x:c r="D44" s="31" t="str">
        <x:v>this year we saw a substantial surge in USD/JPY, until an abrupt correction in July. What do you think is the cause and how do you see this impacting businesses in Japan and financial markets around the world?</x:v>
      </x:c>
      <x:c r="E44" s="31" t="str">
        <x:v>This year we saw a substantial surge in USD/JPY, until an abrupt correction in July. What do you think is the cause and how do you see this impacting businesses in Japan and financial markets around the world</x:v>
      </x:c>
      <x:c r="F44" s="31" t="str">
        <x:v>Accounting &amp; Financial Statements</x:v>
      </x:c>
      <x:c r="G44" s="30" t="str">
        <x:v>CL0794</x:v>
      </x:c>
      <x:c r="H44" s="32" t="n">
        <x:f>COUNTIF($G$5:$G$218,G44)</x:f>
        <x:v>1</x:v>
      </x:c>
      <x:c r="I44" s="30" t="str">
        <x:v>A36</x:v>
      </x:c>
      <x:c r="J44" s="31" t="str">
        <x:v>9 Germaine (webinar with 2 rounds of group discussions) | considering the continued growth in ASEAN as opposed to the stagnant developments of the Greater China markets, do you think Singapore will overtake HK as an international financi...</x:v>
      </x:c>
    </x:row>
    <x:row r="45" ht="118" customHeight="1">
      <x:c r="A45" s="30" t="str">
        <x:v>QB0507</x:v>
      </x:c>
      <x:c r="B45" s="30" t="str">
        <x:v>UBS IBD</x:v>
      </x:c>
      <x:c r="C45" s="30" t="str">
        <x:v>IBD / GCM</x:v>
      </x:c>
      <x:c r="D45" s="31" t="str">
        <x:v>in anticipation of macro and geopolitical uncertainties such as outcome of US presidential election, what do you think is the key for investment banks to stay relevant and competitive?</x:v>
      </x:c>
      <x:c r="E45" s="31" t="str">
        <x:v>In anticipation of macro and geopolitical uncertainties such as outcome of US presidential election, what do you think is the key for investment banks to stay relevant and competitive</x:v>
      </x:c>
      <x:c r="F45" s="31" t="str">
        <x:v>Accounting &amp; Financial Statements</x:v>
      </x:c>
      <x:c r="G45" s="30" t="str">
        <x:v>CL0537</x:v>
      </x:c>
      <x:c r="H45" s="32" t="n">
        <x:f>COUNTIF($G$5:$G$218,G45)</x:f>
        <x:v>1</x:v>
      </x:c>
      <x:c r="I45" s="30" t="str">
        <x:v>A38</x:v>
      </x:c>
      <x:c r="J45" s="31" t="str">
        <x:v>FOLLOW UP: how should hong kong position itself to differentiate itself from singapore? what financial products or sectors should it focus on? | this year we saw a substantial surge in USD/JPY, until an abrupt correction in July. What do...</x:v>
      </x:c>
    </x:row>
    <x:row r="46" ht="68" customHeight="1">
      <x:c r="A46" s="30" t="str">
        <x:v>QB0520</x:v>
      </x:c>
      <x:c r="B46" s="30" t="str">
        <x:v>UBS IBD</x:v>
      </x:c>
      <x:c r="C46" s="30" t="str">
        <x:v>IBD / GCM</x:v>
      </x:c>
      <x:c r="D46" s="31" t="str">
        <x:v>For companies like Tencent, 3 main items of financial statements to look at</x:v>
      </x:c>
      <x:c r="E46" s="31" t="str">
        <x:v>For companies like Tencent, 3 main items of financial statements to look at</x:v>
      </x:c>
      <x:c r="F46" s="31" t="str">
        <x:v>Accounting &amp; Financial Statements</x:v>
      </x:c>
      <x:c r="G46" s="30" t="str">
        <x:v>CL0328</x:v>
      </x:c>
      <x:c r="H46" s="32" t="n">
        <x:f>COUNTIF($G$5:$G$218,G46)</x:f>
        <x:v>1</x:v>
      </x:c>
      <x:c r="I46" s="30" t="str">
        <x:v>A51</x:v>
      </x:c>
      <x:c r="J46" s="31" t="str">
        <x:v>Do you think it's going to be effective? Why would this round of policy stimulus be different? | China Real Estate - why is tackling this important? | Industry pitch for Chinese market</x:v>
      </x:c>
    </x:row>
    <x:row r="47" ht="68" customHeight="1">
      <x:c r="A47" s="30" t="str">
        <x:v>QB0522</x:v>
      </x:c>
      <x:c r="B47" s="30" t="str">
        <x:v>UBS IBD</x:v>
      </x:c>
      <x:c r="C47" s="30" t="str">
        <x:v>IBD / GCM</x:v>
      </x:c>
      <x:c r="D47" s="31" t="str">
        <x:v>What is special about Nike? (I mentioned Nike)</x:v>
      </x:c>
      <x:c r="E47" s="31" t="str">
        <x:v>What is special about Nike? (I mentioned Nike)</x:v>
      </x:c>
      <x:c r="F47" s="31" t="str">
        <x:v>Accounting &amp; Financial Statements</x:v>
      </x:c>
      <x:c r="G47" s="30" t="str">
        <x:v>CL0972</x:v>
      </x:c>
      <x:c r="H47" s="32" t="n">
        <x:f>COUNTIF($G$5:$G$218,G47)</x:f>
        <x:v>1</x:v>
      </x:c>
      <x:c r="I47" s="30" t="str">
        <x:v>A53</x:v>
      </x:c>
      <x:c r="J47" s="31" t="str">
        <x:v>Industry pitch for Chinese market | For companies like Tencent, 3 main items of financial statements to look at | Do you follow the stock market closely? What's a stock you've been following closely?</x:v>
      </x:c>
    </x:row>
    <x:row r="48" ht="48" customHeight="1">
      <x:c r="A48" s="30" t="str">
        <x:v>QB0534</x:v>
      </x:c>
      <x:c r="B48" s="30" t="str">
        <x:v>UBS IBD</x:v>
      </x:c>
      <x:c r="C48" s="30" t="str">
        <x:v>IBD / GCM</x:v>
      </x:c>
      <x:c r="D48" s="31" t="str">
        <x:v>In light of decent deglobalisation trends, what is your view of the role of HK as a global financial hub going forward</x:v>
      </x:c>
      <x:c r="E48" s="31" t="str">
        <x:v>In light of decent deglobalisation trends, what is your view of the role of HK as a global financial hub going forward</x:v>
      </x:c>
      <x:c r="F48" s="31" t="str">
        <x:v>Accounting &amp; Financial Statements</x:v>
      </x:c>
      <x:c r="G48" s="30" t="str">
        <x:v>CL0539</x:v>
      </x:c>
      <x:c r="H48" s="32" t="n">
        <x:f>COUNTIF($G$5:$G$218,G48)</x:f>
        <x:v>1</x:v>
      </x:c>
      <x:c r="I48" s="30" t="str">
        <x:v>A67</x:v>
      </x:c>
      <x:c r="J48" s="31" t="str">
        <x:v>2026 SA | 1st round | 10/18 Kate (webinar with 2 rounds of group discussions)</x:v>
      </x:c>
    </x:row>
    <x:row r="49" ht="118" customHeight="1">
      <x:c r="A49" s="30" t="str">
        <x:v>QB0537</x:v>
      </x:c>
      <x:c r="B49" s="30" t="str">
        <x:v>UBS IBD</x:v>
      </x:c>
      <x:c r="C49" s="30" t="str">
        <x:v>IBD / GCM</x:v>
      </x:c>
      <x:c r="D49" s="31" t="str">
        <x:v>What do you think is the key move of investment banks to stay relevant and compete competitively</x:v>
      </x:c>
      <x:c r="E49" s="31" t="str">
        <x:v>What do you think is the key move of investment banks to stay relevant and compete competitively</x:v>
      </x:c>
      <x:c r="F49" s="31" t="str">
        <x:v>Accounting &amp; Financial Statements</x:v>
      </x:c>
      <x:c r="G49" s="30" t="str">
        <x:v>CL0931</x:v>
      </x:c>
      <x:c r="H49" s="32" t="n">
        <x:f>COUNTIF($G$5:$G$218,G49)</x:f>
        <x:v>1</x:v>
      </x:c>
      <x:c r="I49" s="30" t="str">
        <x:v>A70</x:v>
      </x:c>
      <x:c r="J49" s="31" t="str">
        <x:v>In light of decent deglobalisation trends, what is your view of the role of HK as a global financial hub going forward | In light of continued challenging situations of internally, say the real estate slump, and externally, say the trade...</x:v>
      </x:c>
    </x:row>
    <x:row r="50" ht="92" customHeight="1">
      <x:c r="A50" s="30" t="str">
        <x:v>QB0540</x:v>
      </x:c>
      <x:c r="B50" s="30" t="str">
        <x:v>UBS IBD</x:v>
      </x:c>
      <x:c r="C50" s="30" t="str">
        <x:v>IBD / GCM</x:v>
      </x:c>
      <x:c r="D50" s="31" t="str">
        <x:v>In current market, what is current valuation level of different asset classes? Which one do you prefer to invest?</x:v>
      </x:c>
      <x:c r="E50" s="31" t="str">
        <x:v>In current market, what is current valuation level of different asset classes? Which one do you prefer to invest</x:v>
      </x:c>
      <x:c r="F50" s="31" t="str">
        <x:v>Accounting &amp; Financial Statements</x:v>
      </x:c>
      <x:c r="G50" s="30" t="str">
        <x:v>CL0538</x:v>
      </x:c>
      <x:c r="H50" s="32" t="n">
        <x:f>COUNTIF($G$5:$G$218,G50)</x:f>
        <x:v>1</x:v>
      </x:c>
      <x:c r="I50" s="30" t="str">
        <x:v>A73</x:v>
      </x:c>
      <x:c r="J50" s="31" t="str">
        <x:v>What do you think is the key move of investment banks to stay relevant and compete competitively | What do you think would be the impact or consequences of tariffs on Asian economies in the short/medium/long term | How would you compare ...</x:v>
      </x:c>
    </x:row>
    <x:row r="51" ht="68" customHeight="1">
      <x:c r="A51" s="30" t="str">
        <x:v>QB0548</x:v>
      </x:c>
      <x:c r="B51" s="30" t="str">
        <x:v>UBS IBD</x:v>
      </x:c>
      <x:c r="C51" s="30" t="str">
        <x:v>IBD / GCM</x:v>
      </x:c>
      <x:c r="D51" s="31" t="str">
        <x:v>How I justify using 75th percentile and what may be the reasons that its current trading price is low</x:v>
      </x:c>
      <x:c r="E51" s="31" t="str">
        <x:v>How I justify using 75th percentile and what may be the reasons that its current trading price is low</x:v>
      </x:c>
      <x:c r="F51" s="31" t="str">
        <x:v>Accounting &amp; Financial Statements</x:v>
      </x:c>
      <x:c r="G51" s="30" t="str">
        <x:v>CL0442</x:v>
      </x:c>
      <x:c r="H51" s="32" t="n">
        <x:f>COUNTIF($G$5:$G$218,G51)</x:f>
        <x:v>1</x:v>
      </x:c>
      <x:c r="I51" s="30" t="str">
        <x:v>A82</x:v>
      </x:c>
      <x:c r="J51" s="31" t="str">
        <x:v>Asked me to present directly | Interrupted my intro → asked my target price, % premium, and how I arrived at it | Interrupted again when I mentioned SOTP → asked why SOTP and how I mapped the 4 comp sets, how the business model matches</x:v>
      </x:c>
    </x:row>
    <x:row r="52" ht="68" customHeight="1">
      <x:c r="A52" s="30" t="str">
        <x:v>QB0555</x:v>
      </x:c>
      <x:c r="B52" s="30" t="str">
        <x:v>UBS IBD</x:v>
      </x:c>
      <x:c r="C52" s="30" t="str">
        <x:v>IBD / GCM</x:v>
      </x:c>
      <x:c r="D52" s="31" t="str">
        <x:v>Investment accounting: 10 percent vs 60 percent, differences in 3 statements, and net income impact</x:v>
      </x:c>
      <x:c r="E52" s="31" t="str">
        <x:v>How does a transaction flow through the three financial statements?</x:v>
      </x:c>
      <x:c r="F52" s="31" t="str">
        <x:v>Accounting &amp; Financial Statements</x:v>
      </x:c>
      <x:c r="G52" s="30" t="str">
        <x:v>CL0004</x:v>
      </x:c>
      <x:c r="H52" s="32" t="n">
        <x:f>COUNTIF($G$5:$G$218,G52)</x:f>
        <x:v>21</x:v>
      </x:c>
      <x:c r="I52" s="30" t="str">
        <x:v>A89</x:v>
      </x:c>
      <x:c r="J52" s="31" t="str">
        <x:v>She asked which segment I would spin off and why. Why not just do shares buy back? | The intention difference between Tesla acquiring a controlling stake vs acquiring 100 percent | Additional ways to look at valuation. I mentioned histor...</x:v>
      </x:c>
    </x:row>
    <x:row r="53" ht="92" customHeight="1">
      <x:c r="A53" s="30" t="str">
        <x:v>QB0556</x:v>
      </x:c>
      <x:c r="B53" s="30" t="str">
        <x:v>UBS IBD</x:v>
      </x:c>
      <x:c r="C53" s="30" t="str">
        <x:v>IBD / GCM</x:v>
      </x:c>
      <x:c r="D53" s="31" t="str">
        <x:v>Convertible bond: strike price 50, should they convert, how it affects the 3 statements, net debt increases or decreases</x:v>
      </x:c>
      <x:c r="E53" s="31" t="str">
        <x:v>How does a transaction flow through the three financial statements?</x:v>
      </x:c>
      <x:c r="F53" s="31" t="str">
        <x:v>Accounting &amp; Financial Statements</x:v>
      </x:c>
      <x:c r="G53" s="30" t="str">
        <x:v>CL0004</x:v>
      </x:c>
      <x:c r="H53" s="32" t="n">
        <x:f>COUNTIF($G$5:$G$218,G53)</x:f>
        <x:v>21</x:v>
      </x:c>
      <x:c r="I53" s="30" t="str">
        <x:v>A90</x:v>
      </x:c>
      <x:c r="J53" s="31" t="str">
        <x:v>The intention difference between Tesla acquiring a controlling stake vs acquiring 100 percent | Additional ways to look at valuation. I mentioned historical cost | Investment accounting: 10 percent vs 60 percent, differences in 3 stateme...</x:v>
      </x:c>
    </x:row>
    <x:row r="54" ht="68" customHeight="1">
      <x:c r="A54" s="30" t="str">
        <x:v>QB0590</x:v>
      </x:c>
      <x:c r="B54" s="30" t="str">
        <x:v>Deutsche</x:v>
      </x:c>
      <x:c r="C54" s="30" t="str">
        <x:v>IBD / GCM</x:v>
      </x:c>
      <x:c r="D54" s="31" t="str">
        <x:v>So based on the criteria you just mentioned, which one is the most important?</x:v>
      </x:c>
      <x:c r="E54" s="31" t="str">
        <x:v>So based on the criteria you just mentioned, which one is the most important</x:v>
      </x:c>
      <x:c r="F54" s="31" t="str">
        <x:v>Accounting &amp; Financial Statements</x:v>
      </x:c>
      <x:c r="G54" s="30" t="str">
        <x:v>CL0684</x:v>
      </x:c>
      <x:c r="H54" s="32" t="n">
        <x:f>COUNTIF($G$5:$G$218,G54)</x:f>
        <x:v>1</x:v>
      </x:c>
      <x:c r="I54" s="30" t="str">
        <x:v>E8</x:v>
      </x:c>
      <x:c r="J54" s="31" t="str">
        <x:v>Common valuation methodologies | For trading comps and transaction comps, how do you get the comparables? | If I have a clothing manufacturer in Vietnam, how do I get the comparable companies?</x:v>
      </x:c>
    </x:row>
    <x:row r="55" ht="118" customHeight="1">
      <x:c r="A55" s="30" t="str">
        <x:v>QB0593</x:v>
      </x:c>
      <x:c r="B55" s="30" t="str">
        <x:v>Deutsche</x:v>
      </x:c>
      <x:c r="C55" s="30" t="str">
        <x:v>IBD / GCM</x:v>
      </x:c>
      <x:c r="D55"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E55"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F55" s="31" t="str">
        <x:v>Accounting &amp; Financial Statements</x:v>
      </x:c>
      <x:c r="G55" s="30" t="str">
        <x:v>CL1206</x:v>
      </x:c>
      <x:c r="H55" s="32" t="n">
        <x:f>COUNTIF($G$5:$G$218,G55)</x:f>
        <x:v>1</x:v>
      </x:c>
      <x:c r="I55" s="30" t="str">
        <x:v>E9</x:v>
      </x:c>
      <x:c r="J55" s="31" t="str">
        <x:v>For trading comps and transaction comps, how do you get the comparables? | If I have a clothing manufacturer in Vietnam, how do I get the comparable companies? | So based on the criteria you just mentioned, which one is the most important?</x:v>
      </x:c>
    </x:row>
    <x:row r="56" ht="32" customHeight="1">
      <x:c r="A56" s="30" t="str">
        <x:v>QB0594</x:v>
      </x:c>
      <x:c r="B56" s="30" t="str">
        <x:v>Deutsche</x:v>
      </x:c>
      <x:c r="C56" s="30" t="str">
        <x:v>IBD / GCM</x:v>
      </x:c>
      <x:c r="D56" s="31" t="str">
        <x:v>Effect of this investment on the 3 statements?</x:v>
      </x:c>
      <x:c r="E56" s="31" t="str">
        <x:v>How does a transaction flow through the three financial statements?</x:v>
      </x:c>
      <x:c r="F56" s="31" t="str">
        <x:v>Accounting &amp; Financial Statements</x:v>
      </x:c>
      <x:c r="G56" s="30" t="str">
        <x:v>CL0004</x:v>
      </x:c>
      <x:c r="H56" s="32" t="n">
        <x:f>COUNTIF($G$5:$G$218,G56)</x:f>
        <x:v>21</x:v>
      </x:c>
      <x:c r="I56" s="30" t="str">
        <x:v>A10</x:v>
      </x:c>
      <x:c r="J56" s="31" t="str">
        <x:v>How to get from Equity Value to EV? | Walk me through DCF | Two w</x:v>
      </x:c>
    </x:row>
    <x:row r="57" ht="48" customHeight="1">
      <x:c r="A57" s="30" t="str">
        <x:v>QB0595</x:v>
      </x:c>
      <x:c r="B57" s="30" t="str">
        <x:v>Deutsche</x:v>
      </x:c>
      <x:c r="C57" s="30" t="str">
        <x:v>IBD / GCM</x:v>
      </x:c>
      <x:c r="D57" s="31" t="str">
        <x:v>If the JV/associate issues 100mm dividends to all shareholders, what's the effect on the 3 statements?</x:v>
      </x:c>
      <x:c r="E57" s="31" t="str">
        <x:v>How does a transaction flow through the three financial statements?</x:v>
      </x:c>
      <x:c r="F57" s="31" t="str">
        <x:v>Accounting &amp; Financial Statements</x:v>
      </x:c>
      <x:c r="G57" s="30" t="str">
        <x:v>CL0004</x:v>
      </x:c>
      <x:c r="H57" s="32" t="n">
        <x:f>COUNTIF($G$5:$G$218,G57)</x:f>
        <x:v>21</x:v>
      </x:c>
      <x:c r="I57" s="30" t="str">
        <x:v>A11</x:v>
      </x:c>
      <x:c r="J57" s="31" t="str">
        <x:v>Walk me through DCF | Two w | Effect of this investment on the 3 statements?</x:v>
      </x:c>
    </x:row>
    <x:row r="58" ht="48" customHeight="1">
      <x:c r="A58" s="30" t="str">
        <x:v>QB0622</x:v>
      </x:c>
      <x:c r="B58" s="30" t="str">
        <x:v>Deutsche</x:v>
      </x:c>
      <x:c r="C58" s="30" t="str">
        <x:v>IBD / GCM</x:v>
      </x:c>
      <x:c r="D58" s="31" t="str">
        <x:v>Valuation multiples - how did you get your comparable companies and what is your client's competitive edge?</x:v>
      </x:c>
      <x:c r="E58" s="31" t="str">
        <x:v>Valuation multiples - how did you get your comparable companies and what is your client's competitive edge</x:v>
      </x:c>
      <x:c r="F58" s="31" t="str">
        <x:v>Accounting &amp; Financial Statements</x:v>
      </x:c>
      <x:c r="G58" s="30" t="str">
        <x:v>CL0812</x:v>
      </x:c>
      <x:c r="H58" s="32" t="n">
        <x:f>COUNTIF($G$5:$G$218,G58)</x:f>
        <x:v>1</x:v>
      </x:c>
      <x:c r="I58" s="30" t="str">
        <x:v>G24</x:v>
      </x:c>
      <x:c r="J58" s="31" t="str">
        <x:v>Self Intro | Why DB? | Walk me through one of your internship experiences</x:v>
      </x:c>
    </x:row>
    <x:row r="59" ht="68" customHeight="1">
      <x:c r="A59" s="30" t="str">
        <x:v>QB0651</x:v>
      </x:c>
      <x:c r="B59" s="30" t="str">
        <x:v>Deutsche</x:v>
      </x:c>
      <x:c r="C59" s="30" t="str">
        <x:v>IBD / GCM</x:v>
      </x:c>
      <x:c r="D59" s="31" t="str">
        <x:v>How is the IRR for those funds</x:v>
      </x:c>
      <x:c r="E59" s="31" t="str">
        <x:v>How is the IRR for those funds</x:v>
      </x:c>
      <x:c r="F59" s="31" t="str">
        <x:v>Accounting &amp; Financial Statements</x:v>
      </x:c>
      <x:c r="G59" s="30" t="str">
        <x:v>CL0448</x:v>
      </x:c>
      <x:c r="H59" s="32" t="n">
        <x:f>COUNTIF($G$5:$G$218,G59)</x:f>
        <x:v>1</x:v>
      </x:c>
      <x:c r="I59" s="30" t="str">
        <x:v>C40</x:v>
      </x:c>
      <x:c r="J59" s="31" t="str">
        <x:v>How many summer interns in BLK? | What I did at blackrock, deal background about the buyout of the indian IT services, EBITDA margin level and compared to industry average | Whay you did for the portfolio level analysis for the fund inve...</x:v>
      </x:c>
    </x:row>
    <x:row r="60" ht="48" customHeight="1">
      <x:c r="A60" s="30" t="str">
        <x:v>QB0671</x:v>
      </x:c>
      <x:c r="B60" s="30" t="str">
        <x:v>Deutsche</x:v>
      </x:c>
      <x:c r="C60" s="30" t="str">
        <x:v>IBD / GCM</x:v>
      </x:c>
      <x:c r="D60" s="31" t="str">
        <x:v>How much equity is sponsor paying?</x:v>
      </x:c>
      <x:c r="E60" s="31" t="str">
        <x:v>How much equity is sponsor paying</x:v>
      </x:c>
      <x:c r="F60" s="31" t="str">
        <x:v>Accounting &amp; Financial Statements</x:v>
      </x:c>
      <x:c r="G60" s="30" t="str">
        <x:v>CL0458</x:v>
      </x:c>
      <x:c r="H60" s="32" t="n">
        <x:f>COUNTIF($G$5:$G$218,G60)</x:f>
        <x:v>1</x:v>
      </x:c>
      <x:c r="I60" s="30" t="str">
        <x:v>C51</x:v>
      </x:c>
      <x:c r="J60" s="31" t="str">
        <x:v>Return offer? | How do you find transaction comp for the SEA hospital platform? | Why is it cheaper than industry average?</x:v>
      </x:c>
    </x:row>
    <x:row r="61" ht="48" customHeight="1">
      <x:c r="A61" s="30" t="str">
        <x:v>QB0672</x:v>
      </x:c>
      <x:c r="B61" s="30" t="str">
        <x:v>Deutsche</x:v>
      </x:c>
      <x:c r="C61" s="30" t="str">
        <x:v>IBD / GCM</x:v>
      </x:c>
      <x:c r="D61" s="31" t="str">
        <x:v>is terminal value discounted</x:v>
      </x:c>
      <x:c r="E61" s="31" t="str">
        <x:v>Is terminal value discounted</x:v>
      </x:c>
      <x:c r="F61" s="31" t="str">
        <x:v>Accounting &amp; Financial Statements</x:v>
      </x:c>
      <x:c r="G61" s="30" t="str">
        <x:v>CL0558</x:v>
      </x:c>
      <x:c r="H61" s="32" t="n">
        <x:f>COUNTIF($G$5:$G$218,G61)</x:f>
        <x:v>1</x:v>
      </x:c>
      <x:c r="I61" s="30" t="str">
        <x:v>A52</x:v>
      </x:c>
      <x:c r="J61" s="31" t="str">
        <x:v>valuation methodologies | how to do dcf from EBIT | how to get exit multiple and growth rate for terminal value</x:v>
      </x:c>
    </x:row>
    <x:row r="62" ht="32" customHeight="1">
      <x:c r="A62" s="30" t="str">
        <x:v>QB0678</x:v>
      </x:c>
      <x:c r="B62" s="30" t="str">
        <x:v>Deutsche</x:v>
      </x:c>
      <x:c r="C62" s="30" t="str">
        <x:v>IBD / GCM</x:v>
      </x:c>
      <x:c r="D62" s="31" t="str">
        <x:v>100 PP&amp;E sale, 50 book value, walk through 3 statements</x:v>
      </x:c>
      <x:c r="E62" s="31" t="str">
        <x:v>How does a transaction flow through the three financial statements?</x:v>
      </x:c>
      <x:c r="F62" s="31" t="str">
        <x:v>Accounting &amp; Financial Statements</x:v>
      </x:c>
      <x:c r="G62" s="30" t="str">
        <x:v>CL0004</x:v>
      </x:c>
      <x:c r="H62" s="32" t="n">
        <x:f>COUNTIF($G$5:$G$218,G62)</x:f>
        <x:v>21</x:v>
      </x:c>
      <x:c r="I62" s="30" t="str">
        <x:v>A55</x:v>
      </x:c>
      <x:c r="J62" s="31" t="str">
        <x:v>is terminal value discounted | how to find cost of debt and equity | how to find beta</x:v>
      </x:c>
    </x:row>
    <x:row r="63" ht="68" customHeight="1">
      <x:c r="A63" s="30" t="str">
        <x:v>QB0679</x:v>
      </x:c>
      <x:c r="B63" s="30" t="str">
        <x:v>Deutsche</x:v>
      </x:c>
      <x:c r="C63" s="30" t="str">
        <x:v>IBD / GCM</x:v>
      </x:c>
      <x:c r="D63" s="31" t="str">
        <x:v>Working capital condition and CCC?</x:v>
      </x:c>
      <x:c r="E63" s="31" t="str">
        <x:v>Working capital condition and CCC</x:v>
      </x:c>
      <x:c r="F63" s="31" t="str">
        <x:v>Accounting &amp; Financial Statements</x:v>
      </x:c>
      <x:c r="G63" s="30" t="str">
        <x:v>CL1189</x:v>
      </x:c>
      <x:c r="H63" s="32" t="n">
        <x:f>COUNTIF($G$5:$G$218,G63)</x:f>
        <x:v>1</x:v>
      </x:c>
      <x:c r="I63" s="30" t="str">
        <x:v>C55</x:v>
      </x:c>
      <x:c r="J63" s="31" t="str">
        <x:v>SEA logistic company, how did you do the dcf? How do you get the assumption of growth rate? | Growth rate in near term and to 2030? | The result of the dcf and comp?</x:v>
      </x:c>
    </x:row>
    <x:row r="64" ht="48" customHeight="1">
      <x:c r="A64" s="30" t="str">
        <x:v>QB0680</x:v>
      </x:c>
      <x:c r="B64" s="30" t="str">
        <x:v>Deutsche</x:v>
      </x:c>
      <x:c r="C64" s="30" t="str">
        <x:v>IBD / GCM</x:v>
      </x:c>
      <x:c r="D64" s="31" t="str">
        <x:v>100 debt and 10% PIK interest, walk through 3 statements in y0 and y1</x:v>
      </x:c>
      <x:c r="E64" s="31" t="str">
        <x:v>How does a transaction flow through the three financial statements?</x:v>
      </x:c>
      <x:c r="F64" s="31" t="str">
        <x:v>Accounting &amp; Financial Statements</x:v>
      </x:c>
      <x:c r="G64" s="30" t="str">
        <x:v>CL0004</x:v>
      </x:c>
      <x:c r="H64" s="32" t="n">
        <x:f>COUNTIF($G$5:$G$218,G64)</x:f>
        <x:v>21</x:v>
      </x:c>
      <x:c r="I64" s="30" t="str">
        <x:v>A56</x:v>
      </x:c>
      <x:c r="J64" s="31" t="str">
        <x:v>how to find cost of debt and equity | how to find beta | 100 PP&amp;E sale, 50 book value, walk through 3 statements</x:v>
      </x:c>
    </x:row>
    <x:row r="65" ht="48" customHeight="1">
      <x:c r="A65" s="30" t="str">
        <x:v>QB0681</x:v>
      </x:c>
      <x:c r="B65" s="30" t="str">
        <x:v>Deutsche</x:v>
      </x:c>
      <x:c r="C65" s="30" t="str">
        <x:v>IBD / GCM</x:v>
      </x:c>
      <x:c r="D65" s="31" t="str">
        <x:v>3 statement tech without pen and paper</x:v>
      </x:c>
      <x:c r="E65" s="31" t="str">
        <x:v>3 statement tech without pen and paper</x:v>
      </x:c>
      <x:c r="F65" s="31" t="str">
        <x:v>Accounting &amp; Financial Statements</x:v>
      </x:c>
      <x:c r="G65" s="30" t="str">
        <x:v>CL0076</x:v>
      </x:c>
      <x:c r="H65" s="32" t="n">
        <x:f>COUNTIF($G$5:$G$218,G65)</x:f>
        <x:v>1</x:v>
      </x:c>
      <x:c r="I65" s="30" t="str">
        <x:v>C56</x:v>
      </x:c>
      <x:c r="J65" s="31" t="str">
        <x:v>Growth rate in near term and to 2030? | The result of the dcf and comp? | Working capital condition and CCC?</x:v>
      </x:c>
    </x:row>
    <x:row r="66" ht="68" customHeight="1">
      <x:c r="A66" s="30" t="str">
        <x:v>QB0685</x:v>
      </x:c>
      <x:c r="B66" s="30" t="str">
        <x:v>Deutsche</x:v>
      </x:c>
      <x:c r="C66" s="30" t="str">
        <x:v>IBD / GCM</x:v>
      </x:c>
      <x:c r="D66" s="31" t="str">
        <x:v>Is lottery prize in FCFF and why?</x:v>
      </x:c>
      <x:c r="E66" s="31" t="str">
        <x:v>Is lottery prize in FCFF and why</x:v>
      </x:c>
      <x:c r="F66" s="31" t="str">
        <x:v>Accounting &amp; Financial Statements</x:v>
      </x:c>
      <x:c r="G66" s="30" t="str">
        <x:v>CL0555</x:v>
      </x:c>
      <x:c r="H66" s="32" t="n">
        <x:f>COUNTIF($G$5:$G$218,G66)</x:f>
        <x:v>1</x:v>
      </x:c>
      <x:c r="I66" s="30" t="str">
        <x:v>C58</x:v>
      </x:c>
      <x:c r="J66" s="31" t="str">
        <x:v>Working capital condition and CCC? | 3 statement tech without pen and paper | EV Equity bridge, where is Minority interest and why? Where is non-operating asset and why? (I fucked up this one)</x:v>
      </x:c>
    </x:row>
    <x:row r="67" ht="68" customHeight="1">
      <x:c r="A67" s="30" t="str">
        <x:v>QB0686</x:v>
      </x:c>
      <x:c r="B67" s="30" t="str">
        <x:v>Deutsche</x:v>
      </x:c>
      <x:c r="C67" s="30" t="str">
        <x:v>IBD / GCM</x:v>
      </x:c>
      <x:c r="D67" s="31" t="str">
        <x:v>if the IRR is 15%, the interest rate is 20%, should u borrow the debt</x:v>
      </x:c>
      <x:c r="E67" s="31" t="str">
        <x:v>If the IRR is 15%, the interest rate is 20%, should u borrow the debt</x:v>
      </x:c>
      <x:c r="F67" s="31" t="str">
        <x:v>Accounting &amp; Financial Statements</x:v>
      </x:c>
      <x:c r="G67" s="30" t="str">
        <x:v>CL0519</x:v>
      </x:c>
      <x:c r="H67" s="32" t="n">
        <x:f>COUNTIF($G$5:$G$218,G67)</x:f>
        <x:v>1</x:v>
      </x:c>
      <x:c r="I67" s="30" t="str">
        <x:v>A59</x:v>
      </x:c>
      <x:c r="J67" s="31" t="str">
        <x:v>100 debt and 10% PIK interest, walk through 3 statements in y0 and y1 | valuation now: EV / FY+1 EBITDA, for 2030 exit multiple, which year’s EV should you use | whats the purpose of LBO</x:v>
      </x:c>
    </x:row>
    <x:row r="68" ht="48" customHeight="1">
      <x:c r="A68" s="30" t="str">
        <x:v>QB0695</x:v>
      </x:c>
      <x:c r="B68" s="30" t="str">
        <x:v>Deutsche</x:v>
      </x:c>
      <x:c r="C68" s="30" t="str">
        <x:v>IBD / GCM</x:v>
      </x:c>
      <x:c r="D68" s="31" t="str">
        <x:v>You have an IRR of 12%, bank is offering you Mezzaine of 13% PIK interest, will you take it?</x:v>
      </x:c>
      <x:c r="E68" s="31" t="str">
        <x:v>You have an IRR of 12%, bank is offering you Mezzaine of 13% PIK interest, will you take it</x:v>
      </x:c>
      <x:c r="F68" s="31" t="str">
        <x:v>Accounting &amp; Financial Statements</x:v>
      </x:c>
      <x:c r="G68" s="30" t="str">
        <x:v>CL1201</x:v>
      </x:c>
      <x:c r="H68" s="32" t="n">
        <x:f>COUNTIF($G$5:$G$218,G68)</x:f>
        <x:v>1</x:v>
      </x:c>
      <x:c r="I68" s="30" t="str">
        <x:v>C64</x:v>
      </x:c>
      <x:c r="J68" s="31" t="str">
        <x:v>Self intro | Why IBD | Why would people like to do an LBO?</x:v>
      </x:c>
    </x:row>
    <x:row r="69" ht="68" customHeight="1">
      <x:c r="A69" s="30" t="str">
        <x:v>QB0696</x:v>
      </x:c>
      <x:c r="B69" s="30" t="str">
        <x:v>Deutsche</x:v>
      </x:c>
      <x:c r="C69" s="30" t="str">
        <x:v>IBD / GCM</x:v>
      </x:c>
      <x:c r="D69" s="31" t="str">
        <x:v>You are paying 50% cash and 50% debt for a house, the rental income can just offset the debt payment every month so your cash flow is zeroed, you sell the house five years later, is your IRR positive, negative or zero?</x:v>
      </x:c>
      <x:c r="E69" s="31" t="str">
        <x:v>You are paying 50% cash and 50% debt for a house, the rental income can just offset the debt payment every month so your cash flow is zeroed, you sell the house five years later, is your IRR positive, negative or zero</x:v>
      </x:c>
      <x:c r="F69" s="31" t="str">
        <x:v>Accounting &amp; Financial Statements</x:v>
      </x:c>
      <x:c r="G69" s="30" t="str">
        <x:v>CL1200</x:v>
      </x:c>
      <x:c r="H69" s="32" t="n">
        <x:f>COUNTIF($G$5:$G$218,G69)</x:f>
        <x:v>1</x:v>
      </x:c>
      <x:c r="I69" s="30" t="str">
        <x:v>C65</x:v>
      </x:c>
      <x:c r="J69" s="31" t="str">
        <x:v>Why IBD | Why would people like to do an LBO? | You have an IRR of 12%, bank is offering you Mezzaine of 13% PIK interest, will you take it?</x:v>
      </x:c>
    </x:row>
    <x:row r="70" ht="48" customHeight="1">
      <x:c r="A70" s="30" t="str">
        <x:v>QB0779</x:v>
      </x:c>
      <x:c r="B70" s="30" t="str">
        <x:v>Deutsche</x:v>
      </x:c>
      <x:c r="C70" s="30" t="str">
        <x:v>IBD / GCM</x:v>
      </x:c>
      <x:c r="D70" s="31" t="str">
        <x:v>A owns 30% of B, how does A's three statement changes after B issued $10 dividends?</x:v>
      </x:c>
      <x:c r="E70" s="31" t="str">
        <x:v>A owns 30% of B, how does A's three statement changes after B issued $10 dividends</x:v>
      </x:c>
      <x:c r="F70" s="31" t="str">
        <x:v>Accounting &amp; Financial Statements</x:v>
      </x:c>
      <x:c r="G70" s="30" t="str">
        <x:v>CL0091</x:v>
      </x:c>
      <x:c r="H70" s="32" t="n">
        <x:f>COUNTIF($G$5:$G$218,G70)</x:f>
        <x:v>1</x:v>
      </x:c>
      <x:c r="I70" s="30" t="str">
        <x:v>C117</x:v>
      </x:c>
      <x:c r="J70" s="31" t="str">
        <x:v>Case I did in my internship (EBITDA, Revenue breakdown, post-valuation...) | pro-forma EV/EBITDA, PE change | FCF formula, levered to unlevered</x:v>
      </x:c>
    </x:row>
    <x:row r="71" ht="48" customHeight="1">
      <x:c r="A71" s="30" t="str">
        <x:v>QB0807</x:v>
      </x:c>
      <x:c r="B71" s="30" t="str">
        <x:v>Deutsche</x:v>
      </x:c>
      <x:c r="C71" s="30" t="str">
        <x:v>IBD / GCM</x:v>
      </x:c>
      <x:c r="D71" s="31" t="str">
        <x:v>Cases related questions - Revenue build up, multiples used (I mentioned the multiple used in power sector is unique) - lots of follow ups</x:v>
      </x:c>
      <x:c r="E71" s="31" t="str">
        <x:v>Cases related questions - Revenue build up, multiples used (I mentioned the multiple used in power sector is unique) - lots of follow ups</x:v>
      </x:c>
      <x:c r="F71" s="31" t="str">
        <x:v>Accounting &amp; Financial Statements</x:v>
      </x:c>
      <x:c r="G71" s="30" t="str">
        <x:v>CL0196</x:v>
      </x:c>
      <x:c r="H71" s="32" t="n">
        <x:f>COUNTIF($G$5:$G$218,G71)</x:f>
        <x:v>1</x:v>
      </x:c>
      <x:c r="I71" s="30" t="str">
        <x:v>C137</x:v>
      </x:c>
      <x:c r="J71" s="31" t="str">
        <x:v>Jackie (HK Coverage, VP) | (bro she's a bit scary she has very big eyes) | Walk me through your resume</x:v>
      </x:c>
    </x:row>
    <x:row r="72" ht="48" customHeight="1">
      <x:c r="A72" s="30" t="str">
        <x:v>QB0814</x:v>
      </x:c>
      <x:c r="B72" s="30" t="str">
        <x:v>Deutsche</x:v>
      </x:c>
      <x:c r="C72" s="30" t="str">
        <x:v>IBD / GCM</x:v>
      </x:c>
      <x:c r="D72" s="31" t="str">
        <x:v>Who is your first round interviewer? (I kinda mentioned my first round several times...)</x:v>
      </x:c>
      <x:c r="E72" s="31" t="str">
        <x:v>Who is your first round interviewer? (I kinda mentioned my first round several times...)</x:v>
      </x:c>
      <x:c r="F72" s="31" t="str">
        <x:v>Accounting &amp; Financial Statements</x:v>
      </x:c>
      <x:c r="G72" s="30" t="str">
        <x:v>CL1109</x:v>
      </x:c>
      <x:c r="H72" s="32" t="n">
        <x:f>COUNTIF($G$5:$G$218,G72)</x:f>
        <x:v>1</x:v>
      </x:c>
      <x:c r="I72" s="30" t="str">
        <x:v>A141</x:v>
      </x:c>
      <x:c r="J72" s="31" t="str">
        <x:v>1 Case did in previous internship - what did you do | Tell me about the robotics team ( I kinda emphasize that when answering the first question...) | Why IBD?</x:v>
      </x:c>
    </x:row>
    <x:row r="73" ht="48" customHeight="1">
      <x:c r="A73" s="30" t="str">
        <x:v>QB0836</x:v>
      </x:c>
      <x:c r="B73" s="30" t="str">
        <x:v>Deutsche</x:v>
      </x:c>
      <x:c r="C73" s="30" t="str">
        <x:v>IBD / GCM</x:v>
      </x:c>
      <x:c r="D73" s="31" t="str">
        <x:v>What is the P/B multiple used</x:v>
      </x:c>
      <x:c r="E73" s="31" t="str">
        <x:v>What is the P/B multiple used</x:v>
      </x:c>
      <x:c r="F73" s="31" t="str">
        <x:v>Accounting &amp; Financial Statements</x:v>
      </x:c>
      <x:c r="G73" s="30" t="str">
        <x:v>CL0988</x:v>
      </x:c>
      <x:c r="H73" s="32" t="n">
        <x:f>COUNTIF($G$5:$G$218,G73)</x:f>
        <x:v>1</x:v>
      </x:c>
      <x:c r="I73" s="30" t="str">
        <x:v>C155</x:v>
      </x:c>
      <x:c r="J73" s="31" t="str">
        <x:v>Tell me about this deal | What are the comps used (name some) | Did you take into account of A/H share premium</x:v>
      </x:c>
    </x:row>
    <x:row r="74" ht="48" customHeight="1">
      <x:c r="A74" s="30" t="str">
        <x:v>QB0851</x:v>
      </x:c>
      <x:c r="B74" s="30" t="str">
        <x:v>Deutsche</x:v>
      </x:c>
      <x:c r="C74" s="30" t="str">
        <x:v>IBD / GCM</x:v>
      </x:c>
      <x:c r="D74" s="31" t="str">
        <x:v>What is the valuation of this target?</x:v>
      </x:c>
      <x:c r="E74" s="31" t="str">
        <x:v>What is the valuation of this target</x:v>
      </x:c>
      <x:c r="F74" s="31" t="str">
        <x:v>Accounting &amp; Financial Statements</x:v>
      </x:c>
      <x:c r="G74" s="30" t="str">
        <x:v>CL0996</x:v>
      </x:c>
      <x:c r="H74" s="32" t="n">
        <x:f>COUNTIF($G$5:$G$218,G74)</x:f>
        <x:v>1</x:v>
      </x:c>
      <x:c r="I74" s="30" t="str">
        <x:v>C166</x:v>
      </x:c>
      <x:c r="J74" s="31" t="str">
        <x:v>Did you build a model for it | Project 3 | This “Photovatics” means solar right? (I use this word in my CV)</x:v>
      </x:c>
    </x:row>
    <x:row r="75" ht="48" customHeight="1">
      <x:c r="A75" s="30" t="str">
        <x:v>QB0887</x:v>
      </x:c>
      <x:c r="B75" s="30" t="str">
        <x:v>Citi</x:v>
      </x:c>
      <x:c r="C75" s="30" t="str">
        <x:v>IBD / GCM</x:v>
      </x:c>
      <x:c r="D75" s="31" t="str">
        <x:v>what kind of companies will receive cash but not yet record it as revenue on the IS, and how would it affect the BS</x:v>
      </x:c>
      <x:c r="E75" s="31" t="str">
        <x:v>What kind of companies will receive cash but not yet record it as revenue on the IS, and how would it affect the BS</x:v>
      </x:c>
      <x:c r="F75" s="31" t="str">
        <x:v>Accounting &amp; Financial Statements</x:v>
      </x:c>
      <x:c r="G75" s="30" t="str">
        <x:v>CL1007</x:v>
      </x:c>
      <x:c r="H75" s="32" t="n">
        <x:f>COUNTIF($G$5:$G$218,G75)</x:f>
        <x:v>1</x:v>
      </x:c>
      <x:c r="I75" s="30" t="str">
        <x:v>A26</x:v>
      </x:c>
      <x:c r="J75" s="31" t="str">
        <x:v>IBD 1st Round Group Interview - Tech | Beata | 搶答/Group Discussion</x:v>
      </x:c>
    </x:row>
    <x:row r="76" ht="68" customHeight="1">
      <x:c r="A76" s="30" t="str">
        <x:v>QB0902</x:v>
      </x:c>
      <x:c r="B76" s="30" t="str">
        <x:v>Citi</x:v>
      </x:c>
      <x:c r="C76" s="30" t="str">
        <x:v>IBD / GCM</x:v>
      </x:c>
      <x:c r="D76" s="31" t="str">
        <x:v>Key diff between cash balance and free cash flow?</x:v>
      </x:c>
      <x:c r="E76" s="31" t="str">
        <x:v>Key diff between cash balance and free cash flow</x:v>
      </x:c>
      <x:c r="F76" s="31" t="str">
        <x:v>Accounting &amp; Financial Statements</x:v>
      </x:c>
      <x:c r="G76" s="30" t="str">
        <x:v>CL0567</x:v>
      </x:c>
      <x:c r="H76" s="32" t="n">
        <x:f>COUNTIF($G$5:$G$218,G76)</x:f>
        <x:v>1</x:v>
      </x:c>
      <x:c r="I76" s="30" t="str">
        <x:v>A47</x:v>
      </x:c>
      <x:c r="J76" s="31" t="str">
        <x:v>How does the amortizing loan work and how does bullet repayment affect the total interest costs? | Affiliate vs subsidiary and how are they reflected differently on FS? | Difference between liquidity and solvency?</x:v>
      </x:c>
    </x:row>
    <x:row r="77" ht="48" customHeight="1">
      <x:c r="A77" s="30" t="str">
        <x:v>QB0904</x:v>
      </x:c>
      <x:c r="B77" s="30" t="str">
        <x:v>Citi</x:v>
      </x:c>
      <x:c r="C77" s="30" t="str">
        <x:v>IBD / GCM</x:v>
      </x:c>
      <x:c r="D77" s="31" t="str">
        <x:v>How does credit default swaps work, what are some other ways to hedge balance sheet exposure?</x:v>
      </x:c>
      <x:c r="E77" s="31" t="str">
        <x:v>How does credit default swaps work, what are some other ways to hedge balance sheet exposure</x:v>
      </x:c>
      <x:c r="F77" s="31" t="str">
        <x:v>Accounting &amp; Financial Statements</x:v>
      </x:c>
      <x:c r="G77" s="30" t="str">
        <x:v>CL0432</x:v>
      </x:c>
      <x:c r="H77" s="32" t="n">
        <x:f>COUNTIF($G$5:$G$218,G77)</x:f>
        <x:v>1</x:v>
      </x:c>
      <x:c r="I77" s="30" t="str">
        <x:v>A51</x:v>
      </x:c>
      <x:c r="J77" s="31" t="str">
        <x:v>Difference between liquidity and solvency? | Key diff between cash balance and free cash flow? | Factors to consider when extending a loan to clients?</x:v>
      </x:c>
    </x:row>
    <x:row r="78" ht="92" customHeight="1">
      <x:c r="A78" s="30" t="str">
        <x:v>QB0907</x:v>
      </x:c>
      <x:c r="B78" s="30" t="str">
        <x:v>Citi</x:v>
      </x:c>
      <x:c r="C78" s="30" t="str">
        <x:v>IBD / GCM</x:v>
      </x:c>
      <x:c r="D78" s="31" t="str">
        <x:v>What does negative NWC mean and how to improve WC?</x:v>
      </x:c>
      <x:c r="E78" s="31" t="str">
        <x:v>What does negative NWC mean and how to improve WC</x:v>
      </x:c>
      <x:c r="F78" s="31" t="str">
        <x:v>Accounting &amp; Financial Statements</x:v>
      </x:c>
      <x:c r="G78" s="30" t="str">
        <x:v>CL0941</x:v>
      </x:c>
      <x:c r="H78" s="32" t="n">
        <x:f>COUNTIF($G$5:$G$218,G78)</x:f>
        <x:v>1</x:v>
      </x:c>
      <x:c r="I78" s="30" t="str">
        <x:v>A57</x:v>
      </x:c>
      <x:c r="J78" s="31" t="str">
        <x:v>How does credit default swaps work, what are some other ways to hedge balance sheet exposure? | What considerations for the bank take into account when making a decision on bank loan or bond issuance for the corporates? | What can compan...</x:v>
      </x:c>
    </x:row>
    <x:row r="79" ht="68" customHeight="1">
      <x:c r="A79" s="30" t="str">
        <x:v>QB0959</x:v>
      </x:c>
      <x:c r="B79" s="30" t="str">
        <x:v>Barclays</x:v>
      </x:c>
      <x:c r="C79" s="30" t="str">
        <x:v>IBD / GCM</x:v>
      </x:c>
      <x:c r="D79" s="31" t="str">
        <x:v>Tell me more about S and G since it is not really viewed upon a lot by others</x:v>
      </x:c>
      <x:c r="E79" s="31" t="str">
        <x:v>Tell me more about S and G since it is not really viewed upon a lot by others</x:v>
      </x:c>
      <x:c r="F79" s="31" t="str">
        <x:v>Accounting &amp; Financial Statements</x:v>
      </x:c>
      <x:c r="G79" s="30" t="str">
        <x:v>CL0765</x:v>
      </x:c>
      <x:c r="H79" s="32" t="n">
        <x:f>COUNTIF($G$5:$G$218,G79)</x:f>
        <x:v>1</x:v>
      </x:c>
      <x:c r="I79" s="30" t="str">
        <x:v>C9</x:v>
      </x:c>
      <x:c r="J79" s="31" t="str">
        <x:v>Tell me more about your case competition experience, what is your role in that case competition and in a team setting? | How did you do valuation for the target company | Tell me more about ESG and what’s your view on it?</x:v>
      </x:c>
    </x:row>
    <x:row r="80" ht="68" customHeight="1">
      <x:c r="A80" s="30" t="str">
        <x:v>QB0966</x:v>
      </x:c>
      <x:c r="B80" s="30" t="str">
        <x:v>Barclays</x:v>
      </x:c>
      <x:c r="C80" s="30" t="str">
        <x:v>IBD / GCM</x:v>
      </x:c>
      <x:c r="D80" s="31" t="str">
        <x:v>Technical: Growth Perpetuity method, if 0 growth rate, 10% WACC, 100CF, what is terminal value?</x:v>
      </x:c>
      <x:c r="E80" s="31" t="str">
        <x:v>Technical: Growth Perpetuity method, if 0 growth rate, 10% WACC, 100CF, what is terminal value</x:v>
      </x:c>
      <x:c r="F80" s="31" t="str">
        <x:v>Accounting &amp; Financial Statements</x:v>
      </x:c>
      <x:c r="G80" s="30" t="str">
        <x:v>CL0700</x:v>
      </x:c>
      <x:c r="H80" s="32" t="n">
        <x:f>COUNTIF($G$5:$G$218,G80)</x:f>
        <x:v>1</x:v>
      </x:c>
      <x:c r="I80" s="30" t="str">
        <x:v>A11</x:v>
      </x:c>
      <x:c r="J80" s="31" t="str">
        <x:v>Biggest weakness and how you would mitigate it | What is your most favourite and least favourite internship and why | For my most favourite internship, walk through deal, ask about equity-linked notes and whether it is closed</x:v>
      </x:c>
    </x:row>
    <x:row r="81" ht="68" customHeight="1">
      <x:c r="A81" s="30" t="str">
        <x:v>QB1038</x:v>
      </x:c>
      <x:c r="B81" s="30" t="str">
        <x:v>Barclays</x:v>
      </x:c>
      <x:c r="C81" s="30" t="str">
        <x:v>IBD / GCM</x:v>
      </x:c>
      <x:c r="D81" s="31" t="str">
        <x:v>How is the market dynamic? (Entry barrier, technology etc)</x:v>
      </x:c>
      <x:c r="E81" s="31" t="str">
        <x:v>How is the market dynamic? (Entry barrier, technology etc)</x:v>
      </x:c>
      <x:c r="F81" s="31" t="str">
        <x:v>Accounting &amp; Financial Statements</x:v>
      </x:c>
      <x:c r="G81" s="30" t="str">
        <x:v>CL0449</x:v>
      </x:c>
      <x:c r="H81" s="32" t="n">
        <x:f>COUNTIF($G$5:$G$218,G81)</x:f>
        <x:v>1</x:v>
      </x:c>
      <x:c r="I81" s="30" t="str">
        <x:v>A36</x:v>
      </x:c>
      <x:c r="J81" s="31" t="str">
        <x:v>STOCK 1 | Deep dive: revenue breakdown, revenue driver, reason for assumption | Comparable companies: criteria, multiples (EV as compared to competitors), why use EV/EBITDA, not EV/E</x:v>
      </x:c>
    </x:row>
    <x:row r="82" ht="48" customHeight="1">
      <x:c r="A82" s="30" t="str">
        <x:v>QB1045</x:v>
      </x:c>
      <x:c r="B82" s="30" t="str">
        <x:v>Barclays</x:v>
      </x:c>
      <x:c r="C82" s="30" t="str">
        <x:v>IBD / GCM</x:v>
      </x:c>
      <x:c r="D82" s="31" t="str">
        <x:v>what is the difference betweeen lfcf and ufcf</x:v>
      </x:c>
      <x:c r="E82" s="31" t="str">
        <x:v>What is the difference betweeen lfcf and ufcf</x:v>
      </x:c>
      <x:c r="F82" s="31" t="str">
        <x:v>Accounting &amp; Financial Statements</x:v>
      </x:c>
      <x:c r="G82" s="30" t="str">
        <x:v>CL0977</x:v>
      </x:c>
      <x:c r="H82" s="32" t="n">
        <x:f>COUNTIF($G$5:$G$218,G82)</x:f>
        <x:v>1</x:v>
      </x:c>
      <x:c r="I82" s="30" t="str">
        <x:v>E39</x:v>
      </x:c>
      <x:c r="J82" s="31" t="str">
        <x:v>do you like toronto or guangzhou or hong kong (in chinese) | have you used chinese in your prev internships? | walk me through a deal</x:v>
      </x:c>
    </x:row>
    <x:row r="83" ht="48" customHeight="1">
      <x:c r="A83" s="30" t="str">
        <x:v>QB1047</x:v>
      </x:c>
      <x:c r="B83" s="30" t="str">
        <x:v>Barclays</x:v>
      </x:c>
      <x:c r="C83" s="30" t="str">
        <x:v>IBD / GCM</x:v>
      </x:c>
      <x:c r="D83" s="31" t="str">
        <x:v>what is the disadvantage of ufcf</x:v>
      </x:c>
      <x:c r="E83" s="31" t="str">
        <x:v>What is the disadvantage of ufcf</x:v>
      </x:c>
      <x:c r="F83" s="31" t="str">
        <x:v>Accounting &amp; Financial Statements</x:v>
      </x:c>
      <x:c r="G83" s="30" t="str">
        <x:v>CL0980</x:v>
      </x:c>
      <x:c r="H83" s="32" t="n">
        <x:f>COUNTIF($G$5:$G$218,G83)</x:f>
        <x:v>1</x:v>
      </x:c>
      <x:c r="I83" s="30" t="str">
        <x:v>E40</x:v>
      </x:c>
      <x:c r="J83" s="31" t="str">
        <x:v>have you used chinese in your prev internships? | walk me through a deal | what is the difference betweeen lfcf and ufcf</x:v>
      </x:c>
    </x:row>
    <x:row r="84" ht="48" customHeight="1">
      <x:c r="A84" s="30" t="str">
        <x:v>QB1053</x:v>
      </x:c>
      <x:c r="B84" s="30" t="str">
        <x:v>Barclays</x:v>
      </x:c>
      <x:c r="C84" s="30" t="str">
        <x:v>IBD / GCM</x:v>
      </x:c>
      <x:c r="D84" s="31" t="str">
        <x:v>Formula: FCF, NWC, common items of non-cash expense</x:v>
      </x:c>
      <x:c r="E84" s="31" t="str">
        <x:v>Formula: FCF, NWC, common items of non-cash expense</x:v>
      </x:c>
      <x:c r="F84" s="31" t="str">
        <x:v>Accounting &amp; Financial Statements</x:v>
      </x:c>
      <x:c r="G84" s="30" t="str">
        <x:v>CL0341</x:v>
      </x:c>
      <x:c r="H84" s="32" t="n">
        <x:f>COUNTIF($G$5:$G$218,G84)</x:f>
        <x:v>1</x:v>
      </x:c>
      <x:c r="I84" s="30" t="str">
        <x:v>A44</x:v>
      </x:c>
      <x:c r="J84" s="31" t="str">
        <x:v>Any other thesis to support this (industry trend) | Any questions? | Technical: deep-dive into FCF</x:v>
      </x:c>
    </x:row>
    <x:row r="85" ht="48" customHeight="1">
      <x:c r="A85" s="30" t="str">
        <x:v>QB1069</x:v>
      </x:c>
      <x:c r="B85" s="30" t="str">
        <x:v>Barclays</x:v>
      </x:c>
      <x:c r="C85" s="30" t="str">
        <x:v>IBD / GCM</x:v>
      </x:c>
      <x:c r="D85" s="31" t="str">
        <x:v>What is the synergy of this acquisition?</x:v>
      </x:c>
      <x:c r="E85" s="31" t="str">
        <x:v>What is the synergy of this acquisition</x:v>
      </x:c>
      <x:c r="F85" s="31" t="str">
        <x:v>Accounting &amp; Financial Statements</x:v>
      </x:c>
      <x:c r="G85" s="30" t="str">
        <x:v>CL0994</x:v>
      </x:c>
      <x:c r="H85" s="32" t="n">
        <x:f>COUNTIF($G$5:$G$218,G85)</x:f>
        <x:v>1</x:v>
      </x:c>
      <x:c r="I85" s="30" t="str">
        <x:v>C53</x:v>
      </x:c>
      <x:c r="J85" s="31" t="str">
        <x:v>Tell me more about wacc, how did you calculate it in the project? | Did you use LTM multiple or NTM mulitiple, why? | Can we use NTM multiple?</x:v>
      </x:c>
    </x:row>
    <x:row r="86" ht="48" customHeight="1">
      <x:c r="A86" s="30" t="str">
        <x:v>QB1083</x:v>
      </x:c>
      <x:c r="B86" s="30" t="str">
        <x:v>Barclays</x:v>
      </x:c>
      <x:c r="C86" s="30" t="str">
        <x:v>IBD / GCM</x:v>
      </x:c>
      <x:c r="D86" s="31" t="str">
        <x:v>what is wacc</x:v>
      </x:c>
      <x:c r="E86" s="31" t="str">
        <x:v>What is wacc</x:v>
      </x:c>
      <x:c r="F86" s="31" t="str">
        <x:v>Accounting &amp; Financial Statements</x:v>
      </x:c>
      <x:c r="G86" s="30" t="str">
        <x:v>CL1000</x:v>
      </x:c>
      <x:c r="H86" s="32" t="n">
        <x:f>COUNTIF($G$5:$G$218,G86)</x:f>
        <x:v>1</x:v>
      </x:c>
      <x:c r="I86" s="30" t="str">
        <x:v>A63</x:v>
      </x:c>
      <x:c r="J86" s="31" t="str">
        <x:v>Your work in TR | Industry trend, comps | how would your colleague describe you and what are your areas of improvement</x:v>
      </x:c>
    </x:row>
    <x:row r="87" ht="48" customHeight="1">
      <x:c r="A87" s="30" t="str">
        <x:v>QB1085</x:v>
      </x:c>
      <x:c r="B87" s="30" t="str">
        <x:v>Barclays</x:v>
      </x:c>
      <x:c r="C87" s="30" t="str">
        <x:v>IBD / GCM</x:v>
      </x:c>
      <x:c r="D87" s="31" t="str">
        <x:v>what is beta</x:v>
      </x:c>
      <x:c r="E87" s="31" t="str">
        <x:v>What is beta</x:v>
      </x:c>
      <x:c r="F87" s="31" t="str">
        <x:v>Accounting &amp; Financial Statements</x:v>
      </x:c>
      <x:c r="G87" s="30" t="str">
        <x:v>CL0964</x:v>
      </x:c>
      <x:c r="H87" s="32" t="n">
        <x:f>COUNTIF($G$5:$G$218,G87)</x:f>
        <x:v>1</x:v>
      </x:c>
      <x:c r="I87" s="30" t="str">
        <x:v>A64</x:v>
      </x:c>
      <x:c r="J87" s="31" t="str">
        <x:v>Industry trend, comps | how would your colleague describe you and what are your areas of improvement | what is wacc</x:v>
      </x:c>
    </x:row>
    <x:row r="88" ht="48" customHeight="1">
      <x:c r="A88" s="30" t="str">
        <x:v>QB1093</x:v>
      </x:c>
      <x:c r="B88" s="30" t="str">
        <x:v>Barclays</x:v>
      </x:c>
      <x:c r="C88" s="30" t="str">
        <x:v>IBD / GCM</x:v>
      </x:c>
      <x:c r="D88" s="31" t="str">
        <x:v>where do you find capex on the three statements</x:v>
      </x:c>
      <x:c r="E88" s="31" t="str">
        <x:v>How does a transaction flow through the three financial statements?</x:v>
      </x:c>
      <x:c r="F88" s="31" t="str">
        <x:v>Accounting &amp; Financial Statements</x:v>
      </x:c>
      <x:c r="G88" s="30" t="str">
        <x:v>CL0004</x:v>
      </x:c>
      <x:c r="H88" s="32" t="n">
        <x:f>COUNTIF($G$5:$G$218,G88)</x:f>
        <x:v>21</x:v>
      </x:c>
      <x:c r="I88" s="30" t="str">
        <x:v>A68</x:v>
      </x:c>
      <x:c r="J88" s="31" t="str">
        <x:v>why need to lever and unlever beta | do u use levered or unlevered fcf for dcf | how to arrive ufcf</x:v>
      </x:c>
    </x:row>
    <x:row r="89" ht="48" customHeight="1">
      <x:c r="A89" s="30" t="str">
        <x:v>QB1095</x:v>
      </x:c>
      <x:c r="B89" s="30" t="str">
        <x:v>Barclays</x:v>
      </x:c>
      <x:c r="C89" s="30" t="str">
        <x:v>IBD / GCM</x:v>
      </x:c>
      <x:c r="D89" s="31" t="str">
        <x:v>buy 100 pp&amp;e using 50 debt and 50 equity, 3 statements changes</x:v>
      </x:c>
      <x:c r="E89" s="31" t="str">
        <x:v>How does a transaction flow through the three financial statements?</x:v>
      </x:c>
      <x:c r="F89" s="31" t="str">
        <x:v>Accounting &amp; Financial Statements</x:v>
      </x:c>
      <x:c r="G89" s="30" t="str">
        <x:v>CL0004</x:v>
      </x:c>
      <x:c r="H89" s="32" t="n">
        <x:f>COUNTIF($G$5:$G$218,G89)</x:f>
        <x:v>21</x:v>
      </x:c>
      <x:c r="I89" s="30" t="str">
        <x:v>A69</x:v>
      </x:c>
      <x:c r="J89" s="31" t="str">
        <x:v>do u use levered or unlevered fcf for dcf | how to arrive ufcf | where do you find capex on the three statements</x:v>
      </x:c>
    </x:row>
    <x:row r="90" ht="68" customHeight="1">
      <x:c r="A90" s="30" t="str">
        <x:v>QB1144</x:v>
      </x:c>
      <x:c r="B90" s="30" t="str">
        <x:v>Barclays</x:v>
      </x:c>
      <x:c r="C90" s="30" t="str">
        <x:v>IBD / GCM</x:v>
      </x:c>
      <x:c r="D90" s="31" t="str">
        <x:v>Market views/market news (anything happening in the markets that you think is interesting)</x:v>
      </x:c>
      <x:c r="E90" s="31" t="str">
        <x:v>What is your current market outlook?</x:v>
      </x:c>
      <x:c r="F90" s="31" t="str">
        <x:v>Accounting &amp; Financial Statements</x:v>
      </x:c>
      <x:c r="G90" s="30" t="str">
        <x:v>CL0018</x:v>
      </x:c>
      <x:c r="H90" s="32" t="n">
        <x:f>COUNTIF($G$5:$G$218,G90)</x:f>
        <x:v>1</x:v>
      </x:c>
      <x:c r="I90" s="30" t="str">
        <x:v>A101</x:v>
      </x:c>
      <x:c r="J90" s="31" t="str">
        <x:v>Followup: Any weaknesses? | You wrote in your CV that you did IM, what does IM include and which parts were you responsible for | If you have to do a comps for investment grade companies, how would you approach</x:v>
      </x:c>
    </x:row>
    <x:row r="91" ht="48" customHeight="1">
      <x:c r="A91" s="30" t="str">
        <x:v>QB1178</x:v>
      </x:c>
      <x:c r="B91" s="30" t="str">
        <x:v>GS DCMECM</x:v>
      </x:c>
      <x:c r="C91" s="30" t="str">
        <x:v>IBD / GCM</x:v>
      </x:c>
      <x:c r="D91" s="31" t="str">
        <x:v>If the market is going really bad, for example, a covid lockdown - what operational information would you look at to assess the company's risks</x:v>
      </x:c>
      <x:c r="E91" s="31" t="str">
        <x:v>If the market is going really bad, for example, a covid lockdown - what operational information would you look at to assess the company's risks</x:v>
      </x:c>
      <x:c r="F91" s="31" t="str">
        <x:v>Accounting &amp; Financial Statements</x:v>
      </x:c>
      <x:c r="G91" s="30" t="str">
        <x:v>CL0521</x:v>
      </x:c>
      <x:c r="H91" s="32" t="n">
        <x:f>COUNTIF($G$5:$G$218,G91)</x:f>
        <x:v>1</x:v>
      </x:c>
      <x:c r="I91" s="30" t="str">
        <x:v>A16</x:v>
      </x:c>
      <x:c r="J91" s="31" t="str">
        <x:v>Self intro, why GS, why DCM | Would lendor look at upside case | For a consumer packaging company, what are some mertics for credit analysis</x:v>
      </x:c>
    </x:row>
    <x:row r="92" ht="48" customHeight="1">
      <x:c r="A92" s="30" t="str">
        <x:v>QB1218</x:v>
      </x:c>
      <x:c r="B92" s="30" t="str">
        <x:v>GS DCMECM</x:v>
      </x:c>
      <x:c r="C92" s="30" t="str">
        <x:v>IBD / GCM</x:v>
      </x:c>
      <x:c r="D92" s="31" t="str">
        <x:v>A data centre with sponsor investments, where will this show up on three statements</x:v>
      </x:c>
      <x:c r="E92" s="31" t="str">
        <x:v>How does a transaction flow through the three financial statements?</x:v>
      </x:c>
      <x:c r="F92" s="31" t="str">
        <x:v>Accounting &amp; Financial Statements</x:v>
      </x:c>
      <x:c r="G92" s="30" t="str">
        <x:v>CL0004</x:v>
      </x:c>
      <x:c r="H92" s="32" t="n">
        <x:f>COUNTIF($G$5:$G$218,G92)</x:f>
        <x:v>21</x:v>
      </x:c>
      <x:c r="I92" s="30" t="str">
        <x:v>A39</x:v>
      </x:c>
      <x:c r="J92" s="31" t="str">
        <x:v>5 Daniel Ohmsen Loans | Self Intro | How will this DCM internship fit in to your experience and your future plan</x:v>
      </x:c>
    </x:row>
    <x:row r="93" ht="68" customHeight="1">
      <x:c r="A93" s="30" t="str">
        <x:v>QB1220</x:v>
      </x:c>
      <x:c r="B93" s="30" t="str">
        <x:v>GS DCMECM</x:v>
      </x:c>
      <x:c r="C93" s="30" t="str">
        <x:v>IBD / GCM</x:v>
      </x:c>
      <x:c r="D93" s="31" t="str">
        <x:v>Raise Contruction loan, where will this show up on three statements</x:v>
      </x:c>
      <x:c r="E93" s="31" t="str">
        <x:v>How does a transaction flow through the three financial statements?</x:v>
      </x:c>
      <x:c r="F93" s="31" t="str">
        <x:v>Accounting &amp; Financial Statements</x:v>
      </x:c>
      <x:c r="G93" s="30" t="str">
        <x:v>CL0004</x:v>
      </x:c>
      <x:c r="H93" s="32" t="n">
        <x:f>COUNTIF($G$5:$G$218,G93)</x:f>
        <x:v>21</x:v>
      </x:c>
      <x:c r="I93" s="30" t="str">
        <x:v>A40</x:v>
      </x:c>
      <x:c r="J93" s="31" t="str">
        <x:v>Self Intro | How will this DCM internship fit in to your experience and your future plan | A data centre with sponsor investments, where will this show up on three statements</x:v>
      </x:c>
    </x:row>
    <x:row r="94" ht="68" customHeight="1">
      <x:c r="A94" s="30" t="str">
        <x:v>QB1222</x:v>
      </x:c>
      <x:c r="B94" s="30" t="str">
        <x:v>GS DCMECM</x:v>
      </x:c>
      <x:c r="C94" s="30" t="str">
        <x:v>IBD / GCM</x:v>
      </x:c>
      <x:c r="D94" s="31" t="str">
        <x:v>After 1 year, how will the three statements be affected</x:v>
      </x:c>
      <x:c r="E94" s="31" t="str">
        <x:v>How does a transaction flow through the three financial statements?</x:v>
      </x:c>
      <x:c r="F94" s="31" t="str">
        <x:v>Accounting &amp; Financial Statements</x:v>
      </x:c>
      <x:c r="G94" s="30" t="str">
        <x:v>CL0004</x:v>
      </x:c>
      <x:c r="H94" s="32" t="n">
        <x:f>COUNTIF($G$5:$G$218,G94)</x:f>
        <x:v>21</x:v>
      </x:c>
      <x:c r="I94" s="30" t="str">
        <x:v>A41</x:v>
      </x:c>
      <x:c r="J94" s="31" t="str">
        <x:v>How will this DCM internship fit in to your experience and your future plan | A data centre with sponsor investments, where will this show up on three statements | Raise Contruction loan, where will this show up on three statements</x:v>
      </x:c>
    </x:row>
    <x:row r="95" ht="68" customHeight="1">
      <x:c r="A95" s="30" t="str">
        <x:v>QB1226</x:v>
      </x:c>
      <x:c r="B95" s="30" t="str">
        <x:v>GS DCMECM</x:v>
      </x:c>
      <x:c r="C95" s="30" t="str">
        <x:v>IBD / GCM</x:v>
      </x:c>
      <x:c r="D95" s="31" t="str">
        <x:v>Given the current market is expecting a rate cut cycle, how would you advise someone to refinance now</x:v>
      </x:c>
      <x:c r="E95" s="31" t="str">
        <x:v>Given the current market is expecting a rate cut cycle, how would you advise someone to refinance now</x:v>
      </x:c>
      <x:c r="F95" s="31" t="str">
        <x:v>Accounting &amp; Financial Statements</x:v>
      </x:c>
      <x:c r="G95" s="30" t="str">
        <x:v>CL0355</x:v>
      </x:c>
      <x:c r="H95" s="32" t="n">
        <x:f>COUNTIF($G$5:$G$218,G95)</x:f>
        <x:v>1</x:v>
      </x:c>
      <x:c r="I95" s="30" t="str">
        <x:v>A43</x:v>
      </x:c>
      <x:c r="J95" s="31" t="str">
        <x:v>Raise Contruction loan, where will this show up on three statements | After 1 year, how will the three statements be affected | Assuming the data centre is pre-revenue with no contracts yet, what other changes can you think of</x:v>
      </x:c>
    </x:row>
    <x:row r="96" ht="48" customHeight="1">
      <x:c r="A96" s="30" t="str">
        <x:v>QB1237</x:v>
      </x:c>
      <x:c r="B96" s="30" t="str">
        <x:v>GS DCMECM</x:v>
      </x:c>
      <x:c r="C96" s="30" t="str">
        <x:v>IBD / GCM</x:v>
      </x:c>
      <x:c r="D96" s="31" t="str">
        <x:v>What is CGPA, my GPA for finance and Law</x:v>
      </x:c>
      <x:c r="E96" s="31" t="str">
        <x:v>What is CGPA, my GPA for finance and Law</x:v>
      </x:c>
      <x:c r="F96" s="31" t="str">
        <x:v>Accounting &amp; Financial Statements</x:v>
      </x:c>
      <x:c r="G96" s="30" t="str">
        <x:v>CL0965</x:v>
      </x:c>
      <x:c r="H96" s="32" t="n">
        <x:f>COUNTIF($G$5:$G$218,G96)</x:f>
        <x:v>1</x:v>
      </x:c>
      <x:c r="I96" s="30" t="str">
        <x:v>B53</x:v>
      </x:c>
      <x:c r="J96" s="31" t="str">
        <x:v>My personality and communication style | Feedback got at Nomura, any area of improvement | Walk through a project at Nomura</x:v>
      </x:c>
    </x:row>
    <x:row r="97" ht="92" customHeight="1">
      <x:c r="A97" s="30" t="str">
        <x:v>QB1256</x:v>
      </x:c>
      <x:c r="B97" s="30" t="str">
        <x:v>Bofa IBD</x:v>
      </x:c>
      <x:c r="C97" s="30" t="str">
        <x:v>IBD / GCM</x:v>
      </x:c>
      <x:c r="D97" s="31" t="str">
        <x:v>Have I done model? Have I taken corporate finance and accounting?</x:v>
      </x:c>
      <x:c r="E97" s="31" t="str">
        <x:v>Have I done model? Have I taken corporate finance and accounting</x:v>
      </x:c>
      <x:c r="F97" s="31" t="str">
        <x:v>Accounting &amp; Financial Statements</x:v>
      </x:c>
      <x:c r="G97" s="30" t="str">
        <x:v>CL0360</x:v>
      </x:c>
      <x:c r="H97" s="32" t="n">
        <x:f>COUNTIF($G$5:$G$218,G97)</x:f>
        <x:v>1</x:v>
      </x:c>
      <x:c r="I97" s="30" t="str">
        <x:v>G5</x:v>
      </x:c>
      <x:c r="J97" s="31" t="str">
        <x:v>25 2nd Round Emily with Jack Cho | (general feeling: He probably doens't like me because I ask dumb questions but not personal ones he seems to want to be more chill......) | Told me to talk for 5 mins on: short term and long term career...</x:v>
      </x:c>
    </x:row>
    <x:row r="98" ht="68" customHeight="1">
      <x:c r="A98" s="30" t="str">
        <x:v>QB1261</x:v>
      </x:c>
      <x:c r="B98" s="30" t="str">
        <x:v>Bofa IBD</x:v>
      </x:c>
      <x:c r="C98" s="30" t="str">
        <x:v>IBD / GCM</x:v>
      </x:c>
      <x:c r="D98" s="31" t="str">
        <x:v>What’s net working capital</x:v>
      </x:c>
      <x:c r="E98" s="31" t="str">
        <x:v>What’s net working capital</x:v>
      </x:c>
      <x:c r="F98" s="31" t="str">
        <x:v>Accounting &amp; Financial Statements</x:v>
      </x:c>
      <x:c r="G98" s="30" t="str">
        <x:v>CL1046</x:v>
      </x:c>
      <x:c r="H98" s="32" t="n">
        <x:f>COUNTIF($G$5:$G$218,G98)</x:f>
        <x:v>1</x:v>
      </x:c>
      <x:c r="I98" s="30" t="str">
        <x:v>A7</x:v>
      </x:c>
      <x:c r="J98" s="31" t="str">
        <x:v>Self intro, why ibd, why bofa | Tell me about an industry, industry trends, key deals in the industry and trends in dealmaking | (I said I only know 1 deal so she changed to all technical)</x:v>
      </x:c>
    </x:row>
    <x:row r="99" ht="118" customHeight="1">
      <x:c r="A99" s="30" t="str">
        <x:v>QB1264</x:v>
      </x:c>
      <x:c r="B99" s="30" t="str">
        <x:v>Bofa IBD</x:v>
      </x:c>
      <x:c r="C99" s="30" t="str">
        <x:v>IBD / GCM</x:v>
      </x:c>
      <x:c r="D99" s="31" t="str">
        <x:v>Terminal growth value use what number for a Chinese company? (I said GDP, he said it's too high), and asked what is terminal value and what's the purpose of it?</x:v>
      </x:c>
      <x:c r="E99" s="31" t="str">
        <x:v>Terminal growth value use what number for a Chinese company? (I said GDP, he said it's too high), and asked what is terminal value and what's the purpose of it</x:v>
      </x:c>
      <x:c r="F99" s="31" t="str">
        <x:v>Accounting &amp; Financial Statements</x:v>
      </x:c>
      <x:c r="G99" s="30" t="str">
        <x:v>CL0779</x:v>
      </x:c>
      <x:c r="H99" s="32" t="n">
        <x:f>COUNTIF($G$5:$G$218,G99)</x:f>
        <x:v>1</x:v>
      </x:c>
      <x:c r="I99" s="30" t="str">
        <x:v>G7</x:v>
      </x:c>
      <x:c r="J99" s="31" t="str">
        <x:v>Told me to talk for 5 mins on: short term and long term career goal, what are my major strengths and how I can stand out from other candidates | Have I done model? Have I taken corporate finance and accounting? | If I sent you a model do...</x:v>
      </x:c>
    </x:row>
    <x:row r="100" ht="48" customHeight="1">
      <x:c r="A100" s="30" t="str">
        <x:v>QB1269</x:v>
      </x:c>
      <x:c r="B100" s="30" t="str">
        <x:v>Bofa IBD</x:v>
      </x:c>
      <x:c r="C100" s="30" t="str">
        <x:v>IBD / GCM</x:v>
      </x:c>
      <x:c r="D100" s="31" t="str">
        <x:v>How do you account for cash in net working capital?</x:v>
      </x:c>
      <x:c r="E100" s="31" t="str">
        <x:v>How do you account for cash in net working capital</x:v>
      </x:c>
      <x:c r="F100" s="31" t="str">
        <x:v>Accounting &amp; Financial Statements</x:v>
      </x:c>
      <x:c r="G100" s="30" t="str">
        <x:v>CL0398</x:v>
      </x:c>
      <x:c r="H100" s="32" t="n">
        <x:f>COUNTIF($G$5:$G$218,G100)</x:f>
        <x:v>1</x:v>
      </x:c>
      <x:c r="I100" s="30" t="str">
        <x:v>A9</x:v>
      </x:c>
      <x:c r="J100" s="31" t="str">
        <x:v>(I said I only know 1 deal so she changed to all technical) | What’s net working capital | Key components in net working capital</x:v>
      </x:c>
    </x:row>
    <x:row r="101" ht="32" customHeight="1">
      <x:c r="A101" s="30" t="str">
        <x:v>QB1270</x:v>
      </x:c>
      <x:c r="B101" s="30" t="str">
        <x:v>Bofa IBD</x:v>
      </x:c>
      <x:c r="C101" s="30" t="str">
        <x:v>IBD / GCM</x:v>
      </x:c>
      <x:c r="D101" s="31" t="str">
        <x:v>What is the difference between private placement and rights issue</x:v>
      </x:c>
      <x:c r="E101" s="31" t="str">
        <x:v>What is the difference between private placement and rights issue</x:v>
      </x:c>
      <x:c r="F101" s="31" t="str">
        <x:v>Accounting &amp; Financial Statements</x:v>
      </x:c>
      <x:c r="G101" s="30" t="str">
        <x:v>CL0978</x:v>
      </x:c>
      <x:c r="H101" s="32" t="n">
        <x:f>COUNTIF($G$5:$G$218,G101)</x:f>
        <x:v>1</x:v>
      </x:c>
      <x:c r="I101" s="30" t="str">
        <x:v>C9</x:v>
      </x:c>
      <x:c r="J101" s="31" t="str">
        <x:v>Give me a broad overview of your cv | Why ibd not capital markets | Why ibd not pe</x:v>
      </x:c>
    </x:row>
    <x:row r="102" ht="48" customHeight="1">
      <x:c r="A102" s="30" t="str">
        <x:v>QB1273</x:v>
      </x:c>
      <x:c r="B102" s="30" t="str">
        <x:v>Bofa IBD</x:v>
      </x:c>
      <x:c r="C102" s="30" t="str">
        <x:v>IBD / GCM</x:v>
      </x:c>
      <x:c r="D102" s="31" t="str">
        <x:v>Would you include long term debt in net working capital and why?</x:v>
      </x:c>
      <x:c r="E102" s="31" t="str">
        <x:v>Would you include long term debt in net working capital and why</x:v>
      </x:c>
      <x:c r="F102" s="31" t="str">
        <x:v>Accounting &amp; Financial Statements</x:v>
      </x:c>
      <x:c r="G102" s="30" t="str">
        <x:v>CL1195</x:v>
      </x:c>
      <x:c r="H102" s="32" t="n">
        <x:f>COUNTIF($G$5:$G$218,G102)</x:f>
        <x:v>1</x:v>
      </x:c>
      <x:c r="I102" s="30" t="str">
        <x:v>A10</x:v>
      </x:c>
      <x:c r="J102" s="31" t="str">
        <x:v>What’s net working capital | Key components in net working capital | How do you account for cash in net working capital?</x:v>
      </x:c>
    </x:row>
    <x:row r="103" ht="92" customHeight="1">
      <x:c r="A103" s="30" t="str">
        <x:v>QB1275</x:v>
      </x:c>
      <x:c r="B103" s="30" t="str">
        <x:v>Bofa IBD</x:v>
      </x:c>
      <x:c r="C103" s="30" t="str">
        <x:v>IBD / GCM</x:v>
      </x:c>
      <x:c r="D103" s="31" t="str">
        <x:v>7how 3 statement changed if there will be minority interest?</x:v>
      </x:c>
      <x:c r="E103" s="31" t="str">
        <x:v>7how 3 statement changed if there will be minority interest</x:v>
      </x:c>
      <x:c r="F103" s="31" t="str">
        <x:v>Accounting &amp; Financial Statements</x:v>
      </x:c>
      <x:c r="G103" s="30" t="str">
        <x:v>CL0084</x:v>
      </x:c>
      <x:c r="H103" s="32" t="n">
        <x:f>COUNTIF($G$5:$G$218,G103)</x:f>
        <x:v>1</x:v>
      </x:c>
      <x:c r="I103" s="30" t="str">
        <x:v>E10</x:v>
      </x:c>
      <x:c r="J103" s="31" t="str">
        <x:v>4any experience in electronic vehicles(get exposed to some, but could share another rragrding different industry in my internship, but she said not really interested😂) | 5for bain, any research in tmt? (yes), tell me about the semicondu...</x:v>
      </x:c>
    </x:row>
    <x:row r="104" ht="48" customHeight="1">
      <x:c r="A104" s="30" t="str">
        <x:v>QB1277</x:v>
      </x:c>
      <x:c r="B104" s="30" t="str">
        <x:v>Bofa IBD</x:v>
      </x:c>
      <x:c r="C104" s="30" t="str">
        <x:v>IBD / GCM</x:v>
      </x:c>
      <x:c r="D104" s="31" t="str">
        <x:v>How do you account for equity investment in net working capital?</x:v>
      </x:c>
      <x:c r="E104" s="31" t="str">
        <x:v>How do you account for equity investment in net working capital</x:v>
      </x:c>
      <x:c r="F104" s="31" t="str">
        <x:v>Accounting &amp; Financial Statements</x:v>
      </x:c>
      <x:c r="G104" s="30" t="str">
        <x:v>CL0399</x:v>
      </x:c>
      <x:c r="H104" s="32" t="n">
        <x:f>COUNTIF($G$5:$G$218,G104)</x:f>
        <x:v>1</x:v>
      </x:c>
      <x:c r="I104" s="30" t="str">
        <x:v>A11</x:v>
      </x:c>
      <x:c r="J104" s="31" t="str">
        <x:v>Key components in net working capital | How do you account for cash in net working capital? | Would you include long term debt in net working capital and why?</x:v>
      </x:c>
    </x:row>
    <x:row r="105" ht="48" customHeight="1">
      <x:c r="A105" s="30" t="str">
        <x:v>QB1278</x:v>
      </x:c>
      <x:c r="B105" s="30" t="str">
        <x:v>Bofa IBD</x:v>
      </x:c>
      <x:c r="C105" s="30" t="str">
        <x:v>IBD / GCM</x:v>
      </x:c>
      <x:c r="D105" s="31" t="str">
        <x:v>3 statement year 1 start 100M loan buy fixed asset; year 1 end 10M repayment, 5% interest, 10 year straight line depreciation, 30% tax rate</x:v>
      </x:c>
      <x:c r="E105" s="31" t="str">
        <x:v>3 statement year 1 start 100M loan buy fixed asset; year 1 end 10M repayment, 5% interest, 10 year straight line depreciation, 30% tax rate</x:v>
      </x:c>
      <x:c r="F105" s="31" t="str">
        <x:v>Accounting &amp; Financial Statements</x:v>
      </x:c>
      <x:c r="G105" s="30" t="str">
        <x:v>CL0077</x:v>
      </x:c>
      <x:c r="H105" s="32" t="n">
        <x:f>COUNTIF($G$5:$G$218,G105)</x:f>
        <x:v>1</x:v>
      </x:c>
      <x:c r="I105" s="30" t="str">
        <x:v>C11</x:v>
      </x:c>
      <x:c r="J105" s="31" t="str">
        <x:v>Why ibd not pe | What is the difference between private placement and rights issue | Do u think u can work long hours</x:v>
      </x:c>
    </x:row>
    <x:row r="106" ht="68" customHeight="1">
      <x:c r="A106" s="30" t="str">
        <x:v>QB1285</x:v>
      </x:c>
      <x:c r="B106" s="30" t="str">
        <x:v>Bofa IBD</x:v>
      </x:c>
      <x:c r="C106" s="30" t="str">
        <x:v>IBD / GCM</x:v>
      </x:c>
      <x:c r="D106" s="31" t="str">
        <x:v>What is the market for sell side right now</x:v>
      </x:c>
      <x:c r="E106" s="31" t="str">
        <x:v>What is the market for sell side right now</x:v>
      </x:c>
      <x:c r="F106" s="31" t="str">
        <x:v>Accounting &amp; Financial Statements</x:v>
      </x:c>
      <x:c r="G106" s="30" t="str">
        <x:v>CL0985</x:v>
      </x:c>
      <x:c r="H106" s="32" t="n">
        <x:f>COUNTIF($G$5:$G$218,G106)</x:f>
        <x:v>1</x:v>
      </x:c>
      <x:c r="I106" s="30" t="str">
        <x:v>C14</x:v>
      </x:c>
      <x:c r="J106" s="31" t="str">
        <x:v>Do u think u can work long hours | 3 statement year 1 start 100M loan buy fixed asset; year 1 end 10M repayment, 5% interest, 10 year straight line depreciation, 30% tax rate | 18 Kai tang director bofa</x:v>
      </x:c>
    </x:row>
    <x:row r="107" ht="48" customHeight="1">
      <x:c r="A107" s="30" t="str">
        <x:v>QB1288</x:v>
      </x:c>
      <x:c r="B107" s="30" t="str">
        <x:v>Bofa IBD</x:v>
      </x:c>
      <x:c r="C107" s="30" t="str">
        <x:v>IBD / GCM</x:v>
      </x:c>
      <x:c r="D107" s="31" t="str">
        <x:v>Subscription model for 1 year, $100m, 3 statement</x:v>
      </x:c>
      <x:c r="E107" s="31" t="str">
        <x:v>Subscription model for 1 year, $100m, 3 statement</x:v>
      </x:c>
      <x:c r="F107" s="31" t="str">
        <x:v>Accounting &amp; Financial Statements</x:v>
      </x:c>
      <x:c r="G107" s="30" t="str">
        <x:v>CL0692</x:v>
      </x:c>
      <x:c r="H107" s="32" t="n">
        <x:f>COUNTIF($G$5:$G$218,G107)</x:f>
        <x:v>1</x:v>
      </x:c>
      <x:c r="I107" s="30" t="str">
        <x:v>A16</x:v>
      </x:c>
      <x:c r="J107" s="31" t="str">
        <x:v>What’s deferred revenue | Formula of enterprise value | If we borrow money from a bank for 100, how will it affect Enterprise value?</x:v>
      </x:c>
    </x:row>
    <x:row r="108" ht="68" customHeight="1">
      <x:c r="A108" s="30" t="str">
        <x:v>QB1333</x:v>
      </x:c>
      <x:c r="B108" s="30" t="str">
        <x:v>Bofa IBD</x:v>
      </x:c>
      <x:c r="C108" s="30" t="str">
        <x:v>IBD / GCM</x:v>
      </x:c>
      <x:c r="D108" s="31" t="str">
        <x:v>Is risk free rate truly risk free? For example US investor investing in China companies? (wtf use China yield - US yield? i dont get)</x:v>
      </x:c>
      <x:c r="E108" s="31" t="str">
        <x:v>Is risk free rate truly risk free? For example US investor investing in China companies? (wtf use China yield - US yield? i dont get)</x:v>
      </x:c>
      <x:c r="F108" s="31" t="str">
        <x:v>Accounting &amp; Financial Statements</x:v>
      </x:c>
      <x:c r="G108" s="30" t="str">
        <x:v>CL0557</x:v>
      </x:c>
      <x:c r="H108" s="32" t="n">
        <x:f>COUNTIF($G$5:$G$218,G108)</x:f>
        <x:v>1</x:v>
      </x:c>
      <x:c r="I108" s="30" t="str">
        <x:v>A51</x:v>
      </x:c>
      <x:c r="J108" s="31" t="str">
        <x:v>WACC? (actual number + how to get the number, break down of cost of debt and equity) | (I thought I'm smart and say risk premium includes country risk) | Why would you include country risk? Doesn't risk free rate include it already? (fk ...</x:v>
      </x:c>
    </x:row>
    <x:row r="109" ht="32" customHeight="1">
      <x:c r="A109" s="30" t="str">
        <x:v>QB1358</x:v>
      </x:c>
      <x:c r="B109" s="30" t="str">
        <x:v>Bofa IBD</x:v>
      </x:c>
      <x:c r="C109" s="30" t="str">
        <x:v>IBD / GCM</x:v>
      </x:c>
      <x:c r="D109" s="31" t="str">
        <x:v>Tell me about the SEA hospital platform, is it RSD?</x:v>
      </x:c>
      <x:c r="E109" s="31" t="str">
        <x:v>Tell me about the SEA hospital platform, is it RSD</x:v>
      </x:c>
      <x:c r="F109" s="31" t="str">
        <x:v>Accounting &amp; Financial Statements</x:v>
      </x:c>
      <x:c r="G109" s="30" t="str">
        <x:v>CL0746</x:v>
      </x:c>
      <x:c r="H109" s="32" t="n">
        <x:f>COUNTIF($G$5:$G$218,G109)</x:f>
        <x:v>1</x:v>
      </x:c>
      <x:c r="I109" s="30" t="str">
        <x:v>A74</x:v>
      </x:c>
      <x:c r="J109" s="31" t="str">
        <x:v>8 Andy Shin, M&amp;A | Self intro | Why IBD</x:v>
      </x:c>
    </x:row>
    <x:row r="110" ht="68" customHeight="1">
      <x:c r="A110" s="30" t="str">
        <x:v>QB1359</x:v>
      </x:c>
      <x:c r="B110" s="30" t="str">
        <x:v>Bofa IBD</x:v>
      </x:c>
      <x:c r="C110" s="30" t="str">
        <x:v>IBD / GCM</x:v>
      </x:c>
      <x:c r="D110" s="31" t="str">
        <x:v>How is the electricity price like in China? Fluctuate to market or fixed?</x:v>
      </x:c>
      <x:c r="E110" s="31" t="str">
        <x:v>How is the electricity price like in China? Fluctuate to market or fixed</x:v>
      </x:c>
      <x:c r="F110" s="31" t="str">
        <x:v>Accounting &amp; Financial Statements</x:v>
      </x:c>
      <x:c r="G110" s="30" t="str">
        <x:v>CL0447</x:v>
      </x:c>
      <x:c r="H110" s="32" t="n">
        <x:f>COUNTIF($G$5:$G$218,G110)</x:f>
        <x:v>1</x:v>
      </x:c>
      <x:c r="I110" s="30" t="str">
        <x:v>C74</x:v>
      </x:c>
      <x:c r="J110" s="31" t="str">
        <x:v>Self Intro and ask bg: where did you grow up in, where is high school, HKU? | Why no return? Did you seek feedback from people you worked with? | Daiwa energy storage: walk me through industry, trends, company, highlight</x:v>
      </x:c>
    </x:row>
    <x:row r="111" ht="32" customHeight="1">
      <x:c r="A111" s="30" t="str">
        <x:v>QB1360</x:v>
      </x:c>
      <x:c r="B111" s="30" t="str">
        <x:v>Bofa IBD</x:v>
      </x:c>
      <x:c r="C111" s="30" t="str">
        <x:v>IBD / GCM</x:v>
      </x:c>
      <x:c r="D111" s="31" t="str">
        <x:v>What is its valuation, what is your view on it</x:v>
      </x:c>
      <x:c r="E111" s="31" t="str">
        <x:v>What is its valuation, what is your view on it</x:v>
      </x:c>
      <x:c r="F111" s="31" t="str">
        <x:v>Accounting &amp; Financial Statements</x:v>
      </x:c>
      <x:c r="G111" s="30" t="str">
        <x:v>CL0971</x:v>
      </x:c>
      <x:c r="H111" s="32" t="n">
        <x:f>COUNTIF($G$5:$G$218,G111)</x:f>
        <x:v>1</x:v>
      </x:c>
      <x:c r="I111" s="30" t="str">
        <x:v>A75</x:v>
      </x:c>
      <x:c r="J111" s="31" t="str">
        <x:v>Self intro | Why IBD | Tell me about the SEA hospital platform, is it RSD?</x:v>
      </x:c>
    </x:row>
    <x:row r="112" ht="68" customHeight="1">
      <x:c r="A112" s="30" t="str">
        <x:v>QB1361</x:v>
      </x:c>
      <x:c r="B112" s="30" t="str">
        <x:v>Bofa IBD</x:v>
      </x:c>
      <x:c r="C112" s="30" t="str">
        <x:v>IBD / GCM</x:v>
      </x:c>
      <x:c r="D112" s="31" t="str">
        <x:v>Is the electricity connected to the grid?</x:v>
      </x:c>
      <x:c r="E112" s="31" t="str">
        <x:v>Is the electricity connected to the grid</x:v>
      </x:c>
      <x:c r="F112" s="31" t="str">
        <x:v>Accounting &amp; Financial Statements</x:v>
      </x:c>
      <x:c r="G112" s="30" t="str">
        <x:v>CL0559</x:v>
      </x:c>
      <x:c r="H112" s="32" t="n">
        <x:f>COUNTIF($G$5:$G$218,G112)</x:f>
        <x:v>1</x:v>
      </x:c>
      <x:c r="I112" s="30" t="str">
        <x:v>C75</x:v>
      </x:c>
      <x:c r="J112" s="31" t="str">
        <x:v>Why no return? Did you seek feedback from people you worked with? | Daiwa energy storage: walk me through industry, trends, company, highlight | How is the electricity price like in China? Fluctuate to market or fixed?</x:v>
      </x:c>
    </x:row>
    <x:row r="113" ht="68" customHeight="1">
      <x:c r="A113" s="30" t="str">
        <x:v>QB1365</x:v>
      </x:c>
      <x:c r="B113" s="30" t="str">
        <x:v>Bofa IBD</x:v>
      </x:c>
      <x:c r="C113" s="30" t="str">
        <x:v>IBD / GCM</x:v>
      </x:c>
      <x:c r="D113" s="31" t="str">
        <x:v>How is the orderbook being calculated? (Drilled for 2 times)</x:v>
      </x:c>
      <x:c r="E113" s="31" t="str">
        <x:v>How is the orderbook being calculated? (Drilled for 2 times)</x:v>
      </x:c>
      <x:c r="F113" s="31" t="str">
        <x:v>Accounting &amp; Financial Statements</x:v>
      </x:c>
      <x:c r="G113" s="30" t="str">
        <x:v>CL0450</x:v>
      </x:c>
      <x:c r="H113" s="32" t="n">
        <x:f>COUNTIF($G$5:$G$218,G113)</x:f>
        <x:v>1</x:v>
      </x:c>
      <x:c r="I113" s="30" t="str">
        <x:v>C77</x:v>
      </x:c>
      <x:c r="J113" s="31" t="str">
        <x:v>How is the electricity price like in China? Fluctuate to market or fixed? | Is the electricity connected to the grid? | UBS walk me through a deal you worked on (Oil vessel)</x:v>
      </x:c>
    </x:row>
    <x:row r="114" ht="68" customHeight="1">
      <x:c r="A114" s="30" t="str">
        <x:v>QB1366</x:v>
      </x:c>
      <x:c r="B114" s="30" t="str">
        <x:v>Bofa IBD</x:v>
      </x:c>
      <x:c r="C114" s="30" t="str">
        <x:v>IBD / GCM</x:v>
      </x:c>
      <x:c r="D114" s="31" t="str">
        <x:v>Two companies A has $100 Asset, $60 Liability, $40 Equity, B has $60 Asset, $40 Liability, $20 Equity, A acquires 50% equity in B for $30 and gains control, what is the change in balance sheet?</x:v>
      </x:c>
      <x:c r="E114" s="31" t="str">
        <x:v>Two companies A has $100 Asset, $60 Liability, $40 Equity, B has $60 Asset, $40 Liability, $20 Equity, A acquires 50% equity in B for $30 and gains control, what is the change in balance sheet</x:v>
      </x:c>
      <x:c r="F114" s="31" t="str">
        <x:v>Accounting &amp; Financial Statements</x:v>
      </x:c>
      <x:c r="G114" s="30" t="str">
        <x:v>CL0805</x:v>
      </x:c>
      <x:c r="H114" s="32" t="n">
        <x:f>COUNTIF($G$5:$G$218,G114)</x:f>
        <x:v>1</x:v>
      </x:c>
      <x:c r="I114" s="30" t="str">
        <x:v>A78</x:v>
      </x:c>
      <x:c r="J114" s="31" t="str">
        <x:v>What is its valuation, what is your view on it | Why use EV/EBITDA | Why do you think it is a resonable price?</x:v>
      </x:c>
    </x:row>
    <x:row r="115" ht="92" customHeight="1">
      <x:c r="A115" s="30" t="str">
        <x:v>QB1370</x:v>
      </x:c>
      <x:c r="B115" s="30" t="str">
        <x:v>Bofa IBD</x:v>
      </x:c>
      <x:c r="C115" s="30" t="str">
        <x:v>IBD / GCM</x:v>
      </x:c>
      <x:c r="D115" s="31" t="str">
        <x:v>What is goodwill?</x:v>
      </x:c>
      <x:c r="E115" s="31" t="str">
        <x:v>What is goodwill</x:v>
      </x:c>
      <x:c r="F115" s="31" t="str">
        <x:v>Accounting &amp; Financial Statements</x:v>
      </x:c>
      <x:c r="G115" s="30" t="str">
        <x:v>CL0046</x:v>
      </x:c>
      <x:c r="H115" s="32" t="n">
        <x:f>COUNTIF($G$5:$G$218,G115)</x:f>
        <x:v>2</x:v>
      </x:c>
      <x:c r="I115" s="30" t="str">
        <x:v>A80</x:v>
      </x:c>
      <x:c r="J115" s="31" t="str">
        <x:v>Why do you think it is a resonable price? | Two companies A has $100 Asset, $60 Liability, $40 Equity, B has $60 Asset, $40 Liability, $20 Equity, A acquires 50% equity in B for $30 and gains control, what is the change in balance sheet?...</x:v>
      </x:c>
    </x:row>
    <x:row r="116" ht="32" customHeight="1">
      <x:c r="A116" s="30" t="str">
        <x:v>QB1377</x:v>
      </x:c>
      <x:c r="B116" s="30" t="str">
        <x:v>Bofa IBD</x:v>
      </x:c>
      <x:c r="C116" s="30" t="str">
        <x:v>IBD / GCM</x:v>
      </x:c>
      <x:c r="D116" s="31" t="str">
        <x:v>How is your view on the EV/EBITDA</x:v>
      </x:c>
      <x:c r="E116" s="31" t="str">
        <x:v>How is your view on the EV/EBITDA</x:v>
      </x:c>
      <x:c r="F116" s="31" t="str">
        <x:v>Accounting &amp; Financial Statements</x:v>
      </x:c>
      <x:c r="G116" s="30" t="str">
        <x:v>CL0451</x:v>
      </x:c>
      <x:c r="H116" s="32" t="n">
        <x:f>COUNTIF($G$5:$G$218,G116)</x:f>
        <x:v>1</x:v>
      </x:c>
      <x:c r="I116" s="30" t="str">
        <x:v>A85</x:v>
      </x:c>
      <x:c r="J116" s="31" t="str">
        <x:v>8 Tim Tian, FSG | Self intro | Tell me about a deal you've down at BlackRock</x:v>
      </x:c>
    </x:row>
    <x:row r="117" ht="118" customHeight="1">
      <x:c r="A117" s="30" t="str">
        <x:v>QB1383</x:v>
      </x:c>
      <x:c r="B117" s="30" t="str">
        <x:v>Bofa IBD</x:v>
      </x:c>
      <x:c r="C117" s="30" t="str">
        <x:v>IBD / GCM</x:v>
      </x:c>
      <x:c r="D117" s="31" t="str">
        <x:v>A company has two shareholders, A and B with 50% equity each, and $500 debt with $150 EBITDA. A financial sponsor is buying the company at 10x EV/EBITDA. A cashed out while B has 20% rollover Equity. The sponsor is structuring the deal with 50% Debt and 50% Equity, what is the sources and uses of fund, what are the values of Equity hold by financial sponsor and B after transaction?</x:v>
      </x:c>
      <x:c r="E117" s="31" t="str">
        <x:v>How should a company choose between debt and equity financing?</x:v>
      </x:c>
      <x:c r="F117" s="31" t="str">
        <x:v>Accounting &amp; Financial Statements</x:v>
      </x:c>
      <x:c r="G117" s="30" t="str">
        <x:v>CL0005</x:v>
      </x:c>
      <x:c r="H117" s="32" t="n">
        <x:f>COUNTIF($G$5:$G$218,G117)</x:f>
        <x:v>2</x:v>
      </x:c>
      <x:c r="I117" s="30" t="str">
        <x:v>A88</x:v>
      </x:c>
      <x:c r="J117" s="31" t="str">
        <x:v>How is your view on the EV/EBITDA | Any protection if indian premium collapse in the future, how would you plan to save the valuation? | How do you project the growth rate for revenues given you brokedown revenue by single client account?</x:v>
      </x:c>
    </x:row>
    <x:row r="118" ht="48" customHeight="1">
      <x:c r="A118" s="30" t="str">
        <x:v>QB1384</x:v>
      </x:c>
      <x:c r="B118" s="30" t="str">
        <x:v>Bofa IBD</x:v>
      </x:c>
      <x:c r="C118" s="30" t="str">
        <x:v>IBD / GCM</x:v>
      </x:c>
      <x:c r="D118" s="31" t="str">
        <x:v>Since it is in a developing country, do you think WACC 11% is too low? Why?</x:v>
      </x:c>
      <x:c r="E118" s="31" t="str">
        <x:v>Since it is in a developing country, do you think WACC 11% is too low? Why</x:v>
      </x:c>
      <x:c r="F118" s="31" t="str">
        <x:v>Accounting &amp; Financial Statements</x:v>
      </x:c>
      <x:c r="G118" s="30" t="str">
        <x:v>CL0679</x:v>
      </x:c>
      <x:c r="H118" s="32" t="n">
        <x:f>COUNTIF($G$5:$G$218,G118)</x:f>
        <x:v>1</x:v>
      </x:c>
      <x:c r="I118" s="30" t="str">
        <x:v>C88</x:v>
      </x:c>
      <x:c r="J118" s="31" t="str">
        <x:v>For the credit analysis, what was the revenue build up? How did you do the model ? | Walk me through a valuation project you had | Key drivers of the model</x:v>
      </x:c>
    </x:row>
    <x:row r="119" ht="68" customHeight="1">
      <x:c r="A119" s="30" t="str">
        <x:v>QB1393</x:v>
      </x:c>
      <x:c r="B119" s="30" t="str">
        <x:v>Bofa IBD</x:v>
      </x:c>
      <x:c r="C119" s="30" t="str">
        <x:v>IBD / GCM</x:v>
      </x:c>
      <x:c r="D119" s="31" t="str">
        <x:v>What is the top line? How did you determine the revenue growth rate?</x:v>
      </x:c>
      <x:c r="E119" s="31" t="str">
        <x:v>What is the top line? How did you determine the revenue growth rate</x:v>
      </x:c>
      <x:c r="F119" s="31" t="str">
        <x:v>Accounting &amp; Financial Statements</x:v>
      </x:c>
      <x:c r="G119" s="30" t="str">
        <x:v>CL0995</x:v>
      </x:c>
      <x:c r="H119" s="32" t="n">
        <x:f>COUNTIF($G$5:$G$218,G119)</x:f>
        <x:v>1</x:v>
      </x:c>
      <x:c r="I119" s="30" t="str">
        <x:v>A94</x:v>
      </x:c>
      <x:c r="J119" s="31" t="str">
        <x:v>BlackRock, do you have return offer, why? | How many interns in BlackRock, how many teams, divide by asset classes? | Tell me about the IT service company you did in BLK, what kind of IT service does it provide?</x:v>
      </x:c>
    </x:row>
    <x:row r="120" ht="68" customHeight="1">
      <x:c r="A120" s="30" t="str">
        <x:v>QB1395</x:v>
      </x:c>
      <x:c r="B120" s="30" t="str">
        <x:v>Bofa IBD</x:v>
      </x:c>
      <x:c r="C120" s="30" t="str">
        <x:v>IBD / GCM</x:v>
      </x:c>
      <x:c r="D120" s="31" t="str">
        <x:v>How did you justify this company is growing faster than market average? Growth driver?</x:v>
      </x:c>
      <x:c r="E120" s="31" t="str">
        <x:v>How did you justify this company is growing faster than market average? Growth driver</x:v>
      </x:c>
      <x:c r="F120" s="31" t="str">
        <x:v>Accounting &amp; Financial Statements</x:v>
      </x:c>
      <x:c r="G120" s="30" t="str">
        <x:v>CL0390</x:v>
      </x:c>
      <x:c r="H120" s="32" t="n">
        <x:f>COUNTIF($G$5:$G$218,G120)</x:f>
        <x:v>1</x:v>
      </x:c>
      <x:c r="I120" s="30" t="str">
        <x:v>A95</x:v>
      </x:c>
      <x:c r="J120" s="31" t="str">
        <x:v>How many interns in BlackRock, how many teams, divide by asset classes? | Tell me about the IT service company you did in BLK, what kind of IT service does it provide? | What is the top line? How did you determine the revenue growth rate?</x:v>
      </x:c>
    </x:row>
    <x:row r="121" ht="92" customHeight="1">
      <x:c r="A121" s="30" t="str">
        <x:v>QB1398</x:v>
      </x:c>
      <x:c r="B121" s="30" t="str">
        <x:v>Bofa IBD</x:v>
      </x:c>
      <x:c r="C121" s="30" t="str">
        <x:v>IBD / GCM</x:v>
      </x:c>
      <x:c r="D121" s="31" t="str">
        <x:v>This company is private, there's no EBITDA? where can you find this number?</x:v>
      </x:c>
      <x:c r="E121" s="31" t="str">
        <x:v>This company is private, there's no EBITDA? where can you find this number</x:v>
      </x:c>
      <x:c r="F121" s="31" t="str">
        <x:v>Accounting &amp; Financial Statements</x:v>
      </x:c>
      <x:c r="G121" s="30" t="str">
        <x:v>CL0793</x:v>
      </x:c>
      <x:c r="H121" s="32" t="n">
        <x:f>COUNTIF($G$5:$G$218,G121)</x:f>
        <x:v>1</x:v>
      </x:c>
      <x:c r="I121" s="30" t="str">
        <x:v>C96</x:v>
      </x:c>
      <x:c r="J121" s="31" t="str">
        <x:v>(Drill CV) | B2B payment pre ipo: Tell me about industry, investment highlights, how you did trading comps, what are the competitors you chose | Why you picked these competitors? One of these competitor main business isn't just B2B, why ...</x:v>
      </x:c>
    </x:row>
    <x:row r="122" ht="68" customHeight="1">
      <x:c r="A122" s="30" t="str">
        <x:v>QB1401</x:v>
      </x:c>
      <x:c r="B122" s="30" t="str">
        <x:v>Bofa IBD</x:v>
      </x:c>
      <x:c r="C122" s="30" t="str">
        <x:v>IBD / GCM</x:v>
      </x:c>
      <x:c r="D122" s="31" t="str">
        <x:v>What is the risk? Policy wide?</x:v>
      </x:c>
      <x:c r="E122" s="31" t="str">
        <x:v>What is the risk? Policy wide</x:v>
      </x:c>
      <x:c r="F122" s="31" t="str">
        <x:v>Accounting &amp; Financial Statements</x:v>
      </x:c>
      <x:c r="G122" s="30" t="str">
        <x:v>CL0993</x:v>
      </x:c>
      <x:c r="H122" s="32" t="n">
        <x:f>COUNTIF($G$5:$G$218,G122)</x:f>
        <x:v>1</x:v>
      </x:c>
      <x:c r="I122" s="30" t="str">
        <x:v>A98</x:v>
      </x:c>
      <x:c r="J122" s="31" t="str">
        <x:v>How did you justify this company is growing faster than market average? Growth driver? | How did you do comps analysis for the international school platform? | Any exposure to china market?</x:v>
      </x:c>
    </x:row>
    <x:row r="123" ht="32" customHeight="1">
      <x:c r="A123" s="30" t="str">
        <x:v>QB1405</x:v>
      </x:c>
      <x:c r="B123" s="30" t="str">
        <x:v>Bofa IBD</x:v>
      </x:c>
      <x:c r="C123" s="30" t="str">
        <x:v>IBD / GCM</x:v>
      </x:c>
      <x:c r="D123" s="31" t="str">
        <x:v>What is the gross margin for the China freight forwarding company?</x:v>
      </x:c>
      <x:c r="E123" s="31" t="str">
        <x:v>What is the gross margin for the China freight forwarding company</x:v>
      </x:c>
      <x:c r="F123" s="31" t="str">
        <x:v>Accounting &amp; Financial Statements</x:v>
      </x:c>
      <x:c r="G123" s="30" t="str">
        <x:v>CL0981</x:v>
      </x:c>
      <x:c r="H123" s="32" t="n">
        <x:f>COUNTIF($G$5:$G$218,G123)</x:f>
        <x:v>1</x:v>
      </x:c>
      <x:c r="I123" s="30" t="str">
        <x:v>A100</x:v>
      </x:c>
      <x:c r="J123" s="31" t="str">
        <x:v>Any exposure to china market? | What is the risk? Policy wide? | Any DCF work?</x:v>
      </x:c>
    </x:row>
    <x:row r="124" ht="48" customHeight="1">
      <x:c r="A124" s="30" t="str">
        <x:v>QB1412</x:v>
      </x:c>
      <x:c r="B124" s="30" t="str">
        <x:v>Bofa IBD</x:v>
      </x:c>
      <x:c r="C124" s="30" t="str">
        <x:v>IBD / GCM</x:v>
      </x:c>
      <x:c r="D124" s="31" t="str">
        <x:v>How long is your reading week?</x:v>
      </x:c>
      <x:c r="E124" s="31" t="str">
        <x:v>How long is your reading week</x:v>
      </x:c>
      <x:c r="F124" s="31" t="str">
        <x:v>Accounting &amp; Financial Statements</x:v>
      </x:c>
      <x:c r="G124" s="30" t="str">
        <x:v>CL0452</x:v>
      </x:c>
      <x:c r="H124" s="32" t="n">
        <x:f>COUNTIF($G$5:$G$218,G124)</x:f>
        <x:v>1</x:v>
      </x:c>
      <x:c r="I124" s="30" t="str">
        <x:v>A104</x:v>
      </x:c>
      <x:c r="J124" s="31" t="str">
        <x:v>Landscape of China express delivery market? | Landscape of SEA logistic market? | What do you do at spare time?</x:v>
      </x:c>
    </x:row>
    <x:row r="125" ht="32" customHeight="1">
      <x:c r="A125" s="30" t="str">
        <x:v>QB1435</x:v>
      </x:c>
      <x:c r="B125" s="30" t="str">
        <x:v>Bofa GCM</x:v>
      </x:c>
      <x:c r="C125" s="30" t="str">
        <x:v>IBD / GCM</x:v>
      </x:c>
      <x:c r="D125" s="31" t="str">
        <x:v>how do you view the recent stock rally? is it sustainable?</x:v>
      </x:c>
      <x:c r="E125" s="31" t="str">
        <x:v>How do you view the recent stock rally? is it sustainable</x:v>
      </x:c>
      <x:c r="F125" s="31" t="str">
        <x:v>Accounting &amp; Financial Statements</x:v>
      </x:c>
      <x:c r="G125" s="30" t="str">
        <x:v>CL0431</x:v>
      </x:c>
      <x:c r="H125" s="32" t="n">
        <x:f>COUNTIF($G$5:$G$218,G125)</x:f>
        <x:v>1</x:v>
      </x:c>
      <x:c r="I125" s="30" t="str">
        <x:v>B6</x:v>
      </x:c>
      <x:c r="J125" s="31" t="str">
        <x:v>Self-intro | what do you do in NB? (didnt go deep) | tell me 2 macro news</x:v>
      </x:c>
    </x:row>
    <x:row r="126" ht="68" customHeight="1">
      <x:c r="A126" s="30" t="str">
        <x:v>QB1477</x:v>
      </x:c>
      <x:c r="B126" s="30" t="str">
        <x:v>JPM</x:v>
      </x:c>
      <x:c r="C126" s="30" t="str">
        <x:v>IBD / GCM</x:v>
      </x:c>
      <x:c r="D126" s="31" t="str">
        <x:v>any special considerations shen acquiring a hk-listed company (i bs about premium, she said shes looking into the more practical legal regulations for takeover in hk)</x:v>
      </x:c>
      <x:c r="E126" s="31" t="str">
        <x:v>Any special considerations shen acquiring a hk-listed company (i bs about premium, she said shes looking into the more practical legal regulations for takeover in hk)</x:v>
      </x:c>
      <x:c r="F126" s="31" t="str">
        <x:v>Accounting &amp; Financial Statements</x:v>
      </x:c>
      <x:c r="G126" s="30" t="str">
        <x:v>CL0124</x:v>
      </x:c>
      <x:c r="H126" s="32" t="n">
        <x:f>COUNTIF($G$5:$G$218,G126)</x:f>
        <x:v>1</x:v>
      </x:c>
      <x:c r="I126" s="30" t="str">
        <x:v>A6</x:v>
      </x:c>
      <x:c r="J126" s="31" t="str">
        <x:v>resume based | self intro (she said 5 mins walk thru?? ) | how did i valuate for AIBC case com</x:v>
      </x:c>
    </x:row>
    <x:row r="127" ht="48" customHeight="1">
      <x:c r="A127" s="30" t="str">
        <x:v>QB1518</x:v>
      </x:c>
      <x:c r="B127" s="30" t="str">
        <x:v>JPM</x:v>
      </x:c>
      <x:c r="C127" s="30" t="str">
        <x:v>IBD / GCM</x:v>
      </x:c>
      <x:c r="D127" s="31" t="str">
        <x:v>what is a continuation fund (i did in TR)</x:v>
      </x:c>
      <x:c r="E127" s="31" t="str">
        <x:v>What is a continuation fund (i did in TR)</x:v>
      </x:c>
      <x:c r="F127" s="31" t="str">
        <x:v>Accounting &amp; Financial Statements</x:v>
      </x:c>
      <x:c r="G127" s="30" t="str">
        <x:v>CL0960</x:v>
      </x:c>
      <x:c r="H127" s="32" t="n">
        <x:f>COUNTIF($G$5:$G$218,G127)</x:f>
        <x:v>1</x:v>
      </x:c>
      <x:c r="I127" s="30" t="str">
        <x:v>C35</x:v>
      </x:c>
      <x:c r="J127" s="31" t="str">
        <x:v>how would you do valuation for a instant noodle company | how do you do dcf | how to get fcf from revenue</x:v>
      </x:c>
    </x:row>
    <x:row r="128" ht="68" customHeight="1">
      <x:c r="A128" s="30" t="str">
        <x:v>QB1535</x:v>
      </x:c>
      <x:c r="B128" s="30" t="str">
        <x:v>Grant Samuel</x:v>
      </x:c>
      <x:c r="C128" s="30" t="str">
        <x:v>IBD / GCM</x:v>
      </x:c>
      <x:c r="D128" s="31" t="str">
        <x:v>All-stock deal, buyer has a higher p/e, is it accretive or dlitutive? Why?</x:v>
      </x:c>
      <x:c r="E128" s="31" t="str">
        <x:v>What makes an M&amp;A deal accretive or dilutive?</x:v>
      </x:c>
      <x:c r="F128" s="31" t="str">
        <x:v>Accounting &amp; Financial Statements</x:v>
      </x:c>
      <x:c r="G128" s="30" t="str">
        <x:v>CL0048</x:v>
      </x:c>
      <x:c r="H128" s="32" t="n">
        <x:f>COUNTIF($G$5:$G$218,G128)</x:f>
        <x:v>1</x:v>
      </x:c>
      <x:c r="I128" s="30" t="str">
        <x:v>A10</x:v>
      </x:c>
      <x:c r="J128" s="31" t="str">
        <x:v>Scenarios with higher ev/ebitda, e.g. 900x? | &gt; may be different stages, e.g., turning into profitability | Walk me thru impact on 3 FS, acquiring pp&amp;e at the start of the year, you can make your own assumptions</x:v>
      </x:c>
    </x:row>
    <x:row r="129" ht="118" customHeight="1">
      <x:c r="A129" s="30" t="str">
        <x:v>QB1539</x:v>
      </x:c>
      <x:c r="B129" s="30" t="str">
        <x:v>Grant Samuel</x:v>
      </x:c>
      <x:c r="C129" s="30" t="str">
        <x:v>IBD / GCM</x:v>
      </x:c>
      <x:c r="D129" s="31" t="str">
        <x:v>If ur company is in early stage, what do u think about cost of debt or equity</x:v>
      </x:c>
      <x:c r="E129" s="31" t="str">
        <x:v>How should a company choose between debt and equity financing?</x:v>
      </x:c>
      <x:c r="F129" s="31" t="str">
        <x:v>Accounting &amp; Financial Statements</x:v>
      </x:c>
      <x:c r="G129" s="30" t="str">
        <x:v>CL0005</x:v>
      </x:c>
      <x:c r="H129" s="32" t="n">
        <x:f>COUNTIF($G$5:$G$218,G129)</x:f>
        <x:v>2</x:v>
      </x:c>
      <x:c r="I129" s="30" t="str">
        <x:v>A14</x:v>
      </x:c>
      <x:c r="J129" s="31" t="str">
        <x:v>In most of the cases, involving debt financing, cash, e.g., acquisition involves all three, what are some of the impacts that have to encounter for the merger model | e.g., you're advising a company, client comes to u, I lack capital rn,...</x:v>
      </x:c>
    </x:row>
    <x:row r="130" ht="92" customHeight="1">
      <x:c r="A130" s="30" t="str">
        <x:v>QB1540</x:v>
      </x:c>
      <x:c r="B130" s="30" t="str">
        <x:v>Grant Samuel</x:v>
      </x:c>
      <x:c r="C130" s="30" t="str">
        <x:v>IBD / GCM</x:v>
      </x:c>
      <x:c r="D130" s="31" t="str">
        <x:v>e.g. advising on buy side, seller asks for crazy valuation, what is the counter thing, anything u can add to the term sheet?</x:v>
      </x:c>
      <x:c r="E130" s="31" t="str">
        <x:v>E.g. advising on buy side, seller asks for crazy valuation, what is the counter thing, anything u can add to the term sheet</x:v>
      </x:c>
      <x:c r="F130" s="31" t="str">
        <x:v>Accounting &amp; Financial Statements</x:v>
      </x:c>
      <x:c r="G130" s="30" t="str">
        <x:v>CL0305</x:v>
      </x:c>
      <x:c r="H130" s="32" t="n">
        <x:f>COUNTIF($G$5:$G$218,G130)</x:f>
        <x:v>1</x:v>
      </x:c>
      <x:c r="I130" s="30" t="str">
        <x:v>A15</x:v>
      </x:c>
      <x:c r="J130" s="31" t="str">
        <x:v>e.g., you're advising a company, client comes to u, I lack capital rn, whether I should use debt/equity/convertivble bonds, what questions to ask to decide which to use | Companies have diff stages, what does growth stage mean | If ur co...</x:v>
      </x:c>
    </x:row>
    <x:row r="131" ht="48" customHeight="1">
      <x:c r="A131" s="30" t="str">
        <x:v>QB1565</x:v>
      </x:c>
      <x:c r="B131" s="30" t="str">
        <x:v>Moelis</x:v>
      </x:c>
      <x:c r="C131" s="30" t="str">
        <x:v>IBD / GCM</x:v>
      </x:c>
      <x:c r="D131" s="31" t="str">
        <x:v>Cash flow $100 every year, 10% discount rate, how much would u pay to buy it?</x:v>
      </x:c>
      <x:c r="E131" s="31" t="str">
        <x:v>Cash flow $100 every year, 10% discount rate, how much would u pay to buy it</x:v>
      </x:c>
      <x:c r="F131" s="31" t="str">
        <x:v>Accounting &amp; Financial Statements</x:v>
      </x:c>
      <x:c r="G131" s="30" t="str">
        <x:v>CL0197</x:v>
      </x:c>
      <x:c r="H131" s="32" t="n">
        <x:f>COUNTIF($G$5:$G$218,G131)</x:f>
        <x:v>1</x:v>
      </x:c>
      <x:c r="I131" s="30" t="str">
        <x:v>A12</x:v>
      </x:c>
      <x:c r="J131" s="31" t="str">
        <x:v>What multiples for comps and any special multiples? | Why these multiples? | Factory $100, selling at $80, 25% TR</x:v>
      </x:c>
    </x:row>
    <x:row r="132" ht="48" customHeight="1">
      <x:c r="A132" s="30" t="str">
        <x:v>QB1573</x:v>
      </x:c>
      <x:c r="B132" s="30" t="str">
        <x:v>Moelis</x:v>
      </x:c>
      <x:c r="C132" s="30" t="str">
        <x:v>IBD / GCM</x:v>
      </x:c>
      <x:c r="D132" s="31" t="str">
        <x:v>Entry: EBITDA $100, $600 debt, no cash, 10x multiple. Exit: Year 5 EBITDA $150, exit 9x multiple. What is the MOIC? (2.5x)</x:v>
      </x:c>
      <x:c r="E132" s="31" t="str">
        <x:v>Entry: EBITDA $100, $600 debt, no cash, 10x multiple. Exit: Year 5 EBITDA $150, exit 9x multiple. What is the MOIC? (2.5x)</x:v>
      </x:c>
      <x:c r="F132" s="31" t="str">
        <x:v>Accounting &amp; Financial Statements</x:v>
      </x:c>
      <x:c r="G132" s="30" t="str">
        <x:v>CL0312</x:v>
      </x:c>
      <x:c r="H132" s="32" t="n">
        <x:f>COUNTIF($G$5:$G$218,G132)</x:f>
        <x:v>1</x:v>
      </x:c>
      <x:c r="I132" s="30" t="str">
        <x:v>A21</x:v>
      </x:c>
      <x:c r="J132" s="31" t="str">
        <x:v>Self intro | Tell me about CPS deal in UBS: responsibilities, investment highlight, DCF assumptions | Why Moelis?</x:v>
      </x:c>
    </x:row>
    <x:row r="133" ht="68" customHeight="1">
      <x:c r="A133" s="30" t="str">
        <x:v>QB1574</x:v>
      </x:c>
      <x:c r="B133" s="30" t="str">
        <x:v>Moelis</x:v>
      </x:c>
      <x:c r="C133" s="30" t="str">
        <x:v>IBD / GCM</x:v>
      </x:c>
      <x:c r="D133" s="31" t="str">
        <x:v>What is the IRR? (20%)</x:v>
      </x:c>
      <x:c r="E133" s="31" t="str">
        <x:v>What is the IRR? (20%)</x:v>
      </x:c>
      <x:c r="F133" s="31" t="str">
        <x:v>Accounting &amp; Financial Statements</x:v>
      </x:c>
      <x:c r="G133" s="30" t="str">
        <x:v>CL0983</x:v>
      </x:c>
      <x:c r="H133" s="32" t="n">
        <x:f>COUNTIF($G$5:$G$218,G133)</x:f>
        <x:v>1</x:v>
      </x:c>
      <x:c r="I133" s="30" t="str">
        <x:v>A22</x:v>
      </x:c>
      <x:c r="J133" s="31" t="str">
        <x:v>Tell me about CPS deal in UBS: responsibilities, investment highlight, DCF assumptions | Why Moelis? | Entry: EBITDA $100, $600 debt, no cash, 10x multiple. Exit: Year 5 EBITDA $150, exit 9x multiple. What is the MOIC? (2.5x)</x:v>
      </x:c>
    </x:row>
    <x:row r="134" ht="32" customHeight="1">
      <x:c r="A134" s="30" t="str">
        <x:v>QB1581</x:v>
      </x:c>
      <x:c r="B134" s="30" t="str">
        <x:v>Moelis</x:v>
      </x:c>
      <x:c r="C134" s="30" t="str">
        <x:v>IBD / GCM</x:v>
      </x:c>
      <x:c r="D134" s="31" t="str">
        <x:v>Is AMPB a specialized program?</x:v>
      </x:c>
      <x:c r="E134" s="31" t="str">
        <x:v>Is AMPB a specialized program</x:v>
      </x:c>
      <x:c r="F134" s="31" t="str">
        <x:v>Accounting &amp; Financial Statements</x:v>
      </x:c>
      <x:c r="G134" s="30" t="str">
        <x:v>CL0553</x:v>
      </x:c>
      <x:c r="H134" s="32" t="n">
        <x:f>COUNTIF($G$5:$G$218,G134)</x:f>
        <x:v>1</x:v>
      </x:c>
      <x:c r="I134" s="30" t="str">
        <x:v>A29</x:v>
      </x:c>
      <x:c r="J134" s="31" t="str">
        <x:v>Beata (First Round) | Kevin Kee, Metal and mining, Associate | Self-introduction</x:v>
      </x:c>
    </x:row>
    <x:row r="135" ht="118" customHeight="1">
      <x:c r="A135" s="30" t="str">
        <x:v>QB1601</x:v>
      </x:c>
      <x:c r="B135" s="30" t="str">
        <x:v>Moelis</x:v>
      </x:c>
      <x:c r="C135" s="30" t="str">
        <x:v>IBD / GCM</x:v>
      </x:c>
      <x:c r="D135" s="31" t="str">
        <x:v>Given that you have the projected working capital on a consumer company you’re trying to buy, you see that the inventory is reducing, the cash is flat, CA is pretty flat too, do you spot any red flags?</x:v>
      </x:c>
      <x:c r="E135" s="31" t="str">
        <x:v>Given that you have the projected working capital on a consumer company you’re trying to buy, you see that the inventory is reducing, the cash is flat, CA is pretty flat too, do you spot any red flags</x:v>
      </x:c>
      <x:c r="F135" s="31" t="str">
        <x:v>Accounting &amp; Financial Statements</x:v>
      </x:c>
      <x:c r="G135" s="30" t="str">
        <x:v>CL0354</x:v>
      </x:c>
      <x:c r="H135" s="32" t="n">
        <x:f>COUNTIF($G$5:$G$218,G135)</x:f>
        <x:v>1</x:v>
      </x:c>
      <x:c r="I135" s="30" t="str">
        <x:v>A69</x:v>
      </x:c>
      <x:c r="J135" s="31" t="str">
        <x:v>What’s your favorite sector and what’s your least favorite sector at BNP Paribas? | If there’s an energy company and you’re working on a sell side model, you have the ASP, sales volume, utilization rates, PPA, what inputs will you put in...</x:v>
      </x:c>
    </x:row>
    <x:row r="136" ht="68" customHeight="1">
      <x:c r="A136" s="30" t="str">
        <x:v>QB1631</x:v>
      </x:c>
      <x:c r="B136" s="30" t="str">
        <x:v>Jefferies</x:v>
      </x:c>
      <x:c r="C136" s="30" t="str">
        <x:v>IBD / GCM</x:v>
      </x:c>
      <x:c r="D136" s="31" t="str">
        <x:v>If depreciation is up by 10, how would it affect the 3 FS?</x:v>
      </x:c>
      <x:c r="E136" s="31" t="str">
        <x:v>If depreciation is up by 10, how would it affect the 3 FS</x:v>
      </x:c>
      <x:c r="F136" s="31" t="str">
        <x:v>Accounting &amp; Financial Statements</x:v>
      </x:c>
      <x:c r="G136" s="30" t="str">
        <x:v>CL0513</x:v>
      </x:c>
      <x:c r="H136" s="32" t="n">
        <x:f>COUNTIF($G$5:$G$218,G136)</x:f>
        <x:v>1</x:v>
      </x:c>
      <x:c r="I136" s="30" t="str">
        <x:v>C16</x:v>
      </x:c>
      <x:c r="J136" s="31" t="str">
        <x:v>l For trading comps, did you do the adjustments? (She said probably Jefferies has different standards) | l EV pitch – what’s the value chain? How are the valuation multiples? | How are the 3 FS linked together?</x:v>
      </x:c>
    </x:row>
    <x:row r="137" ht="32" customHeight="1">
      <x:c r="A137" s="30" t="str">
        <x:v>QB1658</x:v>
      </x:c>
      <x:c r="B137" s="30" t="str">
        <x:v>Jefferies</x:v>
      </x:c>
      <x:c r="C137" s="30" t="str">
        <x:v>IBD / GCM</x:v>
      </x:c>
      <x:c r="D137" s="31" t="str">
        <x:v>l Progress with other banks? Is Jefferies your top preference?</x:v>
      </x:c>
      <x:c r="E137" s="31" t="str">
        <x:v>L Progress with other banks? Is Jefferies your top preference</x:v>
      </x:c>
      <x:c r="F137" s="31" t="str">
        <x:v>Accounting &amp; Financial Statements</x:v>
      </x:c>
      <x:c r="G137" s="30" t="str">
        <x:v>CL0581</x:v>
      </x:c>
      <x:c r="H137" s="32" t="n">
        <x:f>COUNTIF($G$5:$G$218,G137)</x:f>
        <x:v>1</x:v>
      </x:c>
      <x:c r="I137" s="30" t="str">
        <x:v>C33</x:v>
      </x:c>
      <x:c r="J137" s="31" t="str">
        <x:v>Q&amp;A | 2nd Interviewer: Lance Wang, SVP (ED) TMT | l Does BNP have return?</x:v>
      </x:c>
    </x:row>
    <x:row r="138" ht="92" customHeight="1">
      <x:c r="A138" s="30" t="str">
        <x:v>QB1670</x:v>
      </x:c>
      <x:c r="B138" s="30" t="str">
        <x:v>Jefferies</x:v>
      </x:c>
      <x:c r="C138" s="30" t="str">
        <x:v>IBD / GCM</x:v>
      </x:c>
      <x:c r="D138"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E138"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F138" s="31" t="str">
        <x:v>Accounting &amp; Financial Statements</x:v>
      </x:c>
      <x:c r="G138" s="30" t="str">
        <x:v>CL0580</x:v>
      </x:c>
      <x:c r="H138" s="32" t="n">
        <x:f>COUNTIF($G$5:$G$218,G138)</x:f>
        <x:v>1</x:v>
      </x:c>
      <x:c r="I138" s="30" t="str">
        <x:v>G41</x:v>
      </x:c>
      <x:c r="J138" s="31" t="str">
        <x:v>n do you know the market cap of Jefferies? | l The China’s economy was not going well, what are some reasons behind? Are there any mitigants? | n Can also mention about geopolitical risks</x:v>
      </x:c>
    </x:row>
    <x:row r="139" ht="48" customHeight="1">
      <x:c r="A139" s="30" t="str">
        <x:v>QB1671</x:v>
      </x:c>
      <x:c r="B139" s="30" t="str">
        <x:v>Jefferies</x:v>
      </x:c>
      <x:c r="C139" s="30" t="str">
        <x:v>IBD / GCM</x:v>
      </x:c>
      <x:c r="D139" s="31" t="str">
        <x:v>l CFO of a f&amp;b company, need to use 100 cash to buy 製造設備, how will it affect 3 statements</x:v>
      </x:c>
      <x:c r="E139" s="31" t="str">
        <x:v>How does a transaction flow through the three financial statements?</x:v>
      </x:c>
      <x:c r="F139" s="31" t="str">
        <x:v>Accounting &amp; Financial Statements</x:v>
      </x:c>
      <x:c r="G139" s="30" t="str">
        <x:v>CL0004</x:v>
      </x:c>
      <x:c r="H139" s="32" t="n">
        <x:f>COUNTIF($G$5:$G$218,G139)</x:f>
        <x:v>21</x:v>
      </x:c>
      <x:c r="I139" s="30" t="str">
        <x:v>C43</x:v>
      </x:c>
      <x:c r="J139" s="31" t="str">
        <x:v>l Share a work you’ve done in BNP | l He’s from TMT team so he’s interested in the OTA project as well | l Any deal experience?</x:v>
      </x:c>
    </x:row>
    <x:row r="140" ht="92" customHeight="1">
      <x:c r="A140" s="30" t="str">
        <x:v>QB1725</x:v>
      </x:c>
      <x:c r="B140" s="30" t="str">
        <x:v>BNP Paribas</x:v>
      </x:c>
      <x:c r="C140" s="30" t="str">
        <x:v>IBD / GCM</x:v>
      </x:c>
      <x:c r="D140" s="31" t="str">
        <x:v>is the value that you calculated from "70%" equity value or enterprise value</x:v>
      </x:c>
      <x:c r="E140" s="31" t="str">
        <x:v>Bridge equity value to enterprise value</x:v>
      </x:c>
      <x:c r="F140" s="31" t="str">
        <x:v>Accounting &amp; Financial Statements</x:v>
      </x:c>
      <x:c r="G140" s="30" t="str">
        <x:v>CL0015</x:v>
      </x:c>
      <x:c r="H140" s="32" t="n">
        <x:f>COUNTIF($G$5:$G$218,G140)</x:f>
        <x:v>1</x:v>
      </x:c>
      <x:c r="I140" s="30" t="str">
        <x:v>G15</x:v>
      </x:c>
      <x:c r="J140" s="31" t="str">
        <x:v>Enterprise Value (also drill about it) | For precedent transactions, a lot of data is not disclosed, how would you do | since you mentioned about getting some public info about the deal through reading news, suppose in the news they said...</x:v>
      </x:c>
    </x:row>
    <x:row r="141" ht="48" customHeight="1">
      <x:c r="A141" s="30" t="str">
        <x:v>QB1736</x:v>
      </x:c>
      <x:c r="B141" s="30" t="str">
        <x:v>BNP Paribas</x:v>
      </x:c>
      <x:c r="C141" s="30" t="str">
        <x:v>IBD / GCM</x:v>
      </x:c>
      <x:c r="D141" s="31" t="str">
        <x:v>How exactly do you apply the comparable company valuation method (this could be in the technology industry, or it could be an industry you've worked in before)?</x:v>
      </x:c>
      <x:c r="E141" s="31" t="str">
        <x:v>How exactly do you apply the comparable company valuation method (this could be in the technology industry, or it could be an industry you've worked in before)</x:v>
      </x:c>
      <x:c r="F141" s="31" t="str">
        <x:v>Accounting &amp; Financial Statements</x:v>
      </x:c>
      <x:c r="G141" s="30" t="str">
        <x:v>CL0437</x:v>
      </x:c>
      <x:c r="H141" s="32" t="n">
        <x:f>COUNTIF($G$5:$G$218,G141)</x:f>
        <x:v>1</x:v>
      </x:c>
      <x:c r="I141" s="30" t="str">
        <x:v>C19</x:v>
      </x:c>
      <x:c r="J141" s="31" t="str">
        <x:v>second interviewer | The main focus was on asking questions about the resume. | Hong Kong Stock Exchange Listing Process</x:v>
      </x:c>
    </x:row>
    <x:row r="142" ht="92" customHeight="1">
      <x:c r="A142" s="30" t="str">
        <x:v>QB1743</x:v>
      </x:c>
      <x:c r="B142" s="30" t="str">
        <x:v>BNP Paribas</x:v>
      </x:c>
      <x:c r="C142" s="30" t="str">
        <x:v>IBD / GCM</x:v>
      </x:c>
      <x:c r="D142" s="31" t="str">
        <x:v>A detailed breakdown of WACC, down to how beta is determined.</x:v>
      </x:c>
      <x:c r="E142" s="31" t="str">
        <x:v>A detailed breakdown of WACC, down to how beta is determined</x:v>
      </x:c>
      <x:c r="F142" s="31" t="str">
        <x:v>Accounting &amp; Financial Statements</x:v>
      </x:c>
      <x:c r="G142" s="30" t="str">
        <x:v>CL0089</x:v>
      </x:c>
      <x:c r="H142" s="32" t="n">
        <x:f>COUNTIF($G$5:$G$218,G142)</x:f>
        <x:v>1</x:v>
      </x:c>
      <x:c r="I142" s="30" t="str">
        <x:v>A22</x:v>
      </x:c>
      <x:c r="J142" s="31" t="str">
        <x:v>The conversion between EV, equity value, and company market capitalization | Formulas for some basic indicators, such as ROE and price-to-earnings ratio. | They'll ask some questions about industries I've worked in before; mine was the s...</x:v>
      </x:c>
    </x:row>
    <x:row r="143" ht="92" customHeight="1">
      <x:c r="A143" s="30" t="str">
        <x:v>QB1745</x:v>
      </x:c>
      <x:c r="B143" s="30" t="str">
        <x:v>BNP Paribas</x:v>
      </x:c>
      <x:c r="C143" s="30" t="str">
        <x:v>IBD / GCM</x:v>
      </x:c>
      <x:c r="D143" s="31" t="str">
        <x:v>So please take the time to recall the numerical details of the valuation model, as well as the detailed data of the company's business. For example, how many monkeys does a CRO company reproduce in a year, and what is the price of a monkey?</x:v>
      </x:c>
      <x:c r="E143" s="31" t="str">
        <x:v>So please take the time to recall the numerical details of the valuation model, as well as the detailed data of the company's business. For example, how many monkeys does a CRO company reproduce in a year, and what is the price of a monkey</x:v>
      </x:c>
      <x:c r="F143" s="31" t="str">
        <x:v>Accounting &amp; Financial Statements</x:v>
      </x:c>
      <x:c r="G143" s="30" t="str">
        <x:v>CL0685</x:v>
      </x:c>
      <x:c r="H143" s="32" t="n">
        <x:f>COUNTIF($G$5:$G$218,G143)</x:f>
        <x:v>1</x:v>
      </x:c>
      <x:c r="I143" s="30" t="str">
        <x:v>E22</x:v>
      </x:c>
      <x:c r="J143" s="31" t="str">
        <x:v>An interviewer who was extremely intimidating and put immense pressure on the candidates. | First, spend four minutes questioning my motives. | Then spent about half an hour asking questions about a project. It required going from the co...</x:v>
      </x:c>
    </x:row>
    <x:row r="144" ht="48" customHeight="1">
      <x:c r="A144" s="30" t="str">
        <x:v>QB1752</x:v>
      </x:c>
      <x:c r="B144" s="30" t="str">
        <x:v>BNP Paribas</x:v>
      </x:c>
      <x:c r="C144" s="30" t="str">
        <x:v>IBD / GCM</x:v>
      </x:c>
      <x:c r="D144" s="31" t="str">
        <x:v>What is the process of a typical Sell-side M&amp;A deal</x:v>
      </x:c>
      <x:c r="E144" s="31" t="str">
        <x:v>What is the process of a typical Sell-side M&amp;A deal</x:v>
      </x:c>
      <x:c r="F144" s="31" t="str">
        <x:v>Accounting &amp; Financial Statements</x:v>
      </x:c>
      <x:c r="G144" s="30" t="str">
        <x:v>CL0991</x:v>
      </x:c>
      <x:c r="H144" s="32" t="n">
        <x:f>COUNTIF($G$5:$G$218,G144)</x:f>
        <x:v>1</x:v>
      </x:c>
      <x:c r="I144" s="30" t="str">
        <x:v>C25</x:v>
      </x:c>
      <x:c r="J144" s="31" t="str">
        <x:v>Motivational questioning, because I haven't done an IBD internship. | DCF | The specific contents of an Offering Memorandum</x:v>
      </x:c>
    </x:row>
    <x:row r="145" ht="48" customHeight="1">
      <x:c r="A145" s="30" t="str">
        <x:v>QB1795</x:v>
      </x:c>
      <x:c r="B145" s="30" t="str">
        <x:v>BNP Paribas</x:v>
      </x:c>
      <x:c r="C145" s="30" t="str">
        <x:v>IBD / GCM</x:v>
      </x:c>
      <x:c r="D145" s="31" t="str">
        <x:v>How the 3 statements are linked</x:v>
      </x:c>
      <x:c r="E145" s="31" t="str">
        <x:v>How does a transaction flow through the three financial statements?</x:v>
      </x:c>
      <x:c r="F145" s="31" t="str">
        <x:v>Accounting &amp; Financial Statements</x:v>
      </x:c>
      <x:c r="G145" s="30" t="str">
        <x:v>CL0004</x:v>
      </x:c>
      <x:c r="H145" s="32" t="n">
        <x:f>COUNTIF($G$5:$G$218,G145)</x:f>
        <x:v>21</x:v>
      </x:c>
      <x:c r="I145" s="30" t="str">
        <x:v>A45</x:v>
      </x:c>
      <x:c r="J145" s="31" t="str">
        <x:v>DCF details (I mentioned about SOTP used in biotech) | How do you get beta (levered/unlevered) | Asked about SOTP (talked about the logistics but not detail)</x:v>
      </x:c>
    </x:row>
    <x:row r="146" ht="32" customHeight="1">
      <x:c r="A146" s="30" t="str">
        <x:v>QB1817</x:v>
      </x:c>
      <x:c r="B146" s="30" t="str">
        <x:v>HSBC</x:v>
      </x:c>
      <x:c r="C146" s="30" t="str">
        <x:v>IBD / GCM</x:v>
      </x:c>
      <x:c r="D146" s="31" t="str">
        <x:v>Is your name an English name</x:v>
      </x:c>
      <x:c r="E146" s="31" t="str">
        <x:v>Is your name an English name</x:v>
      </x:c>
      <x:c r="F146" s="31" t="str">
        <x:v>Accounting &amp; Financial Statements</x:v>
      </x:c>
      <x:c r="G146" s="30" t="str">
        <x:v>CL0564</x:v>
      </x:c>
      <x:c r="H146" s="32" t="n">
        <x:f>COUNTIF($G$5:$G$218,G146)</x:f>
        <x:v>1</x:v>
      </x:c>
      <x:c r="I146" s="30" t="str">
        <x:v>E7</x:v>
      </x:c>
      <x:c r="J146" s="31" t="str">
        <x:v>Third Interviewer | Gu Haibo (Head of ECM) | How to pronounce your name</x:v>
      </x:c>
    </x:row>
    <x:row r="147" ht="32" customHeight="1">
      <x:c r="A147" s="30" t="str">
        <x:v>QB1833</x:v>
      </x:c>
      <x:c r="B147" s="30" t="str">
        <x:v>HSBC</x:v>
      </x:c>
      <x:c r="C147" s="30" t="str">
        <x:v>IBD / GCM</x:v>
      </x:c>
      <x:c r="D147" s="31" t="str">
        <x:v>Given the high interest rates right now, is debt still cheap</x:v>
      </x:c>
      <x:c r="E147" s="31" t="str">
        <x:v>Given the high interest rates right now, is debt still cheap</x:v>
      </x:c>
      <x:c r="F147" s="31" t="str">
        <x:v>Accounting &amp; Financial Statements</x:v>
      </x:c>
      <x:c r="G147" s="30" t="str">
        <x:v>CL0356</x:v>
      </x:c>
      <x:c r="H147" s="32" t="n">
        <x:f>COUNTIF($G$5:$G$218,G147)</x:f>
        <x:v>1</x:v>
      </x:c>
      <x:c r="I147" s="30" t="str">
        <x:v>A13</x:v>
      </x:c>
      <x:c r="J147" s="31" t="str">
        <x:v>Impact of Israel-Hamas War on M&amp;A deals | Debt vs Equity | Why is debt cheaper</x:v>
      </x:c>
    </x:row>
    <x:row r="148" ht="48" customHeight="1">
      <x:c r="A148" s="30" t="str">
        <x:v>QB1834</x:v>
      </x:c>
      <x:c r="B148" s="30" t="str">
        <x:v>HSBC</x:v>
      </x:c>
      <x:c r="C148" s="30" t="str">
        <x:v>IBD / GCM</x:v>
      </x:c>
      <x:c r="D148" s="31" t="str">
        <x:v>CAPEX 10, 3 statements</x:v>
      </x:c>
      <x:c r="E148" s="31" t="str">
        <x:v>How does a transaction flow through the three financial statements?</x:v>
      </x:c>
      <x:c r="F148" s="31" t="str">
        <x:v>Accounting &amp; Financial Statements</x:v>
      </x:c>
      <x:c r="G148" s="30" t="str">
        <x:v>CL0004</x:v>
      </x:c>
      <x:c r="H148" s="32" t="n">
        <x:f>COUNTIF($G$5:$G$218,G148)</x:f>
        <x:v>21</x:v>
      </x:c>
      <x:c r="I148" s="30" t="str">
        <x:v>C13</x:v>
      </x:c>
      <x:c r="J148" s="31" t="str">
        <x:v>What's WACC | You didn't know leveraged finance right | (i said no i didnt) then what discount rate do you use in leveraged finance</x:v>
      </x:c>
    </x:row>
    <x:row r="149" ht="92" customHeight="1">
      <x:c r="A149" s="30" t="str">
        <x:v>QB1835</x:v>
      </x:c>
      <x:c r="B149" s="30" t="str">
        <x:v>HSBC</x:v>
      </x:c>
      <x:c r="C149" s="30" t="str">
        <x:v>IBD / GCM</x:v>
      </x:c>
      <x:c r="D149" s="31" t="str">
        <x:v>3 statements question?? not sure if he asked</x:v>
      </x:c>
      <x:c r="E149" s="31" t="str">
        <x:v>How does a transaction flow through the three financial statements?</x:v>
      </x:c>
      <x:c r="F149" s="31" t="str">
        <x:v>Accounting &amp; Financial Statements</x:v>
      </x:c>
      <x:c r="G149" s="30" t="str">
        <x:v>CL0004</x:v>
      </x:c>
      <x:c r="H149" s="32" t="n">
        <x:f>COUNTIF($G$5:$G$218,G149)</x:f>
        <x:v>21</x:v>
      </x:c>
      <x:c r="I149" s="30" t="str">
        <x:v>E13</x:v>
      </x:c>
      <x:c r="J149" s="31" t="str">
        <x:v>Brain teaser: 3 boxes with fruits inside, 1 labelled as banana, 1 strawberries, 1 mixed, three are all incorrectly labelled, u can only draw once, how do you do so you can identify which box contains what | how do you find equity value f...</x:v>
      </x:c>
    </x:row>
    <x:row r="150" ht="48" customHeight="1">
      <x:c r="A150" s="30" t="str">
        <x:v>QB1836</x:v>
      </x:c>
      <x:c r="B150" s="30" t="str">
        <x:v>HSBC</x:v>
      </x:c>
      <x:c r="C150" s="30" t="str">
        <x:v>IBD / GCM</x:v>
      </x:c>
      <x:c r="D150" s="31" t="str">
        <x:v>3 statement question (seems like, but I don't remember)</x:v>
      </x:c>
      <x:c r="E150" s="31" t="str">
        <x:v>3 statement question (seems like, but I don't remember)</x:v>
      </x:c>
      <x:c r="F150" s="31" t="str">
        <x:v>Accounting &amp; Financial Statements</x:v>
      </x:c>
      <x:c r="G150" s="30" t="str">
        <x:v>CL0075</x:v>
      </x:c>
      <x:c r="H150" s="32" t="n">
        <x:f>COUNTIF($G$5:$G$218,G150)</x:f>
        <x:v>1</x:v>
      </x:c>
      <x:c r="I150" s="30" t="str">
        <x:v>A14</x:v>
      </x:c>
      <x:c r="J150" s="31" t="str">
        <x:v>Debt vs Equity | Why is debt cheaper | Given the high interest rates right now, is debt still cheap</x:v>
      </x:c>
    </x:row>
    <x:row r="151" ht="48" customHeight="1">
      <x:c r="A151" s="30" t="str">
        <x:v>QB1837</x:v>
      </x:c>
      <x:c r="B151" s="30" t="str">
        <x:v>HSBC</x:v>
      </x:c>
      <x:c r="C151" s="30" t="str">
        <x:v>IBD / GCM</x:v>
      </x:c>
      <x:c r="D151" s="31" t="str">
        <x:v>at the end of year, 3 statements</x:v>
      </x:c>
      <x:c r="E151" s="31" t="str">
        <x:v>How does a transaction flow through the three financial statements?</x:v>
      </x:c>
      <x:c r="F151" s="31" t="str">
        <x:v>Accounting &amp; Financial Statements</x:v>
      </x:c>
      <x:c r="G151" s="30" t="str">
        <x:v>CL0004</x:v>
      </x:c>
      <x:c r="H151" s="32" t="n">
        <x:f>COUNTIF($G$5:$G$218,G151)</x:f>
        <x:v>21</x:v>
      </x:c>
      <x:c r="I151" s="30" t="str">
        <x:v>C14</x:v>
      </x:c>
      <x:c r="J151" s="31" t="str">
        <x:v>You didn't know leveraged finance right | (i said no i didnt) then what discount rate do you use in leveraged finance | CAPEX 10, 3 statements</x:v>
      </x:c>
    </x:row>
    <x:row r="152" ht="68" customHeight="1">
      <x:c r="A152" s="30" t="str">
        <x:v>QB1862</x:v>
      </x:c>
      <x:c r="B152" s="30" t="str">
        <x:v>HSBC</x:v>
      </x:c>
      <x:c r="C152" s="30" t="str">
        <x:v>IBD / GCM</x:v>
      </x:c>
      <x:c r="D152" s="31" t="str">
        <x:v>do you think the growth rate for the target company is higher or the one for WPP is higher</x:v>
      </x:c>
      <x:c r="E152" s="31" t="str">
        <x:v>Do you think the growth rate for the target company is higher or the one for WPP is higher</x:v>
      </x:c>
      <x:c r="F152" s="31" t="str">
        <x:v>Accounting &amp; Financial Statements</x:v>
      </x:c>
      <x:c r="G152" s="30" t="str">
        <x:v>CL0298</x:v>
      </x:c>
      <x:c r="H152" s="32" t="n">
        <x:f>COUNTIF($G$5:$G$218,G152)</x:f>
        <x:v>1</x:v>
      </x:c>
      <x:c r="I152" s="30" t="str">
        <x:v>E22</x:v>
      </x:c>
      <x:c r="J152" s="31" t="str">
        <x:v>why did you only do a 5-year projection model but not a 10-year one | how did you find the terminal value | (i said perpetuity growth method) what growth rate did you use/how did you find the growth rate (Dont remember)</x:v>
      </x:c>
    </x:row>
    <x:row r="153" ht="92" customHeight="1">
      <x:c r="A153" s="30" t="str">
        <x:v>QB1870</x:v>
      </x:c>
      <x:c r="B153" s="30" t="str">
        <x:v>HSBC</x:v>
      </x:c>
      <x:c r="C153" s="30" t="str">
        <x:v>IBD / GCM</x:v>
      </x:c>
      <x:c r="D153"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E153"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F153" s="31" t="str">
        <x:v>Accounting &amp; Financial Statements</x:v>
      </x:c>
      <x:c r="G153" s="30" t="str">
        <x:v>CL0053</x:v>
      </x:c>
      <x:c r="H153" s="32" t="n">
        <x:f>COUNTIF($G$5:$G$218,G153)</x:f>
        <x:v>1</x:v>
      </x:c>
      <x:c r="I153" s="30" t="str">
        <x:v>A26</x:v>
      </x:c>
      <x:c r="J153" s="31" t="str">
        <x:v>something about CV but i dont remember | Why IBD | Q&amp;A</x:v>
      </x:c>
    </x:row>
    <x:row r="154" ht="48" customHeight="1">
      <x:c r="A154" s="30" t="str">
        <x:v>QB1896</x:v>
      </x:c>
      <x:c r="B154" s="30" t="str">
        <x:v>Lazard</x:v>
      </x:c>
      <x:c r="C154" s="30" t="str">
        <x:v>IBD / GCM</x:v>
      </x:c>
      <x:c r="D154" s="31" t="str">
        <x:v>What is the market dynamic of this sector</x:v>
      </x:c>
      <x:c r="E154" s="31" t="str">
        <x:v>What is the market dynamic of this sector</x:v>
      </x:c>
      <x:c r="F154" s="31" t="str">
        <x:v>Accounting &amp; Financial Statements</x:v>
      </x:c>
      <x:c r="G154" s="30" t="str">
        <x:v>CL0984</x:v>
      </x:c>
      <x:c r="H154" s="32" t="n">
        <x:f>COUNTIF($G$5:$G$218,G154)</x:f>
        <x:v>1</x:v>
      </x:c>
      <x:c r="I154" s="30" t="str">
        <x:v>C7</x:v>
      </x:c>
      <x:c r="J154" s="31" t="str">
        <x:v>Walk through one of the projects you have engaged in | CV experiences deep-dive | How do you do the buyer research for project 1</x:v>
      </x:c>
    </x:row>
    <x:row r="155" ht="48" customHeight="1">
      <x:c r="A155" s="30" t="str">
        <x:v>QB1900</x:v>
      </x:c>
      <x:c r="B155" s="30" t="str">
        <x:v>Lazard</x:v>
      </x:c>
      <x:c r="C155" s="30" t="str">
        <x:v>IBD / GCM</x:v>
      </x:c>
      <x:c r="D155" s="31" t="str">
        <x:v>What is the 3 ways of privitization and what’s the difference</x:v>
      </x:c>
      <x:c r="E155" s="31" t="str">
        <x:v>What is the 3 ways of privitization and what’s the difference</x:v>
      </x:c>
      <x:c r="F155" s="31" t="str">
        <x:v>Accounting &amp; Financial Statements</x:v>
      </x:c>
      <x:c r="G155" s="30" t="str">
        <x:v>CL0973</x:v>
      </x:c>
      <x:c r="H155" s="32" t="n">
        <x:f>COUNTIF($G$5:$G$218,G155)</x:f>
        <x:v>1</x:v>
      </x:c>
      <x:c r="I155" s="30" t="str">
        <x:v>C9</x:v>
      </x:c>
      <x:c r="J155" s="31" t="str">
        <x:v>How do you do the buyer research for project 1 | What is the market dynamic of this sector | Context/background of project 2</x:v>
      </x:c>
    </x:row>
    <x:row r="156" ht="48" customHeight="1">
      <x:c r="A156" s="30" t="str">
        <x:v>QB1909</x:v>
      </x:c>
      <x:c r="B156" s="30" t="str">
        <x:v>Lazard</x:v>
      </x:c>
      <x:c r="C156" s="30" t="str">
        <x:v>IBD / GCM</x:v>
      </x:c>
      <x:c r="D156" s="31" t="str">
        <x:v>What if the private company is a tech company, which its equity value may far exceed its book value (I said manually adjust by looking at comps)</x:v>
      </x:c>
      <x:c r="E156" s="31" t="str">
        <x:v>What if the private company is a tech company, which its equity value may far exceed its book value (I said manually adjust by looking at comps)</x:v>
      </x:c>
      <x:c r="F156" s="31" t="str">
        <x:v>Accounting &amp; Financial Statements</x:v>
      </x:c>
      <x:c r="G156" s="30" t="str">
        <x:v>CL0955</x:v>
      </x:c>
      <x:c r="H156" s="32" t="n">
        <x:f>COUNTIF($G$5:$G$218,G156)</x:f>
        <x:v>1</x:v>
      </x:c>
      <x:c r="I156" s="30" t="str">
        <x:v>C14</x:v>
      </x:c>
      <x:c r="J156" s="31" t="str">
        <x:v>Revenue to EBIT? WACC? | How to get capital structure (%equity %debt) | How to get capital structure of private company</x:v>
      </x:c>
    </x:row>
    <x:row r="157" ht="68" customHeight="1">
      <x:c r="A157" s="30" t="str">
        <x:v>QB1911</x:v>
      </x:c>
      <x:c r="B157" s="30" t="str">
        <x:v>Lazard</x:v>
      </x:c>
      <x:c r="C157" s="30" t="str">
        <x:v>IBD / GCM</x:v>
      </x:c>
      <x:c r="D157" s="31" t="str">
        <x:v>What is the process of a buy-side M&amp;A, what would advisor do in each stage</x:v>
      </x:c>
      <x:c r="E157" s="31" t="str">
        <x:v>What is the process of a buy-side M&amp;A, what would advisor do in each stage</x:v>
      </x:c>
      <x:c r="F157" s="31" t="str">
        <x:v>Accounting &amp; Financial Statements</x:v>
      </x:c>
      <x:c r="G157" s="30" t="str">
        <x:v>CL0990</x:v>
      </x:c>
      <x:c r="H157" s="32" t="n">
        <x:f>COUNTIF($G$5:$G$218,G157)</x:f>
        <x:v>1</x:v>
      </x:c>
      <x:c r="I157" s="30" t="str">
        <x:v>C15</x:v>
      </x:c>
      <x:c r="J157" s="31" t="str">
        <x:v>How to get capital structure (%equity %debt) | How to get capital structure of private company | What if the private company is a tech company, which its equity value may far exceed its book value (I said manually adjust by looking at co...</x:v>
      </x:c>
    </x:row>
    <x:row r="158" ht="92" customHeight="1">
      <x:c r="A158" s="30" t="str">
        <x:v>QB1913</x:v>
      </x:c>
      <x:c r="B158" s="30" t="str">
        <x:v>Lazard</x:v>
      </x:c>
      <x:c r="C158" s="30" t="str">
        <x:v>IBD / GCM</x:v>
      </x:c>
      <x:c r="D158"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E158"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F158" s="31" t="str">
        <x:v>Accounting &amp; Financial Statements</x:v>
      </x:c>
      <x:c r="G158" s="30" t="str">
        <x:v>CL0535</x:v>
      </x:c>
      <x:c r="H158" s="32" t="n">
        <x:f>COUNTIF($G$5:$G$218,G158)</x:f>
        <x:v>1</x:v>
      </x:c>
      <x:c r="I158" s="30" t="str">
        <x:v>C16</x:v>
      </x:c>
      <x:c r="J158" s="31" t="str">
        <x:v>How to get capital structure of private company | What if the private company is a tech company, which its equity value may far exceed its book value (I said manually adjust by looking at comps) | What is the process of a buy-side M&amp;A, w...</x:v>
      </x:c>
    </x:row>
    <x:row r="159" ht="48" customHeight="1">
      <x:c r="A159" s="30" t="str">
        <x:v>QB1917</x:v>
      </x:c>
      <x:c r="B159" s="30" t="str">
        <x:v>Lazard</x:v>
      </x:c>
      <x:c r="C159" s="30" t="str">
        <x:v>IBD / GCM</x:v>
      </x:c>
      <x:c r="D159" s="31" t="str">
        <x:v>How does the company's cash flow look like?</x:v>
      </x:c>
      <x:c r="E159" s="31" t="str">
        <x:v>How does the company's cash flow look like</x:v>
      </x:c>
      <x:c r="F159" s="31" t="str">
        <x:v>Accounting &amp; Financial Statements</x:v>
      </x:c>
      <x:c r="G159" s="30" t="str">
        <x:v>CL0435</x:v>
      </x:c>
      <x:c r="H159" s="32" t="n">
        <x:f>COUNTIF($G$5:$G$218,G159)</x:f>
        <x:v>1</x:v>
      </x:c>
      <x:c r="I159" s="30" t="str">
        <x:v>A19</x:v>
      </x:c>
      <x:c r="J159" s="31" t="str">
        <x:v>What are typical components in CIM and Management presentation? | What did you work on for the operational overview | How did you project the revenue?</x:v>
      </x:c>
    </x:row>
    <x:row r="160" ht="68" customHeight="1">
      <x:c r="A160" s="30" t="str">
        <x:v>QB1924</x:v>
      </x:c>
      <x:c r="B160" s="30" t="str">
        <x:v>Lazard</x:v>
      </x:c>
      <x:c r="C160" s="30" t="str">
        <x:v>IBD / GCM</x:v>
      </x:c>
      <x:c r="D160" s="31" t="str">
        <x:v>What is the part of IBD work that I love the most and hate the most</x:v>
      </x:c>
      <x:c r="E160" s="31" t="str">
        <x:v>What is the part of IBD work that I love the most and hate the most</x:v>
      </x:c>
      <x:c r="F160" s="31" t="str">
        <x:v>Accounting &amp; Financial Statements</x:v>
      </x:c>
      <x:c r="G160" s="30" t="str">
        <x:v>CL0989</x:v>
      </x:c>
      <x:c r="H160" s="32" t="n">
        <x:f>COUNTIF($G$5:$G$218,G160)</x:f>
        <x:v>1</x:v>
      </x:c>
      <x:c r="I160" s="30" t="str">
        <x:v>C22</x:v>
      </x:c>
      <x:c r="J160" s="31" t="str">
        <x:v>Self introduction | CV project - ask in detail abt a CIM on market / investment rationale / sale process walk through | What part of CIM I did? How long have you stayed in this company and how long does the CIM takes</x:v>
      </x:c>
    </x:row>
    <x:row r="161" ht="48" customHeight="1">
      <x:c r="A161" s="30" t="str">
        <x:v>QB1947</x:v>
      </x:c>
      <x:c r="B161" s="30" t="str">
        <x:v>Lazard</x:v>
      </x:c>
      <x:c r="C161" s="30" t="str">
        <x:v>IBD / GCM</x:v>
      </x:c>
      <x:c r="D161" s="31" t="str">
        <x:v>有一個公司今年會花100capex 這個公司對financial statement什麼影響</x:v>
      </x:c>
      <x:c r="E161" s="31" t="str">
        <x:v>有一個公司今年會花100capex 這個公司對financial statement什麼影響</x:v>
      </x:c>
      <x:c r="F161" s="31" t="str">
        <x:v>Accounting &amp; Financial Statements</x:v>
      </x:c>
      <x:c r="G161" s="30" t="str">
        <x:v>CL1248</x:v>
      </x:c>
      <x:c r="H161" s="32" t="n">
        <x:f>COUNTIF($G$5:$G$218,G161)</x:f>
        <x:v>1</x:v>
      </x:c>
      <x:c r="I161" s="30" t="str">
        <x:v>A46</x:v>
      </x:c>
      <x:c r="J161" s="31" t="str">
        <x:v>Company profile要包括什麼 | trading comps - 汽車零部件公司 怎麼做怎麼著peers 什麼multiples | How to find cost of equity</x:v>
      </x:c>
    </x:row>
    <x:row r="162" ht="68" customHeight="1">
      <x:c r="A162" s="30" t="str">
        <x:v>QB1954</x:v>
      </x:c>
      <x:c r="B162" s="30" t="str">
        <x:v>Lazard</x:v>
      </x:c>
      <x:c r="C162" s="30" t="str">
        <x:v>IBD / GCM</x:v>
      </x:c>
      <x:c r="D162" s="31" t="str">
        <x:v>Your client is a pe, it wants to sell a pets portfolio company, help it sell, 3 submitted offers showing interest, how to choose the buyer</x:v>
      </x:c>
      <x:c r="E162" s="31" t="str">
        <x:v>Your client is a pe, it wants to sell a pets portfolio company, help it sell, 3 submitted offers showing interest, how to choose the buyer</x:v>
      </x:c>
      <x:c r="F162" s="31" t="str">
        <x:v>Accounting &amp; Financial Statements</x:v>
      </x:c>
      <x:c r="G162" s="30" t="str">
        <x:v>CL1213</x:v>
      </x:c>
      <x:c r="H162" s="32" t="n">
        <x:f>COUNTIF($G$5:$G$218,G162)</x:f>
        <x:v>1</x:v>
      </x:c>
      <x:c r="I162" s="30" t="str">
        <x:v>A54</x:v>
      </x:c>
      <x:c r="J162" s="31" t="str">
        <x:v>For the restaurant chain pitch, I mentioned about the chain penetration rate in China vs US, so she asked if you think the penetration rate in China will reach the level in the US in the future | To get FCF from revenue | WACC calculation</x:v>
      </x:c>
    </x:row>
    <x:row r="163" ht="48" customHeight="1">
      <x:c r="A163" s="30" t="str">
        <x:v>QB2014</x:v>
      </x:c>
      <x:c r="B163" s="30" t="str">
        <x:v>Nomura</x:v>
      </x:c>
      <x:c r="C163" s="30" t="str">
        <x:v>IBD / GCM</x:v>
      </x:c>
      <x:c r="D163" s="31" t="str">
        <x:v>is it common for people with your degree to pursue ibd</x:v>
      </x:c>
      <x:c r="E163" s="31" t="str">
        <x:v>Is it common for people with your degree to pursue ibd</x:v>
      </x:c>
      <x:c r="F163" s="31" t="str">
        <x:v>Accounting &amp; Financial Statements</x:v>
      </x:c>
      <x:c r="G163" s="30" t="str">
        <x:v>CL0554</x:v>
      </x:c>
      <x:c r="H163" s="32" t="n">
        <x:f>COUNTIF($G$5:$G$218,G163)</x:f>
        <x:v>1</x:v>
      </x:c>
      <x:c r="I163" s="30" t="str">
        <x:v>C11</x:v>
      </x:c>
      <x:c r="J163" s="31" t="str">
        <x:v>why investment banking since you have a law degree | tell me about your first job - tech startup | have you thought about being an entrepreneur</x:v>
      </x:c>
    </x:row>
    <x:row r="164" ht="68" customHeight="1">
      <x:c r="A164" s="30" t="str">
        <x:v>QB2068</x:v>
      </x:c>
      <x:c r="B164" s="30" t="str">
        <x:v>Nomura</x:v>
      </x:c>
      <x:c r="C164" s="30" t="str">
        <x:v>IBD / GCM</x:v>
      </x:c>
      <x:c r="D164" s="31" t="str">
        <x:v>(I asked him is it global or just chinese market, he said global)</x:v>
      </x:c>
      <x:c r="E164" s="31" t="str">
        <x:v>(I asked him is it global or just chinese market, he said global)</x:v>
      </x:c>
      <x:c r="F164" s="31" t="str">
        <x:v>Accounting &amp; Financial Statements</x:v>
      </x:c>
      <x:c r="G164" s="30" t="str">
        <x:v>CL0057</x:v>
      </x:c>
      <x:c r="H164" s="32" t="n">
        <x:f>COUNTIF($G$5:$G$218,G164)</x:f>
        <x:v>1</x:v>
      </x:c>
      <x:c r="I164" s="30" t="str">
        <x:v>A44</x:v>
      </x:c>
      <x:c r="J164" s="31" t="str">
        <x:v>Could you walk me through the DCF model you built for BYD | Did you meet any conflicts or disagreements during the process | How do you think of the EV market in the future</x:v>
      </x:c>
    </x:row>
    <x:row r="165" ht="68" customHeight="1">
      <x:c r="A165" s="30" t="str">
        <x:v>QB2071</x:v>
      </x:c>
      <x:c r="B165" s="30" t="str">
        <x:v>Nomura</x:v>
      </x:c>
      <x:c r="C165" s="30" t="str">
        <x:v>IBD / GCM</x:v>
      </x:c>
      <x:c r="D165" s="31" t="str">
        <x:v>Do you think Tesla is undervalued or overvalued</x:v>
      </x:c>
      <x:c r="E165" s="31" t="str">
        <x:v>Do you think Tesla is undervalued or overvalued</x:v>
      </x:c>
      <x:c r="F165" s="31" t="str">
        <x:v>Accounting &amp; Financial Statements</x:v>
      </x:c>
      <x:c r="G165" s="30" t="str">
        <x:v>CL0297</x:v>
      </x:c>
      <x:c r="H165" s="32" t="n">
        <x:f>COUNTIF($G$5:$G$218,G165)</x:f>
        <x:v>1</x:v>
      </x:c>
      <x:c r="I165" s="30" t="str">
        <x:v>A46</x:v>
      </x:c>
      <x:c r="J165" s="31" t="str">
        <x:v>How do you think of the EV market in the future | (I asked him is it global or just chinese market, he said global) | Which company will be the best winner (I said Tesla)</x:v>
      </x:c>
    </x:row>
    <x:row r="166" ht="68" customHeight="1">
      <x:c r="A166" s="30" t="str">
        <x:v>QB2087</x:v>
      </x:c>
      <x:c r="B166" s="30" t="str">
        <x:v>Nomura</x:v>
      </x:c>
      <x:c r="C166" s="30" t="str">
        <x:v>IBD / GCM</x:v>
      </x:c>
      <x:c r="D166" s="31" t="str">
        <x:v>Case study--advising on a European engineering company specialized in the provision of soil studies, financial sponsor exit strategies, business model analysis, accounting, basic valuation, DCF</x:v>
      </x:c>
      <x:c r="E166" s="31" t="str">
        <x:v>Case study--advising on a European engineering company specialized in the provision of soil studies, financial sponsor exit strategies, business model analysis, accounting, basic valuation, DCF</x:v>
      </x:c>
      <x:c r="F166" s="31" t="str">
        <x:v>Accounting &amp; Financial Statements</x:v>
      </x:c>
      <x:c r="G166" s="30" t="str">
        <x:v>CL0195</x:v>
      </x:c>
      <x:c r="H166" s="32" t="n">
        <x:f>COUNTIF($G$5:$G$218,G166)</x:f>
        <x:v>1</x:v>
      </x:c>
      <x:c r="I166" s="30" t="str">
        <x:v>C57</x:v>
      </x:c>
      <x:c r="J166" s="31" t="str">
        <x:v>by debt/cash? | Did you participate in the financing work | Sophie Wang--China team vp</x:v>
      </x:c>
    </x:row>
    <x:row r="167" ht="32" customHeight="1">
      <x:c r="A167" s="30" t="str">
        <x:v>QB2102</x:v>
      </x:c>
      <x:c r="B167" s="30" t="str">
        <x:v>Nomura</x:v>
      </x:c>
      <x:c r="C167" s="30" t="str">
        <x:v>IBD / GCM</x:v>
      </x:c>
      <x:c r="D167" s="31" t="str">
        <x:v>Technical: PPE write down 10 + Depreciation 10, 3 statements?</x:v>
      </x:c>
      <x:c r="E167" s="31" t="str">
        <x:v>How does a transaction flow through the three financial statements?</x:v>
      </x:c>
      <x:c r="F167" s="31" t="str">
        <x:v>Accounting &amp; Financial Statements</x:v>
      </x:c>
      <x:c r="G167" s="30" t="str">
        <x:v>CL0004</x:v>
      </x:c>
      <x:c r="H167" s="32" t="n">
        <x:f>COUNTIF($G$5:$G$218,G167)</x:f>
        <x:v>21</x:v>
      </x:c>
      <x:c r="I167" s="30" t="str">
        <x:v>A73</x:v>
      </x:c>
      <x:c r="J167" s="31" t="str">
        <x:v>25 Kari, with Brian | Introduction | Do you know Rita Zhang from GF Holdings (hk)?</x:v>
      </x:c>
    </x:row>
    <x:row r="168" ht="32" customHeight="1">
      <x:c r="A168" s="30" t="str">
        <x:v>QB2117</x:v>
      </x:c>
      <x:c r="B168" s="30" t="str">
        <x:v>Nomura</x:v>
      </x:c>
      <x:c r="C168" s="30" t="str">
        <x:v>IBD / GCM</x:v>
      </x:c>
      <x:c r="D168" s="31" t="str">
        <x:v>Have you chatted with Joseph from Odysseus? (is her 学长)</x:v>
      </x:c>
      <x:c r="E168" s="31" t="str">
        <x:v>Have you chatted with Joseph from Odysseus? (is her 学长)</x:v>
      </x:c>
      <x:c r="F168" s="31" t="str">
        <x:v>Accounting &amp; Financial Statements</x:v>
      </x:c>
      <x:c r="G168" s="30" t="str">
        <x:v>CL0361</x:v>
      </x:c>
      <x:c r="H168" s="32" t="n">
        <x:f>COUNTIF($G$5:$G$218,G168)</x:f>
        <x:v>1</x:v>
      </x:c>
      <x:c r="I168" s="30" t="str">
        <x:v>C87</x:v>
      </x:c>
      <x:c r="J168" s="31" t="str">
        <x:v>How to get beta | SPD 12/11 | Case Interview - Sophie Wang ED China team</x:v>
      </x:c>
    </x:row>
    <x:row r="169" ht="92" customHeight="1">
      <x:c r="A169" s="30" t="str">
        <x:v>QB2119</x:v>
      </x:c>
      <x:c r="B169" s="30" t="str">
        <x:v>Nomura</x:v>
      </x:c>
      <x:c r="C169" s="30" t="str">
        <x:v>IBD / GCM</x:v>
      </x:c>
      <x:c r="D169" s="31" t="str">
        <x:v>Basically going over the case questions, asked me to expand on a few but overall straightforward. Case study is about Kao's acquisition of Bondi Sands (Nomura being the buyer's sole financial advisor), mainly tested on DCF, trading and transaction comps, multiples.</x:v>
      </x:c>
      <x:c r="E169" s="31" t="str">
        <x:v>Basically going over the case questions, asked me to expand on a few but overall straightforward. Case study is about Kao's acquisition of Bondi Sands (Nomura being the buyer's sole financial advisor), mainly tested on DCF, trading and transaction comps, multiples</x:v>
      </x:c>
      <x:c r="F169" s="31" t="str">
        <x:v>Accounting &amp; Financial Statements</x:v>
      </x:c>
      <x:c r="G169" s="30" t="str">
        <x:v>CL0155</x:v>
      </x:c>
      <x:c r="H169" s="32" t="n">
        <x:f>COUNTIF($G$5:$G$218,G169)</x:f>
        <x:v>1</x:v>
      </x:c>
      <x:c r="I169" s="30" t="str">
        <x:v>C88</x:v>
      </x:c>
      <x:c r="J169" s="31" t="str">
        <x:v>SPD 12/11 | Case Interview - Sophie Wang ED China team | Have you chatted with Joseph from Odysseus? (is her 学长)</x:v>
      </x:c>
    </x:row>
    <x:row r="170" ht="92" customHeight="1">
      <x:c r="A170" s="30" t="str">
        <x:v>QB2126</x:v>
      </x:c>
      <x:c r="B170" s="30" t="str">
        <x:v>Nomura</x:v>
      </x:c>
      <x:c r="C170" s="30" t="str">
        <x:v>IBD / GCM</x:v>
      </x:c>
      <x:c r="D170" s="31" t="str">
        <x:v>You're meeting with the chairman of the firm. What info to gather and questions to ask that will enable you to assess whether this firm is a feasible take-over target (I mentioned financial feasibility then he asked me to expand)</x:v>
      </x:c>
      <x:c r="E170" s="31" t="str">
        <x:v>You're meeting with the chairman of the firm. What info to gather and questions to ask that will enable you to assess whether this firm is a feasible take-over target (I mentioned financial feasibility then he asked me to expand)</x:v>
      </x:c>
      <x:c r="F170" s="31" t="str">
        <x:v>Accounting &amp; Financial Statements</x:v>
      </x:c>
      <x:c r="G170" s="30" t="str">
        <x:v>CL1212</x:v>
      </x:c>
      <x:c r="H170" s="32" t="n">
        <x:f>COUNTIF($G$5:$G$218,G170)</x:f>
        <x:v>1</x:v>
      </x:c>
      <x:c r="I170" s="30" t="str">
        <x:v>C92</x:v>
      </x:c>
      <x:c r="J170" s="31" t="str">
        <x:v>Basically going over the case questions, asked me to expand on a few but overall straightforward. Case study is about Kao's acquisition of Bondi Sands (Nomura being the buyer's sole financial advisor), mainly tested on DCF, trading and t...</x:v>
      </x:c>
    </x:row>
    <x:row r="171" ht="68" customHeight="1">
      <x:c r="A171" s="30" t="str">
        <x:v>QB2152</x:v>
      </x:c>
      <x:c r="B171" s="30" t="str">
        <x:v>Houlihan Lokey</x:v>
      </x:c>
      <x:c r="C171" s="30" t="str">
        <x:v>IBD / GCM</x:v>
      </x:c>
      <x:c r="D171" s="31" t="str">
        <x:v>What is the IRR ?</x:v>
      </x:c>
      <x:c r="E171" s="31" t="str">
        <x:v>What is the IRR</x:v>
      </x:c>
      <x:c r="F171" s="31" t="str">
        <x:v>Accounting &amp; Financial Statements</x:v>
      </x:c>
      <x:c r="G171" s="30" t="str">
        <x:v>CL0982</x:v>
      </x:c>
      <x:c r="H171" s="32" t="n">
        <x:f>COUNTIF($G$5:$G$218,G171)</x:f>
        <x:v>1</x:v>
      </x:c>
      <x:c r="I171" s="30" t="str">
        <x:v>B6</x:v>
      </x:c>
      <x:c r="J171" s="31" t="str">
        <x:v>Self intro | Talk about a deal you worked on | What and why CPS? What are some terms in there? Type of debt (mezzanine) What are the current debt it holds, and is CPS on/senior/junior to it?</x:v>
      </x:c>
    </x:row>
    <x:row r="172" ht="68" customHeight="1">
      <x:c r="A172" s="30" t="str">
        <x:v>QB2154</x:v>
      </x:c>
      <x:c r="B172" s="30" t="str">
        <x:v>Houlihan Lokey</x:v>
      </x:c>
      <x:c r="C172" s="30" t="str">
        <x:v>IBD / GCM</x:v>
      </x:c>
      <x:c r="D172" s="31" t="str">
        <x:v>Asset writedown 100, 3 statement</x:v>
      </x:c>
      <x:c r="E172" s="31" t="str">
        <x:v>Asset writedown 100, 3 statement</x:v>
      </x:c>
      <x:c r="F172" s="31" t="str">
        <x:v>Accounting &amp; Financial Statements</x:v>
      </x:c>
      <x:c r="G172" s="30" t="str">
        <x:v>CL0150</x:v>
      </x:c>
      <x:c r="H172" s="32" t="n">
        <x:f>COUNTIF($G$5:$G$218,G172)</x:f>
        <x:v>1</x:v>
      </x:c>
      <x:c r="I172" s="30" t="str">
        <x:v>B7</x:v>
      </x:c>
      <x:c r="J172" s="31" t="str">
        <x:v>Talk about a deal you worked on | What and why CPS? What are some terms in there? Type of debt (mezzanine) What are the current debt it holds, and is CPS on/senior/junior to it? | What is the IRR ?</x:v>
      </x:c>
    </x:row>
    <x:row r="173" ht="68" customHeight="1">
      <x:c r="A173" s="30" t="str">
        <x:v>QB2156</x:v>
      </x:c>
      <x:c r="B173" s="30" t="str">
        <x:v>Houlihan Lokey</x:v>
      </x:c>
      <x:c r="C173" s="30" t="str">
        <x:v>IBD / GCM</x:v>
      </x:c>
      <x:c r="D173" s="31" t="str">
        <x:v>EV 150, Senior debt 100, CPS 100, what is the value of CPS?</x:v>
      </x:c>
      <x:c r="E173" s="31" t="str">
        <x:v>EV 150, Senior debt 100, CPS 100, what is the value of CPS</x:v>
      </x:c>
      <x:c r="F173" s="31" t="str">
        <x:v>Accounting &amp; Financial Statements</x:v>
      </x:c>
      <x:c r="G173" s="30" t="str">
        <x:v>CL0314</x:v>
      </x:c>
      <x:c r="H173" s="32" t="n">
        <x:f>COUNTIF($G$5:$G$218,G173)</x:f>
        <x:v>1</x:v>
      </x:c>
      <x:c r="I173" s="30" t="str">
        <x:v>B8</x:v>
      </x:c>
      <x:c r="J173" s="31" t="str">
        <x:v>What and why CPS? What are some terms in there? Type of debt (mezzanine) What are the current debt it holds, and is CPS on/senior/junior to it? | What is the IRR ? | Asset writedown 100, 3 statement</x:v>
      </x:c>
    </x:row>
    <x:row r="174" ht="48" customHeight="1">
      <x:c r="A174" s="30" t="str">
        <x:v>QB2169</x:v>
      </x:c>
      <x:c r="B174" s="30" t="str">
        <x:v>Houlihan Lokey</x:v>
      </x:c>
      <x:c r="C174" s="30" t="str">
        <x:v>IBD / GCM</x:v>
      </x:c>
      <x:c r="D174" s="31" t="str">
        <x:v>EV/EBITDA=5, Interest coverage =5, what's loan to value (need to ask for lended interest rate of 5%). Answer is 1.25</x:v>
      </x:c>
      <x:c r="E174" s="31" t="str">
        <x:v>EV/EBITDA=5, Interest coverage =5, what's loan to value (need to ask for lended interest rate of 5%). Answer is 1.25</x:v>
      </x:c>
      <x:c r="F174" s="31" t="str">
        <x:v>Accounting &amp; Financial Statements</x:v>
      </x:c>
      <x:c r="G174" s="30" t="str">
        <x:v>CL0318</x:v>
      </x:c>
      <x:c r="H174" s="32" t="n">
        <x:f>COUNTIF($G$5:$G$218,G174)</x:f>
        <x:v>1</x:v>
      </x:c>
      <x:c r="I174" s="30" t="str">
        <x:v>A26</x:v>
      </x:c>
      <x:c r="J174" s="31" t="str">
        <x:v>Investment grade bond vs high yield bond | What are the credit analysis metrics | What are some signs of company going through distress</x:v>
      </x:c>
    </x:row>
    <x:row r="175" ht="68" customHeight="1">
      <x:c r="A175" s="30" t="str">
        <x:v>QB2170</x:v>
      </x:c>
      <x:c r="B175" s="30" t="str">
        <x:v>Houlihan Lokey</x:v>
      </x:c>
      <x:c r="C175" s="30" t="str">
        <x:v>IBD / GCM</x:v>
      </x:c>
      <x:c r="D175" s="31" t="str">
        <x:v>Walk me through a DCF, purpose, what is WACC, what is beta, assumptions</x:v>
      </x:c>
      <x:c r="E175" s="31" t="str">
        <x:v>Walk me through a DCF, purpose, what is WACC, what is beta, assumptions</x:v>
      </x:c>
      <x:c r="F175" s="31" t="str">
        <x:v>Accounting &amp; Financial Statements</x:v>
      </x:c>
      <x:c r="G175" s="30" t="str">
        <x:v>CL0826</x:v>
      </x:c>
      <x:c r="H175" s="32" t="n">
        <x:f>COUNTIF($G$5:$G$218,G175)</x:f>
        <x:v>1</x:v>
      </x:c>
      <x:c r="I175" s="30" t="str">
        <x:v>A27</x:v>
      </x:c>
      <x:c r="J175" s="31" t="str">
        <x:v>What are the credit analysis metrics | What are some signs of company going through distress | EV/EBITDA=5, Interest coverage =5, what's loan to value (need to ask for lended interest rate of 5%). Answer is 1.25</x:v>
      </x:c>
    </x:row>
    <x:row r="176" ht="32" customHeight="1">
      <x:c r="A176" s="30" t="str">
        <x:v>QB2190</x:v>
      </x:c>
      <x:c r="B176" s="30" t="str">
        <x:v>GS PWM</x:v>
      </x:c>
      <x:c r="C176" s="30" t="str">
        <x:v>PWM / AM</x:v>
      </x:c>
      <x:c r="D176" s="31" t="str">
        <x:v>Do you think AI is beneficial or harmful for decision-making?</x:v>
      </x:c>
      <x:c r="E176" s="31" t="str">
        <x:v>Do you think AI is beneficial or harmful for decision-making</x:v>
      </x:c>
      <x:c r="F176" s="31" t="str">
        <x:v>Accounting &amp; Financial Statements</x:v>
      </x:c>
      <x:c r="G176" s="30" t="str">
        <x:v>CL0292</x:v>
      </x:c>
      <x:c r="H176" s="32" t="n">
        <x:f>COUNTIF($G$5:$G$218,G176)</x:f>
        <x:v>1</x:v>
      </x:c>
      <x:c r="I176" s="30" t="str">
        <x:v>A4</x:v>
      </x:c>
      <x:c r="J176" s="31" t="str">
        <x:v>2024 SA | Coco-SPD | 30min Group Discussion + Presentation + Debate</x:v>
      </x:c>
    </x:row>
    <x:row r="177" ht="48" customHeight="1">
      <x:c r="A177" s="30" t="str">
        <x:v>QB2234</x:v>
      </x:c>
      <x:c r="B177" s="30" t="str">
        <x:v>GS PWM</x:v>
      </x:c>
      <x:c r="C177" s="30" t="str">
        <x:v>PWM / AM</x:v>
      </x:c>
      <x:c r="D177" s="31" t="str">
        <x:v>What is the culture of GS?</x:v>
      </x:c>
      <x:c r="E177" s="31" t="str">
        <x:v>What is the culture of GS</x:v>
      </x:c>
      <x:c r="F177" s="31" t="str">
        <x:v>Accounting &amp; Financial Statements</x:v>
      </x:c>
      <x:c r="G177" s="30" t="str">
        <x:v>CL0976</x:v>
      </x:c>
      <x:c r="H177" s="32" t="n">
        <x:f>COUNTIF($G$5:$G$218,G177)</x:f>
        <x:v>1</x:v>
      </x:c>
      <x:c r="I177" s="30" t="str">
        <x:v>A40</x:v>
      </x:c>
      <x:c r="J177" s="31" t="str">
        <x:v>可以讲讲你生活中遇到的困难吗？不要学习/工作上的 | Market Sizing: Estimate the annual revenue of GS PWM in APAC | 详细讲讲你的PA Investment - follow-up: 做投资决定的主要参考依据？调仓的频率？</x:v>
      </x:c>
    </x:row>
    <x:row r="178" ht="48" customHeight="1">
      <x:c r="A178" s="30" t="str">
        <x:v>QB2254</x:v>
      </x:c>
      <x:c r="B178" s="30" t="str">
        <x:v>JPM PB</x:v>
      </x:c>
      <x:c r="C178" s="30" t="str">
        <x:v>PWM / AM</x:v>
      </x:c>
      <x:c r="D178" s="31" t="str">
        <x:v>What approach should you take if you want the client to fund in more money into the account? (particularly if the performance of the portfolio is not good)</x:v>
      </x:c>
      <x:c r="E178" s="31" t="str">
        <x:v>What approach should you take if you want the client to fund in more money into the account? (particularly if the performance of the portfolio is not good)</x:v>
      </x:c>
      <x:c r="F178" s="31" t="str">
        <x:v>Accounting &amp; Financial Statements</x:v>
      </x:c>
      <x:c r="G178" s="30" t="str">
        <x:v>CL0861</x:v>
      </x:c>
      <x:c r="H178" s="32" t="n">
        <x:f>COUNTIF($G$5:$G$218,G178)</x:f>
        <x:v>1</x:v>
      </x:c>
      <x:c r="I178" s="30" t="str">
        <x:v>I8</x:v>
      </x:c>
      <x:c r="J178" s="31" t="str">
        <x:v>Group case (with 2 development scenarios) | Q&amp;A session: | Why do you put PE in the lifestyle bucket which is supposed to be more conservative?</x:v>
      </x:c>
    </x:row>
    <x:row r="179" ht="92" customHeight="1">
      <x:c r="A179" s="30" t="str">
        <x:v>QB2341</x:v>
      </x:c>
      <x:c r="B179" s="30" t="str">
        <x:v>JPM AM</x:v>
      </x:c>
      <x:c r="C179" s="30" t="str">
        <x:v>PWM / AM</x:v>
      </x:c>
      <x:c r="D179" s="31" t="str">
        <x:v>What do you think is one of the trends in AM industry currently? (I said digital transformation)</x:v>
      </x:c>
      <x:c r="E179" s="31" t="str">
        <x:v>What do you think is one of the trends in AM industry currently? (I said digital transformation)</x:v>
      </x:c>
      <x:c r="F179" s="31" t="str">
        <x:v>Accounting &amp; Financial Statements</x:v>
      </x:c>
      <x:c r="G179" s="30" t="str">
        <x:v>CL0930</x:v>
      </x:c>
      <x:c r="H179" s="32" t="n">
        <x:f>COUNTIF($G$5:$G$218,G179)</x:f>
        <x:v>1</x:v>
      </x:c>
      <x:c r="I179" s="30" t="str">
        <x:v>G42</x:v>
      </x:c>
      <x:c r="J179" s="31" t="str">
        <x:v>Follow up: What's the most difficult part when you're persuading her? | Use 2 minutes to quickly comment on the current market movements and what are you investment recommendations? | Why do you specifically want to join in AM given that...</x:v>
      </x:c>
    </x:row>
    <x:row r="180" ht="48" customHeight="1">
      <x:c r="A180" s="30" t="str">
        <x:v>QB2411</x:v>
      </x:c>
      <x:c r="B180" s="30" t="str">
        <x:v>BlackRock</x:v>
      </x:c>
      <x:c r="C180" s="30" t="str">
        <x:v>PWM / AM</x:v>
      </x:c>
      <x:c r="D180" s="31" t="str">
        <x:v>what is your favourite book outside of finance and why</x:v>
      </x:c>
      <x:c r="E180" s="31" t="str">
        <x:v>What is your favourite book outside of finance and why</x:v>
      </x:c>
      <x:c r="F180" s="31" t="str">
        <x:v>Accounting &amp; Financial Statements</x:v>
      </x:c>
      <x:c r="G180" s="30" t="str">
        <x:v>CL1003</x:v>
      </x:c>
      <x:c r="H180" s="32" t="n">
        <x:f>COUNTIF($G$5:$G$218,G180)</x:f>
        <x:v>1</x:v>
      </x:c>
      <x:c r="I180" s="30" t="str">
        <x:v>A40</x:v>
      </x:c>
      <x:c r="J180" s="31" t="str">
        <x:v>pitch me another stock | follow up questions on pitch: what are the biggest risk | why is the brand's USP, revenue break</x:v>
      </x:c>
    </x:row>
    <x:row r="181" ht="68" customHeight="1">
      <x:c r="A181" s="30" t="str">
        <x:v>QB2487</x:v>
      </x:c>
      <x:c r="B181" s="30" t="str">
        <x:v>Mckinsey</x:v>
      </x:c>
      <x:c r="C181" s="30" t="str">
        <x:v>Consulting</x:v>
      </x:c>
      <x:c r="D181" s="31" t="str">
        <x:v>which one of the external factor do you think is the most important？ why</x:v>
      </x:c>
      <x:c r="E181" s="31" t="str">
        <x:v>Which one of the external factor do you think is the most important？ why</x:v>
      </x:c>
      <x:c r="F181" s="31" t="str">
        <x:v>Accounting &amp; Financial Statements</x:v>
      </x:c>
      <x:c r="G181" s="30" t="str">
        <x:v>CL1098</x:v>
      </x:c>
      <x:c r="H181" s="32" t="n">
        <x:f>COUNTIF($G$5:$G$218,G181)</x:f>
        <x:v>1</x:v>
      </x:c>
      <x:c r="I181" s="30" t="str">
        <x:v>A48</x:v>
      </x:c>
      <x:c r="J181" s="31" t="str">
        <x:v>Case - Game / sports entertainment stores, VR / sports stimulator, 180 stores in the US | Q1 Causes of the variance of sports stimulator utilization over different locations | followup:</x:v>
      </x:c>
    </x:row>
    <x:row r="182" ht="48" customHeight="1">
      <x:c r="A182" s="30" t="str">
        <x:v>QB2548</x:v>
      </x:c>
      <x:c r="B182" s="30" t="str">
        <x:v>MS IED</x:v>
      </x:c>
      <x:c r="C182" s="30" t="str">
        <x:v>Sales &amp; Trading</x:v>
      </x:c>
      <x:c r="D182" s="31" t="str">
        <x:v>what is the one thing u felt has not been priced in and investors should be most excited about</x:v>
      </x:c>
      <x:c r="E182" s="31" t="str">
        <x:v>What is the one thing u felt has not been priced in and investors should be most excited about</x:v>
      </x:c>
      <x:c r="F182" s="31" t="str">
        <x:v>Accounting &amp; Financial Statements</x:v>
      </x:c>
      <x:c r="G182" s="30" t="str">
        <x:v>CL0987</x:v>
      </x:c>
      <x:c r="H182" s="32" t="n">
        <x:f>COUNTIF($G$5:$G$218,G182)</x:f>
        <x:v>1</x:v>
      </x:c>
      <x:c r="I182" s="30" t="str">
        <x:v>B7</x:v>
      </x:c>
      <x:c r="J182" s="31" t="str">
        <x:v>do u forsee any geopolitical concerns | as portfolio manager what would u consider to do</x:v>
      </x:c>
    </x:row>
    <x:row r="183" ht="68" customHeight="1">
      <x:c r="A183" s="30" t="str">
        <x:v>QB2550</x:v>
      </x:c>
      <x:c r="B183" s="30" t="str">
        <x:v>MS IED</x:v>
      </x:c>
      <x:c r="C183" s="30" t="str">
        <x:v>Sales &amp; Trading</x:v>
      </x:c>
      <x:c r="D183" s="31" t="str">
        <x:v>market beta questions &amp; what happens if economy is sluggish</x:v>
      </x:c>
      <x:c r="E183" s="31" t="str">
        <x:v>Market beta questions &amp; what happens if economy is sluggish</x:v>
      </x:c>
      <x:c r="F183" s="31" t="str">
        <x:v>Accounting &amp; Financial Statements</x:v>
      </x:c>
      <x:c r="G183" s="30" t="str">
        <x:v>CL0599</x:v>
      </x:c>
      <x:c r="H183" s="32" t="n">
        <x:f>COUNTIF($G$5:$G$218,G183)</x:f>
        <x:v>1</x:v>
      </x:c>
      <x:c r="I183" s="30" t="str">
        <x:v>B8</x:v>
      </x:c>
      <x:c r="J183" s="31" t="str">
        <x:v>do u forsee any geopolitical concerns | as portfolio manager what would u consider to do | what is the one thing u felt has not been priced in and investors should be most excited about</x:v>
      </x:c>
    </x:row>
    <x:row r="184" ht="68" customHeight="1">
      <x:c r="A184" s="30" t="str">
        <x:v>QB2595</x:v>
      </x:c>
      <x:c r="B184" s="30" t="str">
        <x:v>MS IED</x:v>
      </x:c>
      <x:c r="C184" s="30" t="str">
        <x:v>Sales &amp; Trading</x:v>
      </x:c>
      <x:c r="D184" s="31" t="str">
        <x:v>Although the company's valuation is relatively cheap compared to its sector peers, but its current 24x PE is almost two times high of the KOSPI. And the stock price's YTD is 70%. Where is your confidence to believe there will be even more potential?</x:v>
      </x:c>
      <x:c r="E184" s="31" t="str">
        <x:v>Although the company's valuation is relatively cheap compared to its sector peers, but its current 24x PE is almost two times high of the KOSPI. And the stock price's YTD is 70%. Where is your confidence to believe there will be even more potential</x:v>
      </x:c>
      <x:c r="F184" s="31" t="str">
        <x:v>Accounting &amp; Financial Statements</x:v>
      </x:c>
      <x:c r="G184" s="30" t="str">
        <x:v>CL0109</x:v>
      </x:c>
      <x:c r="H184" s="32" t="n">
        <x:f>COUNTIF($G$5:$G$218,G184)</x:f>
        <x:v>1</x:v>
      </x:c>
      <x:c r="I184" s="30" t="str">
        <x:v>B31</x:v>
      </x:c>
      <x:c r="J184" s="31" t="str">
        <x:v>what is the one thing u felt has not been priced in and investors should be most excited about | market beta questions &amp; what happens if economy is sluggish | The stock you pitched just suffered a 5% price slump this morning. Any ideas o...</x:v>
      </x:c>
    </x:row>
    <x:row r="185" ht="118" customHeight="1">
      <x:c r="A185" s="30" t="str">
        <x:v>QB2596</x:v>
      </x:c>
      <x:c r="B185" s="30" t="str">
        <x:v>MS IED</x:v>
      </x:c>
      <x:c r="C185" s="30" t="str">
        <x:v>Sales &amp; Trading</x:v>
      </x:c>
      <x:c r="D185" s="31" t="str">
        <x:v>You mentioned several key product lines/models that the company is providing. Which one has the highest margin and we should pay extra attention on?</x:v>
      </x:c>
      <x:c r="E185" s="31" t="str">
        <x:v>You mentioned several key product lines/models that the company is providing. Which one has the highest margin and we should pay extra attention on</x:v>
      </x:c>
      <x:c r="F185" s="31" t="str">
        <x:v>Accounting &amp; Financial Statements</x:v>
      </x:c>
      <x:c r="G185" s="30" t="str">
        <x:v>CL1207</x:v>
      </x:c>
      <x:c r="H185" s="32" t="n">
        <x:f>COUNTIF($G$5:$G$218,G185)</x:f>
        <x:v>1</x:v>
      </x:c>
      <x:c r="I185" s="30" t="str">
        <x:v>B32</x:v>
      </x:c>
      <x:c r="J185" s="31" t="str">
        <x:v>market beta questions &amp; what happens if economy is sluggish | The stock you pitched just suffered a 5% price slump this morning. Any ideas on what's going on? | Although the company's valuation is relatively cheap compared to its sector ...</x:v>
      </x:c>
    </x:row>
    <x:row r="186" ht="68" customHeight="1">
      <x:c r="A186" s="30" t="str">
        <x:v>QB2631</x:v>
      </x:c>
      <x:c r="B186" s="30" t="str">
        <x:v>BofA (GM)</x:v>
      </x:c>
      <x:c r="C186" s="30" t="str">
        <x:v>Sales &amp; Trading</x:v>
      </x:c>
      <x:c r="D186" s="31" t="str">
        <x:v>Since BofA is really a global bank with businesses across the world, what do you see in your future careers? Focus in HK or probably move to US/EU?</x:v>
      </x:c>
      <x:c r="E186" s="31" t="str">
        <x:v>Since BofA is really a global bank with businesses across the world, what do you see in your future careers? Focus in HK or probably move to US/EU</x:v>
      </x:c>
      <x:c r="F186" s="31" t="str">
        <x:v>Accounting &amp; Financial Statements</x:v>
      </x:c>
      <x:c r="G186" s="30" t="str">
        <x:v>CL0678</x:v>
      </x:c>
      <x:c r="H186" s="32" t="n">
        <x:f>COUNTIF($G$5:$G$218,G186)</x:f>
        <x:v>1</x:v>
      </x:c>
      <x:c r="I186" s="30" t="str">
        <x:v>A7</x:v>
      </x:c>
      <x:c r="J186" s="31" t="str">
        <x:v>24 with Equities Trading - Christelle Nachar, Director (Developed Markets Index) | self intro | Do you apply for other banks' programs? Then why BofA? (I said rotational opportunities within a real universal bank + friends' recommendation)</x:v>
      </x:c>
    </x:row>
    <x:row r="187" ht="48" customHeight="1">
      <x:c r="A187" s="30" t="str">
        <x:v>QB2655</x:v>
      </x:c>
      <x:c r="B187" s="30" t="str">
        <x:v>BofA (GM)</x:v>
      </x:c>
      <x:c r="C187" s="30" t="str">
        <x:v>Sales &amp; Trading</x:v>
      </x:c>
      <x:c r="D187" s="31" t="str">
        <x:v>Where is your passion for finance and SnT come from?</x:v>
      </x:c>
      <x:c r="E187" s="31" t="str">
        <x:v>Where is your passion for finance and SnT come from</x:v>
      </x:c>
      <x:c r="F187" s="31" t="str">
        <x:v>Accounting &amp; Financial Statements</x:v>
      </x:c>
      <x:c r="G187" s="30" t="str">
        <x:v>CL1089</x:v>
      </x:c>
      <x:c r="H187" s="32" t="n">
        <x:f>COUNTIF($G$5:$G$218,G187)</x:f>
        <x:v>1</x:v>
      </x:c>
      <x:c r="I187" s="30" t="str">
        <x:v>A34</x:v>
      </x:c>
      <x:c r="J187" s="31" t="str">
        <x:v>Do you have your own investment account? | Any trading ideas now? Any market/asset class/single stock. | Follow up: What are the competitors of that stock?</x:v>
      </x:c>
    </x:row>
    <x:row r="188" ht="32" customHeight="1">
      <x:c r="A188" s="30" t="str">
        <x:v>QB2663</x:v>
      </x:c>
      <x:c r="B188" s="30" t="str">
        <x:v>BofA (GM)</x:v>
      </x:c>
      <x:c r="C188" s="30" t="str">
        <x:v>Sales &amp; Trading</x:v>
      </x:c>
      <x:c r="D188" s="31" t="str">
        <x:v>You said you're passionate about SnT so where is this passion come from?</x:v>
      </x:c>
      <x:c r="E188" s="31" t="str">
        <x:v>You said you're passionate about SnT so where is this passion come from</x:v>
      </x:c>
      <x:c r="F188" s="31" t="str">
        <x:v>Accounting &amp; Financial Statements</x:v>
      </x:c>
      <x:c r="G188" s="30" t="str">
        <x:v>CL1209</x:v>
      </x:c>
      <x:c r="H188" s="32" t="n">
        <x:f>COUNTIF($G$5:$G$218,G188)</x:f>
        <x:v>1</x:v>
      </x:c>
      <x:c r="I188" s="30" t="str">
        <x:v>A43</x:v>
      </x:c>
      <x:c r="J188" s="31" t="str">
        <x:v>反问 | 27 with David Sbarro – Managing Director, FICC Trading | self-intro</x:v>
      </x:c>
    </x:row>
    <x:row r="189" ht="48" customHeight="1">
      <x:c r="A189" s="30" t="str">
        <x:v>QB2669</x:v>
      </x:c>
      <x:c r="B189" s="30" t="str">
        <x:v>BofA (GM)</x:v>
      </x:c>
      <x:c r="C189" s="30" t="str">
        <x:v>Sales &amp; Trading</x:v>
      </x:c>
      <x:c r="D189" s="31" t="str">
        <x:v>How is EBITDA derived?</x:v>
      </x:c>
      <x:c r="E189" s="31" t="str">
        <x:v>How is EBITDA derived</x:v>
      </x:c>
      <x:c r="F189" s="31" t="str">
        <x:v>Accounting &amp; Financial Statements</x:v>
      </x:c>
      <x:c r="G189" s="30" t="str">
        <x:v>CL0445</x:v>
      </x:c>
      <x:c r="H189" s="32" t="n">
        <x:f>COUNTIF($G$5:$G$218,G189)</x:f>
        <x:v>1</x:v>
      </x:c>
      <x:c r="I189" s="30" t="str">
        <x:v>A49</x:v>
      </x:c>
      <x:c r="J189" s="31" t="str">
        <x:v>Do you have your own investment account? | Any trading ideas about the market now? | Are you familiar with company valuation?</x:v>
      </x:c>
    </x:row>
    <x:row r="190" ht="48" customHeight="1">
      <x:c r="A190" s="30" t="str">
        <x:v>QB2715</x:v>
      </x:c>
      <x:c r="B190" s="30" t="str">
        <x:v>HSBC (GM)</x:v>
      </x:c>
      <x:c r="C190" s="30" t="str">
        <x:v>Sales &amp; Trading</x:v>
      </x:c>
      <x:c r="D190" s="31" t="str">
        <x:v>who is the new CEO of HSBC and what risks do you recommend this person to look at</x:v>
      </x:c>
      <x:c r="E190" s="31" t="str">
        <x:v>Who is the new CEO of HSBC and what risks do you recommend this person to look at</x:v>
      </x:c>
      <x:c r="F190" s="31" t="str">
        <x:v>Accounting &amp; Financial Statements</x:v>
      </x:c>
      <x:c r="G190" s="30" t="str">
        <x:v>CL1108</x:v>
      </x:c>
      <x:c r="H190" s="32" t="n">
        <x:f>COUNTIF($G$5:$G$218,G190)</x:f>
        <x:v>1</x:v>
      </x:c>
      <x:c r="I190" s="30" t="str">
        <x:v>L19</x:v>
      </x:c>
      <x:c r="J190" s="31" t="str">
        <x:v>which subject do you like the most | how do you think your major has benefited you | do you know why credit suisse failed</x:v>
      </x:c>
    </x:row>
    <x:row r="191" ht="68" customHeight="1">
      <x:c r="A191" s="30" t="str">
        <x:v>QB2718</x:v>
      </x:c>
      <x:c r="B191" s="30" t="str">
        <x:v>HSBC (GM)</x:v>
      </x:c>
      <x:c r="C191" s="30" t="str">
        <x:v>Sales &amp; Trading</x:v>
      </x:c>
      <x:c r="D191" s="31" t="str">
        <x:v>brain teaser: Y1 revenue is 100, Y2 decrease 20% from Y3 increase 10%, how many years to get back to over 100</x:v>
      </x:c>
      <x:c r="E191" s="31" t="str">
        <x:v>Brain teaser: Y1 revenue is 100, Y2 decrease 20% from Y3 increase 10%, how many years to get back to over 100</x:v>
      </x:c>
      <x:c r="F191" s="31" t="str">
        <x:v>Accounting &amp; Financial Statements</x:v>
      </x:c>
      <x:c r="G191" s="30" t="str">
        <x:v>CL0175</x:v>
      </x:c>
      <x:c r="H191" s="32" t="n">
        <x:f>COUNTIF($G$5:$G$218,G191)</x:f>
        <x:v>1</x:v>
      </x:c>
      <x:c r="I191" s="30" t="str">
        <x:v>A21</x:v>
      </x:c>
      <x:c r="J191" s="31" t="str">
        <x:v>i said tighten rates then FX increase | do you see the world trending towards globalization or deglobalization | what happens when countries get to show and utilize their comparative advantages against the others</x:v>
      </x:c>
    </x:row>
    <x:row r="192" ht="92" customHeight="1">
      <x:c r="A192" s="30" t="str">
        <x:v>QB2720</x:v>
      </x:c>
      <x:c r="B192" s="30" t="str">
        <x:v>HSBC (GM)</x:v>
      </x:c>
      <x:c r="C192" s="30" t="str">
        <x:v>Sales &amp; Trading</x:v>
      </x:c>
      <x:c r="D192" s="31" t="str">
        <x:v>brain teaser: roll a dice and payoff is whatever u roll, u have the option of rolling again if u dont like your payoff, how much would u pay me so u wont loose or earn</x:v>
      </x:c>
      <x:c r="E192" s="31" t="str">
        <x:v>Brain teaser: roll a dice and payoff is whatever u roll, u have the option of rolling again if u dont like your payoff, how much would u pay me so u wont loose or earn</x:v>
      </x:c>
      <x:c r="F192" s="31" t="str">
        <x:v>Accounting &amp; Financial Statements</x:v>
      </x:c>
      <x:c r="G192" s="30" t="str">
        <x:v>CL0174</x:v>
      </x:c>
      <x:c r="H192" s="32" t="n">
        <x:f>COUNTIF($G$5:$G$218,G192)</x:f>
        <x:v>1</x:v>
      </x:c>
      <x:c r="I192" s="30" t="str">
        <x:v>A22</x:v>
      </x:c>
      <x:c r="J192" s="31" t="str">
        <x:v>do you see the world trending towards globalization or deglobalization | what happens when countries get to show and utilize their comparative advantages against the others | brain teaser: Y1 revenue is 100, Y2 decrease 20% from Y3 incre...</x:v>
      </x:c>
    </x:row>
    <x:row r="193" ht="118" customHeight="1">
      <x:c r="A193" s="30" t="str">
        <x:v>QB2722</x:v>
      </x:c>
      <x:c r="B193" s="30" t="str">
        <x:v>HSBC (GM)</x:v>
      </x:c>
      <x:c r="C193" s="30" t="str">
        <x:v>Sales &amp; Trading</x:v>
      </x:c>
      <x:c r="D193" s="31" t="str">
        <x:v>brain teaser: 5/8 100 sterling or 75% 100 dollars (forgot the actual number but key is to convert)</x:v>
      </x:c>
      <x:c r="E193" s="31" t="str">
        <x:v>Brain teaser: 5/8 100 sterling or 75% 100 dollars (forgot the actual number but key is to convert)</x:v>
      </x:c>
      <x:c r="F193" s="31" t="str">
        <x:v>Accounting &amp; Financial Statements</x:v>
      </x:c>
      <x:c r="G193" s="30" t="str">
        <x:v>CL0172</x:v>
      </x:c>
      <x:c r="H193" s="32" t="n">
        <x:f>COUNTIF($G$5:$G$218,G193)</x:f>
        <x:v>1</x:v>
      </x:c>
      <x:c r="I193" s="30" t="str">
        <x:v>A23</x:v>
      </x:c>
      <x:c r="J193" s="31" t="str">
        <x:v>what happens when countries get to show and utilize their comparative advantages against the others | brain teaser: Y1 revenue is 100, Y2 decrease 20% from Y3 increase 10%, how many years to get back to over 100 | brain teaser: roll a di...</x:v>
      </x:c>
    </x:row>
    <x:row r="194" ht="48" customHeight="1">
      <x:c r="A194" s="30" t="str">
        <x:v>QB2774</x:v>
      </x:c>
      <x:c r="B194" s="30" t="str">
        <x:v>UBS(GM Off cycle)</x:v>
      </x:c>
      <x:c r="C194" s="30" t="str">
        <x:v>Sales &amp; Trading</x:v>
      </x:c>
      <x:c r="D194" s="31" t="str">
        <x:v>If the desk is managing a long short pair for client, what actions to take(TRS)</x:v>
      </x:c>
      <x:c r="E194" s="31" t="str">
        <x:v>If the desk is managing a long short pair for client, what actions to take(TRS)</x:v>
      </x:c>
      <x:c r="F194" s="31" t="str">
        <x:v>Accounting &amp; Financial Statements</x:v>
      </x:c>
      <x:c r="G194" s="30" t="str">
        <x:v>CL0518</x:v>
      </x:c>
      <x:c r="H194" s="32" t="n">
        <x:f>COUNTIF($G$5:$G$218,G194)</x:f>
        <x:v>1</x:v>
      </x:c>
      <x:c r="I194" s="30" t="str">
        <x:v>A29</x:v>
      </x:c>
      <x:c r="J194" s="31" t="str">
        <x:v>CV grill | Mechanism of hedging and delta one | What risk metrics are most important when managing a portfolio</x:v>
      </x:c>
    </x:row>
    <x:row r="195" ht="68" customHeight="1">
      <x:c r="A195" s="30" t="str">
        <x:v>QB2775</x:v>
      </x:c>
      <x:c r="B195" s="30" t="str">
        <x:v>UBS(GM Off cycle)</x:v>
      </x:c>
      <x:c r="C195" s="30" t="str">
        <x:v>Sales &amp; Trading</x:v>
      </x:c>
      <x:c r="D195" s="31" t="str">
        <x:v>Brain Teaser: 1 dice, throw twice, if not satisfied with the result of first throw, can throw again, what is the Ev</x:v>
      </x:c>
      <x:c r="E195" s="31" t="str">
        <x:v>Brain Teaser: 1 dice, throw twice, if not satisfied with the result of first throw, can throw again, what is the Ev</x:v>
      </x:c>
      <x:c r="F195" s="31" t="str">
        <x:v>Accounting &amp; Financial Statements</x:v>
      </x:c>
      <x:c r="G195" s="30" t="str">
        <x:v>CL0168</x:v>
      </x:c>
      <x:c r="H195" s="32" t="n">
        <x:f>COUNTIF($G$5:$G$218,G195)</x:f>
        <x:v>1</x:v>
      </x:c>
      <x:c r="I195" s="30" t="str">
        <x:v>A30</x:v>
      </x:c>
      <x:c r="J195" s="31" t="str">
        <x:v>Mechanism of hedging and delta one | What risk metrics are most important when managing a portfolio | If the desk is managing a long short pair for client, what actions to take(TRS)</x:v>
      </x:c>
    </x:row>
    <x:row r="196" ht="32" customHeight="1">
      <x:c r="A196" s="30" t="str">
        <x:v>QB2797</x:v>
      </x:c>
      <x:c r="B196" s="30" t="str">
        <x:v>Others (eg. PE, CB...)</x:v>
      </x:c>
      <x:c r="C196" s="30" t="str">
        <x:v>PE / VC / Other</x:v>
      </x:c>
      <x:c r="D196" s="31" t="str">
        <x:v>what do you know about this industry the company is in</x:v>
      </x:c>
      <x:c r="E196" s="31" t="str">
        <x:v>What do you know about this industry the company is in</x:v>
      </x:c>
      <x:c r="F196" s="31" t="str">
        <x:v>Accounting &amp; Financial Statements</x:v>
      </x:c>
      <x:c r="G196" s="30" t="str">
        <x:v>CL0924</x:v>
      </x:c>
      <x:c r="H196" s="32" t="n">
        <x:f>COUNTIF($G$5:$G$218,G196)</x:f>
        <x:v>1</x:v>
      </x:c>
      <x:c r="I196" s="30" t="str">
        <x:v>A5</x:v>
      </x:c>
      <x:c r="J196" s="31" t="str">
        <x:v>45742 | Self intro | What did you do in Huatai Investment Banking, any deals</x:v>
      </x:c>
    </x:row>
    <x:row r="197" ht="48" customHeight="1">
      <x:c r="A197" s="30" t="str">
        <x:v>QB2814</x:v>
      </x:c>
      <x:c r="B197" s="30" t="str">
        <x:v>Neuberger Berman</x:v>
      </x:c>
      <x:c r="C197" s="30" t="str">
        <x:v>PWM / AM</x:v>
      </x:c>
      <x:c r="D197" s="31" t="str">
        <x:v>What is a good target for PE</x:v>
      </x:c>
      <x:c r="E197" s="31" t="str">
        <x:v>What is a good target for PE</x:v>
      </x:c>
      <x:c r="F197" s="31" t="str">
        <x:v>Accounting &amp; Financial Statements</x:v>
      </x:c>
      <x:c r="G197" s="30" t="str">
        <x:v>CL0962</x:v>
      </x:c>
      <x:c r="H197" s="32" t="n">
        <x:f>COUNTIF($G$5:$G$218,G197)</x:f>
        <x:v>1</x:v>
      </x:c>
      <x:c r="I197" s="30" t="str">
        <x:v>A7</x:v>
      </x:c>
      <x:c r="J197" s="31" t="str">
        <x:v>2nd round | Walk though current internships | Ask what I do and the deals for each internship</x:v>
      </x:c>
    </x:row>
    <x:row r="198" ht="48" customHeight="1">
      <x:c r="A198" s="30" t="str">
        <x:v>QB2816</x:v>
      </x:c>
      <x:c r="B198" s="30" t="str">
        <x:v>Neuberger Berman</x:v>
      </x:c>
      <x:c r="C198" s="30" t="str">
        <x:v>PWM / AM</x:v>
      </x:c>
      <x:c r="D198" s="31" t="str">
        <x:v>What is a good IPO candidate</x:v>
      </x:c>
      <x:c r="E198" s="31" t="str">
        <x:v>What is a good IPO candidate</x:v>
      </x:c>
      <x:c r="F198" s="31" t="str">
        <x:v>Accounting &amp; Financial Statements</x:v>
      </x:c>
      <x:c r="G198" s="30" t="str">
        <x:v>CL0961</x:v>
      </x:c>
      <x:c r="H198" s="32" t="n">
        <x:f>COUNTIF($G$5:$G$218,G198)</x:f>
        <x:v>1</x:v>
      </x:c>
      <x:c r="I198" s="30" t="str">
        <x:v>A9</x:v>
      </x:c>
      <x:c r="J198" s="31" t="str">
        <x:v>Ask what I do and the deals for each internship | What is a good target for PE | How US tariff would affect PE &amp; share a market event</x:v>
      </x:c>
    </x:row>
    <x:row r="199" ht="32" customHeight="1">
      <x:c r="A199" s="30" t="str">
        <x:v>QB2837</x:v>
      </x:c>
      <x:c r="B199" s="30" t="str">
        <x:v>UBS AM</x:v>
      </x:c>
      <x:c r="C199" s="30" t="str">
        <x:v>PWM / AM</x:v>
      </x:c>
      <x:c r="D199" s="31" t="str">
        <x:v>How is the company funded, and how is the leverage and ROA like?</x:v>
      </x:c>
      <x:c r="E199" s="31" t="str">
        <x:v>How is the company funded, and how is the leverage and ROA like</x:v>
      </x:c>
      <x:c r="F199" s="31" t="str">
        <x:v>Accounting &amp; Financial Statements</x:v>
      </x:c>
      <x:c r="G199" s="30" t="str">
        <x:v>CL0446</x:v>
      </x:c>
      <x:c r="H199" s="32" t="n">
        <x:f>COUNTIF($G$5:$G$218,G199)</x:f>
        <x:v>1</x:v>
      </x:c>
      <x:c r="I199" s="30" t="str">
        <x:v>A18</x:v>
      </x:c>
      <x:c r="J199" s="31" t="str">
        <x:v>Self introduction | Why AM? | Pitch me an investment idea</x:v>
      </x:c>
    </x:row>
    <x:row r="200" ht="68" customHeight="1">
      <x:c r="A200" s="30" t="str">
        <x:v>QB2839</x:v>
      </x:c>
      <x:c r="B200" s="30" t="str">
        <x:v>UBS AM</x:v>
      </x:c>
      <x:c r="C200" s="30" t="str">
        <x:v>PWM / AM</x:v>
      </x:c>
      <x:c r="D200" s="31" t="str">
        <x:v>What is UBS AM known for?</x:v>
      </x:c>
      <x:c r="E200" s="31" t="str">
        <x:v>What is UBS AM known for</x:v>
      </x:c>
      <x:c r="F200" s="31" t="str">
        <x:v>Accounting &amp; Financial Statements</x:v>
      </x:c>
      <x:c r="G200" s="30" t="str">
        <x:v>CL0997</x:v>
      </x:c>
      <x:c r="H200" s="32" t="n">
        <x:f>COUNTIF($G$5:$G$218,G200)</x:f>
        <x:v>1</x:v>
      </x:c>
      <x:c r="I200" s="30" t="str">
        <x:v>A20</x:v>
      </x:c>
      <x:c r="J200" s="31" t="str">
        <x:v>Pitch me an investment idea | How is the company funded, and how is the leverage and ROA like? | (He mentioned it issued bonds in Oslo, not sure if it was a question)</x:v>
      </x:c>
    </x:row>
    <x:row r="201" ht="48" customHeight="1">
      <x:c r="A201" s="30" t="str">
        <x:v>QB2842</x:v>
      </x:c>
      <x:c r="B201" s="30" t="str">
        <x:v>UBS AM</x:v>
      </x:c>
      <x:c r="C201" s="30" t="str">
        <x:v>PWM / AM</x:v>
      </x:c>
      <x:c r="D201" s="31" t="str">
        <x:v>What is your expectation for the UBS AM GTP programme?</x:v>
      </x:c>
      <x:c r="E201" s="31" t="str">
        <x:v>What is your expectation for the UBS AM GTP programme</x:v>
      </x:c>
      <x:c r="F201" s="31" t="str">
        <x:v>Accounting &amp; Financial Statements</x:v>
      </x:c>
      <x:c r="G201" s="30" t="str">
        <x:v>CL1002</x:v>
      </x:c>
      <x:c r="H201" s="32" t="n">
        <x:f>COUNTIF($G$5:$G$218,G201)</x:f>
        <x:v>1</x:v>
      </x:c>
      <x:c r="I201" s="30" t="str">
        <x:v>A23</x:v>
      </x:c>
      <x:c r="J201" s="31" t="str">
        <x:v>What is UBS AM known for? | What are other investment opportunities you are paying attention in the market? | What are the risks in the China and US market?</x:v>
      </x:c>
    </x:row>
    <x:row r="202" ht="68" customHeight="1">
      <x:c r="A202" s="30" t="str">
        <x:v>QB2853</x:v>
      </x:c>
      <x:c r="B202" s="30" t="str">
        <x:v>Fountainvest</x:v>
      </x:c>
      <x:c r="C202" s="30" t="str">
        <x:v>PE / VC / Other</x:v>
      </x:c>
      <x:c r="D202" s="31" t="str">
        <x:v>Industry: how is the growth rate being justified? What are the key growth drivers, what was the growth rate before COVID, grwoth rate for oil, what drives the demand for oil?</x:v>
      </x:c>
      <x:c r="E202" s="31" t="str">
        <x:v>Industry: how is the growth rate being justified? What are the key growth drivers, what was the growth rate before COVID, grwoth rate for oil, what drives the demand for oil</x:v>
      </x:c>
      <x:c r="F202" s="31" t="str">
        <x:v>Accounting &amp; Financial Statements</x:v>
      </x:c>
      <x:c r="G202" s="30" t="str">
        <x:v>CL0545</x:v>
      </x:c>
      <x:c r="H202" s="32" t="n">
        <x:f>COUNTIF($G$5:$G$218,G202)</x:f>
        <x:v>1</x:v>
      </x:c>
      <x:c r="I202" s="30" t="str">
        <x:v>B5</x:v>
      </x:c>
      <x:c r="J202" s="31" t="str">
        <x:v>Will Weng 12/9 | Self Intro | Tell me about a deal you worked on</x:v>
      </x:c>
    </x:row>
    <x:row r="203" ht="92" customHeight="1">
      <x:c r="A203" s="30" t="str">
        <x:v>QB2859</x:v>
      </x:c>
      <x:c r="B203" s="30" t="str">
        <x:v>Fountainvest</x:v>
      </x:c>
      <x:c r="C203" s="30" t="str">
        <x:v>PE / VC / Other</x:v>
      </x:c>
      <x:c r="D203" s="31" t="str">
        <x:v>Do you think this is an attractive investment opportunity? Why?</x:v>
      </x:c>
      <x:c r="E203" s="31" t="str">
        <x:v>Do you think this is an attractive investment opportunity? Why</x:v>
      </x:c>
      <x:c r="F203" s="31" t="str">
        <x:v>Accounting &amp; Financial Statements</x:v>
      </x:c>
      <x:c r="G203" s="30" t="str">
        <x:v>CL0299</x:v>
      </x:c>
      <x:c r="H203" s="32" t="n">
        <x:f>COUNTIF($G$5:$G$218,G203)</x:f>
        <x:v>1</x:v>
      </x:c>
      <x:c r="I203" s="30" t="str">
        <x:v>B8</x:v>
      </x:c>
      <x:c r="J203" s="31" t="str">
        <x:v>Industry: how is the growth rate being justified? What are the key growth drivers, what was the growth rate before COVID, grwoth rate for oil, what drives the demand for oil? | Give me an example of one vessel's (eg. capex, contract leng...</x:v>
      </x:c>
    </x:row>
    <x:row r="204" ht="68" customHeight="1">
      <x:c r="A204" s="30" t="str">
        <x:v>QB2864</x:v>
      </x:c>
      <x:c r="B204" s="30" t="str">
        <x:v>Fountainvest</x:v>
      </x:c>
      <x:c r="C204" s="30" t="str">
        <x:v>PE / VC / Other</x:v>
      </x:c>
      <x:c r="D204" s="31" t="str">
        <x:v>What is your career plan?</x:v>
      </x:c>
      <x:c r="E204" s="31" t="str">
        <x:v>What is your career plan</x:v>
      </x:c>
      <x:c r="F204" s="31" t="str">
        <x:v>Accounting &amp; Financial Statements</x:v>
      </x:c>
      <x:c r="G204" s="30" t="str">
        <x:v>CL1001</x:v>
      </x:c>
      <x:c r="H204" s="32" t="n">
        <x:f>COUNTIF($G$5:$G$218,G204)</x:f>
        <x:v>1</x:v>
      </x:c>
      <x:c r="I204" s="30" t="str">
        <x:v>A13</x:v>
      </x:c>
      <x:c r="J204" s="31" t="str">
        <x:v>Showcase your original thinking and unique perspective on the company's potential as an investment opportunity. | 1st round Michael Li (All putonghua) | Background questions: where are you from? Where you grew up in?</x:v>
      </x:c>
    </x:row>
    <x:row r="205" ht="68" customHeight="1">
      <x:c r="A205" s="30" t="str">
        <x:v>QB2883</x:v>
      </x:c>
      <x:c r="B205" s="30" t="str">
        <x:v>MSPEA</x:v>
      </x:c>
      <x:c r="C205" s="30" t="str">
        <x:v>PE / VC / Other</x:v>
      </x:c>
      <x:c r="D205" s="31" t="str">
        <x:v>Tell me about a recent investment you made that you think is very attractive? Tell me about the industry and highlights</x:v>
      </x:c>
      <x:c r="E205" s="31" t="str">
        <x:v>Tell me about a recent investment you made that you think is very attractive? Tell me about the industry and highlights</x:v>
      </x:c>
      <x:c r="F205" s="31" t="str">
        <x:v>Accounting &amp; Financial Statements</x:v>
      </x:c>
      <x:c r="G205" s="30" t="str">
        <x:v>CL0725</x:v>
      </x:c>
      <x:c r="H205" s="32" t="n">
        <x:f>COUNTIF($G$5:$G$218,G205)</x:f>
        <x:v>1</x:v>
      </x:c>
      <x:c r="I205" s="30" t="str">
        <x:v>B5</x:v>
      </x:c>
      <x:c r="J205" s="31" t="str">
        <x:v>Final round | Why are you interested in primary markets compared to secondary markets | What are the differences in primary markets investment compared to secondary markets?</x:v>
      </x:c>
    </x:row>
    <x:row r="206" ht="32" customHeight="1">
      <x:c r="A206" s="30" t="str">
        <x:v>QB2886</x:v>
      </x:c>
      <x:c r="B206" s="30" t="str">
        <x:v>MSPEA</x:v>
      </x:c>
      <x:c r="C206" s="30" t="str">
        <x:v>PE / VC / Other</x:v>
      </x:c>
      <x:c r="D206" s="31" t="str">
        <x:v>Effect of gain on sale of asset on EBITDA? (No change) Position on financial statement?</x:v>
      </x:c>
      <x:c r="E206" s="31" t="str">
        <x:v>Effect of gain on sale of asset on EBITDA? (No change) Position on financial statement</x:v>
      </x:c>
      <x:c r="F206" s="31" t="str">
        <x:v>Accounting &amp; Financial Statements</x:v>
      </x:c>
      <x:c r="G206" s="30" t="str">
        <x:v>CL0307</x:v>
      </x:c>
      <x:c r="H206" s="32" t="n">
        <x:f>COUNTIF($G$5:$G$218,G206)</x:f>
        <x:v>1</x:v>
      </x:c>
      <x:c r="I206" s="30" t="str">
        <x:v>A7</x:v>
      </x:c>
      <x:c r="J206" s="31" t="str">
        <x:v>From here all Chinese | EV/EBITDA vs EV/sales 分别？ | How to calculate EBITDA from top down?</x:v>
      </x:c>
    </x:row>
    <x:row r="207" ht="48" customHeight="1">
      <x:c r="A207" s="30" t="str">
        <x:v>QB2888</x:v>
      </x:c>
      <x:c r="B207" s="30" t="str">
        <x:v>MSPEA</x:v>
      </x:c>
      <x:c r="C207" s="30" t="str">
        <x:v>PE / VC / Other</x:v>
      </x:c>
      <x:c r="D207" s="31" t="str">
        <x:v>For CPS, how does it affect the enterprise value? How much is pre money and post money valuation? (I said counted as preferred shares at first)</x:v>
      </x:c>
      <x:c r="E207" s="31" t="str">
        <x:v>For CPS, how does it affect the enterprise value? How much is pre money and post money valuation? (I said counted as preferred shares at first)</x:v>
      </x:c>
      <x:c r="F207" s="31" t="str">
        <x:v>Accounting &amp; Financial Statements</x:v>
      </x:c>
      <x:c r="G207" s="30" t="str">
        <x:v>CL0329</x:v>
      </x:c>
      <x:c r="H207" s="32" t="n">
        <x:f>COUNTIF($G$5:$G$218,G207)</x:f>
        <x:v>1</x:v>
      </x:c>
      <x:c r="I207" s="30" t="str">
        <x:v>A8</x:v>
      </x:c>
      <x:c r="J207" s="31" t="str">
        <x:v>EV/EBITDA vs EV/sales 分别？ | How to calculate EBITDA from top down? | Effect of gain on sale of asset on EBITDA? (No change) Position on financial statement?</x:v>
      </x:c>
    </x:row>
    <x:row r="208" ht="92" customHeight="1">
      <x:c r="A208" s="30" t="str">
        <x:v>QB2892</x:v>
      </x:c>
      <x:c r="B208" s="30" t="str">
        <x:v>MSPEA</x:v>
      </x:c>
      <x:c r="C208" s="30" t="str">
        <x:v>PE / VC / Other</x:v>
      </x:c>
      <x:c r="D208" s="31" t="str">
        <x:v>15 billion market cap, we now investment 1bn half is buying old shares and half is buying new shares. What is the % of old shares bought,and % of new shares bought ? (I said old shares is 0.5/15, and new shares 0.5/15.5??)</x:v>
      </x:c>
      <x:c r="E208" s="31" t="str">
        <x:v>15 billion market cap, we now investment 1bn half is buying old shares and half is buying new shares. What is the % of old shares bought,and % of new shares bought ? (I said old shares is 0.5/15, and new shares 0.5/15.5??)</x:v>
      </x:c>
      <x:c r="F208" s="31" t="str">
        <x:v>Accounting &amp; Financial Statements</x:v>
      </x:c>
      <x:c r="G208" s="30" t="str">
        <x:v>CL0065</x:v>
      </x:c>
      <x:c r="H208" s="32" t="n">
        <x:f>COUNTIF($G$5:$G$218,G208)</x:f>
        <x:v>1</x:v>
      </x:c>
      <x:c r="I208" s="30" t="str">
        <x:v>A10</x:v>
      </x:c>
      <x:c r="J208" s="31" t="str">
        <x:v>Effect of gain on sale of asset on EBITDA? (No change) Position on financial statement? | For CPS, how does it affect the enterprise value? How much is pre money and post money valuation? (I said counted as preferred shares at first) | P...</x:v>
      </x:c>
    </x:row>
    <x:row r="209" ht="118" customHeight="1">
      <x:c r="A209" s="30" t="str">
        <x:v>QB2899</x:v>
      </x:c>
      <x:c r="B209" s="30" t="str">
        <x:v>MSPEA</x:v>
      </x:c>
      <x:c r="C209" s="30" t="str">
        <x:v>PE / VC / Other</x:v>
      </x:c>
      <x:c r="D209" s="31" t="str">
        <x:v>What is a recent book you read</x:v>
      </x:c>
      <x:c r="E209" s="31" t="str">
        <x:v>What is a recent book you read</x:v>
      </x:c>
      <x:c r="F209" s="31" t="str">
        <x:v>Accounting &amp; Financial Statements</x:v>
      </x:c>
      <x:c r="G209" s="30" t="str">
        <x:v>CL0963</x:v>
      </x:c>
      <x:c r="H209" s="32" t="n">
        <x:f>COUNTIF($G$5:$G$218,G209)</x:f>
        <x:v>1</x:v>
      </x:c>
      <x:c r="I209" s="30" t="str">
        <x:v>B13</x:v>
      </x:c>
      <x:c r="J209" s="31" t="str">
        <x:v>What affects gross profit margin? (I said, price, cost, volume). She said the utilisation rate of the machines will also affect the volume. More volume means fixed cost can be spread over more items due to economies of scale | Tell me an...</x:v>
      </x:c>
    </x:row>
    <x:row r="210" ht="48" customHeight="1">
      <x:c r="A210" s="30" t="str">
        <x:v>QB2902</x:v>
      </x:c>
      <x:c r="B210" s="30" t="str">
        <x:v>MSPEA</x:v>
      </x:c>
      <x:c r="C210" s="30" t="str">
        <x:v>PE / VC / Other</x:v>
      </x:c>
      <x:c r="D210" s="31" t="str">
        <x:v>油船公司有什么技术上的优势/方法？（I told him the diff is business model)</x:v>
      </x:c>
      <x:c r="E210" s="31" t="str">
        <x:v>油船公司有什么技术上的优势/方法？（I told him the diff is business model)</x:v>
      </x:c>
      <x:c r="F210" s="31" t="str">
        <x:v>Accounting &amp; Financial Statements</x:v>
      </x:c>
      <x:c r="G210" s="30" t="str">
        <x:v>CL1251</x:v>
      </x:c>
      <x:c r="H210" s="32" t="n">
        <x:f>COUNTIF($G$5:$G$218,G210)</x:f>
        <x:v>1</x:v>
      </x:c>
      <x:c r="I210" s="30" t="str">
        <x:v>A16</x:v>
      </x:c>
      <x:c r="J210" s="31" t="str">
        <x:v>现在行业表现好吗？有什么变化？ | 有什么其他玩家，公司的市占率多少？排名是什么 (in terms of revenue) ? 最大的公司收入多少，公司自己收入多少？ | 收入差距是因为？</x:v>
      </x:c>
    </x:row>
    <x:row r="211" ht="68" customHeight="1">
      <x:c r="A211" s="30" t="str">
        <x:v>QB2914</x:v>
      </x:c>
      <x:c r="B211" s="30" t="str">
        <x:v>Warburg Pincus</x:v>
      </x:c>
      <x:c r="C211" s="30" t="str">
        <x:v>PE / VC / Other</x:v>
      </x:c>
      <x:c r="D211" s="31" t="str">
        <x:v>Is there anything you think you have done well in UBS but not recognized?</x:v>
      </x:c>
      <x:c r="E211" s="31" t="str">
        <x:v>Is there anything you think you have done well in UBS but not recognized</x:v>
      </x:c>
      <x:c r="F211" s="31" t="str">
        <x:v>Accounting &amp; Financial Statements</x:v>
      </x:c>
      <x:c r="G211" s="30" t="str">
        <x:v>CL0562</x:v>
      </x:c>
      <x:c r="H211" s="32" t="n">
        <x:f>COUNTIF($G$5:$G$218,G211)</x:f>
        <x:v>1</x:v>
      </x:c>
      <x:c r="I211" s="30" t="str">
        <x:v>A5</x:v>
      </x:c>
      <x:c r="J211" s="31" t="str">
        <x:v>Why no return from UBS? | What were people's background of intern batch mates in UBS? | Describe responsibilities of the FIG deal, investment highlights, valuation multiples</x:v>
      </x:c>
    </x:row>
    <x:row r="212" ht="32" customHeight="1">
      <x:c r="A212" s="30" t="str">
        <x:v>QB2918</x:v>
      </x:c>
      <x:c r="B212" s="30" t="str">
        <x:v>IDG Capital</x:v>
      </x:c>
      <x:c r="C212" s="30" t="str">
        <x:v>PE / VC / Other</x:v>
      </x:c>
      <x:c r="D212" s="31" t="str">
        <x:v>100 sales, impact on 3 statement</x:v>
      </x:c>
      <x:c r="E212" s="31" t="str">
        <x:v>100 sales, impact on 3 statement</x:v>
      </x:c>
      <x:c r="F212" s="31" t="str">
        <x:v>Accounting &amp; Financial Statements</x:v>
      </x:c>
      <x:c r="G212" s="30" t="str">
        <x:v>CL0064</x:v>
      </x:c>
      <x:c r="H212" s="32" t="n">
        <x:f>COUNTIF($G$5:$G$218,G212)</x:f>
        <x:v>1</x:v>
      </x:c>
      <x:c r="I212" s="30" t="str">
        <x:v>A2</x:v>
      </x:c>
      <x:c r="J212" s="31" t="str">
        <x:v>2025 offcycle (Emily)</x:v>
      </x:c>
    </x:row>
    <x:row r="213" ht="48" customHeight="1">
      <x:c r="A213" s="30" t="str">
        <x:v>QB2928</x:v>
      </x:c>
      <x:c r="B213" s="30" t="str">
        <x:v>CDH</x:v>
      </x:c>
      <x:c r="C213" s="30" t="str">
        <x:v>PE / VC / Other</x:v>
      </x:c>
      <x:c r="D213" s="31" t="str">
        <x:v>How do you forecast revenue of the company? What is the revenue?</x:v>
      </x:c>
      <x:c r="E213" s="31" t="str">
        <x:v>How do you forecast revenue of the company? What is the revenue</x:v>
      </x:c>
      <x:c r="F213" s="31" t="str">
        <x:v>Accounting &amp; Financial Statements</x:v>
      </x:c>
      <x:c r="G213" s="30" t="str">
        <x:v>CL0413</x:v>
      </x:c>
      <x:c r="H213" s="32" t="n">
        <x:f>COUNTIF($G$5:$G$218,G213)</x:f>
        <x:v>1</x:v>
      </x:c>
      <x:c r="I213" s="30" t="str">
        <x:v>A8</x:v>
      </x:c>
      <x:c r="J213" s="31" t="str">
        <x:v>Introduce the UBS deal and what you have done? | Tell me about the industry | 25bn market size, how do you get it?</x:v>
      </x:c>
    </x:row>
    <x:row r="214" ht="48" customHeight="1">
      <x:c r="A214" s="30" t="str">
        <x:v>QB2929</x:v>
      </x:c>
      <x:c r="B214" s="30" t="str">
        <x:v>CDH</x:v>
      </x:c>
      <x:c r="C214" s="30" t="str">
        <x:v>PE / VC / Other</x:v>
      </x:c>
      <x:c r="D214" s="31" t="str">
        <x:v>What is the company's market position in the industry? (he calculated if 25bn market size in 5 years, now around 10bn, company 1bn revenue, so 10% share wow)</x:v>
      </x:c>
      <x:c r="E214" s="31" t="str">
        <x:v>What is the company's market position in the industry? (he calculated if 25bn market size in 5 years, now around 10bn, company 1bn revenue, so 10% share wow)</x:v>
      </x:c>
      <x:c r="F214" s="31" t="str">
        <x:v>Accounting &amp; Financial Statements</x:v>
      </x:c>
      <x:c r="G214" s="30" t="str">
        <x:v>CL0974</x:v>
      </x:c>
      <x:c r="H214" s="32" t="n">
        <x:f>COUNTIF($G$5:$G$218,G214)</x:f>
        <x:v>1</x:v>
      </x:c>
      <x:c r="I214" s="30" t="str">
        <x:v>A9</x:v>
      </x:c>
      <x:c r="J214" s="31" t="str">
        <x:v>Tell me about the industry | 25bn market size, how do you get it? | How do you forecast revenue of the company? What is the revenue?</x:v>
      </x:c>
    </x:row>
    <x:row r="215" ht="92" customHeight="1">
      <x:c r="A215" s="30" t="str">
        <x:v>QB2931</x:v>
      </x:c>
      <x:c r="B215" s="30" t="str">
        <x:v>CDH</x:v>
      </x:c>
      <x:c r="C215" s="30" t="str">
        <x:v>PE / VC / Other</x:v>
      </x:c>
      <x:c r="D215" s="31" t="str">
        <x:v>Accounting: $10 deferred interest expense, 3 statement? (not under CFF, but under CFO just non-cash expense add back)</x:v>
      </x:c>
      <x:c r="E215" s="31" t="str">
        <x:v>Accounting: $10 deferred interest expense, 3 statement? (not under CFF, but under CFO just non-cash expense add back)</x:v>
      </x:c>
      <x:c r="F215" s="31" t="str">
        <x:v>Accounting &amp; Financial Statements</x:v>
      </x:c>
      <x:c r="G215" s="30" t="str">
        <x:v>CL0099</x:v>
      </x:c>
      <x:c r="H215" s="32" t="n">
        <x:f>COUNTIF($G$5:$G$218,G215)</x:f>
        <x:v>1</x:v>
      </x:c>
      <x:c r="I215" s="30" t="str">
        <x:v>A11</x:v>
      </x:c>
      <x:c r="J215" s="31" t="str">
        <x:v>How do you forecast revenue of the company? What is the revenue? | What is the company's market position in the industry? (he calculated if 25bn market size in 5 years, now around 10bn, company 1bn revenue, so 10% share wow) | What the k...</x:v>
      </x:c>
    </x:row>
    <x:row r="216" ht="68" customHeight="1">
      <x:c r="A216" s="30" t="str">
        <x:v>QB2938</x:v>
      </x:c>
      <x:c r="B216" s="30" t="str">
        <x:v>HKEX</x:v>
      </x:c>
      <x:c r="C216" s="30" t="str">
        <x:v>PE / VC / Other</x:v>
      </x:c>
      <x:c r="D216" s="31" t="str">
        <x:v>What is the comparative advantage of HKEX?</x:v>
      </x:c>
      <x:c r="E216" s="31" t="str">
        <x:v>What is the comparative advantage of HKEX</x:v>
      </x:c>
      <x:c r="F216" s="31" t="str">
        <x:v>Accounting &amp; Financial Statements</x:v>
      </x:c>
      <x:c r="G216" s="30" t="str">
        <x:v>CL0975</x:v>
      </x:c>
      <x:c r="H216" s="32" t="n">
        <x:f>COUNTIF($G$5:$G$218,G216)</x:f>
        <x:v>1</x:v>
      </x:c>
      <x:c r="I216" s="30" t="str">
        <x:v>A6</x:v>
      </x:c>
      <x:c r="J216" s="31" t="str">
        <x:v>Why HKEX, what are the major income sources of HKEX? | Tell me your understanding of our department, what does group strategy do? | CV questions (mainly about your contribution, instead of modeling kind of stuff)</x:v>
      </x:c>
    </x:row>
    <x:row r="217" ht="48" customHeight="1">
      <x:c r="A217" s="30" t="str">
        <x:v>QB2943</x:v>
      </x:c>
      <x:c r="B217" s="30" t="str">
        <x:v>HKEX</x:v>
      </x:c>
      <x:c r="C217" s="30" t="str">
        <x:v>PE / VC / Other</x:v>
      </x:c>
      <x:c r="D217" s="31" t="str">
        <x:v>What is the recent development of HKEX?</x:v>
      </x:c>
      <x:c r="E217" s="31" t="str">
        <x:v>What is the recent development of HKEX</x:v>
      </x:c>
      <x:c r="F217" s="31" t="str">
        <x:v>Accounting &amp; Financial Statements</x:v>
      </x:c>
      <x:c r="G217" s="30" t="str">
        <x:v>CL0992</x:v>
      </x:c>
      <x:c r="H217" s="32" t="n">
        <x:f>COUNTIF($G$5:$G$218,G217)</x:f>
        <x:v>1</x:v>
      </x:c>
      <x:c r="I217" s="30" t="str">
        <x:v>A12</x:v>
      </x:c>
      <x:c r="J217" s="31" t="str">
        <x:v>2nd round (1 manager): | One of the heads of group strategy is English, so be prepared for English accent | How well do you know about HKEX and this department?</x:v>
      </x:c>
    </x:row>
    <x:row r="218" ht="118" customHeight="1">
      <x:c r="A218" s="30" t="str">
        <x:v>QB2947</x:v>
      </x:c>
      <x:c r="B218" s="30" t="str">
        <x:v>HKEX</x:v>
      </x:c>
      <x:c r="C218" s="30" t="str">
        <x:v>PE / VC / Other</x:v>
      </x:c>
      <x:c r="D218" s="31" t="str">
        <x:v>Notes: HKEX’s website is very informative, look up as much information as you can before the interview, show your familiarity with the company to the interviewers</x:v>
      </x:c>
      <x:c r="E218" s="31" t="str">
        <x:v>Notes: HKEX’s website is very informative, look up as much information as you can before the interview, show your familiarity with the company to the interviewers</x:v>
      </x:c>
      <x:c r="F218" s="31" t="str">
        <x:v>Accounting &amp; Financial Statements</x:v>
      </x:c>
      <x:c r="G218" s="30" t="str">
        <x:v>CL0621</x:v>
      </x:c>
      <x:c r="H218" s="32" t="n">
        <x:f>COUNTIF($G$5:$G$218,G218)</x:f>
        <x:v>1</x:v>
      </x:c>
      <x:c r="I218" s="30" t="str">
        <x:v>A17</x:v>
      </x:c>
      <x:c r="J218" s="31" t="str">
        <x:v>What would you recommend HKEX to do in the future (you may consider policies, fintech integration, Southeast Asian market etc.) | What are the differences between HKEX, SSE, SZSE, NASDAQ, NYSE in terms of their scope of business, pros an...</x:v>
      </x:c>
    </x:row>
  </x:sheetData>
  <x:mergeCells>
    <x:mergeCell ref="A1:J1"/>
    <x:mergeCell ref="A2:J2"/>
  </x:mergeCells>
  <x:conditionalFormatting sqref="H5:H218">
    <x:cfRule type="cellIs" dxfId="13" priority="1" operator="greaterThan">
      <x:formula>1</x:formula>
    </x:cfRule>
  </x:conditionalFormatting>
  <x:pageMargins left="0.7" right="0.7" top="0.75" bottom="0.75" header="0.3" footer="0.3"/>
  <x:tableParts count="1">
    <x:tablePart xmlns:r="http://schemas.openxmlformats.org/officeDocument/2006/relationships" r:id="Rc14b3ec0839e407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Valuation</x:v>
      </x:c>
      <x:c r="B1" s="3"/>
      <x:c r="C1" s="3"/>
      <x:c r="D1" s="3"/>
      <x:c r="E1" s="3"/>
      <x:c r="F1" s="3"/>
      <x:c r="G1" s="3"/>
      <x:c r="H1" s="3"/>
      <x:c r="I1" s="3"/>
      <x:c r="J1" s="3"/>
    </x:row>
    <x:row r="2" ht="30" customHeight="1">
      <x:c r="A2" s="7" t="str">
        <x:v>Preparation list for Valuation.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QB0020</x:v>
      </x:c>
      <x:c r="B5" s="30" t="str">
        <x:v>MS IBD</x:v>
      </x:c>
      <x:c r="C5" s="30" t="str">
        <x:v>IBD / GCM</x:v>
      </x:c>
      <x:c r="D5" s="31" t="str">
        <x:v>Walk me through DCF (general overview)</x:v>
      </x:c>
      <x:c r="E5" s="31" t="str">
        <x:v>Walk me through a DCF</x:v>
      </x:c>
      <x:c r="F5" s="31" t="str">
        <x:v>Valuation</x:v>
      </x:c>
      <x:c r="G5" s="30" t="str">
        <x:v>CL0013</x:v>
      </x:c>
      <x:c r="H5" s="32" t="n">
        <x:f>COUNTIF($G$5:$G$228,G5)</x:f>
        <x:v>10</x:v>
      </x:c>
      <x:c r="I5" s="30" t="str">
        <x:v>A8</x:v>
      </x:c>
      <x:c r="J5" s="31" t="str">
        <x:v>Why Morgan Stanley? | Tell me some deals MS has done | Technical questions</x:v>
      </x:c>
    </x:row>
    <x:row r="6" ht="48" customHeight="1">
      <x:c r="A6" s="30" t="str">
        <x:v>QB0021</x:v>
      </x:c>
      <x:c r="B6" s="30" t="str">
        <x:v>MS IBD</x:v>
      </x:c>
      <x:c r="C6" s="30" t="str">
        <x:v>IBD / GCM</x:v>
      </x:c>
      <x:c r="D6" s="31" t="str">
        <x:v>WACC</x:v>
      </x:c>
      <x:c r="E6" s="31" t="str">
        <x:v>WACC</x:v>
      </x:c>
      <x:c r="F6" s="31" t="str">
        <x:v>Valuation</x:v>
      </x:c>
      <x:c r="G6" s="30" t="str">
        <x:v>CL0819</x:v>
      </x:c>
      <x:c r="H6" s="32" t="n">
        <x:f>COUNTIF($G$5:$G$228,G6)</x:f>
        <x:v>1</x:v>
      </x:c>
      <x:c r="I6" s="30" t="str">
        <x:v>A9</x:v>
      </x:c>
      <x:c r="J6" s="31" t="str">
        <x:v>Tell me some deals MS has done | Technical questions | Walk me through DCF (general overview)</x:v>
      </x:c>
    </x:row>
    <x:row r="7" ht="32" customHeight="1">
      <x:c r="A7" s="30" t="str">
        <x:v>QB0022</x:v>
      </x:c>
      <x:c r="B7" s="30" t="str">
        <x:v>MS IBD</x:v>
      </x:c>
      <x:c r="C7" s="30" t="str">
        <x:v>IBD / GCM</x:v>
      </x:c>
      <x:c r="D7" s="31" t="str">
        <x:v>Cost of equity</x:v>
      </x:c>
      <x:c r="E7" s="31" t="str">
        <x:v>Cost of equity</x:v>
      </x:c>
      <x:c r="F7" s="31" t="str">
        <x:v>Valuation</x:v>
      </x:c>
      <x:c r="G7" s="30" t="str">
        <x:v>CL0207</x:v>
      </x:c>
      <x:c r="H7" s="32" t="n">
        <x:f>COUNTIF($G$5:$G$228,G7)</x:f>
        <x:v>1</x:v>
      </x:c>
      <x:c r="I7" s="30" t="str">
        <x:v>A10</x:v>
      </x:c>
      <x:c r="J7" s="31" t="str">
        <x:v>Technical questions | Walk me through DCF (general overview) | WACC</x:v>
      </x:c>
    </x:row>
    <x:row r="8" ht="32" customHeight="1">
      <x:c r="A8" s="30" t="str">
        <x:v>QB0023</x:v>
      </x:c>
      <x:c r="B8" s="30" t="str">
        <x:v>MS IBD</x:v>
      </x:c>
      <x:c r="C8" s="30" t="str">
        <x:v>IBD / GCM</x:v>
      </x:c>
      <x:c r="D8" s="31" t="str">
        <x:v>Beta</x:v>
      </x:c>
      <x:c r="E8" s="31" t="str">
        <x:v>Beta</x:v>
      </x:c>
      <x:c r="F8" s="31" t="str">
        <x:v>Valuation</x:v>
      </x:c>
      <x:c r="G8" s="30" t="str">
        <x:v>CL0161</x:v>
      </x:c>
      <x:c r="H8" s="32" t="n">
        <x:f>COUNTIF($G$5:$G$228,G8)</x:f>
        <x:v>1</x:v>
      </x:c>
      <x:c r="I8" s="30" t="str">
        <x:v>A11</x:v>
      </x:c>
      <x:c r="J8" s="31" t="str">
        <x:v>Walk me through DCF (general overview) | WACC | Cost of equity</x:v>
      </x:c>
    </x:row>
    <x:row r="9" ht="68" customHeight="1">
      <x:c r="A9" s="30" t="str">
        <x:v>QB0058</x:v>
      </x:c>
      <x:c r="B9" s="30" t="str">
        <x:v>MS IBD</x:v>
      </x:c>
      <x:c r="C9" s="30" t="str">
        <x:v>IBD / GCM</x:v>
      </x:c>
      <x:c r="D9" s="31" t="str">
        <x:v>Walk me through the DCF and key assumptions</x:v>
      </x:c>
      <x:c r="E9" s="31" t="str">
        <x:v>Walk me through the DCF and key assumptions</x:v>
      </x:c>
      <x:c r="F9" s="31" t="str">
        <x:v>Valuation</x:v>
      </x:c>
      <x:c r="G9" s="30" t="str">
        <x:v>CL0836</x:v>
      </x:c>
      <x:c r="H9" s="32" t="n">
        <x:f>COUNTIF($G$5:$G$228,G9)</x:f>
        <x:v>1</x:v>
      </x:c>
      <x:c r="I9" s="30" t="str">
        <x:v>G24</x:v>
      </x:c>
      <x:c r="J9" s="31" t="str">
        <x:v>Self Intro | Did you have return? What's the return rate? (but she was nice about it) | Tell me about one project you worked on in UBS, your responsibilities and its valuation</x:v>
      </x:c>
    </x:row>
    <x:row r="10" ht="48" customHeight="1">
      <x:c r="A10" s="30" t="str">
        <x:v>QB0062</x:v>
      </x:c>
      <x:c r="B10" s="30" t="str">
        <x:v>MS IBD</x:v>
      </x:c>
      <x:c r="C10" s="30" t="str">
        <x:v>IBD / GCM</x:v>
      </x:c>
      <x:c r="D10" s="31" t="str">
        <x:v>Did you do DCF before</x:v>
      </x:c>
      <x:c r="E10" s="31" t="str">
        <x:v>Did you do DCF before</x:v>
      </x:c>
      <x:c r="F10" s="31" t="str">
        <x:v>Valuation</x:v>
      </x:c>
      <x:c r="G10" s="30" t="str">
        <x:v>CL0241</x:v>
      </x:c>
      <x:c r="H10" s="32" t="n">
        <x:f>COUNTIF($G$5:$G$228,G10)</x:f>
        <x:v>1</x:v>
      </x:c>
      <x:c r="I10" s="30" t="str">
        <x:v>E25</x:v>
      </x:c>
      <x:c r="J10" s="31" t="str">
        <x:v>Why sell-side but not buy-side | Why investment banking but not consulting | Did you do any financial modelling before</x:v>
      </x:c>
    </x:row>
    <x:row r="11" ht="48" customHeight="1">
      <x:c r="A11" s="30" t="str">
        <x:v>QB0067</x:v>
      </x:c>
      <x:c r="B11" s="30" t="str">
        <x:v>MS IBD</x:v>
      </x:c>
      <x:c r="C11" s="30" t="str">
        <x:v>IBD / GCM</x:v>
      </x:c>
      <x:c r="D11" s="31" t="str">
        <x:v>walk me through dcf</x:v>
      </x:c>
      <x:c r="E11" s="31" t="str">
        <x:v>Walk me through dcf</x:v>
      </x:c>
      <x:c r="F11" s="31" t="str">
        <x:v>Valuation</x:v>
      </x:c>
      <x:c r="G11" s="30" t="str">
        <x:v>CL0013</x:v>
      </x:c>
      <x:c r="H11" s="32" t="n">
        <x:f>COUNTIF($G$5:$G$228,G11)</x:f>
        <x:v>10</x:v>
      </x:c>
      <x:c r="I11" s="30" t="str">
        <x:v>C26</x:v>
      </x:c>
      <x:c r="J11" s="31" t="str">
        <x:v>AI semiconductor industry - overview, trends, opportunities, risks, competitor analysis, competitive edge | 3 financial statements | things in balance sheet</x:v>
      </x:c>
    </x:row>
    <x:row r="12" ht="48" customHeight="1">
      <x:c r="A12" s="30" t="str">
        <x:v>QB0068</x:v>
      </x:c>
      <x:c r="B12" s="30" t="str">
        <x:v>MS IBD</x:v>
      </x:c>
      <x:c r="C12" s="30" t="str">
        <x:v>IBD / GCM</x:v>
      </x:c>
      <x:c r="D12" s="31" t="str">
        <x:v>Walk me through a DCF, suppose you’re doing for a Chinese EV manufacturer, what would you look at?</x:v>
      </x:c>
      <x:c r="E12" s="31" t="str">
        <x:v>Walk me through a DCF, suppose you’re doing for a Chinese EV manufacturer, what would you look at</x:v>
      </x:c>
      <x:c r="F12" s="31" t="str">
        <x:v>Valuation</x:v>
      </x:c>
      <x:c r="G12" s="30" t="str">
        <x:v>CL0827</x:v>
      </x:c>
      <x:c r="H12" s="32" t="n">
        <x:f>COUNTIF($G$5:$G$228,G12)</x:f>
        <x:v>1</x:v>
      </x:c>
      <x:c r="I12" s="30" t="str">
        <x:v>E26</x:v>
      </x:c>
      <x:c r="J12" s="31" t="str">
        <x:v>Why investment banking but not consulting | Did you do any financial modelling before | Did you do DCF before</x:v>
      </x:c>
    </x:row>
    <x:row r="13" ht="68" customHeight="1">
      <x:c r="A13" s="30" t="str">
        <x:v>QB0070</x:v>
      </x:c>
      <x:c r="B13" s="30" t="str">
        <x:v>MS IBD</x:v>
      </x:c>
      <x:c r="C13" s="30" t="str">
        <x:v>IBD / GCM</x:v>
      </x:c>
      <x:c r="D13" s="31" t="str">
        <x:v>You also worked on trading comps in ur 2nd deal, how do you choose the peers ?</x:v>
      </x:c>
      <x:c r="E13" s="31" t="str">
        <x:v>You also worked on trading comps in ur 2nd deal, how do you choose the peers</x:v>
      </x:c>
      <x:c r="F13" s="31" t="str">
        <x:v>Valuation</x:v>
      </x:c>
      <x:c r="G13" s="30" t="str">
        <x:v>CL1199</x:v>
      </x:c>
      <x:c r="H13" s="32" t="n">
        <x:f>COUNTIF($G$5:$G$228,G13)</x:f>
        <x:v>1</x:v>
      </x:c>
      <x:c r="I13" s="30" t="str">
        <x:v>G26</x:v>
      </x:c>
      <x:c r="J13" s="31" t="str">
        <x:v>Tell me about one project you worked on in UBS, your responsibilities and its valuation | Walk me through the DCF and key assumptions | What is the equation for UFCF</x:v>
      </x:c>
    </x:row>
    <x:row r="14" ht="32" customHeight="1">
      <x:c r="A14" s="30" t="str">
        <x:v>QB0073</x:v>
      </x:c>
      <x:c r="B14" s="30" t="str">
        <x:v>MS IBD</x:v>
      </x:c>
      <x:c r="C14" s="30" t="str">
        <x:v>IBD / GCM</x:v>
      </x:c>
      <x:c r="D14" s="31" t="str">
        <x:v>how to calc WACC</x:v>
      </x:c>
      <x:c r="E14" s="31" t="str">
        <x:v>How do you calculate WACC?</x:v>
      </x:c>
      <x:c r="F14" s="31" t="str">
        <x:v>Valuation</x:v>
      </x:c>
      <x:c r="G14" s="30" t="str">
        <x:v>CL0011</x:v>
      </x:c>
      <x:c r="H14" s="32" t="n">
        <x:f>COUNTIF($G$5:$G$228,G14)</x:f>
        <x:v>11</x:v>
      </x:c>
      <x:c r="I14" s="30" t="str">
        <x:v>C27</x:v>
      </x:c>
      <x:c r="J14" s="31" t="str">
        <x:v>3 financial statements | things in balance sheet | walk me through dcf</x:v>
      </x:c>
    </x:row>
    <x:row r="15" ht="68" customHeight="1">
      <x:c r="A15" s="30" t="str">
        <x:v>QB0074</x:v>
      </x:c>
      <x:c r="B15" s="30" t="str">
        <x:v>MS IBD</x:v>
      </x:c>
      <x:c r="C15" s="30" t="str">
        <x:v>IBD / GCM</x:v>
      </x:c>
      <x:c r="D15" s="31" t="str">
        <x:v>How do you find its equity value (from enterprise value)?</x:v>
      </x:c>
      <x:c r="E15" s="31" t="str">
        <x:v>Bridge equity value to enterprise value</x:v>
      </x:c>
      <x:c r="F15" s="31" t="str">
        <x:v>Valuation</x:v>
      </x:c>
      <x:c r="G15" s="30" t="str">
        <x:v>CL0015</x:v>
      </x:c>
      <x:c r="H15" s="32" t="n">
        <x:f>COUNTIF($G$5:$G$228,G15)</x:f>
        <x:v>7</x:v>
      </x:c>
      <x:c r="I15" s="30" t="str">
        <x:v>E27</x:v>
      </x:c>
      <x:c r="J15" s="31" t="str">
        <x:v>Did you do any financial modelling before | Did you do DCF before | Walk me through a DCF, suppose you’re doing for a Chinese EV manufacturer, what would you look at?</x:v>
      </x:c>
    </x:row>
    <x:row r="16" ht="48" customHeight="1">
      <x:c r="A16" s="30" t="str">
        <x:v>QB0077</x:v>
      </x:c>
      <x:c r="B16" s="30" t="str">
        <x:v>MS IBD</x:v>
      </x:c>
      <x:c r="C16" s="30" t="str">
        <x:v>IBD / GCM</x:v>
      </x:c>
      <x:c r="D16" s="31" t="str">
        <x:v>Tell me about a project which involves valuation</x:v>
      </x:c>
      <x:c r="E16" s="31" t="str">
        <x:v>Tell me about a project which involves valuation</x:v>
      </x:c>
      <x:c r="F16" s="31" t="str">
        <x:v>Valuation</x:v>
      </x:c>
      <x:c r="G16" s="30" t="str">
        <x:v>CL0724</x:v>
      </x:c>
      <x:c r="H16" s="32" t="n">
        <x:f>COUNTIF($G$5:$G$228,G16)</x:f>
        <x:v>1</x:v>
      </x:c>
      <x:c r="I16" s="30" t="str">
        <x:v>H27</x:v>
      </x:c>
      <x:c r="J16" s="31" t="str">
        <x:v>Tell me about one project you worked on in Nomura | Did you do credit anlysis? | What are some common credit ratios?</x:v>
      </x:c>
    </x:row>
    <x:row r="17" ht="68" customHeight="1">
      <x:c r="A17" s="30" t="str">
        <x:v>QB0078</x:v>
      </x:c>
      <x:c r="B17" s="30" t="str">
        <x:v>MS IBD</x:v>
      </x:c>
      <x:c r="C17" s="30" t="str">
        <x:v>IBD / GCM</x:v>
      </x:c>
      <x:c r="D17" s="31" t="str">
        <x:v>How will an increase in leverage affect wacc</x:v>
      </x:c>
      <x:c r="E17" s="31" t="str">
        <x:v>How do you calculate WACC?</x:v>
      </x:c>
      <x:c r="F17" s="31" t="str">
        <x:v>Valuation</x:v>
      </x:c>
      <x:c r="G17" s="30" t="str">
        <x:v>CL0011</x:v>
      </x:c>
      <x:c r="H17" s="32" t="n">
        <x:f>COUNTIF($G$5:$G$228,G17)</x:f>
        <x:v>11</x:v>
      </x:c>
      <x:c r="I17" s="30" t="str">
        <x:v>A28</x:v>
      </x:c>
      <x:c r="J17" s="31" t="str">
        <x:v>How do equity fund/buyout fund make money | What are differences between different exit methods (IPO, strategic purchase...) | How would u analyze a company if you are working for a PE firm</x:v>
      </x:c>
    </x:row>
    <x:row r="18" ht="48" customHeight="1">
      <x:c r="A18" s="30" t="str">
        <x:v>QB0083</x:v>
      </x:c>
      <x:c r="B18" s="30" t="str">
        <x:v>MS IBD</x:v>
      </x:c>
      <x:c r="C18" s="30" t="str">
        <x:v>IBD / GCM</x:v>
      </x:c>
      <x:c r="D18" s="31" t="str">
        <x:v>Walk me through DCF</x:v>
      </x:c>
      <x:c r="E18" s="31" t="str">
        <x:v>Walk me through DCF</x:v>
      </x:c>
      <x:c r="F18" s="31" t="str">
        <x:v>Valuation</x:v>
      </x:c>
      <x:c r="G18" s="30" t="str">
        <x:v>CL0013</x:v>
      </x:c>
      <x:c r="H18" s="32" t="n">
        <x:f>COUNTIF($G$5:$G$228,G18)</x:f>
        <x:v>10</x:v>
      </x:c>
      <x:c r="I18" s="30" t="str">
        <x:v>H28</x:v>
      </x:c>
      <x:c r="J18" s="31" t="str">
        <x:v>Did you do credit anlysis? | What are some common credit ratios? | Tell me about a project which involves valuation</x:v>
      </x:c>
    </x:row>
    <x:row r="19" ht="68" customHeight="1">
      <x:c r="A19" s="30" t="str">
        <x:v>QB0086</x:v>
      </x:c>
      <x:c r="B19" s="30" t="str">
        <x:v>MS IBD</x:v>
      </x:c>
      <x:c r="C19" s="30" t="str">
        <x:v>IBD / GCM</x:v>
      </x:c>
      <x:c r="D19" s="31" t="str">
        <x:v>For the same company, how would you do trading comps and precedent transactions and what are some companies you would look at for trading comps?</x:v>
      </x:c>
      <x:c r="E19" s="31" t="str">
        <x:v>For the same company, how would you do trading comps and precedent transactions and what are some companies you would look at for trading comps</x:v>
      </x:c>
      <x:c r="F19" s="31" t="str">
        <x:v>Valuation</x:v>
      </x:c>
      <x:c r="G19" s="30" t="str">
        <x:v>CL0334</x:v>
      </x:c>
      <x:c r="H19" s="32" t="n">
        <x:f>COUNTIF($G$5:$G$228,G19)</x:f>
        <x:v>1</x:v>
      </x:c>
      <x:c r="I19" s="30" t="str">
        <x:v>E29</x:v>
      </x:c>
      <x:c r="J19" s="31" t="str">
        <x:v>Walk me through a DCF, suppose you’re doing for a Chinese EV manufacturer, what would you look at? | How do you find its equity value (from enterprise value)? | Why is minority interest included?</x:v>
      </x:c>
    </x:row>
    <x:row r="20" ht="48" customHeight="1">
      <x:c r="A20" s="30" t="str">
        <x:v>QB0087</x:v>
      </x:c>
      <x:c r="B20" s="30" t="str">
        <x:v>MS IBD</x:v>
      </x:c>
      <x:c r="C20" s="30" t="str">
        <x:v>IBD / GCM</x:v>
      </x:c>
      <x:c r="D20" s="31" t="str">
        <x:v>How does increase in leverage affects wacc</x:v>
      </x:c>
      <x:c r="E20" s="31" t="str">
        <x:v>How do you calculate WACC?</x:v>
      </x:c>
      <x:c r="F20" s="31" t="str">
        <x:v>Valuation</x:v>
      </x:c>
      <x:c r="G20" s="30" t="str">
        <x:v>CL0011</x:v>
      </x:c>
      <x:c r="H20" s="32" t="n">
        <x:f>COUNTIF($G$5:$G$228,G20)</x:f>
        <x:v>11</x:v>
      </x:c>
      <x:c r="I20" s="30" t="str">
        <x:v>F29</x:v>
      </x:c>
      <x:c r="J20" s="31" t="str">
        <x:v>use debt to buy $100 machine, how 3 statements change? | One year later: depreciate $10, interest 10%, tax rate 40% | how 3 statements change?</x:v>
      </x:c>
    </x:row>
    <x:row r="21" ht="68" customHeight="1">
      <x:c r="A21" s="30" t="str">
        <x:v>QB0090</x:v>
      </x:c>
      <x:c r="B21" s="30" t="str">
        <x:v>MS IBD</x:v>
      </x:c>
      <x:c r="C21" s="30" t="str">
        <x:v>IBD / GCM</x:v>
      </x:c>
      <x:c r="D21" s="31" t="str">
        <x:v>How will an increase in debt affect enterprise value and equity value</x:v>
      </x:c>
      <x:c r="E21" s="31" t="str">
        <x:v>Bridge equity value to enterprise value</x:v>
      </x:c>
      <x:c r="F21" s="31" t="str">
        <x:v>Valuation</x:v>
      </x:c>
      <x:c r="G21" s="30" t="str">
        <x:v>CL0015</x:v>
      </x:c>
      <x:c r="H21" s="32" t="n">
        <x:f>COUNTIF($G$5:$G$228,G21)</x:f>
        <x:v>7</x:v>
      </x:c>
      <x:c r="I21" s="30" t="str">
        <x:v>A30</x:v>
      </x:c>
      <x:c r="J21" s="31" t="str">
        <x:v>How would u analyze a company if you are working for a PE firm | How will an increase in leverage affect wacc | If a company has negative and unstable cash flow, how will you value it</x:v>
      </x:c>
    </x:row>
    <x:row r="22" ht="32" customHeight="1">
      <x:c r="A22" s="30" t="str">
        <x:v>QB0091</x:v>
      </x:c>
      <x:c r="B22" s="30" t="str">
        <x:v>MS IBD</x:v>
      </x:c>
      <x:c r="C22" s="30" t="str">
        <x:v>IBD / GCM</x:v>
      </x:c>
      <x:c r="D22" s="31" t="str">
        <x:v>how you get the risk free rate</x:v>
      </x:c>
      <x:c r="E22" s="31" t="str">
        <x:v>How you get the risk free rate</x:v>
      </x:c>
      <x:c r="F22" s="31" t="str">
        <x:v>Valuation</x:v>
      </x:c>
      <x:c r="G22" s="30" t="str">
        <x:v>CL0502</x:v>
      </x:c>
      <x:c r="H22" s="32" t="n">
        <x:f>COUNTIF($G$5:$G$228,G22)</x:f>
        <x:v>1</x:v>
      </x:c>
      <x:c r="I22" s="30" t="str">
        <x:v>C30</x:v>
      </x:c>
      <x:c r="J22" s="31" t="str">
        <x:v>how to calc WACC | ⁠⁠what is cost of debt | what is cost of equity</x:v>
      </x:c>
    </x:row>
    <x:row r="23" ht="68" customHeight="1">
      <x:c r="A23" s="30" t="str">
        <x:v>QB0092</x:v>
      </x:c>
      <x:c r="B23" s="30" t="str">
        <x:v>MS IBD</x:v>
      </x:c>
      <x:c r="C23" s="30" t="str">
        <x:v>IBD / GCM</x:v>
      </x:c>
      <x:c r="D23" s="31" t="str">
        <x:v>For trading comps, which multiples are considered primary/secondary</x:v>
      </x:c>
      <x:c r="E23" s="31" t="str">
        <x:v>For trading comps, which multiples are considered primary/secondary</x:v>
      </x:c>
      <x:c r="F23" s="31" t="str">
        <x:v>Valuation</x:v>
      </x:c>
      <x:c r="G23" s="30" t="str">
        <x:v>CL0338</x:v>
      </x:c>
      <x:c r="H23" s="32" t="n">
        <x:f>COUNTIF($G$5:$G$228,G23)</x:f>
        <x:v>1</x:v>
      </x:c>
      <x:c r="I23" s="30" t="str">
        <x:v>E30</x:v>
      </x:c>
      <x:c r="J23" s="31" t="str">
        <x:v>How do you find its equity value (from enterprise value)? | Why is minority interest included? | For the same company, how would you do trading comps and precedent transactions and what are some companies you would look at for trading co...</x:v>
      </x:c>
    </x:row>
    <x:row r="24" ht="68" customHeight="1">
      <x:c r="A24" s="30" t="str">
        <x:v>QB0096</x:v>
      </x:c>
      <x:c r="B24" s="30" t="str">
        <x:v>MS IBD</x:v>
      </x:c>
      <x:c r="C24" s="30" t="str">
        <x:v>IBD / GCM</x:v>
      </x:c>
      <x:c r="D24" s="31" t="str">
        <x:v>get enterprise value from equity value</x:v>
      </x:c>
      <x:c r="E24" s="31" t="str">
        <x:v>Bridge equity value to enterprise value</x:v>
      </x:c>
      <x:c r="F24" s="31" t="str">
        <x:v>Valuation</x:v>
      </x:c>
      <x:c r="G24" s="30" t="str">
        <x:v>CL0015</x:v>
      </x:c>
      <x:c r="H24" s="32" t="n">
        <x:f>COUNTIF($G$5:$G$228,G24)</x:f>
        <x:v>7</x:v>
      </x:c>
      <x:c r="I24" s="30" t="str">
        <x:v>A31</x:v>
      </x:c>
      <x:c r="J24" s="31" t="str">
        <x:v>How will an increase in leverage affect wacc | If a company has negative and unstable cash flow, how will you value it | How will an increase in debt affect enterprise value and equity value</x:v>
      </x:c>
    </x:row>
    <x:row r="25" ht="48" customHeight="1">
      <x:c r="A25" s="30" t="str">
        <x:v>QB0103</x:v>
      </x:c>
      <x:c r="B25" s="30" t="str">
        <x:v>MS IBD</x:v>
      </x:c>
      <x:c r="C25" s="30" t="str">
        <x:v>IBD / GCM</x:v>
      </x:c>
      <x:c r="D25" s="31" t="str">
        <x:v>how to get market risk premium</x:v>
      </x:c>
      <x:c r="E25" s="31" t="str">
        <x:v>How to get market risk premium</x:v>
      </x:c>
      <x:c r="F25" s="31" t="str">
        <x:v>Valuation</x:v>
      </x:c>
      <x:c r="G25" s="30" t="str">
        <x:v>CL0477</x:v>
      </x:c>
      <x:c r="H25" s="32" t="n">
        <x:f>COUNTIF($G$5:$G$228,G25)</x:f>
        <x:v>1</x:v>
      </x:c>
      <x:c r="I25" s="30" t="str">
        <x:v>C32</x:v>
      </x:c>
      <x:c r="J25" s="31" t="str">
        <x:v>what is cost of equity | how you get the risk free rate | ⁠⁠so whats the US treasury yield now?</x:v>
      </x:c>
    </x:row>
    <x:row r="26" ht="48" customHeight="1">
      <x:c r="A26" s="30" t="str">
        <x:v>QB0115</x:v>
      </x:c>
      <x:c r="B26" s="30" t="str">
        <x:v>MS IBD</x:v>
      </x:c>
      <x:c r="C26" s="30" t="str">
        <x:v>IBD / GCM</x:v>
      </x:c>
      <x:c r="D26" s="31" t="str">
        <x:v>how to get the perpetual growth rate in gordon growth method</x:v>
      </x:c>
      <x:c r="E26" s="31" t="str">
        <x:v>How to get the perpetual growth rate in gordon growth method</x:v>
      </x:c>
      <x:c r="F26" s="31" t="str">
        <x:v>Valuation</x:v>
      </x:c>
      <x:c r="G26" s="30" t="str">
        <x:v>CL0478</x:v>
      </x:c>
      <x:c r="H26" s="32" t="n">
        <x:f>COUNTIF($G$5:$G$228,G26)</x:f>
        <x:v>1</x:v>
      </x:c>
      <x:c r="I26" s="30" t="str">
        <x:v>C35</x:v>
      </x:c>
      <x:c r="J26" s="31" t="str">
        <x:v>how to get market risk premium | ⁠⁠what is the normal market risk premium | two ways to calc terminal value</x:v>
      </x:c>
    </x:row>
    <x:row r="27" ht="48" customHeight="1">
      <x:c r="A27" s="30" t="str">
        <x:v>QB0132</x:v>
      </x:c>
      <x:c r="B27" s="30" t="str">
        <x:v>MS IBD</x:v>
      </x:c>
      <x:c r="C27" s="30" t="str">
        <x:v>IBD / GCM</x:v>
      </x:c>
      <x:c r="D27" s="31" t="str">
        <x:v>WACC formula</x:v>
      </x:c>
      <x:c r="E27" s="31" t="str">
        <x:v>WACC formula</x:v>
      </x:c>
      <x:c r="F27" s="31" t="str">
        <x:v>Valuation</x:v>
      </x:c>
      <x:c r="G27" s="30" t="str">
        <x:v>CL0820</x:v>
      </x:c>
      <x:c r="H27" s="32" t="n">
        <x:f>COUNTIF($G$5:$G$228,G27)</x:f>
        <x:v>1</x:v>
      </x:c>
      <x:c r="I27" s="30" t="str">
        <x:v>A47</x:v>
      </x:c>
      <x:c r="J27" s="31" t="str">
        <x:v>Yourself | Why MS/Why IBD not consulting/PE | Buy $100 machine by debt - 3 FSs changes today + changes 1 yr after</x:v>
      </x:c>
    </x:row>
    <x:row r="28" ht="48" customHeight="1">
      <x:c r="A28" s="30" t="str">
        <x:v>QB0133</x:v>
      </x:c>
      <x:c r="B28" s="30" t="str">
        <x:v>MS IBD</x:v>
      </x:c>
      <x:c r="C28" s="30" t="str">
        <x:v>IBD / GCM</x:v>
      </x:c>
      <x:c r="D28" s="31" t="str">
        <x:v>Cost of equity formula</x:v>
      </x:c>
      <x:c r="E28" s="31" t="str">
        <x:v>Cost of equity formula</x:v>
      </x:c>
      <x:c r="F28" s="31" t="str">
        <x:v>Valuation</x:v>
      </x:c>
      <x:c r="G28" s="30" t="str">
        <x:v>CL0208</x:v>
      </x:c>
      <x:c r="H28" s="32" t="n">
        <x:f>COUNTIF($G$5:$G$228,G28)</x:f>
        <x:v>1</x:v>
      </x:c>
      <x:c r="I28" s="30" t="str">
        <x:v>A48</x:v>
      </x:c>
      <x:c r="J28" s="31" t="str">
        <x:v>Why MS/Why IBD not consulting/PE | Buy $100 machine by debt - 3 FSs changes today + changes 1 yr after | WACC formula</x:v>
      </x:c>
    </x:row>
    <x:row r="29" ht="32" customHeight="1">
      <x:c r="A29" s="30" t="str">
        <x:v>QB0135</x:v>
      </x:c>
      <x:c r="B29" s="30" t="str">
        <x:v>MS IBD</x:v>
      </x:c>
      <x:c r="C29" s="30" t="str">
        <x:v>IBD / GCM</x:v>
      </x:c>
      <x:c r="D29" s="31" t="str">
        <x:v>If add leverage, how does WACC change</x:v>
      </x:c>
      <x:c r="E29" s="31" t="str">
        <x:v>How do you calculate WACC?</x:v>
      </x:c>
      <x:c r="F29" s="31" t="str">
        <x:v>Valuation</x:v>
      </x:c>
      <x:c r="G29" s="30" t="str">
        <x:v>CL0011</x:v>
      </x:c>
      <x:c r="H29" s="32" t="n">
        <x:f>COUNTIF($G$5:$G$228,G29)</x:f>
        <x:v>11</x:v>
      </x:c>
      <x:c r="I29" s="30" t="str">
        <x:v>A50</x:v>
      </x:c>
      <x:c r="J29" s="31" t="str">
        <x:v>WACC formula | Cost of equity formula | What is β, predict Walmart's β</x:v>
      </x:c>
    </x:row>
    <x:row r="30" ht="48" customHeight="1">
      <x:c r="A30" s="30" t="str">
        <x:v>QB0136</x:v>
      </x:c>
      <x:c r="B30" s="30" t="str">
        <x:v>MS IBD</x:v>
      </x:c>
      <x:c r="C30" s="30" t="str">
        <x:v>IBD / GCM</x:v>
      </x:c>
      <x:c r="D30" s="31" t="str">
        <x:v>Get FCFF from revenue</x:v>
      </x:c>
      <x:c r="E30" s="31" t="str">
        <x:v>Get FCFF from revenue</x:v>
      </x:c>
      <x:c r="F30" s="31" t="str">
        <x:v>Valuation</x:v>
      </x:c>
      <x:c r="G30" s="30" t="str">
        <x:v>CL0343</x:v>
      </x:c>
      <x:c r="H30" s="32" t="n">
        <x:f>COUNTIF($G$5:$G$228,G30)</x:f>
        <x:v>1</x:v>
      </x:c>
      <x:c r="I30" s="30" t="str">
        <x:v>A51</x:v>
      </x:c>
      <x:c r="J30" s="31" t="str">
        <x:v>Cost of equity formula | What is β, predict Walmart's β | If add leverage, how does WACC change</x:v>
      </x:c>
    </x:row>
    <x:row r="31" ht="48" customHeight="1">
      <x:c r="A31" s="30" t="str">
        <x:v>QB0137</x:v>
      </x:c>
      <x:c r="B31" s="30" t="str">
        <x:v>MS IBD</x:v>
      </x:c>
      <x:c r="C31" s="30" t="str">
        <x:v>IBD / GCM</x:v>
      </x:c>
      <x:c r="D31" s="31" t="str">
        <x:v>Get FCFE from FCFF</x:v>
      </x:c>
      <x:c r="E31" s="31" t="str">
        <x:v>Get FCFE from FCFF</x:v>
      </x:c>
      <x:c r="F31" s="31" t="str">
        <x:v>Valuation</x:v>
      </x:c>
      <x:c r="G31" s="30" t="str">
        <x:v>CL0342</x:v>
      </x:c>
      <x:c r="H31" s="32" t="n">
        <x:f>COUNTIF($G$5:$G$228,G31)</x:f>
        <x:v>1</x:v>
      </x:c>
      <x:c r="I31" s="30" t="str">
        <x:v>A52</x:v>
      </x:c>
      <x:c r="J31" s="31" t="str">
        <x:v>What is β, predict Walmart's β | If add leverage, how does WACC change | Get FCFF from revenue</x:v>
      </x:c>
    </x:row>
    <x:row r="32" ht="48" customHeight="1">
      <x:c r="A32" s="30" t="str">
        <x:v>QB0188</x:v>
      </x:c>
      <x:c r="B32" s="30" t="str">
        <x:v>MS IBD</x:v>
      </x:c>
      <x:c r="C32" s="30" t="str">
        <x:v>IBD / GCM</x:v>
      </x:c>
      <x:c r="D32" s="31" t="str">
        <x:v>Valuation methodologies</x:v>
      </x:c>
      <x:c r="E32" s="31" t="str">
        <x:v>What are the main valuation methodologies?</x:v>
      </x:c>
      <x:c r="F32" s="31" t="str">
        <x:v>Valuation</x:v>
      </x:c>
      <x:c r="G32" s="30" t="str">
        <x:v>CL0010</x:v>
      </x:c>
      <x:c r="H32" s="32" t="n">
        <x:f>COUNTIF($G$5:$G$228,G32)</x:f>
        <x:v>13</x:v>
      </x:c>
      <x:c r="I32" s="30" t="str">
        <x:v>C80</x:v>
      </x:c>
      <x:c r="J32" s="31" t="str">
        <x:v>One project did at Nomura | More specific details on the bond - tenor, coupon, structure, size, etc | How good is your technicals</x:v>
      </x:c>
    </x:row>
    <x:row r="33" ht="48" customHeight="1">
      <x:c r="A33" s="30" t="str">
        <x:v>QB0190</x:v>
      </x:c>
      <x:c r="B33" s="30" t="str">
        <x:v>MS IBD</x:v>
      </x:c>
      <x:c r="C33" s="30" t="str">
        <x:v>IBD / GCM</x:v>
      </x:c>
      <x:c r="D33" s="31" t="str">
        <x:v>Which method gives you highest valuation and why?</x:v>
      </x:c>
      <x:c r="E33" s="31" t="str">
        <x:v>Which method gives you highest valuation and why</x:v>
      </x:c>
      <x:c r="F33" s="31" t="str">
        <x:v>Valuation</x:v>
      </x:c>
      <x:c r="G33" s="30" t="str">
        <x:v>CL1097</x:v>
      </x:c>
      <x:c r="H33" s="32" t="n">
        <x:f>COUNTIF($G$5:$G$228,G33)</x:f>
        <x:v>1</x:v>
      </x:c>
      <x:c r="I33" s="30" t="str">
        <x:v>C81</x:v>
      </x:c>
      <x:c r="J33" s="31" t="str">
        <x:v>More specific details on the bond - tenor, coupon, structure, size, etc | How good is your technicals | Valuation methodologies</x:v>
      </x:c>
    </x:row>
    <x:row r="34" ht="48" customHeight="1">
      <x:c r="A34" s="30" t="str">
        <x:v>QB0194</x:v>
      </x:c>
      <x:c r="B34" s="30" t="str">
        <x:v>MS IBD</x:v>
      </x:c>
      <x:c r="C34" s="30" t="str">
        <x:v>IBD / GCM</x:v>
      </x:c>
      <x:c r="D34" s="31" t="str">
        <x:v>What do you use for risk-free rate</x:v>
      </x:c>
      <x:c r="E34" s="31" t="str">
        <x:v>What do you use for risk-free rate</x:v>
      </x:c>
      <x:c r="F34" s="31" t="str">
        <x:v>Valuation</x:v>
      </x:c>
      <x:c r="G34" s="30" t="str">
        <x:v>CL0935</x:v>
      </x:c>
      <x:c r="H34" s="32" t="n">
        <x:f>COUNTIF($G$5:$G$228,G34)</x:f>
        <x:v>1</x:v>
      </x:c>
      <x:c r="I34" s="30" t="str">
        <x:v>C83</x:v>
      </x:c>
      <x:c r="J34" s="31" t="str">
        <x:v>Valuation methodologies | Which method gives you highest valuation and why? | What is discount rate</x:v>
      </x:c>
    </x:row>
    <x:row r="35" ht="48" customHeight="1">
      <x:c r="A35" s="30" t="str">
        <x:v>QB0197</x:v>
      </x:c>
      <x:c r="B35" s="30" t="str">
        <x:v>MS IBD</x:v>
      </x:c>
      <x:c r="C35" s="30" t="str">
        <x:v>IBD / GCM</x:v>
      </x:c>
      <x:c r="D35" s="31" t="str">
        <x:v>Cost of equity or cost of debt higher, why?</x:v>
      </x:c>
      <x:c r="E35" s="31" t="str">
        <x:v>How should a company choose between debt and equity financing?</x:v>
      </x:c>
      <x:c r="F35" s="31" t="str">
        <x:v>Valuation</x:v>
      </x:c>
      <x:c r="G35" s="30" t="str">
        <x:v>CL0005</x:v>
      </x:c>
      <x:c r="H35" s="32" t="n">
        <x:f>COUNTIF($G$5:$G$228,G35)</x:f>
        <x:v>4</x:v>
      </x:c>
      <x:c r="I35" s="30" t="str">
        <x:v>C85</x:v>
      </x:c>
      <x:c r="J35" s="31" t="str">
        <x:v>What is discount rate | What do you use for risk-free rate | Will you use 5y or other terms rate</x:v>
      </x:c>
    </x:row>
    <x:row r="36" ht="48" customHeight="1">
      <x:c r="A36" s="30" t="str">
        <x:v>QB0198</x:v>
      </x:c>
      <x:c r="B36" s="30" t="str">
        <x:v>MS IBD</x:v>
      </x:c>
      <x:c r="C36" s="30" t="str">
        <x:v>IBD / GCM</x:v>
      </x:c>
      <x:c r="D36" s="31" t="str">
        <x:v>When will cost of debt be higher</x:v>
      </x:c>
      <x:c r="E36" s="31" t="str">
        <x:v>When will cost of debt be higher</x:v>
      </x:c>
      <x:c r="F36" s="31" t="str">
        <x:v>Valuation</x:v>
      </x:c>
      <x:c r="G36" s="30" t="str">
        <x:v>CL1082</x:v>
      </x:c>
      <x:c r="H36" s="32" t="n">
        <x:f>COUNTIF($G$5:$G$228,G36)</x:f>
        <x:v>1</x:v>
      </x:c>
      <x:c r="I36" s="30" t="str">
        <x:v>C86</x:v>
      </x:c>
      <x:c r="J36" s="31" t="str">
        <x:v>What do you use for risk-free rate | Will you use 5y or other terms rate | Cost of equity or cost of debt higher, why?</x:v>
      </x:c>
    </x:row>
    <x:row r="37" ht="48" customHeight="1">
      <x:c r="A37" s="30" t="str">
        <x:v>QB0206</x:v>
      </x:c>
      <x:c r="B37" s="30" t="str">
        <x:v>MS IBD</x:v>
      </x:c>
      <x:c r="C37" s="30" t="str">
        <x:v>IBD / GCM</x:v>
      </x:c>
      <x:c r="D37" s="31" t="str">
        <x:v>Walk me through a DCF, and how to get the FCF and everything</x:v>
      </x:c>
      <x:c r="E37" s="31" t="str">
        <x:v>Walk me through a DCF, and how to get the FCF and everything</x:v>
      </x:c>
      <x:c r="F37" s="31" t="str">
        <x:v>Valuation</x:v>
      </x:c>
      <x:c r="G37" s="30" t="str">
        <x:v>CL0825</x:v>
      </x:c>
      <x:c r="H37" s="32" t="n">
        <x:f>COUNTIF($G$5:$G$228,G37)</x:f>
        <x:v>1</x:v>
      </x:c>
      <x:c r="I37" s="30" t="str">
        <x:v>C95</x:v>
      </x:c>
      <x:c r="J37" s="31" t="str">
        <x:v>What are the important qualities to be a good investment banker | Whats your one area of improvement | Revenue to profit for a coffee shop again hahaha</x:v>
      </x:c>
    </x:row>
    <x:row r="38" ht="118" customHeight="1">
      <x:c r="A38" s="30" t="str">
        <x:v>QB0211</x:v>
      </x:c>
      <x:c r="B38" s="30" t="str">
        <x:v>MS IBD</x:v>
      </x:c>
      <x:c r="C38" s="30" t="str">
        <x:v>IBD / GCM</x:v>
      </x:c>
      <x:c r="D38" s="31" t="str">
        <x:v>How does debt affect WACC</x:v>
      </x:c>
      <x:c r="E38" s="31" t="str">
        <x:v>How do you calculate WACC?</x:v>
      </x:c>
      <x:c r="F38" s="31" t="str">
        <x:v>Valuation</x:v>
      </x:c>
      <x:c r="G38" s="30" t="str">
        <x:v>CL0011</x:v>
      </x:c>
      <x:c r="H38" s="32" t="n">
        <x:f>COUNTIF($G$5:$G$228,G38)</x:f>
        <x:v>11</x:v>
      </x:c>
      <x:c r="I38" s="30" t="str">
        <x:v>C100</x:v>
      </x:c>
      <x:c r="J38" s="31" t="str">
        <x:v>For example, now is 2025 the EV/EBITDA multiple is 10x, you are exiting in 2029, and the EBITDA is 30m, could you apply the 10x multiple to get the terminal value | How about now its 2026, and the multiple is 9x, what should you use | (I...</x:v>
      </x:c>
    </x:row>
    <x:row r="39" ht="68" customHeight="1">
      <x:c r="A39" s="30" t="str">
        <x:v>QB0231</x:v>
      </x:c>
      <x:c r="B39" s="30" t="str">
        <x:v>MS IBD</x:v>
      </x:c>
      <x:c r="C39" s="30" t="str">
        <x:v>IBD / GCM</x:v>
      </x:c>
      <x:c r="D39" s="31" t="str">
        <x:v>How to value a firm with -ve CFs (also talked about replacement valuation)</x:v>
      </x:c>
      <x:c r="E39" s="31" t="str">
        <x:v>How to value a firm with -ve CFs (also talked about replacement valuation)</x:v>
      </x:c>
      <x:c r="F39" s="31" t="str">
        <x:v>Valuation</x:v>
      </x:c>
      <x:c r="G39" s="30" t="str">
        <x:v>CL0484</x:v>
      </x:c>
      <x:c r="H39" s="32" t="n">
        <x:f>COUNTIF($G$5:$G$228,G39)</x:f>
        <x:v>1</x:v>
      </x:c>
      <x:c r="I39" s="30" t="str">
        <x:v>A118</x:v>
      </x:c>
      <x:c r="J39" s="31" t="str">
        <x:v>Calculate EBITDA for a Chinese firm | Explain minority interest, do minority shareholders also share your revenue (only NI sharing) | Under what circumstances use EV/EBITDA instead of PE</x:v>
      </x:c>
    </x:row>
    <x:row r="40" ht="32" customHeight="1">
      <x:c r="A40" s="30" t="str">
        <x:v>QB0260</x:v>
      </x:c>
      <x:c r="B40" s="30" t="str">
        <x:v>MS GCM</x:v>
      </x:c>
      <x:c r="C40" s="30" t="str">
        <x:v>IBD / GCM</x:v>
      </x:c>
      <x:c r="D40" s="31" t="str">
        <x:v>Tell me about a deal done by MS, valuation, how did you find the comps for it?</x:v>
      </x:c>
      <x:c r="E40" s="31" t="str">
        <x:v>How do you select comparable companies?</x:v>
      </x:c>
      <x:c r="F40" s="31" t="str">
        <x:v>Valuation</x:v>
      </x:c>
      <x:c r="G40" s="30" t="str">
        <x:v>CL0012</x:v>
      </x:c>
      <x:c r="H40" s="32" t="n">
        <x:f>COUNTIF($G$5:$G$228,G40)</x:f>
        <x:v>12</x:v>
      </x:c>
      <x:c r="I40" s="30" t="str">
        <x:v>C18</x:v>
      </x:c>
      <x:c r="J40" s="31" t="str">
        <x:v>Self Intro | Why GCM | Which team would you prefer</x:v>
      </x:c>
    </x:row>
    <x:row r="41" ht="48" customHeight="1">
      <x:c r="A41" s="30" t="str">
        <x:v>QB0328</x:v>
      </x:c>
      <x:c r="B41" s="30" t="str">
        <x:v>MS GCM</x:v>
      </x:c>
      <x:c r="C41" s="30" t="str">
        <x:v>IBD / GCM</x:v>
      </x:c>
      <x:c r="D41" s="31" t="str">
        <x:v>name 5 listed Chinese TMT comps;</x:v>
      </x:c>
      <x:c r="E41" s="31" t="str">
        <x:v>Name 5 listed Chinese TMT comps</x:v>
      </x:c>
      <x:c r="F41" s="31" t="str">
        <x:v>Valuation</x:v>
      </x:c>
      <x:c r="G41" s="30" t="str">
        <x:v>CL0616</x:v>
      </x:c>
      <x:c r="H41" s="32" t="n">
        <x:f>COUNTIF($G$5:$G$228,G41)</x:f>
        <x:v>1</x:v>
      </x:c>
      <x:c r="I41" s="30" t="str">
        <x:v>C82</x:v>
      </x:c>
      <x:c r="J41" s="31" t="str">
        <x:v>how a deal couldn't get listed, factors? | a firm/deal you worked on that you think is interesting; | highlights, risks</x:v>
      </x:c>
    </x:row>
    <x:row r="42" ht="48" customHeight="1">
      <x:c r="A42" s="30" t="str">
        <x:v>QB0331</x:v>
      </x:c>
      <x:c r="B42" s="30" t="str">
        <x:v>MS GCM</x:v>
      </x:c>
      <x:c r="C42" s="30" t="str">
        <x:v>IBD / GCM</x:v>
      </x:c>
      <x:c r="D42" s="31" t="str">
        <x:v>Do valuation of xhs;</x:v>
      </x:c>
      <x:c r="E42" s="31" t="str">
        <x:v>Do valuation of xhs</x:v>
      </x:c>
      <x:c r="F42" s="31" t="str">
        <x:v>Valuation</x:v>
      </x:c>
      <x:c r="G42" s="30" t="str">
        <x:v>CL0266</x:v>
      </x:c>
      <x:c r="H42" s="32" t="n">
        <x:f>COUNTIF($G$5:$G$228,G42)</x:f>
        <x:v>1</x:v>
      </x:c>
      <x:c r="I42" s="30" t="str">
        <x:v>C85</x:v>
      </x:c>
      <x:c r="J42" s="31" t="str">
        <x:v>name 5 listed Chinese TMT comps; | name 3 Chinese unicorns | (i said xhs): how do you think of xhs's potential trend</x:v>
      </x:c>
    </x:row>
    <x:row r="43" ht="48" customHeight="1">
      <x:c r="A43" s="30" t="str">
        <x:v>QB0384</x:v>
      </x:c>
      <x:c r="B43" s="30" t="str">
        <x:v>MS GCM</x:v>
      </x:c>
      <x:c r="C43" s="30" t="str">
        <x:v>IBD / GCM</x:v>
      </x:c>
      <x:c r="D43" s="31" t="str">
        <x:v>how to find comps</x:v>
      </x:c>
      <x:c r="E43" s="31" t="str">
        <x:v>How do you select comparable companies?</x:v>
      </x:c>
      <x:c r="F43" s="31" t="str">
        <x:v>Valuation</x:v>
      </x:c>
      <x:c r="G43" s="30" t="str">
        <x:v>CL0012</x:v>
      </x:c>
      <x:c r="H43" s="32" t="n">
        <x:f>COUNTIF($G$5:$G$228,G43)</x:f>
        <x:v>12</x:v>
      </x:c>
      <x:c r="I43" s="30" t="str">
        <x:v>C119</x:v>
      </x:c>
      <x:c r="J43" s="31" t="str">
        <x:v>grill on stock pitch (many follow-up questions) | is this stock value stock or growth stock? | how do you define value stock/growth stock?</x:v>
      </x:c>
    </x:row>
    <x:row r="44" ht="48" customHeight="1">
      <x:c r="A44" s="30" t="str">
        <x:v>QB0386</x:v>
      </x:c>
      <x:c r="B44" s="30" t="str">
        <x:v>MS GCM</x:v>
      </x:c>
      <x:c r="C44" s="30" t="str">
        <x:v>IBD / GCM</x:v>
      </x:c>
      <x:c r="D44" s="31" t="str">
        <x:v>what multiples you used for valuation of this stcok</x:v>
      </x:c>
      <x:c r="E44" s="31" t="str">
        <x:v>What multiples you used for valuation of this stcok</x:v>
      </x:c>
      <x:c r="F44" s="31" t="str">
        <x:v>Valuation</x:v>
      </x:c>
      <x:c r="G44" s="30" t="str">
        <x:v>CL1020</x:v>
      </x:c>
      <x:c r="H44" s="32" t="n">
        <x:f>COUNTIF($G$5:$G$228,G44)</x:f>
        <x:v>1</x:v>
      </x:c>
      <x:c r="I44" s="30" t="str">
        <x:v>C120</x:v>
      </x:c>
      <x:c r="J44" s="31" t="str">
        <x:v>is this stock value stock or growth stock? | how do you define value stock/growth stock? | how to find comps</x:v>
      </x:c>
    </x:row>
    <x:row r="45" ht="48" customHeight="1">
      <x:c r="A45" s="30" t="str">
        <x:v>QB0388</x:v>
      </x:c>
      <x:c r="B45" s="30" t="str">
        <x:v>MS GCM</x:v>
      </x:c>
      <x:c r="C45" s="30" t="str">
        <x:v>IBD / GCM</x:v>
      </x:c>
      <x:c r="D45" s="31" t="str">
        <x:v>explain different multiples and their applications</x:v>
      </x:c>
      <x:c r="E45" s="31" t="str">
        <x:v>Explain different multiples and their applications</x:v>
      </x:c>
      <x:c r="F45" s="31" t="str">
        <x:v>Valuation</x:v>
      </x:c>
      <x:c r="G45" s="30" t="str">
        <x:v>CL0320</x:v>
      </x:c>
      <x:c r="H45" s="32" t="n">
        <x:f>COUNTIF($G$5:$G$228,G45)</x:f>
        <x:v>1</x:v>
      </x:c>
      <x:c r="I45" s="30" t="str">
        <x:v>C121</x:v>
      </x:c>
      <x:c r="J45" s="31" t="str">
        <x:v>how do you define value stock/growth stock? | how to find comps | what multiples you used for valuation of this stcok</x:v>
      </x:c>
    </x:row>
    <x:row r="46" ht="68" customHeight="1">
      <x:c r="A46" s="30" t="str">
        <x:v>QB0392</x:v>
      </x:c>
      <x:c r="B46" s="30" t="str">
        <x:v>MS GCM</x:v>
      </x:c>
      <x:c r="C46" s="30" t="str">
        <x:v>IBD / GCM</x:v>
      </x:c>
      <x:c r="D46" s="31" t="str">
        <x:v>how to find comps for a hypothetical case</x:v>
      </x:c>
      <x:c r="E46" s="31" t="str">
        <x:v>How do you select comparable companies?</x:v>
      </x:c>
      <x:c r="F46" s="31" t="str">
        <x:v>Valuation</x:v>
      </x:c>
      <x:c r="G46" s="30" t="str">
        <x:v>CL0012</x:v>
      </x:c>
      <x:c r="H46" s="32" t="n">
        <x:f>COUNTIF($G$5:$G$228,G46)</x:f>
        <x:v>12</x:v>
      </x:c>
      <x:c r="I46" s="30" t="str">
        <x:v>C123</x:v>
      </x:c>
      <x:c r="J46" s="31" t="str">
        <x:v>what multiples you used for valuation of this stcok | explain different multiples and their applications | some other follow-up questions on my previous stock pitch</x:v>
      </x:c>
    </x:row>
    <x:row r="47" ht="68" customHeight="1">
      <x:c r="A47" s="30" t="str">
        <x:v>QB0409</x:v>
      </x:c>
      <x:c r="B47" s="30" t="str">
        <x:v>MS GCM</x:v>
      </x:c>
      <x:c r="C47" s="30" t="str">
        <x:v>IBD / GCM</x:v>
      </x:c>
      <x:c r="D47" s="31" t="str">
        <x:v>how to find comps</x:v>
      </x:c>
      <x:c r="E47" s="31" t="str">
        <x:v>How do you select comparable companies?</x:v>
      </x:c>
      <x:c r="F47" s="31" t="str">
        <x:v>Valuation</x:v>
      </x:c>
      <x:c r="G47" s="30" t="str">
        <x:v>CL0012</x:v>
      </x:c>
      <x:c r="H47" s="32" t="n">
        <x:f>COUNTIF($G$5:$G$228,G47)</x:f>
        <x:v>12</x:v>
      </x:c>
      <x:c r="I47" s="30" t="str">
        <x:v>C134</x:v>
      </x:c>
      <x:c r="J47" s="31" t="str">
        <x:v>leadership style + what's my leadership style in the case study earlier | pitch a thematic in my previous internship (with follow-up questions) | what are other stocks in that value chain? pitch one (with follow-up questions)</x:v>
      </x:c>
    </x:row>
    <x:row r="48" ht="68" customHeight="1">
      <x:c r="A48" s="30" t="str">
        <x:v>QB0419</x:v>
      </x:c>
      <x:c r="B48" s="30" t="str">
        <x:v>MS GCM</x:v>
      </x:c>
      <x:c r="C48" s="30" t="str">
        <x:v>IBD / GCM</x:v>
      </x:c>
      <x:c r="D48" s="31" t="str">
        <x:v>WACC calculation</x:v>
      </x:c>
      <x:c r="E48" s="31" t="str">
        <x:v>How do you calculate WACC?</x:v>
      </x:c>
      <x:c r="F48" s="31" t="str">
        <x:v>Valuation</x:v>
      </x:c>
      <x:c r="G48" s="30" t="str">
        <x:v>CL0011</x:v>
      </x:c>
      <x:c r="H48" s="32" t="n">
        <x:f>COUNTIF($G$5:$G$228,G48)</x:f>
        <x:v>11</x:v>
      </x:c>
      <x:c r="I48" s="30" t="str">
        <x:v>C145</x:v>
      </x:c>
      <x:c r="J48" s="31" t="str">
        <x:v>how do you assess the performance of a company | you mentioned many ratios, explain them one by one and the formula for the ratios | tell me about your understanding of debt and equity (after i gave my opinions, he asked me to use one se...</x:v>
      </x:c>
    </x:row>
    <x:row r="49" ht="68" customHeight="1">
      <x:c r="A49" s="30" t="str">
        <x:v>QB0420</x:v>
      </x:c>
      <x:c r="B49" s="30" t="str">
        <x:v>MS GCM</x:v>
      </x:c>
      <x:c r="C49" s="30" t="str">
        <x:v>IBD / GCM</x:v>
      </x:c>
      <x:c r="D49" s="31" t="str">
        <x:v>how to find beta</x:v>
      </x:c>
      <x:c r="E49" s="31" t="str">
        <x:v>How to find beta</x:v>
      </x:c>
      <x:c r="F49" s="31" t="str">
        <x:v>Valuation</x:v>
      </x:c>
      <x:c r="G49" s="30" t="str">
        <x:v>CL0033</x:v>
      </x:c>
      <x:c r="H49" s="32" t="n">
        <x:f>COUNTIF($G$5:$G$228,G49)</x:f>
        <x:v>2</x:v>
      </x:c>
      <x:c r="I49" s="30" t="str">
        <x:v>C146</x:v>
      </x:c>
      <x:c r="J49" s="31" t="str">
        <x:v>you mentioned many ratios, explain them one by one and the formula for the ratios | tell me about your understanding of debt and equity (after i gave my opinions, he asked me to use one sentence to summarise) | WACC calculation</x:v>
      </x:c>
    </x:row>
    <x:row r="50" ht="48" customHeight="1">
      <x:c r="A50" s="30" t="str">
        <x:v>QB0444</x:v>
      </x:c>
      <x:c r="B50" s="30" t="str">
        <x:v>UBS IBD</x:v>
      </x:c>
      <x:c r="C50" s="30" t="str">
        <x:v>IBD / GCM</x:v>
      </x:c>
      <x:c r="D50" s="31" t="str">
        <x:v>How do you do you find comparable companies</x:v>
      </x:c>
      <x:c r="E50" s="31" t="str">
        <x:v>How do you do you find comparable companies</x:v>
      </x:c>
      <x:c r="F50" s="31" t="str">
        <x:v>Valuation</x:v>
      </x:c>
      <x:c r="G50" s="30" t="str">
        <x:v>CL0408</x:v>
      </x:c>
      <x:c r="H50" s="32" t="n">
        <x:f>COUNTIF($G$5:$G$228,G50)</x:f>
        <x:v>1</x:v>
      </x:c>
      <x:c r="I50" s="30" t="str">
        <x:v>D6</x:v>
      </x:c>
      <x:c r="J50" s="31" t="str">
        <x:v>Technical | Which sector would you recommend investing? (globally) | Industry overview of energy storage (globally)</x:v>
      </x:c>
    </x:row>
    <x:row r="51" ht="48" customHeight="1">
      <x:c r="A51" s="30" t="str">
        <x:v>QB0448</x:v>
      </x:c>
      <x:c r="B51" s="30" t="str">
        <x:v>UBS IBD</x:v>
      </x:c>
      <x:c r="C51" s="30" t="str">
        <x:v>IBD / GCM</x:v>
      </x:c>
      <x:c r="D51" s="31" t="str">
        <x:v>How do find the WACC?</x:v>
      </x:c>
      <x:c r="E51" s="31" t="str">
        <x:v>How do you calculate WACC?</x:v>
      </x:c>
      <x:c r="F51" s="31" t="str">
        <x:v>Valuation</x:v>
      </x:c>
      <x:c r="G51" s="30" t="str">
        <x:v>CL0011</x:v>
      </x:c>
      <x:c r="H51" s="32" t="n">
        <x:f>COUNTIF($G$5:$G$228,G51)</x:f>
        <x:v>11</x:v>
      </x:c>
      <x:c r="I51" s="30" t="str">
        <x:v>D7</x:v>
      </x:c>
      <x:c r="J51" s="31" t="str">
        <x:v>Which sector would you recommend investing? (globally) | Industry overview of energy storage (globally) | How do you do you find comparable companies</x:v>
      </x:c>
    </x:row>
    <x:row r="52" ht="48" customHeight="1">
      <x:c r="A52" s="30" t="str">
        <x:v>QB0452</x:v>
      </x:c>
      <x:c r="B52" s="30" t="str">
        <x:v>UBS IBD</x:v>
      </x:c>
      <x:c r="C52" s="30" t="str">
        <x:v>IBD / GCM</x:v>
      </x:c>
      <x:c r="D52" s="31" t="str">
        <x:v>How do you find cost of debt?</x:v>
      </x:c>
      <x:c r="E52" s="31" t="str">
        <x:v>How do you find cost of debt</x:v>
      </x:c>
      <x:c r="F52" s="31" t="str">
        <x:v>Valuation</x:v>
      </x:c>
      <x:c r="G52" s="30" t="str">
        <x:v>CL0410</x:v>
      </x:c>
      <x:c r="H52" s="32" t="n">
        <x:f>COUNTIF($G$5:$G$228,G52)</x:f>
        <x:v>1</x:v>
      </x:c>
      <x:c r="I52" s="30" t="str">
        <x:v>D8</x:v>
      </x:c>
      <x:c r="J52" s="31" t="str">
        <x:v>Industry overview of energy storage (globally) | How do you do you find comparable companies | How do find the WACC?</x:v>
      </x:c>
    </x:row>
    <x:row r="53" ht="68" customHeight="1">
      <x:c r="A53" s="30" t="str">
        <x:v>QB0454</x:v>
      </x:c>
      <x:c r="B53" s="30" t="str">
        <x:v>UBS IBD</x:v>
      </x:c>
      <x:c r="C53" s="30" t="str">
        <x:v>IBD / GCM</x:v>
      </x:c>
      <x:c r="D53" s="31" t="str">
        <x:v>e.g., how did you do comps, how did you select the comparables, how did you find WACC in DCF, how did you find beta in WACC, what assumptions did you make in projections</x:v>
      </x:c>
      <x:c r="E53" s="31" t="str">
        <x:v>How do you select comparable companies?</x:v>
      </x:c>
      <x:c r="F53" s="31" t="str">
        <x:v>Valuation</x:v>
      </x:c>
      <x:c r="G53" s="30" t="str">
        <x:v>CL0012</x:v>
      </x:c>
      <x:c r="H53" s="32" t="n">
        <x:f>COUNTIF($G$5:$G$228,G53)</x:f>
        <x:v>12</x:v>
      </x:c>
      <x:c r="I53" s="30" t="str">
        <x:v>K8</x:v>
      </x:c>
      <x:c r="J53" s="31" t="str">
        <x:v>Why IBD how do you compare it with other industries | Only asked about one internship experience but asked about all the bullet points | For that internship experience ask about DCF and comps in detail</x:v>
      </x:c>
    </x:row>
    <x:row r="54" ht="32" customHeight="1">
      <x:c r="A54" s="30" t="str">
        <x:v>QB0482</x:v>
      </x:c>
      <x:c r="B54" s="30" t="str">
        <x:v>UBS IBD</x:v>
      </x:c>
      <x:c r="C54" s="30" t="str">
        <x:v>IBD / GCM</x:v>
      </x:c>
      <x:c r="D54" s="31" t="str">
        <x:v>How did you do company comparable analysis for the companies you looked at</x:v>
      </x:c>
      <x:c r="E54" s="31" t="str">
        <x:v>How did you do company comparable analysis for the companies you looked at</x:v>
      </x:c>
      <x:c r="F54" s="31" t="str">
        <x:v>Valuation</x:v>
      </x:c>
      <x:c r="G54" s="30" t="str">
        <x:v>CL0380</x:v>
      </x:c>
      <x:c r="H54" s="32" t="n">
        <x:f>COUNTIF($G$5:$G$228,G54)</x:f>
        <x:v>1</x:v>
      </x:c>
      <x:c r="I54" s="30" t="str">
        <x:v>A19</x:v>
      </x:c>
      <x:c r="J54" s="31" t="str">
        <x:v>Regan | ubs kayee kam | Walk me through ur CV</x:v>
      </x:c>
    </x:row>
    <x:row r="55" ht="48" customHeight="1">
      <x:c r="A55" s="30" t="str">
        <x:v>QB0484</x:v>
      </x:c>
      <x:c r="B55" s="30" t="str">
        <x:v>UBS IBD</x:v>
      </x:c>
      <x:c r="C55" s="30" t="str">
        <x:v>IBD / GCM</x:v>
      </x:c>
      <x:c r="D55" s="31" t="str">
        <x:v>Walk me through the DCF for the biotech company u looked at</x:v>
      </x:c>
      <x:c r="E55" s="31" t="str">
        <x:v>Walk me through the DCF for the biotech company u looked at</x:v>
      </x:c>
      <x:c r="F55" s="31" t="str">
        <x:v>Valuation</x:v>
      </x:c>
      <x:c r="G55" s="30" t="str">
        <x:v>CL0837</x:v>
      </x:c>
      <x:c r="H55" s="32" t="n">
        <x:f>COUNTIF($G$5:$G$228,G55)</x:f>
        <x:v>1</x:v>
      </x:c>
      <x:c r="I55" s="30" t="str">
        <x:v>A20</x:v>
      </x:c>
      <x:c r="J55" s="31" t="str">
        <x:v>ubs kayee kam | Walk me through ur CV | How did you do company comparable analysis for the companies you looked at</x:v>
      </x:c>
    </x:row>
    <x:row r="56" ht="68" customHeight="1">
      <x:c r="A56" s="30" t="str">
        <x:v>QB0513</x:v>
      </x:c>
      <x:c r="B56" s="30" t="str">
        <x:v>UBS IBD</x:v>
      </x:c>
      <x:c r="C56" s="30" t="str">
        <x:v>IBD / GCM</x:v>
      </x:c>
      <x:c r="D56" s="31" t="str">
        <x:v>I don't have the case with me as I did it in person but it was about xiabuxiabu (hotpot) being privatised by a PE firm and do basic valuation to see if the offer price was reasonable</x:v>
      </x:c>
      <x:c r="E56" s="31" t="str">
        <x:v>I don't have the case with me as I did it in person but it was about xiabuxiabu (hotpot) being privatised by a PE firm and do basic valuation to see if the offer price was reasonable</x:v>
      </x:c>
      <x:c r="F56" s="31" t="str">
        <x:v>Valuation</x:v>
      </x:c>
      <x:c r="G56" s="30" t="str">
        <x:v>CL0505</x:v>
      </x:c>
      <x:c r="H56" s="32" t="n">
        <x:f>COUNTIF($G$5:$G$228,G56)</x:f>
        <x:v>1</x:v>
      </x:c>
      <x:c r="I56" s="30" t="str">
        <x:v>A44</x:v>
      </x:c>
      <x:c r="J56" s="31" t="str">
        <x:v>SPD | 9 Germaine | Case Study (Sam Luk, HK Coverage Director)</x:v>
      </x:c>
    </x:row>
    <x:row r="57" ht="92" customHeight="1">
      <x:c r="A57" s="30" t="str">
        <x:v>QB0549</x:v>
      </x:c>
      <x:c r="B57" s="30" t="str">
        <x:v>UBS IBD</x:v>
      </x:c>
      <x:c r="C57" s="30" t="str">
        <x:v>IBD / GCM</x:v>
      </x:c>
      <x:c r="D57" s="31" t="str">
        <x:v>How I would build a DCF for this company, how to make the model dynamic (mainly the revenue build-up), and other key inputs needed</x:v>
      </x:c>
      <x:c r="E57" s="31" t="str">
        <x:v>How I would build a DCF for this company, how to make the model dynamic (mainly the revenue build-up), and other key inputs needed</x:v>
      </x:c>
      <x:c r="F57" s="31" t="str">
        <x:v>Valuation</x:v>
      </x:c>
      <x:c r="G57" s="30" t="str">
        <x:v>CL0443</x:v>
      </x:c>
      <x:c r="H57" s="32" t="n">
        <x:f>COUNTIF($G$5:$G$228,G57)</x:f>
        <x:v>1</x:v>
      </x:c>
      <x:c r="I57" s="30" t="str">
        <x:v>A83</x:v>
      </x:c>
      <x:c r="J57" s="31" t="str">
        <x:v>Interrupted my intro → asked my target price, % premium, and how I arrived at it | Interrupted again when I mentioned SOTP → asked why SOTP and how I mapped the 4 comp sets, how the business model matches | How I justify using 75th perce...</x:v>
      </x:c>
    </x:row>
    <x:row r="58" ht="118" customHeight="1">
      <x:c r="A58" s="30" t="str">
        <x:v>QB0550</x:v>
      </x:c>
      <x:c r="B58" s="30" t="str">
        <x:v>UBS IBD</x:v>
      </x:c>
      <x:c r="C58" s="30" t="str">
        <x:v>IBD / GCM</x:v>
      </x:c>
      <x:c r="D58" s="31" t="str">
        <x:v>Earn-out discussion → asked if the company keeps majority or minority. I said minority - she pushed back, saying it makes no sense for management to stay passive. I said incentives align via milestone gains and retention, but she strongly disagreed and said she would not advise clients that way. Asked many clarifications throughout as well - how to set milestones/how many milestones, and how do I tie the valuation to milestones</x:v>
      </x:c>
      <x:c r="E58" s="31" t="str">
        <x:v>Tell me about a team conflict and how you handled it</x:v>
      </x:c>
      <x:c r="F58" s="31" t="str">
        <x:v>Valuation</x:v>
      </x:c>
      <x:c r="G58" s="30" t="str">
        <x:v>CL0023</x:v>
      </x:c>
      <x:c r="H58" s="32" t="n">
        <x:f>COUNTIF($G$5:$G$228,G58)</x:f>
        <x:v>1</x:v>
      </x:c>
      <x:c r="I58" s="30" t="str">
        <x:v>A84</x:v>
      </x:c>
      <x:c r="J58" s="31" t="str">
        <x:v>Interrupted again when I mentioned SOTP → asked why SOTP and how I mapped the 4 comp sets, how the business model matches | How I justify using 75th percentile and what may be the reasons that its current trading price is low | How I wou...</x:v>
      </x:c>
    </x:row>
    <x:row r="59" ht="68" customHeight="1">
      <x:c r="A59" s="30" t="str">
        <x:v>QB0554</x:v>
      </x:c>
      <x:c r="B59" s="30" t="str">
        <x:v>UBS IBD</x:v>
      </x:c>
      <x:c r="C59" s="30" t="str">
        <x:v>IBD / GCM</x:v>
      </x:c>
      <x:c r="D59" s="31" t="str">
        <x:v>Additional ways to look at valuation. I mentioned historical cost</x:v>
      </x:c>
      <x:c r="E59" s="31" t="str">
        <x:v>Additional ways to look at valuation. I mentioned historical cost</x:v>
      </x:c>
      <x:c r="F59" s="31" t="str">
        <x:v>Valuation</x:v>
      </x:c>
      <x:c r="G59" s="30" t="str">
        <x:v>CL0100</x:v>
      </x:c>
      <x:c r="H59" s="32" t="n">
        <x:f>COUNTIF($G$5:$G$228,G59)</x:f>
        <x:v>1</x:v>
      </x:c>
      <x:c r="I59" s="30" t="str">
        <x:v>A88</x:v>
      </x:c>
      <x:c r="J59" s="31" t="str">
        <x:v>As she disliked the last one I also mentioned spin-off and set up JV. | She asked which segment I would spin off and why. Why not just do shares buy back? | The intention difference between Tesla acquiring a controlling stake vs acquirin...</x:v>
      </x:c>
    </x:row>
    <x:row r="60" ht="32" customHeight="1">
      <x:c r="A60" s="30" t="str">
        <x:v>QB0580</x:v>
      </x:c>
      <x:c r="B60" s="30" t="str">
        <x:v>Deutsche</x:v>
      </x:c>
      <x:c r="C60" s="30" t="str">
        <x:v>IBD / GCM</x:v>
      </x:c>
      <x:c r="D60" s="31" t="str">
        <x:v>Common valuation methodologies</x:v>
      </x:c>
      <x:c r="E60" s="31" t="str">
        <x:v>What are the main valuation methodologies?</x:v>
      </x:c>
      <x:c r="F60" s="31" t="str">
        <x:v>Valuation</x:v>
      </x:c>
      <x:c r="G60" s="30" t="str">
        <x:v>CL0010</x:v>
      </x:c>
      <x:c r="H60" s="32" t="n">
        <x:f>COUNTIF($G$5:$G$228,G60)</x:f>
        <x:v>13</x:v>
      </x:c>
      <x:c r="I60" s="30" t="str">
        <x:v>E5</x:v>
      </x:c>
      <x:c r="J60" s="31" t="str">
        <x:v>Hugo Shi (Vice President from M&amp;A)</x:v>
      </x:c>
    </x:row>
    <x:row r="61" ht="32" customHeight="1">
      <x:c r="A61" s="30" t="str">
        <x:v>QB0581</x:v>
      </x:c>
      <x:c r="B61" s="30" t="str">
        <x:v>Deutsche</x:v>
      </x:c>
      <x:c r="C61" s="30" t="str">
        <x:v>IBD / GCM</x:v>
      </x:c>
      <x:c r="D61" s="31" t="str">
        <x:v>Odysseus projects - valuation work, multiples used?</x:v>
      </x:c>
      <x:c r="E61" s="31" t="str">
        <x:v>Odysseus projects - valuation work, multiples used</x:v>
      </x:c>
      <x:c r="F61" s="31" t="str">
        <x:v>Valuation</x:v>
      </x:c>
      <x:c r="G61" s="30" t="str">
        <x:v>CL0623</x:v>
      </x:c>
      <x:c r="H61" s="32" t="n">
        <x:f>COUNTIF($G$5:$G$228,G61)</x:f>
        <x:v>1</x:v>
      </x:c>
      <x:c r="I61" s="30" t="str">
        <x:v>A6</x:v>
      </x:c>
      <x:c r="J61" s="31" t="str">
        <x:v>Germaine 21/9 | Kang Lee (Asso from Tech) | Self Intro</x:v>
      </x:c>
    </x:row>
    <x:row r="62" ht="32" customHeight="1">
      <x:c r="A62" s="30" t="str">
        <x:v>QB0583</x:v>
      </x:c>
      <x:c r="B62" s="30" t="str">
        <x:v>Deutsche</x:v>
      </x:c>
      <x:c r="C62" s="30" t="str">
        <x:v>IBD / GCM</x:v>
      </x:c>
      <x:c r="D62" s="31" t="str">
        <x:v>For trading comps and transaction comps, how do you get the comparables?</x:v>
      </x:c>
      <x:c r="E62" s="31" t="str">
        <x:v>For trading comps and transaction comps, how do you get the comparables</x:v>
      </x:c>
      <x:c r="F62" s="31" t="str">
        <x:v>Valuation</x:v>
      </x:c>
      <x:c r="G62" s="30" t="str">
        <x:v>CL0335</x:v>
      </x:c>
      <x:c r="H62" s="32" t="n">
        <x:f>COUNTIF($G$5:$G$228,G62)</x:f>
        <x:v>1</x:v>
      </x:c>
      <x:c r="I62" s="30" t="str">
        <x:v>E6</x:v>
      </x:c>
      <x:c r="J62" s="31" t="str">
        <x:v>Hugo Shi (Vice President from M&amp;A) | Common valuation methodologies</x:v>
      </x:c>
    </x:row>
    <x:row r="63" ht="48" customHeight="1">
      <x:c r="A63" s="30" t="str">
        <x:v>QB0584</x:v>
      </x:c>
      <x:c r="B63" s="30" t="str">
        <x:v>Deutsche</x:v>
      </x:c>
      <x:c r="C63" s="30" t="str">
        <x:v>IBD / GCM</x:v>
      </x:c>
      <x:c r="D63" s="31" t="str">
        <x:v>How to get from Equity Value to EV?</x:v>
      </x:c>
      <x:c r="E63" s="31" t="str">
        <x:v>How to get from Equity Value to EV</x:v>
      </x:c>
      <x:c r="F63" s="31" t="str">
        <x:v>Valuation</x:v>
      </x:c>
      <x:c r="G63" s="30" t="str">
        <x:v>CL0034</x:v>
      </x:c>
      <x:c r="H63" s="32" t="n">
        <x:f>COUNTIF($G$5:$G$228,G63)</x:f>
        <x:v>2</x:v>
      </x:c>
      <x:c r="I63" s="30" t="str">
        <x:v>A7</x:v>
      </x:c>
      <x:c r="J63" s="31" t="str">
        <x:v>Kang Lee (Asso from Tech) | Self Intro | Odysseus projects - valuation work, multiples used?</x:v>
      </x:c>
    </x:row>
    <x:row r="64" ht="48" customHeight="1">
      <x:c r="A64" s="30" t="str">
        <x:v>QB0586</x:v>
      </x:c>
      <x:c r="B64" s="30" t="str">
        <x:v>Deutsche</x:v>
      </x:c>
      <x:c r="C64" s="30" t="str">
        <x:v>IBD / GCM</x:v>
      </x:c>
      <x:c r="D64" s="31" t="str">
        <x:v>If I have a clothing manufacturer in Vietnam, how do I get the comparable companies?</x:v>
      </x:c>
      <x:c r="E64" s="31" t="str">
        <x:v>If I have a clothing manufacturer in Vietnam, how do I get the comparable companies</x:v>
      </x:c>
      <x:c r="F64" s="31" t="str">
        <x:v>Valuation</x:v>
      </x:c>
      <x:c r="G64" s="30" t="str">
        <x:v>CL0514</x:v>
      </x:c>
      <x:c r="H64" s="32" t="n">
        <x:f>COUNTIF($G$5:$G$228,G64)</x:f>
        <x:v>1</x:v>
      </x:c>
      <x:c r="I64" s="30" t="str">
        <x:v>E7</x:v>
      </x:c>
      <x:c r="J64" s="31" t="str">
        <x:v>Hugo Shi (Vice President from M&amp;A) | Common valuation methodologies | For trading comps and transaction comps, how do you get the comparables?</x:v>
      </x:c>
    </x:row>
    <x:row r="65" ht="48" customHeight="1">
      <x:c r="A65" s="30" t="str">
        <x:v>QB0587</x:v>
      </x:c>
      <x:c r="B65" s="30" t="str">
        <x:v>Deutsche</x:v>
      </x:c>
      <x:c r="C65" s="30" t="str">
        <x:v>IBD / GCM</x:v>
      </x:c>
      <x:c r="D65" s="31" t="str">
        <x:v>Walk me through DCF</x:v>
      </x:c>
      <x:c r="E65" s="31" t="str">
        <x:v>Walk me through DCF</x:v>
      </x:c>
      <x:c r="F65" s="31" t="str">
        <x:v>Valuation</x:v>
      </x:c>
      <x:c r="G65" s="30" t="str">
        <x:v>CL0013</x:v>
      </x:c>
      <x:c r="H65" s="32" t="n">
        <x:f>COUNTIF($G$5:$G$228,G65)</x:f>
        <x:v>10</x:v>
      </x:c>
      <x:c r="I65" s="30" t="str">
        <x:v>A8</x:v>
      </x:c>
      <x:c r="J65" s="31" t="str">
        <x:v>Self Intro | Odysseus projects - valuation work, multiples used? | How to get from Equity Value to EV?</x:v>
      </x:c>
    </x:row>
    <x:row r="66" ht="48" customHeight="1">
      <x:c r="A66" s="30" t="str">
        <x:v>QB0596</x:v>
      </x:c>
      <x:c r="B66" s="30" t="str">
        <x:v>Deutsche</x:v>
      </x:c>
      <x:c r="C66" s="30" t="str">
        <x:v>IBD / GCM</x:v>
      </x:c>
      <x:c r="D66" s="31" t="str">
        <x:v>Walk me through DCF</x:v>
      </x:c>
      <x:c r="E66" s="31" t="str">
        <x:v>Walk me through DCF</x:v>
      </x:c>
      <x:c r="F66" s="31" t="str">
        <x:v>Valuation</x:v>
      </x:c>
      <x:c r="G66" s="30" t="str">
        <x:v>CL0013</x:v>
      </x:c>
      <x:c r="H66" s="32" t="n">
        <x:f>COUNTIF($G$5:$G$228,G66)</x:f>
        <x:v>10</x:v>
      </x:c>
      <x:c r="I66" s="30" t="str">
        <x:v>A12</x:v>
      </x:c>
      <x:c r="J66" s="31" t="str">
        <x:v>Two w | Effect of this investment on the 3 statements? | If the JV/associate issues 100mm dividends to all shareholders, what's the effect on the 3 statements?</x:v>
      </x:c>
    </x:row>
    <x:row r="67" ht="92" customHeight="1">
      <x:c r="A67" s="30" t="str">
        <x:v>QB0599</x:v>
      </x:c>
      <x:c r="B67" s="30" t="str">
        <x:v>Deutsche</x:v>
      </x:c>
      <x:c r="C67" s="30" t="str">
        <x:v>IBD / GCM</x:v>
      </x:c>
      <x:c r="D67" s="31" t="str">
        <x:v>Difference between different valuation multiples - P/E, EV/EBITDA, EV/EBIT</x:v>
      </x:c>
      <x:c r="E67" s="31" t="str">
        <x:v>Difference between different valuation multiples - P/E, EV/EBITDA, EV/EBIT</x:v>
      </x:c>
      <x:c r="F67" s="31" t="str">
        <x:v>Valuation</x:v>
      </x:c>
      <x:c r="G67" s="30" t="str">
        <x:v>CL0252</x:v>
      </x:c>
      <x:c r="H67" s="32" t="n">
        <x:f>COUNTIF($G$5:$G$228,G67)</x:f>
        <x:v>1</x:v>
      </x:c>
      <x:c r="I67" s="30" t="str">
        <x:v>A15</x:v>
      </x:c>
      <x:c r="J67" s="31" t="str">
        <x:v>Walk me through DCF | Two ways of calculating terminal value | For gordon growth method, you assume normal perpetual growth - but what if during final year there's unexpected changes in business, i.e. depreciation amount is only half of ...</x:v>
      </x:c>
    </x:row>
    <x:row r="68" ht="32" customHeight="1">
      <x:c r="A68" s="30" t="str">
        <x:v>QB0616</x:v>
      </x:c>
      <x:c r="B68" s="30" t="str">
        <x:v>Deutsche</x:v>
      </x:c>
      <x:c r="C68" s="30" t="str">
        <x:v>IBD / GCM</x:v>
      </x:c>
      <x:c r="D68" s="31" t="str">
        <x:v>Valuation Multiples of the Deal and how to get</x:v>
      </x:c>
      <x:c r="E68" s="31" t="str">
        <x:v>Valuation Multiples of the Deal and how to get</x:v>
      </x:c>
      <x:c r="F68" s="31" t="str">
        <x:v>Valuation</x:v>
      </x:c>
      <x:c r="G68" s="30" t="str">
        <x:v>CL0813</x:v>
      </x:c>
      <x:c r="H68" s="32" t="n">
        <x:f>COUNTIF($G$5:$G$228,G68)</x:f>
        <x:v>1</x:v>
      </x:c>
      <x:c r="I68" s="30" t="str">
        <x:v>C23</x:v>
      </x:c>
      <x:c r="J68" s="31" t="str">
        <x:v>Grace (VP from Consumer Retail) | Self introduction | 跟我說說你之前做過的M&amp;A transaction</x:v>
      </x:c>
    </x:row>
    <x:row r="69" ht="48" customHeight="1">
      <x:c r="A69" s="30" t="str">
        <x:v>QB0620</x:v>
      </x:c>
      <x:c r="B69" s="30" t="str">
        <x:v>Deutsche</x:v>
      </x:c>
      <x:c r="C69" s="30" t="str">
        <x:v>IBD / GCM</x:v>
      </x:c>
      <x:c r="D69" s="31" t="str">
        <x:v>如果你要為這家公司做DCF，怎麼做</x:v>
      </x:c>
      <x:c r="E69" s="31" t="str">
        <x:v>如果你要為這家公司做DCF，怎麼做</x:v>
      </x:c>
      <x:c r="F69" s="31" t="str">
        <x:v>Valuation</x:v>
      </x:c>
      <x:c r="G69" s="30" t="str">
        <x:v>CL1239</x:v>
      </x:c>
      <x:c r="H69" s="32" t="n">
        <x:f>COUNTIF($G$5:$G$228,G69)</x:f>
        <x:v>1</x:v>
      </x:c>
      <x:c r="I69" s="30" t="str">
        <x:v>C24</x:v>
      </x:c>
      <x:c r="J69" s="31" t="str">
        <x:v>Self introduction | 跟我說說你之前做過的M&amp;A transaction | Valuation Multiples of the Deal and how to get</x:v>
      </x:c>
    </x:row>
    <x:row r="70" ht="32" customHeight="1">
      <x:c r="A70" s="30" t="str">
        <x:v>QB0648</x:v>
      </x:c>
      <x:c r="B70" s="30" t="str">
        <x:v>Deutsche</x:v>
      </x:c>
      <x:c r="C70" s="30" t="str">
        <x:v>IBD / GCM</x:v>
      </x:c>
      <x:c r="D70" s="31" t="str">
        <x:v>how to arrive WACC for a company in china consumer industry</x:v>
      </x:c>
      <x:c r="E70" s="31" t="str">
        <x:v>How do you calculate WACC?</x:v>
      </x:c>
      <x:c r="F70" s="31" t="str">
        <x:v>Valuation</x:v>
      </x:c>
      <x:c r="G70" s="30" t="str">
        <x:v>CL0011</x:v>
      </x:c>
      <x:c r="H70" s="32" t="n">
        <x:f>COUNTIF($G$5:$G$228,G70)</x:f>
        <x:v>11</x:v>
      </x:c>
      <x:c r="I70" s="30" t="str">
        <x:v>A39</x:v>
      </x:c>
      <x:c r="J70" s="31" t="str">
        <x:v>preference on capital market or coverage? | return? | any valuation experience</x:v>
      </x:c>
    </x:row>
    <x:row r="71" ht="48" customHeight="1">
      <x:c r="A71" s="30" t="str">
        <x:v>QB0650</x:v>
      </x:c>
      <x:c r="B71" s="30" t="str">
        <x:v>Deutsche</x:v>
      </x:c>
      <x:c r="C71" s="30" t="str">
        <x:v>IBD / GCM</x:v>
      </x:c>
      <x:c r="D71" s="31" t="str">
        <x:v>optimal wacc</x:v>
      </x:c>
      <x:c r="E71" s="31" t="str">
        <x:v>Optimal wacc</x:v>
      </x:c>
      <x:c r="F71" s="31" t="str">
        <x:v>Valuation</x:v>
      </x:c>
      <x:c r="G71" s="30" t="str">
        <x:v>CL0628</x:v>
      </x:c>
      <x:c r="H71" s="32" t="n">
        <x:f>COUNTIF($G$5:$G$228,G71)</x:f>
        <x:v>1</x:v>
      </x:c>
      <x:c r="I71" s="30" t="str">
        <x:v>A40</x:v>
      </x:c>
      <x:c r="J71" s="31" t="str">
        <x:v>return? | any valuation experience | how to arrive WACC for a company in china consumer industry</x:v>
      </x:c>
    </x:row>
    <x:row r="72" ht="48" customHeight="1">
      <x:c r="A72" s="30" t="str">
        <x:v>QB0652</x:v>
      </x:c>
      <x:c r="B72" s="30" t="str">
        <x:v>Deutsche</x:v>
      </x:c>
      <x:c r="C72" s="30" t="str">
        <x:v>IBD / GCM</x:v>
      </x:c>
      <x:c r="D72" s="31" t="str">
        <x:v>how do you find beta beside public comps</x:v>
      </x:c>
      <x:c r="E72" s="31" t="str">
        <x:v>How do you select comparable companies?</x:v>
      </x:c>
      <x:c r="F72" s="31" t="str">
        <x:v>Valuation</x:v>
      </x:c>
      <x:c r="G72" s="30" t="str">
        <x:v>CL0012</x:v>
      </x:c>
      <x:c r="H72" s="32" t="n">
        <x:f>COUNTIF($G$5:$G$228,G72)</x:f>
        <x:v>12</x:v>
      </x:c>
      <x:c r="I72" s="30" t="str">
        <x:v>A41</x:v>
      </x:c>
      <x:c r="J72" s="31" t="str">
        <x:v>any valuation experience | how to arrive WACC for a company in china consumer industry | optimal wacc</x:v>
      </x:c>
    </x:row>
    <x:row r="73" ht="48" customHeight="1">
      <x:c r="A73" s="30" t="str">
        <x:v>QB0656</x:v>
      </x:c>
      <x:c r="B73" s="30" t="str">
        <x:v>Deutsche</x:v>
      </x:c>
      <x:c r="C73" s="30" t="str">
        <x:v>IBD / GCM</x:v>
      </x:c>
      <x:c r="D73" s="31" t="str">
        <x:v>how to find beta for a private company</x:v>
      </x:c>
      <x:c r="E73" s="31" t="str">
        <x:v>How to find beta for a private company</x:v>
      </x:c>
      <x:c r="F73" s="31" t="str">
        <x:v>Valuation</x:v>
      </x:c>
      <x:c r="G73" s="30" t="str">
        <x:v>CL0466</x:v>
      </x:c>
      <x:c r="H73" s="32" t="n">
        <x:f>COUNTIF($G$5:$G$228,G73)</x:f>
        <x:v>1</x:v>
      </x:c>
      <x:c r="I73" s="30" t="str">
        <x:v>A43</x:v>
      </x:c>
      <x:c r="J73" s="31" t="str">
        <x:v>optimal wacc | how do you find beta beside public comps | whats the formulas for unlever and relever</x:v>
      </x:c>
    </x:row>
    <x:row r="74" ht="32" customHeight="1">
      <x:c r="A74" s="30" t="str">
        <x:v>QB0666</x:v>
      </x:c>
      <x:c r="B74" s="30" t="str">
        <x:v>Deutsche</x:v>
      </x:c>
      <x:c r="C74" s="30" t="str">
        <x:v>IBD / GCM</x:v>
      </x:c>
      <x:c r="D74" s="31" t="str">
        <x:v>valuation methodologies</x:v>
      </x:c>
      <x:c r="E74" s="31" t="str">
        <x:v>What are the main valuation methodologies?</x:v>
      </x:c>
      <x:c r="F74" s="31" t="str">
        <x:v>Valuation</x:v>
      </x:c>
      <x:c r="G74" s="30" t="str">
        <x:v>CL0010</x:v>
      </x:c>
      <x:c r="H74" s="32" t="n">
        <x:f>COUNTIF($G$5:$G$228,G74)</x:f>
        <x:v>13</x:v>
      </x:c>
      <x:c r="I74" s="30" t="str">
        <x:v>A49</x:v>
      </x:c>
      <x:c r="J74" s="31" t="str">
        <x:v>self intro | return? | Why DB</x:v>
      </x:c>
    </x:row>
    <x:row r="75" ht="32" customHeight="1">
      <x:c r="A75" s="30" t="str">
        <x:v>QB0667</x:v>
      </x:c>
      <x:c r="B75" s="30" t="str">
        <x:v>Deutsche</x:v>
      </x:c>
      <x:c r="C75" s="30" t="str">
        <x:v>IBD / GCM</x:v>
      </x:c>
      <x:c r="D75" s="31" t="str">
        <x:v>How do you find transaction comp for the SEA hospital platform?</x:v>
      </x:c>
      <x:c r="E75" s="31" t="str">
        <x:v>How do you select comparable companies?</x:v>
      </x:c>
      <x:c r="F75" s="31" t="str">
        <x:v>Valuation</x:v>
      </x:c>
      <x:c r="G75" s="30" t="str">
        <x:v>CL0012</x:v>
      </x:c>
      <x:c r="H75" s="32" t="n">
        <x:f>COUNTIF($G$5:$G$228,G75)</x:f>
        <x:v>12</x:v>
      </x:c>
      <x:c r="I75" s="30" t="str">
        <x:v>C49</x:v>
      </x:c>
      <x:c r="J75" s="31" t="str">
        <x:v>No intro, directly grill deal and tech | What did you do at BLK | Return offer?</x:v>
      </x:c>
    </x:row>
    <x:row r="76" ht="32" customHeight="1">
      <x:c r="A76" s="30" t="str">
        <x:v>QB0668</x:v>
      </x:c>
      <x:c r="B76" s="30" t="str">
        <x:v>Deutsche</x:v>
      </x:c>
      <x:c r="C76" s="30" t="str">
        <x:v>IBD / GCM</x:v>
      </x:c>
      <x:c r="D76" s="31" t="str">
        <x:v>how to do dcf from EBIT</x:v>
      </x:c>
      <x:c r="E76" s="31" t="str">
        <x:v>How to do dcf from EBIT</x:v>
      </x:c>
      <x:c r="F76" s="31" t="str">
        <x:v>Valuation</x:v>
      </x:c>
      <x:c r="G76" s="30" t="str">
        <x:v>CL0465</x:v>
      </x:c>
      <x:c r="H76" s="32" t="n">
        <x:f>COUNTIF($G$5:$G$228,G76)</x:f>
        <x:v>1</x:v>
      </x:c>
      <x:c r="I76" s="30" t="str">
        <x:v>A50</x:v>
      </x:c>
      <x:c r="J76" s="31" t="str">
        <x:v>return? | Why DB | valuation methodologies</x:v>
      </x:c>
    </x:row>
    <x:row r="77" ht="32" customHeight="1">
      <x:c r="A77" s="30" t="str">
        <x:v>QB0670</x:v>
      </x:c>
      <x:c r="B77" s="30" t="str">
        <x:v>Deutsche</x:v>
      </x:c>
      <x:c r="C77" s="30" t="str">
        <x:v>IBD / GCM</x:v>
      </x:c>
      <x:c r="D77" s="31" t="str">
        <x:v>how to get exit multiple and growth rate for terminal value</x:v>
      </x:c>
      <x:c r="E77" s="31" t="str">
        <x:v>How to get exit multiple and growth rate for terminal value</x:v>
      </x:c>
      <x:c r="F77" s="31" t="str">
        <x:v>Valuation</x:v>
      </x:c>
      <x:c r="G77" s="30" t="str">
        <x:v>CL0474</x:v>
      </x:c>
      <x:c r="H77" s="32" t="n">
        <x:f>COUNTIF($G$5:$G$228,G77)</x:f>
        <x:v>1</x:v>
      </x:c>
      <x:c r="I77" s="30" t="str">
        <x:v>A51</x:v>
      </x:c>
      <x:c r="J77" s="31" t="str">
        <x:v>Why DB | valuation methodologies | how to do dcf from EBIT</x:v>
      </x:c>
    </x:row>
    <x:row r="78" ht="48" customHeight="1">
      <x:c r="A78" s="30" t="str">
        <x:v>QB0673</x:v>
      </x:c>
      <x:c r="B78" s="30" t="str">
        <x:v>Deutsche</x:v>
      </x:c>
      <x:c r="C78" s="30" t="str">
        <x:v>IBD / GCM</x:v>
      </x:c>
      <x:c r="D78" s="31" t="str">
        <x:v>SEA logistic company, how did you do the dcf? How do you get the assumption of growth rate?</x:v>
      </x:c>
      <x:c r="E78" s="31" t="str">
        <x:v>SEA logistic company, how did you do the dcf? How do you get the assumption of growth rate</x:v>
      </x:c>
      <x:c r="F78" s="31" t="str">
        <x:v>Valuation</x:v>
      </x:c>
      <x:c r="G78" s="30" t="str">
        <x:v>CL0670</x:v>
      </x:c>
      <x:c r="H78" s="32" t="n">
        <x:f>COUNTIF($G$5:$G$228,G78)</x:f>
        <x:v>1</x:v>
      </x:c>
      <x:c r="I78" s="30" t="str">
        <x:v>C52</x:v>
      </x:c>
      <x:c r="J78" s="31" t="str">
        <x:v>How do you find transaction comp for the SEA hospital platform? | Why is it cheaper than industry average? | How much equity is sponsor paying?</x:v>
      </x:c>
    </x:row>
    <x:row r="79" ht="48" customHeight="1">
      <x:c r="A79" s="30" t="str">
        <x:v>QB0674</x:v>
      </x:c>
      <x:c r="B79" s="30" t="str">
        <x:v>Deutsche</x:v>
      </x:c>
      <x:c r="C79" s="30" t="str">
        <x:v>IBD / GCM</x:v>
      </x:c>
      <x:c r="D79" s="31" t="str">
        <x:v>how to find cost of debt and equity</x:v>
      </x:c>
      <x:c r="E79" s="31" t="str">
        <x:v>How should a company choose between debt and equity financing?</x:v>
      </x:c>
      <x:c r="F79" s="31" t="str">
        <x:v>Valuation</x:v>
      </x:c>
      <x:c r="G79" s="30" t="str">
        <x:v>CL0005</x:v>
      </x:c>
      <x:c r="H79" s="32" t="n">
        <x:f>COUNTIF($G$5:$G$228,G79)</x:f>
        <x:v>4</x:v>
      </x:c>
      <x:c r="I79" s="30" t="str">
        <x:v>A53</x:v>
      </x:c>
      <x:c r="J79" s="31" t="str">
        <x:v>how to do dcf from EBIT | how to get exit multiple and growth rate for terminal value | is terminal value discounted</x:v>
      </x:c>
    </x:row>
    <x:row r="80" ht="48" customHeight="1">
      <x:c r="A80" s="30" t="str">
        <x:v>QB0676</x:v>
      </x:c>
      <x:c r="B80" s="30" t="str">
        <x:v>Deutsche</x:v>
      </x:c>
      <x:c r="C80" s="30" t="str">
        <x:v>IBD / GCM</x:v>
      </x:c>
      <x:c r="D80" s="31" t="str">
        <x:v>how to find beta</x:v>
      </x:c>
      <x:c r="E80" s="31" t="str">
        <x:v>How to find beta</x:v>
      </x:c>
      <x:c r="F80" s="31" t="str">
        <x:v>Valuation</x:v>
      </x:c>
      <x:c r="G80" s="30" t="str">
        <x:v>CL0033</x:v>
      </x:c>
      <x:c r="H80" s="32" t="n">
        <x:f>COUNTIF($G$5:$G$228,G80)</x:f>
        <x:v>2</x:v>
      </x:c>
      <x:c r="I80" s="30" t="str">
        <x:v>A54</x:v>
      </x:c>
      <x:c r="J80" s="31" t="str">
        <x:v>how to get exit multiple and growth rate for terminal value | is terminal value discounted | how to find cost of debt and equity</x:v>
      </x:c>
    </x:row>
    <x:row r="81" ht="68" customHeight="1">
      <x:c r="A81" s="30" t="str">
        <x:v>QB0677</x:v>
      </x:c>
      <x:c r="B81" s="30" t="str">
        <x:v>Deutsche</x:v>
      </x:c>
      <x:c r="C81" s="30" t="str">
        <x:v>IBD / GCM</x:v>
      </x:c>
      <x:c r="D81" s="31" t="str">
        <x:v>The result of the dcf and comp?</x:v>
      </x:c>
      <x:c r="E81" s="31" t="str">
        <x:v>The result of the dcf and comp</x:v>
      </x:c>
      <x:c r="F81" s="31" t="str">
        <x:v>Valuation</x:v>
      </x:c>
      <x:c r="G81" s="30" t="str">
        <x:v>CL0781</x:v>
      </x:c>
      <x:c r="H81" s="32" t="n">
        <x:f>COUNTIF($G$5:$G$228,G81)</x:f>
        <x:v>1</x:v>
      </x:c>
      <x:c r="I81" s="30" t="str">
        <x:v>C54</x:v>
      </x:c>
      <x:c r="J81" s="31" t="str">
        <x:v>How much equity is sponsor paying? | SEA logistic company, how did you do the dcf? How do you get the assumption of growth rate? | Growth rate in near term and to 2030?</x:v>
      </x:c>
    </x:row>
    <x:row r="82" ht="48" customHeight="1">
      <x:c r="A82" s="30" t="str">
        <x:v>QB0682</x:v>
      </x:c>
      <x:c r="B82" s="30" t="str">
        <x:v>Deutsche</x:v>
      </x:c>
      <x:c r="C82" s="30" t="str">
        <x:v>IBD / GCM</x:v>
      </x:c>
      <x:c r="D82" s="31" t="str">
        <x:v>valuation now: EV / FY+1 EBITDA, for 2030 exit multiple, which year’s EV should you use</x:v>
      </x:c>
      <x:c r="E82" s="31" t="str">
        <x:v>Valuation now: EV / FY+1 EBITDA, for 2030 exit multiple, which year’s EV should you use</x:v>
      </x:c>
      <x:c r="F82" s="31" t="str">
        <x:v>Valuation</x:v>
      </x:c>
      <x:c r="G82" s="30" t="str">
        <x:v>CL0814</x:v>
      </x:c>
      <x:c r="H82" s="32" t="n">
        <x:f>COUNTIF($G$5:$G$228,G82)</x:f>
        <x:v>1</x:v>
      </x:c>
      <x:c r="I82" s="30" t="str">
        <x:v>A57</x:v>
      </x:c>
      <x:c r="J82" s="31" t="str">
        <x:v>how to find beta | 100 PP&amp;E sale, 50 book value, walk through 3 statements | 100 debt and 10% PIK interest, walk through 3 statements in y0 and y1</x:v>
      </x:c>
    </x:row>
    <x:row r="83" ht="48" customHeight="1">
      <x:c r="A83" s="30" t="str">
        <x:v>QB0727</x:v>
      </x:c>
      <x:c r="B83" s="30" t="str">
        <x:v>Deutsche</x:v>
      </x:c>
      <x:c r="C83" s="30" t="str">
        <x:v>IBD / GCM</x:v>
      </x:c>
      <x:c r="D83" s="31" t="str">
        <x:v>What multiple did you use</x:v>
      </x:c>
      <x:c r="E83" s="31" t="str">
        <x:v>What multiple did you use</x:v>
      </x:c>
      <x:c r="F83" s="31" t="str">
        <x:v>Valuation</x:v>
      </x:c>
      <x:c r="G83" s="30" t="str">
        <x:v>CL1015</x:v>
      </x:c>
      <x:c r="H83" s="32" t="n">
        <x:f>COUNTIF($G$5:$G$228,G83)</x:f>
        <x:v>1</x:v>
      </x:c>
      <x:c r="I83" s="30" t="str">
        <x:v>A86</x:v>
      </x:c>
      <x:c r="J83" s="31" t="str">
        <x:v>Why IBD, why giving up the best years of your life for this | Why DB | Walk me through one project you did that involved valuation</x:v>
      </x:c>
    </x:row>
    <x:row r="84" ht="32" customHeight="1">
      <x:c r="A84" s="30" t="str">
        <x:v>QB0791</x:v>
      </x:c>
      <x:c r="B84" s="30" t="str">
        <x:v>Deutsche</x:v>
      </x:c>
      <x:c r="C84" s="30" t="str">
        <x:v>IBD / GCM</x:v>
      </x:c>
      <x:c r="D84" s="31" t="str">
        <x:v>one very specific deal (investment thesis, valuation, comps)</x:v>
      </x:c>
      <x:c r="E84" s="31" t="str">
        <x:v>One very specific deal (investment thesis, valuation, comps)</x:v>
      </x:c>
      <x:c r="F84" s="31" t="str">
        <x:v>Valuation</x:v>
      </x:c>
      <x:c r="G84" s="30" t="str">
        <x:v>CL0626</x:v>
      </x:c>
      <x:c r="H84" s="32" t="n">
        <x:f>COUNTIF($G$5:$G$228,G84)</x:f>
        <x:v>1</x:v>
      </x:c>
      <x:c r="I84" s="30" t="str">
        <x:v>C125</x:v>
      </x:c>
      <x:c r="J84" s="31" t="str">
        <x:v>Kangli (Diverse Industry Team, Asso) | all English | recent ECM deals</x:v>
      </x:c>
    </x:row>
    <x:row r="85" ht="48" customHeight="1">
      <x:c r="A85" s="30" t="str">
        <x:v>QB0796</x:v>
      </x:c>
      <x:c r="B85" s="30" t="str">
        <x:v>Deutsche</x:v>
      </x:c>
      <x:c r="C85" s="30" t="str">
        <x:v>IBD / GCM</x:v>
      </x:c>
      <x:c r="D85" s="31" t="str">
        <x:v>one specific LBO question (calculate equity value)</x:v>
      </x:c>
      <x:c r="E85" s="31" t="str">
        <x:v>One specific LBO question (calculate equity value)</x:v>
      </x:c>
      <x:c r="F85" s="31" t="str">
        <x:v>Valuation</x:v>
      </x:c>
      <x:c r="G85" s="30" t="str">
        <x:v>CL0625</x:v>
      </x:c>
      <x:c r="H85" s="32" t="n">
        <x:f>COUNTIF($G$5:$G$228,G85)</x:f>
        <x:v>1</x:v>
      </x:c>
      <x:c r="I85" s="30" t="str">
        <x:v>C129</x:v>
      </x:c>
      <x:c r="J85" s="31" t="str">
        <x:v>you worked at secondary market before and why IBD? | can you accept the ibd hours after working at buyside? | walk me through lbo</x:v>
      </x:c>
    </x:row>
    <x:row r="86" ht="32" customHeight="1">
      <x:c r="A86" s="30" t="str">
        <x:v>QB0832</x:v>
      </x:c>
      <x:c r="B86" s="30" t="str">
        <x:v>Deutsche</x:v>
      </x:c>
      <x:c r="C86" s="30" t="str">
        <x:v>IBD / GCM</x:v>
      </x:c>
      <x:c r="D86" s="31" t="str">
        <x:v>What are the comps used (name some)</x:v>
      </x:c>
      <x:c r="E86" s="31" t="str">
        <x:v>What are the comps used (name some)</x:v>
      </x:c>
      <x:c r="F86" s="31" t="str">
        <x:v>Valuation</x:v>
      </x:c>
      <x:c r="G86" s="30" t="str">
        <x:v>CL0876</x:v>
      </x:c>
      <x:c r="H86" s="32" t="n">
        <x:f>COUNTIF($G$5:$G$228,G86)</x:f>
        <x:v>1</x:v>
      </x:c>
      <x:c r="I86" s="30" t="str">
        <x:v>C153</x:v>
      </x:c>
      <x:c r="J86" s="31" t="str">
        <x:v>Basically goes down my CV and grill every detail | Project 1 | Tell me about this deal</x:v>
      </x:c>
    </x:row>
    <x:row r="87" ht="32" customHeight="1">
      <x:c r="A87" s="30" t="str">
        <x:v>QB0863</x:v>
      </x:c>
      <x:c r="B87" s="30" t="str">
        <x:v>Citi</x:v>
      </x:c>
      <x:c r="C87" s="30" t="str">
        <x:v>IBD / GCM</x:v>
      </x:c>
      <x:c r="D87" s="31" t="str">
        <x:v>how to get ev from equity value</x:v>
      </x:c>
      <x:c r="E87" s="31" t="str">
        <x:v>Bridge equity value to enterprise value</x:v>
      </x:c>
      <x:c r="F87" s="31" t="str">
        <x:v>Valuation</x:v>
      </x:c>
      <x:c r="G87" s="30" t="str">
        <x:v>CL0015</x:v>
      </x:c>
      <x:c r="H87" s="32" t="n">
        <x:f>COUNTIF($G$5:$G$228,G87)</x:f>
        <x:v>7</x:v>
      </x:c>
      <x:c r="I87" s="30" t="str">
        <x:v>A4</x:v>
      </x:c>
      <x:c r="J87" s="31" t="str">
        <x:v>2024 SA | citi 1st round group technicals | tell me about a recent citi deal</x:v>
      </x:c>
    </x:row>
    <x:row r="88" ht="48" customHeight="1">
      <x:c r="A88" s="30" t="str">
        <x:v>QB0868</x:v>
      </x:c>
      <x:c r="B88" s="30" t="str">
        <x:v>Citi</x:v>
      </x:c>
      <x:c r="C88" s="30" t="str">
        <x:v>IBD / GCM</x:v>
      </x:c>
      <x:c r="D88" s="31" t="str">
        <x:v>Initiation on the electroplating company, how do you do valuation, investment thesis, comparables and DCF</x:v>
      </x:c>
      <x:c r="E88" s="31" t="str">
        <x:v>Initiation on the electroplating company, how do you do valuation, investment thesis, comparables and DCF</x:v>
      </x:c>
      <x:c r="F88" s="31" t="str">
        <x:v>Valuation</x:v>
      </x:c>
      <x:c r="G88" s="30" t="str">
        <x:v>CL0546</x:v>
      </x:c>
      <x:c r="H88" s="32" t="n">
        <x:f>COUNTIF($G$5:$G$228,G88)</x:f>
        <x:v>1</x:v>
      </x:c>
      <x:c r="I88" s="30" t="str">
        <x:v>B6</x:v>
      </x:c>
      <x:c r="J88" s="31" t="str">
        <x:v>1st Interviewer (Experience, Peter Lam) | Self Intro | Canto: why IBD, why not equity research, ask more about background stuff</x:v>
      </x:c>
    </x:row>
    <x:row r="89" ht="68" customHeight="1">
      <x:c r="A89" s="30" t="str">
        <x:v>QB0870</x:v>
      </x:c>
      <x:c r="B89" s="30" t="str">
        <x:v>Citi</x:v>
      </x:c>
      <x:c r="C89" s="30" t="str">
        <x:v>IBD / GCM</x:v>
      </x:c>
      <x:c r="D89" s="31" t="str">
        <x:v>How do you compare DCF, EV/EBITDA, PE valuation methodology for this company?</x:v>
      </x:c>
      <x:c r="E89" s="31" t="str">
        <x:v>How do you compare DCF, EV/EBITDA, PE valuation methodology for this company</x:v>
      </x:c>
      <x:c r="F89" s="31" t="str">
        <x:v>Valuation</x:v>
      </x:c>
      <x:c r="G89" s="30" t="str">
        <x:v>CL0402</x:v>
      </x:c>
      <x:c r="H89" s="32" t="n">
        <x:f>COUNTIF($G$5:$G$228,G89)</x:f>
        <x:v>1</x:v>
      </x:c>
      <x:c r="I89" s="30" t="str">
        <x:v>B7</x:v>
      </x:c>
      <x:c r="J89" s="31" t="str">
        <x:v>Self Intro | Canto: why IBD, why not equity research, ask more about background stuff | Initiation on the electroplating company, how do you do valuation, investment thesis, comparables and DCF</x:v>
      </x:c>
    </x:row>
    <x:row r="90" ht="48" customHeight="1">
      <x:c r="A90" s="30" t="str">
        <x:v>QB0888</x:v>
      </x:c>
      <x:c r="B90" s="30" t="str">
        <x:v>Citi</x:v>
      </x:c>
      <x:c r="C90" s="30" t="str">
        <x:v>IBD / GCM</x:v>
      </x:c>
      <x:c r="D90" s="31" t="str">
        <x:v>When to use Gross Revenue vs Net Revenue</x:v>
      </x:c>
      <x:c r="E90" s="31" t="str">
        <x:v>When to use Gross Revenue vs Net Revenue</x:v>
      </x:c>
      <x:c r="F90" s="31" t="str">
        <x:v>Valuation</x:v>
      </x:c>
      <x:c r="G90" s="30" t="str">
        <x:v>CL1081</x:v>
      </x:c>
      <x:c r="H90" s="32" t="n">
        <x:f>COUNTIF($G$5:$G$228,G90)</x:f>
        <x:v>1</x:v>
      </x:c>
      <x:c r="I90" s="30" t="str">
        <x:v>A27</x:v>
      </x:c>
      <x:c r="J90" s="31" t="str">
        <x:v>Beata | 搶答/Group Discussion | what kind of companies will receive cash but not yet record it as revenue on the IS, and how would it affect the BS</x:v>
      </x:c>
    </x:row>
    <x:row r="91" ht="68" customHeight="1">
      <x:c r="A91" s="30" t="str">
        <x:v>QB0891</x:v>
      </x:c>
      <x:c r="B91" s="30" t="str">
        <x:v>Citi</x:v>
      </x:c>
      <x:c r="C91" s="30" t="str">
        <x:v>IBD / GCM</x:v>
      </x:c>
      <x:c r="D91" s="31" t="str">
        <x:v>pros and cons of dcf, trading comps, precedent transactions, when do u prefer which</x:v>
      </x:c>
      <x:c r="E91" s="31" t="str">
        <x:v>Pros and cons of dcf, trading comps, precedent transactions, when do u prefer which</x:v>
      </x:c>
      <x:c r="F91" s="31" t="str">
        <x:v>Valuation</x:v>
      </x:c>
      <x:c r="G91" s="30" t="str">
        <x:v>CL0655</x:v>
      </x:c>
      <x:c r="H91" s="32" t="n">
        <x:f>COUNTIF($G$5:$G$228,G91)</x:f>
        <x:v>1</x:v>
      </x:c>
      <x:c r="I91" s="30" t="str">
        <x:v>A30</x:v>
      </x:c>
      <x:c r="J91" s="31" t="str">
        <x:v>When to use Gross Revenue vs Net Revenue | synergies during m&amp;a | followup: someone mentioned that cost synergy is easier to quantify, when ur doing synergies evaluation, how would you quantify</x:v>
      </x:c>
    </x:row>
    <x:row r="92" ht="68" customHeight="1">
      <x:c r="A92" s="30" t="str">
        <x:v>QB0908</x:v>
      </x:c>
      <x:c r="B92" s="30" t="str">
        <x:v>Citi</x:v>
      </x:c>
      <x:c r="C92" s="30" t="str">
        <x:v>IBD / GCM</x:v>
      </x:c>
      <x:c r="D92" s="31" t="str">
        <x:v>What are the three valuation methodologies?</x:v>
      </x:c>
      <x:c r="E92" s="31" t="str">
        <x:v>What are the main valuation methodologies?</x:v>
      </x:c>
      <x:c r="F92" s="31" t="str">
        <x:v>Valuation</x:v>
      </x:c>
      <x:c r="G92" s="30" t="str">
        <x:v>CL0010</x:v>
      </x:c>
      <x:c r="H92" s="32" t="n">
        <x:f>COUNTIF($G$5:$G$228,G92)</x:f>
        <x:v>13</x:v>
      </x:c>
      <x:c r="I92" s="30" t="str">
        <x:v>A59</x:v>
      </x:c>
      <x:c r="J92" s="31" t="str">
        <x:v>What considerations for the bank take into account when making a decision on bank loan or bond issuance for the corporates? | What can companies use with excess cash? | What does negative NWC mean and how to improve WC?</x:v>
      </x:c>
    </x:row>
    <x:row r="93" ht="48" customHeight="1">
      <x:c r="A93" s="30" t="str">
        <x:v>QB0951</x:v>
      </x:c>
      <x:c r="B93" s="30" t="str">
        <x:v>Barclays</x:v>
      </x:c>
      <x:c r="C93" s="30" t="str">
        <x:v>IBD / GCM</x:v>
      </x:c>
      <x:c r="D93" s="31" t="str">
        <x:v>How did you do valuation for the target company</x:v>
      </x:c>
      <x:c r="E93" s="31" t="str">
        <x:v>How did you do valuation for the target company</x:v>
      </x:c>
      <x:c r="F93" s="31" t="str">
        <x:v>Valuation</x:v>
      </x:c>
      <x:c r="G93" s="30" t="str">
        <x:v>CL0386</x:v>
      </x:c>
      <x:c r="H93" s="32" t="n">
        <x:f>COUNTIF($G$5:$G$228,G93)</x:f>
        <x:v>1</x:v>
      </x:c>
      <x:c r="I93" s="30" t="str">
        <x:v>C7</x:v>
      </x:c>
      <x:c r="J93" s="31" t="str">
        <x:v>Her self intro | Tell me about yourself | Tell me more about your case competition experience, what is your role in that case competition and in a team setting?</x:v>
      </x:c>
    </x:row>
    <x:row r="94" ht="48" customHeight="1">
      <x:c r="A94" s="30" t="str">
        <x:v>QB0973</x:v>
      </x:c>
      <x:c r="B94" s="30" t="str">
        <x:v>Barclays</x:v>
      </x:c>
      <x:c r="C94" s="30" t="str">
        <x:v>IBD / GCM</x:v>
      </x:c>
      <x:c r="D94" s="31" t="str">
        <x:v>Key drivers in the DCF</x:v>
      </x:c>
      <x:c r="E94" s="31" t="str">
        <x:v>Key drivers in the DCF</x:v>
      </x:c>
      <x:c r="F94" s="31" t="str">
        <x:v>Valuation</x:v>
      </x:c>
      <x:c r="G94" s="30" t="str">
        <x:v>CL0568</x:v>
      </x:c>
      <x:c r="H94" s="32" t="n">
        <x:f>COUNTIF($G$5:$G$228,G94)</x:f>
        <x:v>1</x:v>
      </x:c>
      <x:c r="I94" s="30" t="str">
        <x:v>G12</x:v>
      </x:c>
      <x:c r="J94" s="31" t="str">
        <x:v>Experience in Daiwa | Biggest challenge you faced in your Daiwa internship | Tell more about PCB industry outlook and observation</x:v>
      </x:c>
    </x:row>
    <x:row r="95" ht="48" customHeight="1">
      <x:c r="A95" s="30" t="str">
        <x:v>QB1007</x:v>
      </x:c>
      <x:c r="B95" s="30" t="str">
        <x:v>Barclays</x:v>
      </x:c>
      <x:c r="C95" s="30" t="str">
        <x:v>IBD / GCM</x:v>
      </x:c>
      <x:c r="D95" s="31" t="str">
        <x:v>(I walked him through the DCF as well bc he wasn’t asking any technical questions…)</x:v>
      </x:c>
      <x:c r="E95" s="31" t="str">
        <x:v>(I walked him through the DCF as well bc he wasn’t asking any technical questions…)</x:v>
      </x:c>
      <x:c r="F95" s="31" t="str">
        <x:v>Valuation</x:v>
      </x:c>
      <x:c r="G95" s="30" t="str">
        <x:v>CL0060</x:v>
      </x:c>
      <x:c r="H95" s="32" t="n">
        <x:f>COUNTIF($G$5:$G$228,G95)</x:f>
        <x:v>1</x:v>
      </x:c>
      <x:c r="I95" s="30" t="str">
        <x:v>A24</x:v>
      </x:c>
      <x:c r="J95" s="31" t="str">
        <x:v>What coverage are you interested in working on at Barclays? | Tell me about a deal you worked on. | Tell me more about the healthcare industry.</x:v>
      </x:c>
    </x:row>
    <x:row r="96" ht="32" customHeight="1">
      <x:c r="A96" s="30" t="str">
        <x:v>QB1028</x:v>
      </x:c>
      <x:c r="B96" s="30" t="str">
        <x:v>Barclays</x:v>
      </x:c>
      <x:c r="C96" s="30" t="str">
        <x:v>IBD / GCM</x:v>
      </x:c>
      <x:c r="D96" s="31" t="str">
        <x:v>How do you get enterprise value from levered fcf</x:v>
      </x:c>
      <x:c r="E96" s="31" t="str">
        <x:v>How do you get enterprise value from levered fcf</x:v>
      </x:c>
      <x:c r="F96" s="31" t="str">
        <x:v>Valuation</x:v>
      </x:c>
      <x:c r="G96" s="30" t="str">
        <x:v>CL0415</x:v>
      </x:c>
      <x:c r="H96" s="32" t="n">
        <x:f>COUNTIF($G$5:$G$228,G96)</x:f>
        <x:v>1</x:v>
      </x:c>
      <x:c r="I96" s="30" t="str">
        <x:v>G31</x:v>
      </x:c>
      <x:c r="J96" s="31" t="str">
        <x:v>Stefanie | Self intro | What’s special about PUI?</x:v>
      </x:c>
    </x:row>
    <x:row r="97" ht="48" customHeight="1">
      <x:c r="A97" s="30" t="str">
        <x:v>QB1049</x:v>
      </x:c>
      <x:c r="B97" s="30" t="str">
        <x:v>Barclays</x:v>
      </x:c>
      <x:c r="C97" s="30" t="str">
        <x:v>IBD / GCM</x:v>
      </x:c>
      <x:c r="D97" s="31" t="str">
        <x:v>what discount rate do you use for levered vs unlevered fcf</x:v>
      </x:c>
      <x:c r="E97" s="31" t="str">
        <x:v>What discount rate do you use for levered vs unlevered fcf</x:v>
      </x:c>
      <x:c r="F97" s="31" t="str">
        <x:v>Valuation</x:v>
      </x:c>
      <x:c r="G97" s="30" t="str">
        <x:v>CL0911</x:v>
      </x:c>
      <x:c r="H97" s="32" t="n">
        <x:f>COUNTIF($G$5:$G$228,G97)</x:f>
        <x:v>1</x:v>
      </x:c>
      <x:c r="I97" s="30" t="str">
        <x:v>E41</x:v>
      </x:c>
      <x:c r="J97" s="31" t="str">
        <x:v>walk me through a deal | what is the difference betweeen lfcf and ufcf | what is the disadvantage of ufcf</x:v>
      </x:c>
    </x:row>
    <x:row r="98" ht="48" customHeight="1">
      <x:c r="A98" s="30" t="str">
        <x:v>QB1063</x:v>
      </x:c>
      <x:c r="B98" s="30" t="str">
        <x:v>Barclays</x:v>
      </x:c>
      <x:c r="C98" s="30" t="str">
        <x:v>IBD / GCM</x:v>
      </x:c>
      <x:c r="D98" s="31" t="str">
        <x:v>Tell me more about wacc, how did you calculate it in the project?</x:v>
      </x:c>
      <x:c r="E98" s="31" t="str">
        <x:v>Tell me more about wacc, how did you calculate it in the project</x:v>
      </x:c>
      <x:c r="F98" s="31" t="str">
        <x:v>Valuation</x:v>
      </x:c>
      <x:c r="G98" s="30" t="str">
        <x:v>CL0767</x:v>
      </x:c>
      <x:c r="H98" s="32" t="n">
        <x:f>COUNTIF($G$5:$G$228,G98)</x:f>
        <x:v>1</x:v>
      </x:c>
      <x:c r="I98" s="30" t="str">
        <x:v>C50</x:v>
      </x:c>
      <x:c r="J98" s="31" t="str">
        <x:v>Self Intro | What investment or project did you do at Alibaba? | How did you quantitativly contribute to the project?</x:v>
      </x:c>
    </x:row>
    <x:row r="99" ht="68" customHeight="1">
      <x:c r="A99" s="30" t="str">
        <x:v>QB1065</x:v>
      </x:c>
      <x:c r="B99" s="30" t="str">
        <x:v>Barclays</x:v>
      </x:c>
      <x:c r="C99" s="30" t="str">
        <x:v>IBD / GCM</x:v>
      </x:c>
      <x:c r="D99" s="31" t="str">
        <x:v>Did you use LTM multiple or NTM mulitiple, why?</x:v>
      </x:c>
      <x:c r="E99" s="31" t="str">
        <x:v>Did you use LTM multiple or NTM mulitiple, why</x:v>
      </x:c>
      <x:c r="F99" s="31" t="str">
        <x:v>Valuation</x:v>
      </x:c>
      <x:c r="G99" s="30" t="str">
        <x:v>CL0251</x:v>
      </x:c>
      <x:c r="H99" s="32" t="n">
        <x:f>COUNTIF($G$5:$G$228,G99)</x:f>
        <x:v>1</x:v>
      </x:c>
      <x:c r="I99" s="30" t="str">
        <x:v>C51</x:v>
      </x:c>
      <x:c r="J99" s="31" t="str">
        <x:v>What investment or project did you do at Alibaba? | How did you quantitativly contribute to the project? | Tell me more about wacc, how did you calculate it in the project?</x:v>
      </x:c>
    </x:row>
    <x:row r="100" ht="68" customHeight="1">
      <x:c r="A100" s="30" t="str">
        <x:v>QB1067</x:v>
      </x:c>
      <x:c r="B100" s="30" t="str">
        <x:v>Barclays</x:v>
      </x:c>
      <x:c r="C100" s="30" t="str">
        <x:v>IBD / GCM</x:v>
      </x:c>
      <x:c r="D100" s="31" t="str">
        <x:v>Can we use NTM multiple?</x:v>
      </x:c>
      <x:c r="E100" s="31" t="str">
        <x:v>Can we use NTM multiple</x:v>
      </x:c>
      <x:c r="F100" s="31" t="str">
        <x:v>Valuation</x:v>
      </x:c>
      <x:c r="G100" s="30" t="str">
        <x:v>CL0186</x:v>
      </x:c>
      <x:c r="H100" s="32" t="n">
        <x:f>COUNTIF($G$5:$G$228,G100)</x:f>
        <x:v>1</x:v>
      </x:c>
      <x:c r="I100" s="30" t="str">
        <x:v>C52</x:v>
      </x:c>
      <x:c r="J100" s="31" t="str">
        <x:v>How did you quantitativly contribute to the project? | Tell me more about wacc, how did you calculate it in the project? | Did you use LTM multiple or NTM mulitiple, why?</x:v>
      </x:c>
    </x:row>
    <x:row r="101" ht="32" customHeight="1">
      <x:c r="A101" s="30" t="str">
        <x:v>QB1088</x:v>
      </x:c>
      <x:c r="B101" s="30" t="str">
        <x:v>Barclays</x:v>
      </x:c>
      <x:c r="C101" s="30" t="str">
        <x:v>IBD / GCM</x:v>
      </x:c>
      <x:c r="D101" s="31" t="str">
        <x:v>how to get enterprise value and what does it mean</x:v>
      </x:c>
      <x:c r="E101" s="31" t="str">
        <x:v>How to get enterprise value and what does it mean</x:v>
      </x:c>
      <x:c r="F101" s="31" t="str">
        <x:v>Valuation</x:v>
      </x:c>
      <x:c r="G101" s="30" t="str">
        <x:v>CL0473</x:v>
      </x:c>
      <x:c r="H101" s="32" t="n">
        <x:f>COUNTIF($G$5:$G$228,G101)</x:f>
        <x:v>1</x:v>
      </x:c>
      <x:c r="I101" s="30" t="str">
        <x:v>C65</x:v>
      </x:c>
      <x:c r="J101" s="31" t="str">
        <x:v>what financial due dilligence did you do | why ibd | why barclays</x:v>
      </x:c>
    </x:row>
    <x:row r="102" ht="32" customHeight="1">
      <x:c r="A102" s="30" t="str">
        <x:v>QB1089</x:v>
      </x:c>
      <x:c r="B102" s="30" t="str">
        <x:v>Barclays</x:v>
      </x:c>
      <x:c r="C102" s="30" t="str">
        <x:v>IBD / GCM</x:v>
      </x:c>
      <x:c r="D102" s="31" t="str">
        <x:v>do u use levered or unlevered fcf for dcf</x:v>
      </x:c>
      <x:c r="E102" s="31" t="str">
        <x:v>Do u use levered or unlevered fcf for dcf</x:v>
      </x:c>
      <x:c r="F102" s="31" t="str">
        <x:v>Valuation</x:v>
      </x:c>
      <x:c r="G102" s="30" t="str">
        <x:v>CL0265</x:v>
      </x:c>
      <x:c r="H102" s="32" t="n">
        <x:f>COUNTIF($G$5:$G$228,G102)</x:f>
        <x:v>1</x:v>
      </x:c>
      <x:c r="I102" s="30" t="str">
        <x:v>A66</x:v>
      </x:c>
      <x:c r="J102" s="31" t="str">
        <x:v>what is wacc | what is beta | why need to lever and unlever beta</x:v>
      </x:c>
    </x:row>
    <x:row r="103" ht="32" customHeight="1">
      <x:c r="A103" s="30" t="str">
        <x:v>QB1090</x:v>
      </x:c>
      <x:c r="B103" s="30" t="str">
        <x:v>Barclays</x:v>
      </x:c>
      <x:c r="C103" s="30" t="str">
        <x:v>IBD / GCM</x:v>
      </x:c>
      <x:c r="D103" s="31" t="str">
        <x:v>tell me about the dcf you did for the esport company</x:v>
      </x:c>
      <x:c r="E103" s="31" t="str">
        <x:v>Tell me about the dcf you did for the esport company</x:v>
      </x:c>
      <x:c r="F103" s="31" t="str">
        <x:v>Valuation</x:v>
      </x:c>
      <x:c r="G103" s="30" t="str">
        <x:v>CL0739</x:v>
      </x:c>
      <x:c r="H103" s="32" t="n">
        <x:f>COUNTIF($G$5:$G$228,G103)</x:f>
        <x:v>1</x:v>
      </x:c>
      <x:c r="I103" s="30" t="str">
        <x:v>C66</x:v>
      </x:c>
      <x:c r="J103" s="31" t="str">
        <x:v>why ibd | why barclays | how to get enterprise value and what does it mean</x:v>
      </x:c>
    </x:row>
    <x:row r="104" ht="48" customHeight="1">
      <x:c r="A104" s="30" t="str">
        <x:v>QB1091</x:v>
      </x:c>
      <x:c r="B104" s="30" t="str">
        <x:v>Barclays</x:v>
      </x:c>
      <x:c r="C104" s="30" t="str">
        <x:v>IBD / GCM</x:v>
      </x:c>
      <x:c r="D104" s="31" t="str">
        <x:v>how to arrive ufcf</x:v>
      </x:c>
      <x:c r="E104" s="31" t="str">
        <x:v>How to arrive ufcf</x:v>
      </x:c>
      <x:c r="F104" s="31" t="str">
        <x:v>Valuation</x:v>
      </x:c>
      <x:c r="G104" s="30" t="str">
        <x:v>CL0461</x:v>
      </x:c>
      <x:c r="H104" s="32" t="n">
        <x:f>COUNTIF($G$5:$G$228,G104)</x:f>
        <x:v>1</x:v>
      </x:c>
      <x:c r="I104" s="30" t="str">
        <x:v>A67</x:v>
      </x:c>
      <x:c r="J104" s="31" t="str">
        <x:v>what is beta | why need to lever and unlever beta | do u use levered or unlevered fcf for dcf</x:v>
      </x:c>
    </x:row>
    <x:row r="105" ht="48" customHeight="1">
      <x:c r="A105" s="30" t="str">
        <x:v>QB1092</x:v>
      </x:c>
      <x:c r="B105" s="30" t="str">
        <x:v>Barclays</x:v>
      </x:c>
      <x:c r="C105" s="30" t="str">
        <x:v>IBD / GCM</x:v>
      </x:c>
      <x:c r="D105" s="31" t="str">
        <x:v>any other valuation method aside dcf</x:v>
      </x:c>
      <x:c r="E105" s="31" t="str">
        <x:v>Any other valuation method aside dcf</x:v>
      </x:c>
      <x:c r="F105" s="31" t="str">
        <x:v>Valuation</x:v>
      </x:c>
      <x:c r="G105" s="30" t="str">
        <x:v>CL0118</x:v>
      </x:c>
      <x:c r="H105" s="32" t="n">
        <x:f>COUNTIF($G$5:$G$228,G105)</x:f>
        <x:v>1</x:v>
      </x:c>
      <x:c r="I105" s="30" t="str">
        <x:v>C67</x:v>
      </x:c>
      <x:c r="J105" s="31" t="str">
        <x:v>why barclays | how to get enterprise value and what does it mean | tell me about the dcf you did for the esport company</x:v>
      </x:c>
    </x:row>
    <x:row r="106" ht="32" customHeight="1">
      <x:c r="A106" s="30" t="str">
        <x:v>QB1117</x:v>
      </x:c>
      <x:c r="B106" s="30" t="str">
        <x:v>Barclays</x:v>
      </x:c>
      <x:c r="C106" s="30" t="str">
        <x:v>IBD / GCM</x:v>
      </x:c>
      <x:c r="D106" s="31" t="str">
        <x:v>WACC公式，Rd公式，Rf用的是什么，CF用的是哪个如何蓉revenue开始求，β是什么；</x:v>
      </x:c>
      <x:c r="E106" s="31" t="str">
        <x:v>WACC公式，Rd公式，Rf用的是什么，CF用的是哪个如何蓉revenue开始求，β是什么；</x:v>
      </x:c>
      <x:c r="F106" s="31" t="str">
        <x:v>Valuation</x:v>
      </x:c>
      <x:c r="G106" s="30" t="str">
        <x:v>CL0822</x:v>
      </x:c>
      <x:c r="H106" s="32" t="n">
        <x:f>COUNTIF($G$5:$G$228,G106)</x:f>
        <x:v>1</x:v>
      </x:c>
      <x:c r="I106" s="30" t="str">
        <x:v>C81</x:v>
      </x:c>
      <x:c r="J106" s="31" t="str">
        <x:v>自我介绍（说自己的教育背景，以前在哪里生活，为什么来香港上学）； | 实习的经历； | Follow up：提到实习搭过DCF，简单说怎么搭；</x:v>
      </x:c>
    </x:row>
    <x:row r="107" ht="32" customHeight="1">
      <x:c r="A107" s="30" t="str">
        <x:v>QB1118</x:v>
      </x:c>
      <x:c r="B107" s="30" t="str">
        <x:v>Barclays</x:v>
      </x:c>
      <x:c r="C107" s="30" t="str">
        <x:v>IBD / GCM</x:v>
      </x:c>
      <x:c r="D107" s="31" t="str">
        <x:v>How to choose comparable comps, give me PE ratios of comps</x:v>
      </x:c>
      <x:c r="E107" s="31" t="str">
        <x:v>How do you select comparable companies?</x:v>
      </x:c>
      <x:c r="F107" s="31" t="str">
        <x:v>Valuation</x:v>
      </x:c>
      <x:c r="G107" s="30" t="str">
        <x:v>CL0012</x:v>
      </x:c>
      <x:c r="H107" s="32" t="n">
        <x:f>COUNTIF($G$5:$G$228,G107)</x:f>
        <x:v>12</x:v>
      </x:c>
      <x:c r="I107" s="30" t="str">
        <x:v>D81</x:v>
      </x:c>
      <x:c r="J107" s="31" t="str">
        <x:v>brief intro； | Why IBD, why Barclays； | A case you did in healthcare ibd;</x:v>
      </x:c>
    </x:row>
    <x:row r="108" ht="48" customHeight="1">
      <x:c r="A108" s="30" t="str">
        <x:v>QB1124</x:v>
      </x:c>
      <x:c r="B108" s="30" t="str">
        <x:v>Barclays</x:v>
      </x:c>
      <x:c r="C108" s="30" t="str">
        <x:v>IBD / GCM</x:v>
      </x:c>
      <x:c r="D108" s="31" t="str">
        <x:v>DCF;</x:v>
      </x:c>
      <x:c r="E108" s="31" t="str">
        <x:v>DCF</x:v>
      </x:c>
      <x:c r="F108" s="31" t="str">
        <x:v>Valuation</x:v>
      </x:c>
      <x:c r="G108" s="30" t="str">
        <x:v>CL0021</x:v>
      </x:c>
      <x:c r="H108" s="32" t="n">
        <x:f>COUNTIF($G$5:$G$228,G108)</x:f>
        <x:v>3</x:v>
      </x:c>
      <x:c r="I108" s="30" t="str">
        <x:v>D83</x:v>
      </x:c>
      <x:c r="J108" s="31" t="str">
        <x:v>A case you did in healthcare ibd; | How to choose comparable comps, give me PE ratios of comps | Why you choose healthcare team;</x:v>
      </x:c>
    </x:row>
    <x:row r="109" ht="48" customHeight="1">
      <x:c r="A109" s="30" t="str">
        <x:v>QB1205</x:v>
      </x:c>
      <x:c r="B109" s="30" t="str">
        <x:v>GS DCMECM</x:v>
      </x:c>
      <x:c r="C109" s="30" t="str">
        <x:v>IBD / GCM</x:v>
      </x:c>
      <x:c r="D109" s="31" t="str">
        <x:v>Trading comps valuation walk through</x:v>
      </x:c>
      <x:c r="E109" s="31" t="str">
        <x:v>Trading comps valuation walk through</x:v>
      </x:c>
      <x:c r="F109" s="31" t="str">
        <x:v>Valuation</x:v>
      </x:c>
      <x:c r="G109" s="30" t="str">
        <x:v>CL0799</x:v>
      </x:c>
      <x:c r="H109" s="32" t="n">
        <x:f>COUNTIF($G$5:$G$228,G109)</x:f>
        <x:v>1</x:v>
      </x:c>
      <x:c r="I109" s="30" t="str">
        <x:v>B31</x:v>
      </x:c>
      <x:c r="J109" s="31" t="str">
        <x:v>How did I get into finance | If I am given a classics IBD position, will I go | Nomura deal walk thorugh</x:v>
      </x:c>
    </x:row>
    <x:row r="110" ht="68" customHeight="1">
      <x:c r="A110" s="30" t="str">
        <x:v>QB1208</x:v>
      </x:c>
      <x:c r="B110" s="30" t="str">
        <x:v>GS DCMECM</x:v>
      </x:c>
      <x:c r="C110" s="30" t="str">
        <x:v>IBD / GCM</x:v>
      </x:c>
      <x:c r="D110" s="31" t="str">
        <x:v>Brain Teaser: 100 participants, each write a number, the one closest to 80% of the average will win 100K, if same number from multiple participants, the prize will be split in between, what number will you write</x:v>
      </x:c>
      <x:c r="E110" s="31" t="str">
        <x:v>Brain Teaser: 100 participants, each write a number, the one closest to 80% of the average will win 100K, if same number from multiple participants, the prize will be split in between, what number will you write</x:v>
      </x:c>
      <x:c r="F110" s="31" t="str">
        <x:v>Valuation</x:v>
      </x:c>
      <x:c r="G110" s="30" t="str">
        <x:v>CL0170</x:v>
      </x:c>
      <x:c r="H110" s="32" t="n">
        <x:f>COUNTIF($G$5:$G$228,G110)</x:f>
        <x:v>1</x:v>
      </x:c>
      <x:c r="I110" s="30" t="str">
        <x:v>A33</x:v>
      </x:c>
      <x:c r="J110" s="31" t="str">
        <x:v>Why GS why DCM | Who were on the Nomura DCM Team | 花5分钟说一下最近市场如何（普通话）</x:v>
      </x:c>
    </x:row>
    <x:row r="111" ht="118" customHeight="1">
      <x:c r="A111" s="30" t="str">
        <x:v>QB1268</x:v>
      </x:c>
      <x:c r="B111" s="30" t="str">
        <x:v>Bofa IBD</x:v>
      </x:c>
      <x:c r="C111" s="30" t="str">
        <x:v>IBD / GCM</x:v>
      </x:c>
      <x:c r="D111" s="31" t="str">
        <x:v>When looking at the comparables from trading comps and also transaction comps, what are some considerations you should keep in mind?</x:v>
      </x:c>
      <x:c r="E111" s="31" t="str">
        <x:v>When looking at the comparables from trading comps and also transaction comps, what are some considerations you should keep in mind</x:v>
      </x:c>
      <x:c r="F111" s="31" t="str">
        <x:v>Valuation</x:v>
      </x:c>
      <x:c r="G111" s="30" t="str">
        <x:v>CL1079</x:v>
      </x:c>
      <x:c r="H111" s="32" t="n">
        <x:f>COUNTIF($G$5:$G$228,G111)</x:f>
        <x:v>1</x:v>
      </x:c>
      <x:c r="I111" s="30" t="str">
        <x:v>G8</x:v>
      </x:c>
      <x:c r="J111" s="31" t="str">
        <x:v>Have I done model? Have I taken corporate finance and accounting? | If I sent you a model done by others and there are a lot of errors, probably because of circular referencing, where would you start checking and how would you make amend...</x:v>
      </x:c>
    </x:row>
    <x:row r="112" ht="92" customHeight="1">
      <x:c r="A112" s="30" t="str">
        <x:v>QB1271</x:v>
      </x:c>
      <x:c r="B112" s="30" t="str">
        <x:v>Bofa IBD</x:v>
      </x:c>
      <x:c r="C112" s="30" t="str">
        <x:v>IBD / GCM</x:v>
      </x:c>
      <x:c r="D112" s="31" t="str">
        <x:v>6any valuation job before? tell me difference between different valuation mathod, (basically pros and cons)</x:v>
      </x:c>
      <x:c r="E112" s="31" t="str">
        <x:v>6any valuation job before? tell me difference between different valuation mathod, (basically pros and cons)</x:v>
      </x:c>
      <x:c r="F112" s="31" t="str">
        <x:v>Valuation</x:v>
      </x:c>
      <x:c r="G112" s="30" t="str">
        <x:v>CL0083</x:v>
      </x:c>
      <x:c r="H112" s="32" t="n">
        <x:f>COUNTIF($G$5:$G$228,G112)</x:f>
        <x:v>1</x:v>
      </x:c>
      <x:c r="I112" s="30" t="str">
        <x:v>E9</x:v>
      </x:c>
      <x:c r="J112" s="31" t="str">
        <x:v>3any preference sector for choosing to work? (i said industrials) | 4any experience in electronic vehicles(get exposed to some, but could share another rragrding different industry in my internship, but she said not really interested😂) ...</x:v>
      </x:c>
    </x:row>
    <x:row r="113" ht="68" customHeight="1">
      <x:c r="A113" s="30" t="str">
        <x:v>QB1279</x:v>
      </x:c>
      <x:c r="B113" s="30" t="str">
        <x:v>Bofa IBD</x:v>
      </x:c>
      <x:c r="C113" s="30" t="str">
        <x:v>IBD / GCM</x:v>
      </x:c>
      <x:c r="D113" s="31" t="str">
        <x:v>8 ev question, can equity value be negative? difference between book value and market value for equity value?</x:v>
      </x:c>
      <x:c r="E113" s="31" t="str">
        <x:v>8 ev question, can equity value be negative? difference between book value and market value for equity value</x:v>
      </x:c>
      <x:c r="F113" s="31" t="str">
        <x:v>Valuation</x:v>
      </x:c>
      <x:c r="G113" s="30" t="str">
        <x:v>CL0085</x:v>
      </x:c>
      <x:c r="H113" s="32" t="n">
        <x:f>COUNTIF($G$5:$G$228,G113)</x:f>
        <x:v>1</x:v>
      </x:c>
      <x:c r="I113" s="30" t="str">
        <x:v>E11</x:v>
      </x:c>
      <x:c r="J113" s="31" t="str">
        <x:v>5for bain, any research in tmt? (yes), tell me about the semiconductor | 6any valuation job before? tell me difference between different valuation mathod, (basically pros and cons) | 7how 3 statement changed if there will be minority int...</x:v>
      </x:c>
    </x:row>
    <x:row r="114" ht="48" customHeight="1">
      <x:c r="A114" s="30" t="str">
        <x:v>QB1284</x:v>
      </x:c>
      <x:c r="B114" s="30" t="str">
        <x:v>Bofa IBD</x:v>
      </x:c>
      <x:c r="C114" s="30" t="str">
        <x:v>IBD / GCM</x:v>
      </x:c>
      <x:c r="D114" s="31" t="str">
        <x:v>Formula of enterprise value</x:v>
      </x:c>
      <x:c r="E114" s="31" t="str">
        <x:v>Formula of enterprise value</x:v>
      </x:c>
      <x:c r="F114" s="31" t="str">
        <x:v>Valuation</x:v>
      </x:c>
      <x:c r="G114" s="30" t="str">
        <x:v>CL0340</x:v>
      </x:c>
      <x:c r="H114" s="32" t="n">
        <x:f>COUNTIF($G$5:$G$228,G114)</x:f>
        <x:v>1</x:v>
      </x:c>
      <x:c r="I114" s="30" t="str">
        <x:v>A14</x:v>
      </x:c>
      <x:c r="J114" s="31" t="str">
        <x:v>How do you account for equity investment in net working capital? | What’s deferred expense | What’s deferred revenue</x:v>
      </x:c>
    </x:row>
    <x:row r="115" ht="32" customHeight="1">
      <x:c r="A115" s="30" t="str">
        <x:v>QB1286</x:v>
      </x:c>
      <x:c r="B115" s="30" t="str">
        <x:v>Bofa IBD</x:v>
      </x:c>
      <x:c r="C115" s="30" t="str">
        <x:v>IBD / GCM</x:v>
      </x:c>
      <x:c r="D115" s="31" t="str">
        <x:v>If we borrow money from a bank for 100, how will it affect Enterprise value?</x:v>
      </x:c>
      <x:c r="E115" s="31" t="str">
        <x:v>If we borrow money from a bank for 100, how will it affect Enterprise value</x:v>
      </x:c>
      <x:c r="F115" s="31" t="str">
        <x:v>Valuation</x:v>
      </x:c>
      <x:c r="G115" s="30" t="str">
        <x:v>CL0524</x:v>
      </x:c>
      <x:c r="H115" s="32" t="n">
        <x:f>COUNTIF($G$5:$G$228,G115)</x:f>
        <x:v>1</x:v>
      </x:c>
      <x:c r="I115" s="30" t="str">
        <x:v>A15</x:v>
      </x:c>
      <x:c r="J115" s="31" t="str">
        <x:v>What’s deferred expense | What’s deferred revenue | Formula of enterprise value</x:v>
      </x:c>
    </x:row>
    <x:row r="116" ht="48" customHeight="1">
      <x:c r="A116" s="30" t="str">
        <x:v>QB1293</x:v>
      </x:c>
      <x:c r="B116" s="30" t="str">
        <x:v>Bofa IBD</x:v>
      </x:c>
      <x:c r="C116" s="30" t="str">
        <x:v>IBD / GCM</x:v>
      </x:c>
      <x:c r="D116" s="31" t="str">
        <x:v>For WACC, if company was in a net cash position, how does this affect and how do you find the acc</x:v>
      </x:c>
      <x:c r="E116" s="31" t="str">
        <x:v>For WACC, if company was in a net cash position, how does this affect and how do you find the acc</x:v>
      </x:c>
      <x:c r="F116" s="31" t="str">
        <x:v>Valuation</x:v>
      </x:c>
      <x:c r="G116" s="30" t="str">
        <x:v>CL0339</x:v>
      </x:c>
      <x:c r="H116" s="32" t="n">
        <x:f>COUNTIF($G$5:$G$228,G116)</x:f>
        <x:v>1</x:v>
      </x:c>
      <x:c r="I116" s="30" t="str">
        <x:v>C18</x:v>
      </x:c>
      <x:c r="J116" s="31" t="str">
        <x:v>Considerations between debt and equity in this market, which would you suggest for companies to issue | Why would company issue debt over equity | Why bofa</x:v>
      </x:c>
    </x:row>
    <x:row r="117" ht="48" customHeight="1">
      <x:c r="A117" s="30" t="str">
        <x:v>QB1294</x:v>
      </x:c>
      <x:c r="B117" s="30" t="str">
        <x:v>Bofa IBD</x:v>
      </x:c>
      <x:c r="C117" s="30" t="str">
        <x:v>IBD / GCM</x:v>
      </x:c>
      <x:c r="D117" s="31" t="str">
        <x:v>Would you use dcf for loss making company, how else would you value it</x:v>
      </x:c>
      <x:c r="E117" s="31" t="str">
        <x:v>Would you use dcf for loss making company, how else would you value it</x:v>
      </x:c>
      <x:c r="F117" s="31" t="str">
        <x:v>Valuation</x:v>
      </x:c>
      <x:c r="G117" s="30" t="str">
        <x:v>CL1197</x:v>
      </x:c>
      <x:c r="H117" s="32" t="n">
        <x:f>COUNTIF($G$5:$G$228,G117)</x:f>
        <x:v>1</x:v>
      </x:c>
      <x:c r="I117" s="30" t="str">
        <x:v>C19</x:v>
      </x:c>
      <x:c r="J117" s="31" t="str">
        <x:v>Why would company issue debt over equity | Why bofa | For WACC, if company was in a net cash position, how does this affect and how do you find the acc</x:v>
      </x:c>
    </x:row>
    <x:row r="118" ht="32" customHeight="1">
      <x:c r="A118" s="30" t="str">
        <x:v>QB1300</x:v>
      </x:c>
      <x:c r="B118" s="30" t="str">
        <x:v>Bofa IBD</x:v>
      </x:c>
      <x:c r="C118" s="30" t="str">
        <x:v>IBD / GCM</x:v>
      </x:c>
      <x:c r="D118" s="31" t="str">
        <x:v>Post-money valuation of the company</x:v>
      </x:c>
      <x:c r="E118" s="31" t="str">
        <x:v>Post-money valuation of the company</x:v>
      </x:c>
      <x:c r="F118" s="31" t="str">
        <x:v>Valuation</x:v>
      </x:c>
      <x:c r="G118" s="30" t="str">
        <x:v>CL0642</x:v>
      </x:c>
      <x:c r="H118" s="32" t="n">
        <x:f>COUNTIF($G$5:$G$228,G118)</x:f>
        <x:v>1</x:v>
      </x:c>
      <x:c r="I118" s="30" t="str">
        <x:v>A23</x:v>
      </x:c>
      <x:c r="J118" s="31" t="str">
        <x:v>Emily 2nd interviewer Johnny | Self intro | Duties in Ody</x:v>
      </x:c>
    </x:row>
    <x:row r="119" ht="32" customHeight="1">
      <x:c r="A119" s="30" t="str">
        <x:v>QB1302</x:v>
      </x:c>
      <x:c r="B119" s="30" t="str">
        <x:v>Bofa IBD</x:v>
      </x:c>
      <x:c r="C119" s="30" t="str">
        <x:v>IBD / GCM</x:v>
      </x:c>
      <x:c r="D119" s="31" t="str">
        <x:v>Enterprise value questions</x:v>
      </x:c>
      <x:c r="E119" s="31" t="str">
        <x:v>Enterprise value questions</x:v>
      </x:c>
      <x:c r="F119" s="31" t="str">
        <x:v>Valuation</x:v>
      </x:c>
      <x:c r="G119" s="30" t="str">
        <x:v>CL0309</x:v>
      </x:c>
      <x:c r="H119" s="32" t="n">
        <x:f>COUNTIF($G$5:$G$228,G119)</x:f>
        <x:v>1</x:v>
      </x:c>
      <x:c r="I119" s="30" t="str">
        <x:v>A24</x:v>
      </x:c>
      <x:c r="J119" s="31" t="str">
        <x:v>Self intro | Duties in Ody | Post-money valuation of the company</x:v>
      </x:c>
    </x:row>
    <x:row r="120" ht="92" customHeight="1">
      <x:c r="A120" s="30" t="str">
        <x:v>QB1307</x:v>
      </x:c>
      <x:c r="B120" s="30" t="str">
        <x:v>Bofa IBD</x:v>
      </x:c>
      <x:c r="C120" s="30" t="str">
        <x:v>IBD / GCM</x:v>
      </x:c>
      <x:c r="D120" s="31" t="str">
        <x:v>How do to comparable company analysis and your choice of multiples</x:v>
      </x:c>
      <x:c r="E120" s="31" t="str">
        <x:v>How do to comparable company analysis and your choice of multiples</x:v>
      </x:c>
      <x:c r="F120" s="31" t="str">
        <x:v>Valuation</x:v>
      </x:c>
      <x:c r="G120" s="30" t="str">
        <x:v>CL0395</x:v>
      </x:c>
      <x:c r="H120" s="32" t="n">
        <x:f>COUNTIF($G$5:$G$228,G120)</x:f>
        <x:v>1</x:v>
      </x:c>
      <x:c r="I120" s="30" t="str">
        <x:v>C26</x:v>
      </x:c>
      <x:c r="J120" s="31" t="str">
        <x:v>Xin wang - director, corp fin | Walk me through the rights issue and your main considerations (e.g. dilution effect, subscription price considerations, timeline) | Distressed clients - what would be your recommendations (choose between r...</x:v>
      </x:c>
    </x:row>
    <x:row r="121" ht="68" customHeight="1">
      <x:c r="A121" s="30" t="str">
        <x:v>QB1308</x:v>
      </x:c>
      <x:c r="B121" s="30" t="str">
        <x:v>Bofa IBD</x:v>
      </x:c>
      <x:c r="C121" s="30" t="str">
        <x:v>IBD / GCM</x:v>
      </x:c>
      <x:c r="D121" s="31" t="str">
        <x:v>Enterprise value: how to account for cash, long term investment, short term financial instrument</x:v>
      </x:c>
      <x:c r="E121" s="31" t="str">
        <x:v>Enterprise value: how to account for cash, long term investment, short term financial instrument</x:v>
      </x:c>
      <x:c r="F121" s="31" t="str">
        <x:v>Valuation</x:v>
      </x:c>
      <x:c r="G121" s="30" t="str">
        <x:v>CL0310</x:v>
      </x:c>
      <x:c r="H121" s="32" t="n">
        <x:f>COUNTIF($G$5:$G$228,G121)</x:f>
        <x:v>1</x:v>
      </x:c>
      <x:c r="I121" s="30" t="str">
        <x:v>A27</x:v>
      </x:c>
      <x:c r="J121" s="31" t="str">
        <x:v>Enterprise value questions | How do you calculate the value of preferred shares | Which one will produce more return: Preferred shares vs corporate bond, senior bond vs junior bond</x:v>
      </x:c>
    </x:row>
    <x:row r="122" ht="48" customHeight="1">
      <x:c r="A122" s="30" t="str">
        <x:v>QB1317</x:v>
      </x:c>
      <x:c r="B122" s="30" t="str">
        <x:v>Bofa IBD</x:v>
      </x:c>
      <x:c r="C122" s="30" t="str">
        <x:v>IBD / GCM</x:v>
      </x:c>
      <x:c r="D122" s="31" t="str">
        <x:v>Tell me about an intation you did (Company overview, investment thesis, industry, valuation)</x:v>
      </x:c>
      <x:c r="E122" s="31" t="str">
        <x:v>Tell me about an intation you did (Company overview, investment thesis, industry, valuation)</x:v>
      </x:c>
      <x:c r="F122" s="31" t="str">
        <x:v>Valuation</x:v>
      </x:c>
      <x:c r="G122" s="30" t="str">
        <x:v>CL0040</x:v>
      </x:c>
      <x:c r="H122" s="32" t="n">
        <x:f>COUNTIF($G$5:$G$228,G122)</x:f>
        <x:v>2</x:v>
      </x:c>
      <x:c r="I122" s="30" t="str">
        <x:v>A34</x:v>
      </x:c>
      <x:c r="J122" s="31" t="str">
        <x:v>Self Intro | Why did you do HKEX? | Why did you apply to Bofa IBD, why not stay in equity research and HKEX?</x:v>
      </x:c>
    </x:row>
    <x:row r="123" ht="68" customHeight="1">
      <x:c r="A123" s="30" t="str">
        <x:v>QB1318</x:v>
      </x:c>
      <x:c r="B123" s="30" t="str">
        <x:v>Bofa IBD</x:v>
      </x:c>
      <x:c r="C123" s="30" t="str">
        <x:v>IBD / GCM</x:v>
      </x:c>
      <x:c r="D123" s="31" t="str">
        <x:v>Walk me through how you do DCF</x:v>
      </x:c>
      <x:c r="E123" s="31" t="str">
        <x:v>Walk me through how you do DCF</x:v>
      </x:c>
      <x:c r="F123" s="31" t="str">
        <x:v>Valuation</x:v>
      </x:c>
      <x:c r="G123" s="30" t="str">
        <x:v>CL0042</x:v>
      </x:c>
      <x:c r="H123" s="32" t="n">
        <x:f>COUNTIF($G$5:$G$228,G123)</x:f>
        <x:v>2</x:v>
      </x:c>
      <x:c r="I123" s="30" t="str">
        <x:v>A35</x:v>
      </x:c>
      <x:c r="J123" s="31" t="str">
        <x:v>Why did you do HKEX? | Why did you apply to Bofa IBD, why not stay in equity research and HKEX? | Tell me about an intation you did (Company overview, investment thesis, industry, valuation)</x:v>
      </x:c>
    </x:row>
    <x:row r="124" ht="68" customHeight="1">
      <x:c r="A124" s="30" t="str">
        <x:v>QB1319</x:v>
      </x:c>
      <x:c r="B124" s="30" t="str">
        <x:v>Bofa IBD</x:v>
      </x:c>
      <x:c r="C124" s="30" t="str">
        <x:v>IBD / GCM</x:v>
      </x:c>
      <x:c r="D124" s="31" t="str">
        <x:v>WACC? (actual number + how to get the number)</x:v>
      </x:c>
      <x:c r="E124" s="31" t="str">
        <x:v>WACC? (actual number + how to get the number)</x:v>
      </x:c>
      <x:c r="F124" s="31" t="str">
        <x:v>Valuation</x:v>
      </x:c>
      <x:c r="G124" s="30" t="str">
        <x:v>CL0821</x:v>
      </x:c>
      <x:c r="H124" s="32" t="n">
        <x:f>COUNTIF($G$5:$G$228,G124)</x:f>
        <x:v>1</x:v>
      </x:c>
      <x:c r="I124" s="30" t="str">
        <x:v>A36</x:v>
      </x:c>
      <x:c r="J124" s="31" t="str">
        <x:v>Why did you apply to Bofa IBD, why not stay in equity research and HKEX? | Tell me about an intation you did (Company overview, investment thesis, industry, valuation) | Walk me through how you do DCF</x:v>
      </x:c>
    </x:row>
    <x:row r="125" ht="68" customHeight="1">
      <x:c r="A125" s="30" t="str">
        <x:v>QB1320</x:v>
      </x:c>
      <x:c r="B125" s="30" t="str">
        <x:v>Bofa IBD</x:v>
      </x:c>
      <x:c r="C125" s="30" t="str">
        <x:v>IBD / GCM</x:v>
      </x:c>
      <x:c r="D125" s="31" t="str">
        <x:v>How to find cost of debt</x:v>
      </x:c>
      <x:c r="E125" s="31" t="str">
        <x:v>How to find cost of debt</x:v>
      </x:c>
      <x:c r="F125" s="31" t="str">
        <x:v>Valuation</x:v>
      </x:c>
      <x:c r="G125" s="30" t="str">
        <x:v>CL0467</x:v>
      </x:c>
      <x:c r="H125" s="32" t="n">
        <x:f>COUNTIF($G$5:$G$228,G125)</x:f>
        <x:v>1</x:v>
      </x:c>
      <x:c r="I125" s="30" t="str">
        <x:v>A37</x:v>
      </x:c>
      <x:c r="J125" s="31" t="str">
        <x:v>Tell me about an intation you did (Company overview, investment thesis, industry, valuation) | Walk me through how you do DCF | WACC? (actual number + how to get the number)</x:v>
      </x:c>
    </x:row>
    <x:row r="126" ht="48" customHeight="1">
      <x:c r="A126" s="30" t="str">
        <x:v>QB1321</x:v>
      </x:c>
      <x:c r="B126" s="30" t="str">
        <x:v>Bofa IBD</x:v>
      </x:c>
      <x:c r="C126" s="30" t="str">
        <x:v>IBD / GCM</x:v>
      </x:c>
      <x:c r="D126" s="31" t="str">
        <x:v>Cost of equity: Risk premium should you include country risk? (bro idk)</x:v>
      </x:c>
      <x:c r="E126" s="31" t="str">
        <x:v>Cost of equity: Risk premium should you include country risk? (bro idk)</x:v>
      </x:c>
      <x:c r="F126" s="31" t="str">
        <x:v>Valuation</x:v>
      </x:c>
      <x:c r="G126" s="30" t="str">
        <x:v>CL0209</x:v>
      </x:c>
      <x:c r="H126" s="32" t="n">
        <x:f>COUNTIF($G$5:$G$228,G126)</x:f>
        <x:v>1</x:v>
      </x:c>
      <x:c r="I126" s="30" t="str">
        <x:v>A38</x:v>
      </x:c>
      <x:c r="J126" s="31" t="str">
        <x:v>Walk me through how you do DCF | WACC? (actual number + how to get the number) | How to find cost of debt</x:v>
      </x:c>
    </x:row>
    <x:row r="127" ht="48" customHeight="1">
      <x:c r="A127" s="30" t="str">
        <x:v>QB1328</x:v>
      </x:c>
      <x:c r="B127" s="30" t="str">
        <x:v>Bofa IBD</x:v>
      </x:c>
      <x:c r="C127" s="30" t="str">
        <x:v>IBD / GCM</x:v>
      </x:c>
      <x:c r="D127" s="31" t="str">
        <x:v>Tell me about an intation you did (Company overview, investment thesis, industry, valuation)</x:v>
      </x:c>
      <x:c r="E127" s="31" t="str">
        <x:v>Tell me about an intation you did (Company overview, investment thesis, industry, valuation)</x:v>
      </x:c>
      <x:c r="F127" s="31" t="str">
        <x:v>Valuation</x:v>
      </x:c>
      <x:c r="G127" s="30" t="str">
        <x:v>CL0040</x:v>
      </x:c>
      <x:c r="H127" s="32" t="n">
        <x:f>COUNTIF($G$5:$G$228,G127)</x:f>
        <x:v>2</x:v>
      </x:c>
      <x:c r="I127" s="30" t="str">
        <x:v>A46</x:v>
      </x:c>
      <x:c r="J127" s="31" t="str">
        <x:v>20 Emily Bofa 4th Interview Henu | Self Intro | Why IBD, why not equity research?</x:v>
      </x:c>
    </x:row>
    <x:row r="128" ht="48" customHeight="1">
      <x:c r="A128" s="30" t="str">
        <x:v>QB1329</x:v>
      </x:c>
      <x:c r="B128" s="30" t="str">
        <x:v>Bofa IBD</x:v>
      </x:c>
      <x:c r="C128" s="30" t="str">
        <x:v>IBD / GCM</x:v>
      </x:c>
      <x:c r="D128" s="31" t="str">
        <x:v>Walk me through how you do DCF</x:v>
      </x:c>
      <x:c r="E128" s="31" t="str">
        <x:v>Walk me through how you do DCF</x:v>
      </x:c>
      <x:c r="F128" s="31" t="str">
        <x:v>Valuation</x:v>
      </x:c>
      <x:c r="G128" s="30" t="str">
        <x:v>CL0042</x:v>
      </x:c>
      <x:c r="H128" s="32" t="n">
        <x:f>COUNTIF($G$5:$G$228,G128)</x:f>
        <x:v>2</x:v>
      </x:c>
      <x:c r="I128" s="30" t="str">
        <x:v>A47</x:v>
      </x:c>
      <x:c r="J128" s="31" t="str">
        <x:v>Self Intro | Why IBD, why not equity research? | Tell me about an intation you did (Company overview, investment thesis, industry, valuation)</x:v>
      </x:c>
    </x:row>
    <x:row r="129" ht="68" customHeight="1">
      <x:c r="A129" s="30" t="str">
        <x:v>QB1330</x:v>
      </x:c>
      <x:c r="B129" s="30" t="str">
        <x:v>Bofa IBD</x:v>
      </x:c>
      <x:c r="C129" s="30" t="str">
        <x:v>IBD / GCM</x:v>
      </x:c>
      <x:c r="D129" s="31" t="str">
        <x:v>WACC? (actual number + how to get the number, break down of cost of debt and equity)</x:v>
      </x:c>
      <x:c r="E129" s="31" t="str">
        <x:v>How should a company choose between debt and equity financing?</x:v>
      </x:c>
      <x:c r="F129" s="31" t="str">
        <x:v>Valuation</x:v>
      </x:c>
      <x:c r="G129" s="30" t="str">
        <x:v>CL0005</x:v>
      </x:c>
      <x:c r="H129" s="32" t="n">
        <x:f>COUNTIF($G$5:$G$228,G129)</x:f>
        <x:v>4</x:v>
      </x:c>
      <x:c r="I129" s="30" t="str">
        <x:v>A48</x:v>
      </x:c>
      <x:c r="J129" s="31" t="str">
        <x:v>Why IBD, why not equity research? | Tell me about an intation you did (Company overview, investment thesis, industry, valuation) | Walk me through how you do DCF</x:v>
      </x:c>
    </x:row>
    <x:row r="130" ht="48" customHeight="1">
      <x:c r="A130" s="30" t="str">
        <x:v>QB1341</x:v>
      </x:c>
      <x:c r="B130" s="30" t="str">
        <x:v>Bofa IBD</x:v>
      </x:c>
      <x:c r="C130" s="30" t="str">
        <x:v>IBD / GCM</x:v>
      </x:c>
      <x:c r="D130" s="31" t="str">
        <x:v>Suwen stock initiation: stock pitch, comparable companies how to screen, what multiples you use</x:v>
      </x:c>
      <x:c r="E130" s="31" t="str">
        <x:v>Pitch me a stock</x:v>
      </x:c>
      <x:c r="F130" s="31" t="str">
        <x:v>Valuation</x:v>
      </x:c>
      <x:c r="G130" s="30" t="str">
        <x:v>CL0006</x:v>
      </x:c>
      <x:c r="H130" s="32" t="n">
        <x:f>COUNTIF($G$5:$G$228,G130)</x:f>
        <x:v>2</x:v>
      </x:c>
      <x:c r="I130" s="30" t="str">
        <x:v>A60</x:v>
      </x:c>
      <x:c r="J130" s="31" t="str">
        <x:v>His self intro | My Self intro | What is epee fencing? Why fencing and how did you get started?</x:v>
      </x:c>
    </x:row>
    <x:row r="131" ht="48" customHeight="1">
      <x:c r="A131" s="30" t="str">
        <x:v>QB1379</x:v>
      </x:c>
      <x:c r="B131" s="30" t="str">
        <x:v>Bofa IBD</x:v>
      </x:c>
      <x:c r="C131" s="30" t="str">
        <x:v>IBD / GCM</x:v>
      </x:c>
      <x:c r="D131" s="31" t="str">
        <x:v>Any protection if indian premium collapse in the future, how would you plan to save the valuation?</x:v>
      </x:c>
      <x:c r="E131" s="31" t="str">
        <x:v>Any protection if indian premium collapse in the future, how would you plan to save the valuation</x:v>
      </x:c>
      <x:c r="F131" s="31" t="str">
        <x:v>Valuation</x:v>
      </x:c>
      <x:c r="G131" s="30" t="str">
        <x:v>CL0120</x:v>
      </x:c>
      <x:c r="H131" s="32" t="n">
        <x:f>COUNTIF($G$5:$G$228,G131)</x:f>
        <x:v>1</x:v>
      </x:c>
      <x:c r="I131" s="30" t="str">
        <x:v>A86</x:v>
      </x:c>
      <x:c r="J131" s="31" t="str">
        <x:v>Self intro | Tell me about a deal you've down at BlackRock | How is your view on the EV/EBITDA</x:v>
      </x:c>
    </x:row>
    <x:row r="132" ht="48" customHeight="1">
      <x:c r="A132" s="30" t="str">
        <x:v>QB1394</x:v>
      </x:c>
      <x:c r="B132" s="30" t="str">
        <x:v>Bofa IBD</x:v>
      </x:c>
      <x:c r="C132" s="30" t="str">
        <x:v>IBD / GCM</x:v>
      </x:c>
      <x:c r="D132" s="31" t="str">
        <x:v>B2B payment pre ipo: Tell me about industry, investment highlights, how you did trading comps, what are the competitors you chose</x:v>
      </x:c>
      <x:c r="E132" s="31" t="str">
        <x:v>B2B payment pre ipo: Tell me about industry, investment highlights, how you did trading comps, what are the competitors you chose</x:v>
      </x:c>
      <x:c r="F132" s="31" t="str">
        <x:v>Valuation</x:v>
      </x:c>
      <x:c r="G132" s="30" t="str">
        <x:v>CL0152</x:v>
      </x:c>
      <x:c r="H132" s="32" t="n">
        <x:f>COUNTIF($G$5:$G$228,G132)</x:f>
        <x:v>1</x:v>
      </x:c>
      <x:c r="I132" s="30" t="str">
        <x:v>C94</x:v>
      </x:c>
      <x:c r="J132" s="31" t="str">
        <x:v>10 3rd Round (By Huang Sun, VP) | Self intro, why you want to work with us? | (Drill CV)</x:v>
      </x:c>
    </x:row>
    <x:row r="133" ht="48" customHeight="1">
      <x:c r="A133" s="30" t="str">
        <x:v>QB1403</x:v>
      </x:c>
      <x:c r="B133" s="30" t="str">
        <x:v>Bofa IBD</x:v>
      </x:c>
      <x:c r="C133" s="30" t="str">
        <x:v>IBD / GCM</x:v>
      </x:c>
      <x:c r="D133" s="31" t="str">
        <x:v>Any DCF work?</x:v>
      </x:c>
      <x:c r="E133" s="31" t="str">
        <x:v>Any DCF work</x:v>
      </x:c>
      <x:c r="F133" s="31" t="str">
        <x:v>Valuation</x:v>
      </x:c>
      <x:c r="G133" s="30" t="str">
        <x:v>CL0112</x:v>
      </x:c>
      <x:c r="H133" s="32" t="n">
        <x:f>COUNTIF($G$5:$G$228,G133)</x:f>
        <x:v>1</x:v>
      </x:c>
      <x:c r="I133" s="30" t="str">
        <x:v>A99</x:v>
      </x:c>
      <x:c r="J133" s="31" t="str">
        <x:v>How did you do comps analysis for the international school platform? | Any exposure to china market? | What is the risk? Policy wide?</x:v>
      </x:c>
    </x:row>
    <x:row r="134" ht="68" customHeight="1">
      <x:c r="A134" s="30" t="str">
        <x:v>QB1413</x:v>
      </x:c>
      <x:c r="B134" s="30" t="str">
        <x:v>Bofa IBD</x:v>
      </x:c>
      <x:c r="C134" s="30" t="str">
        <x:v>IBD / GCM</x:v>
      </x:c>
      <x:c r="D134" s="31" t="str">
        <x:v>Did you do any valuation work?</x:v>
      </x:c>
      <x:c r="E134" s="31" t="str">
        <x:v>Did you do any valuation work</x:v>
      </x:c>
      <x:c r="F134" s="31" t="str">
        <x:v>Valuation</x:v>
      </x:c>
      <x:c r="G134" s="30" t="str">
        <x:v>CL0239</x:v>
      </x:c>
      <x:c r="H134" s="32" t="n">
        <x:f>COUNTIF($G$5:$G$228,G134)</x:f>
        <x:v>1</x:v>
      </x:c>
      <x:c r="I134" s="30" t="str">
        <x:v>C104</x:v>
      </x:c>
      <x:c r="J134" s="31" t="str">
        <x:v>10 4th Round (By Teng Xuan, Director) | Self intro, why you want to work with us? | Tell me about an industry that you would like to pitch to an investor to invest in? What are some risks also?</x:v>
      </x:c>
    </x:row>
    <x:row r="135" ht="68" customHeight="1">
      <x:c r="A135" s="30" t="str">
        <x:v>QB1415</x:v>
      </x:c>
      <x:c r="B135" s="30" t="str">
        <x:v>Bofa IBD</x:v>
      </x:c>
      <x:c r="C135" s="30" t="str">
        <x:v>IBD / GCM</x:v>
      </x:c>
      <x:c r="D135" s="31" t="str">
        <x:v>For trading comps, how would you pick? (Also have operating metrics!!)</x:v>
      </x:c>
      <x:c r="E135" s="31" t="str">
        <x:v>For trading comps, how would you pick? (Also have operating metrics!!)</x:v>
      </x:c>
      <x:c r="F135" s="31" t="str">
        <x:v>Valuation</x:v>
      </x:c>
      <x:c r="G135" s="30" t="str">
        <x:v>CL0336</x:v>
      </x:c>
      <x:c r="H135" s="32" t="n">
        <x:f>COUNTIF($G$5:$G$228,G135)</x:f>
        <x:v>1</x:v>
      </x:c>
      <x:c r="I135" s="30" t="str">
        <x:v>C105</x:v>
      </x:c>
      <x:c r="J135" s="31" t="str">
        <x:v>Self intro, why you want to work with us? | Tell me about an industry that you would like to pitch to an investor to invest in? What are some risks also? | Did you do any valuation work?</x:v>
      </x:c>
    </x:row>
    <x:row r="136" ht="68" customHeight="1">
      <x:c r="A136" s="30" t="str">
        <x:v>QB1416</x:v>
      </x:c>
      <x:c r="B136" s="30" t="str">
        <x:v>Bofa IBD</x:v>
      </x:c>
      <x:c r="C136" s="30" t="str">
        <x:v>IBD / GCM</x:v>
      </x:c>
      <x:c r="D136" s="31" t="str">
        <x:v>A (100M market cap) buys B (50M market cap, 30M equity BV) for 50M, by 100% changes to equity value?</x:v>
      </x:c>
      <x:c r="E136" s="31" t="str">
        <x:v>A (100M market cap) buys B (50M market cap, 30M equity BV) for 50M, by 100% changes to equity value</x:v>
      </x:c>
      <x:c r="F136" s="31" t="str">
        <x:v>Valuation</x:v>
      </x:c>
      <x:c r="G136" s="30" t="str">
        <x:v>CL0088</x:v>
      </x:c>
      <x:c r="H136" s="32" t="n">
        <x:f>COUNTIF($G$5:$G$228,G136)</x:f>
        <x:v>1</x:v>
      </x:c>
      <x:c r="I136" s="30" t="str">
        <x:v>C106</x:v>
      </x:c>
      <x:c r="J136" s="31" t="str">
        <x:v>Tell me about an industry that you would like to pitch to an investor to invest in? What are some risks also? | Did you do any valuation work? | For trading comps, how would you pick? (Also have operating metrics!!)</x:v>
      </x:c>
    </x:row>
    <x:row r="137" ht="68" customHeight="1">
      <x:c r="A137" s="30" t="str">
        <x:v>QB1515</x:v>
      </x:c>
      <x:c r="B137" s="30" t="str">
        <x:v>JPM</x:v>
      </x:c>
      <x:c r="C137" s="30" t="str">
        <x:v>IBD / GCM</x:v>
      </x:c>
      <x:c r="D137" s="31" t="str">
        <x:v>how would you do valuation for a instant noodle company</x:v>
      </x:c>
      <x:c r="E137" s="31" t="str">
        <x:v>How would you do valuation for a instant noodle company</x:v>
      </x:c>
      <x:c r="F137" s="31" t="str">
        <x:v>Valuation</x:v>
      </x:c>
      <x:c r="G137" s="30" t="str">
        <x:v>CL0497</x:v>
      </x:c>
      <x:c r="H137" s="32" t="n">
        <x:f>COUNTIF($G$5:$G$228,G137)</x:f>
        <x:v>1</x:v>
      </x:c>
      <x:c r="I137" s="30" t="str">
        <x:v>C32</x:v>
      </x:c>
      <x:c r="J137" s="31" t="str">
        <x:v>tell me about a time where you are in a group setting, and acted as a significant role | tell me about the tech startup you worked in | how to do credit analysis</x:v>
      </x:c>
    </x:row>
    <x:row r="138" ht="48" customHeight="1">
      <x:c r="A138" s="30" t="str">
        <x:v>QB1516</x:v>
      </x:c>
      <x:c r="B138" s="30" t="str">
        <x:v>JPM</x:v>
      </x:c>
      <x:c r="C138" s="30" t="str">
        <x:v>IBD / GCM</x:v>
      </x:c>
      <x:c r="D138" s="31" t="str">
        <x:v>how do you do dcf</x:v>
      </x:c>
      <x:c r="E138" s="31" t="str">
        <x:v>How do you do dcf</x:v>
      </x:c>
      <x:c r="F138" s="31" t="str">
        <x:v>Valuation</x:v>
      </x:c>
      <x:c r="G138" s="30" t="str">
        <x:v>CL0406</x:v>
      </x:c>
      <x:c r="H138" s="32" t="n">
        <x:f>COUNTIF($G$5:$G$228,G138)</x:f>
        <x:v>1</x:v>
      </x:c>
      <x:c r="I138" s="30" t="str">
        <x:v>C33</x:v>
      </x:c>
      <x:c r="J138" s="31" t="str">
        <x:v>tell me about the tech startup you worked in | how to do credit analysis | how would you do valuation for a instant noodle company</x:v>
      </x:c>
    </x:row>
    <x:row r="139" ht="32" customHeight="1">
      <x:c r="A139" s="30" t="str">
        <x:v>QB1531</x:v>
      </x:c>
      <x:c r="B139" s="30" t="str">
        <x:v>Grant Samuel</x:v>
      </x:c>
      <x:c r="C139" s="30" t="str">
        <x:v>IBD / GCM</x:v>
      </x:c>
      <x:c r="D139" s="31" t="str">
        <x:v>For trading comps, what's the difference between EV/EBITDA, P/E, and EV/Sales</x:v>
      </x:c>
      <x:c r="E139" s="31" t="str">
        <x:v>For trading comps, what's the difference between EV/EBITDA, P/E, and EV/Sales</x:v>
      </x:c>
      <x:c r="F139" s="31" t="str">
        <x:v>Valuation</x:v>
      </x:c>
      <x:c r="G139" s="30" t="str">
        <x:v>CL0337</x:v>
      </x:c>
      <x:c r="H139" s="32" t="n">
        <x:f>COUNTIF($G$5:$G$228,G139)</x:f>
        <x:v>1</x:v>
      </x:c>
      <x:c r="I139" s="30" t="str">
        <x:v>A6</x:v>
      </x:c>
      <x:c r="J139" s="31" t="str">
        <x:v>Beata | Anthony So: Analyst (TMT) | What did you do in BNP?</x:v>
      </x:c>
    </x:row>
    <x:row r="140" ht="48" customHeight="1">
      <x:c r="A140" s="30" t="str">
        <x:v>QB1546</x:v>
      </x:c>
      <x:c r="B140" s="30" t="str">
        <x:v>Grant Samuel</x:v>
      </x:c>
      <x:c r="C140" s="30" t="str">
        <x:v>IBD / GCM</x:v>
      </x:c>
      <x:c r="D140" s="31" t="str">
        <x:v>How to get equity value from EV</x:v>
      </x:c>
      <x:c r="E140" s="31" t="str">
        <x:v>How to get equity value from EV</x:v>
      </x:c>
      <x:c r="F140" s="31" t="str">
        <x:v>Valuation</x:v>
      </x:c>
      <x:c r="G140" s="30" t="str">
        <x:v>CL0034</x:v>
      </x:c>
      <x:c r="H140" s="32" t="n">
        <x:f>COUNTIF($G$5:$G$228,G140)</x:f>
        <x:v>2</x:v>
      </x:c>
      <x:c r="I140" s="30" t="str">
        <x:v>A22</x:v>
      </x:c>
      <x:c r="J140" s="31" t="str">
        <x:v>Did you get any feedback from Lazard? Why didn't you get in? | How do you value mining assets | NPV vs NAV</x:v>
      </x:c>
    </x:row>
    <x:row r="141" ht="32" customHeight="1">
      <x:c r="A141" s="30" t="str">
        <x:v>QB1548</x:v>
      </x:c>
      <x:c r="B141" s="30" t="str">
        <x:v>Grant Samuel</x:v>
      </x:c>
      <x:c r="C141" s="30" t="str">
        <x:v>IBD / GCM</x:v>
      </x:c>
      <x:c r="D141" s="31" t="str">
        <x:v>TV in mining DCF</x:v>
      </x:c>
      <x:c r="E141" s="31" t="str">
        <x:v>TV in mining DCF</x:v>
      </x:c>
      <x:c r="F141" s="31" t="str">
        <x:v>Valuation</x:v>
      </x:c>
      <x:c r="G141" s="30" t="str">
        <x:v>CL0804</x:v>
      </x:c>
      <x:c r="H141" s="32" t="n">
        <x:f>COUNTIF($G$5:$G$228,G141)</x:f>
        <x:v>1</x:v>
      </x:c>
      <x:c r="I141" s="30" t="str">
        <x:v>A24</x:v>
      </x:c>
      <x:c r="J141" s="31" t="str">
        <x:v>NPV vs NAV | How to get equity value from EV | Reserves vs Resources</x:v>
      </x:c>
    </x:row>
    <x:row r="142" ht="32" customHeight="1">
      <x:c r="A142" s="30" t="str">
        <x:v>QB1549</x:v>
      </x:c>
      <x:c r="B142" s="30" t="str">
        <x:v>Grant Samuel</x:v>
      </x:c>
      <x:c r="C142" s="30" t="str">
        <x:v>IBD / GCM</x:v>
      </x:c>
      <x:c r="D142" s="31" t="str">
        <x:v>Mining valuation multiples</x:v>
      </x:c>
      <x:c r="E142" s="31" t="str">
        <x:v>Mining valuation multiples</x:v>
      </x:c>
      <x:c r="F142" s="31" t="str">
        <x:v>Valuation</x:v>
      </x:c>
      <x:c r="G142" s="30" t="str">
        <x:v>CL0606</x:v>
      </x:c>
      <x:c r="H142" s="32" t="n">
        <x:f>COUNTIF($G$5:$G$228,G142)</x:f>
        <x:v>1</x:v>
      </x:c>
      <x:c r="I142" s="30" t="str">
        <x:v>A25</x:v>
      </x:c>
      <x:c r="J142" s="31" t="str">
        <x:v>How to get equity value from EV | Reserves vs Resources | TV in mining DCF</x:v>
      </x:c>
    </x:row>
    <x:row r="143" ht="48" customHeight="1">
      <x:c r="A143" s="30" t="str">
        <x:v>QB1560</x:v>
      </x:c>
      <x:c r="B143" s="30" t="str">
        <x:v>Moelis</x:v>
      </x:c>
      <x:c r="C143" s="30" t="str">
        <x:v>IBD / GCM</x:v>
      </x:c>
      <x:c r="D143" s="31" t="str">
        <x:v>How did you do the valuation?</x:v>
      </x:c>
      <x:c r="E143" s="31" t="str">
        <x:v>How did you do the valuation</x:v>
      </x:c>
      <x:c r="F143" s="31" t="str">
        <x:v>Valuation</x:v>
      </x:c>
      <x:c r="G143" s="30" t="str">
        <x:v>CL0385</x:v>
      </x:c>
      <x:c r="H143" s="32" t="n">
        <x:f>COUNTIF($G$5:$G$228,G143)</x:f>
        <x:v>1</x:v>
      </x:c>
      <x:c r="I143" s="30" t="str">
        <x:v>A7</x:v>
      </x:c>
      <x:c r="J143" s="31" t="str">
        <x:v>How did you do DCF for the energy storage company in ur ER internship? | How did you find the forecast numbers? | Tell me about your CPS deal in UBS</x:v>
      </x:c>
    </x:row>
    <x:row r="144" ht="48" customHeight="1">
      <x:c r="A144" s="30" t="str">
        <x:v>QB1561</x:v>
      </x:c>
      <x:c r="B144" s="30" t="str">
        <x:v>Moelis</x:v>
      </x:c>
      <x:c r="C144" s="30" t="str">
        <x:v>IBD / GCM</x:v>
      </x:c>
      <x:c r="D144" s="31" t="str">
        <x:v>How do you choose comps ?</x:v>
      </x:c>
      <x:c r="E144" s="31" t="str">
        <x:v>How do you select comparable companies?</x:v>
      </x:c>
      <x:c r="F144" s="31" t="str">
        <x:v>Valuation</x:v>
      </x:c>
      <x:c r="G144" s="30" t="str">
        <x:v>CL0012</x:v>
      </x:c>
      <x:c r="H144" s="32" t="n">
        <x:f>COUNTIF($G$5:$G$228,G144)</x:f>
        <x:v>12</x:v>
      </x:c>
      <x:c r="I144" s="30" t="str">
        <x:v>A8</x:v>
      </x:c>
      <x:c r="J144" s="31" t="str">
        <x:v>How did you find the forecast numbers? | Tell me about your CPS deal in UBS | How did you do the valuation?</x:v>
      </x:c>
    </x:row>
    <x:row r="145" ht="48" customHeight="1">
      <x:c r="A145" s="30" t="str">
        <x:v>QB1562</x:v>
      </x:c>
      <x:c r="B145" s="30" t="str">
        <x:v>Moelis</x:v>
      </x:c>
      <x:c r="C145" s="30" t="str">
        <x:v>IBD / GCM</x:v>
      </x:c>
      <x:c r="D145" s="31" t="str">
        <x:v>What multiples for comps and any special multiples?</x:v>
      </x:c>
      <x:c r="E145" s="31" t="str">
        <x:v>What multiples for comps and any special multiples</x:v>
      </x:c>
      <x:c r="F145" s="31" t="str">
        <x:v>Valuation</x:v>
      </x:c>
      <x:c r="G145" s="30" t="str">
        <x:v>CL1016</x:v>
      </x:c>
      <x:c r="H145" s="32" t="n">
        <x:f>COUNTIF($G$5:$G$228,G145)</x:f>
        <x:v>1</x:v>
      </x:c>
      <x:c r="I145" s="30" t="str">
        <x:v>A9</x:v>
      </x:c>
      <x:c r="J145" s="31" t="str">
        <x:v>Tell me about your CPS deal in UBS | How did you do the valuation? | How do you choose comps ?</x:v>
      </x:c>
    </x:row>
    <x:row r="146" ht="48" customHeight="1">
      <x:c r="A146" s="30" t="str">
        <x:v>QB1580</x:v>
      </x:c>
      <x:c r="B146" s="30" t="str">
        <x:v>Moelis</x:v>
      </x:c>
      <x:c r="C146" s="30" t="str">
        <x:v>IBD / GCM</x:v>
      </x:c>
      <x:c r="D146" s="31" t="str">
        <x:v>Screensharing Excel, a few questions on FCF, NPV, multiples, and follow-up, Year 1: 50, Year 4: 175, Find the CAGR</x:v>
      </x:c>
      <x:c r="E146" s="31" t="str">
        <x:v>Screensharing Excel, a few questions on FCF, NPV, multiples, and follow-up, Year 1: 50, Year 4: 175, Find the CAGR</x:v>
      </x:c>
      <x:c r="F146" s="31" t="str">
        <x:v>Valuation</x:v>
      </x:c>
      <x:c r="G146" s="30" t="str">
        <x:v>CL0669</x:v>
      </x:c>
      <x:c r="H146" s="32" t="n">
        <x:f>COUNTIF($G$5:$G$228,G146)</x:f>
        <x:v>1</x:v>
      </x:c>
      <x:c r="I146" s="30" t="str">
        <x:v>C28</x:v>
      </x:c>
      <x:c r="J146" s="31" t="str">
        <x:v>Keven Li Liu - VP | Walk me through your resume</x:v>
      </x:c>
    </x:row>
    <x:row r="147" ht="68" customHeight="1">
      <x:c r="A147" s="30" t="str">
        <x:v>QB1592</x:v>
      </x:c>
      <x:c r="B147" s="30" t="str">
        <x:v>Moelis</x:v>
      </x:c>
      <x:c r="C147" s="30" t="str">
        <x:v>IBD / GCM</x:v>
      </x:c>
      <x:c r="D147" s="31" t="str">
        <x:v>DCF at Gusto Collective</x:v>
      </x:c>
      <x:c r="E147" s="31" t="str">
        <x:v>DCF at Gusto Collective</x:v>
      </x:c>
      <x:c r="F147" s="31" t="str">
        <x:v>Valuation</x:v>
      </x:c>
      <x:c r="G147" s="30" t="str">
        <x:v>CL0224</x:v>
      </x:c>
      <x:c r="H147" s="32" t="n">
        <x:f>COUNTIF($G$5:$G$228,G147)</x:f>
        <x:v>1</x:v>
      </x:c>
      <x:c r="I147" s="30" t="str">
        <x:v>A51</x:v>
      </x:c>
      <x:c r="J147" s="31" t="str">
        <x:v>What do you think about the FI? | l Shared a pitch on a Cambodia-based insurance company -&gt; was surprised that Cambodia has a huge potential in insurance market due to its under penetration rate | i. What do you think are the drivers?</x:v>
      </x:c>
    </x:row>
    <x:row r="148" ht="92" customHeight="1">
      <x:c r="A148" s="30" t="str">
        <x:v>QB1594</x:v>
      </x:c>
      <x:c r="B148" s="30" t="str">
        <x:v>Moelis</x:v>
      </x:c>
      <x:c r="C148" s="30" t="str">
        <x:v>IBD / GCM</x:v>
      </x:c>
      <x:c r="D148" s="31" t="str">
        <x:v>l DCF</x:v>
      </x:c>
      <x:c r="E148" s="31" t="str">
        <x:v>L DCF</x:v>
      </x:c>
      <x:c r="F148" s="31" t="str">
        <x:v>Valuation</x:v>
      </x:c>
      <x:c r="G148" s="30" t="str">
        <x:v>CL0571</x:v>
      </x:c>
      <x:c r="H148" s="32" t="n">
        <x:f>COUNTIF($G$5:$G$228,G148)</x:f>
        <x:v>1</x:v>
      </x:c>
      <x:c r="I148" s="30" t="str">
        <x:v>A55</x:v>
      </x:c>
      <x:c r="J148" s="31" t="str">
        <x:v>i. What do you think are the drivers? | DCF at Gusto Collective | l How did you find WACC? (IDK WHY BUT I JUST REALISED THAT I ANSWERED IN THE WAY OF CALCULATING CAPM KMS so in the end he asked if the company has debt, I said yes, he sai...</x:v>
      </x:c>
    </x:row>
    <x:row r="149" ht="68" customHeight="1">
      <x:c r="A149" s="30" t="str">
        <x:v>QB1620</x:v>
      </x:c>
      <x:c r="B149" s="30" t="str">
        <x:v>Jefferies</x:v>
      </x:c>
      <x:c r="C149" s="30" t="str">
        <x:v>IBD / GCM</x:v>
      </x:c>
      <x:c r="D149" s="31" t="str">
        <x:v>l What are the methodologies used in valuation?</x:v>
      </x:c>
      <x:c r="E149" s="31" t="str">
        <x:v>L What are the methodologies used in valuation</x:v>
      </x:c>
      <x:c r="F149" s="31" t="str">
        <x:v>Valuation</x:v>
      </x:c>
      <x:c r="G149" s="30" t="str">
        <x:v>CL0584</x:v>
      </x:c>
      <x:c r="H149" s="32" t="n">
        <x:f>COUNTIF($G$5:$G$228,G149)</x:f>
        <x:v>1</x:v>
      </x:c>
      <x:c r="I149" s="30" t="str">
        <x:v>A11</x:v>
      </x:c>
      <x:c r="J149" s="31" t="str">
        <x:v>l If you are given only two statements, which two will you choose? | l If you are only given one statement, which statement will you look at? | l Why do you subtract cash from EV calculation?</x:v>
      </x:c>
    </x:row>
    <x:row r="150" ht="68" customHeight="1">
      <x:c r="A150" s="30" t="str">
        <x:v>QB1622</x:v>
      </x:c>
      <x:c r="B150" s="30" t="str">
        <x:v>Jefferies</x:v>
      </x:c>
      <x:c r="C150" s="30" t="str">
        <x:v>IBD / GCM</x:v>
      </x:c>
      <x:c r="D150" s="31" t="str">
        <x:v>i. Briefly explain/introduce the three valuation methodologies</x:v>
      </x:c>
      <x:c r="E150" s="31" t="str">
        <x:v>What are the main valuation methodologies?</x:v>
      </x:c>
      <x:c r="F150" s="31" t="str">
        <x:v>Valuation</x:v>
      </x:c>
      <x:c r="G150" s="30" t="str">
        <x:v>CL0010</x:v>
      </x:c>
      <x:c r="H150" s="32" t="n">
        <x:f>COUNTIF($G$5:$G$228,G150)</x:f>
        <x:v>13</x:v>
      </x:c>
      <x:c r="I150" s="30" t="str">
        <x:v>A12</x:v>
      </x:c>
      <x:c r="J150" s="31" t="str">
        <x:v>l If you are only given one statement, which statement will you look at? | l Why do you subtract cash from EV calculation? | l What are the methodologies used in valuation?</x:v>
      </x:c>
    </x:row>
    <x:row r="151" ht="48" customHeight="1">
      <x:c r="A151" s="30" t="str">
        <x:v>QB1625</x:v>
      </x:c>
      <x:c r="B151" s="30" t="str">
        <x:v>Jefferies</x:v>
      </x:c>
      <x:c r="C151" s="30" t="str">
        <x:v>IBD / GCM</x:v>
      </x:c>
      <x:c r="D151" s="31" t="str">
        <x:v>l For trading comps, did you do the adjustments? (She said probably Jefferies has different standards)</x:v>
      </x:c>
      <x:c r="E151" s="31" t="str">
        <x:v>L For trading comps, did you do the adjustments? (She said probably Jefferies has different standards)</x:v>
      </x:c>
      <x:c r="F151" s="31" t="str">
        <x:v>Valuation</x:v>
      </x:c>
      <x:c r="G151" s="30" t="str">
        <x:v>CL0575</x:v>
      </x:c>
      <x:c r="H151" s="32" t="n">
        <x:f>COUNTIF($G$5:$G$228,G151)</x:f>
        <x:v>1</x:v>
      </x:c>
      <x:c r="I151" s="30" t="str">
        <x:v>C13</x:v>
      </x:c>
      <x:c r="J151" s="31" t="str">
        <x:v>l Did you do any modelling? | Tell me a transaction that you were deeply involved | l (I said a pitch) What did you do (+ explanation)?</x:v>
      </x:c>
    </x:row>
    <x:row r="152" ht="48" customHeight="1">
      <x:c r="A152" s="30" t="str">
        <x:v>QB1626</x:v>
      </x:c>
      <x:c r="B152" s="30" t="str">
        <x:v>Jefferies</x:v>
      </x:c>
      <x:c r="C152" s="30" t="str">
        <x:v>IBD / GCM</x:v>
      </x:c>
      <x:c r="D152" s="31" t="str">
        <x:v>DCF – what CF are you using (UFCF or LFCF)? What are the two ways to find the terminal value? What’s the discount rate used in DCF?</x:v>
      </x:c>
      <x:c r="E152" s="31" t="str">
        <x:v>DCF – what CF are you using (UFCF or LFCF)? What are the two ways to find the terminal value? What’s the discount rate used in DCF</x:v>
      </x:c>
      <x:c r="F152" s="31" t="str">
        <x:v>Valuation</x:v>
      </x:c>
      <x:c r="G152" s="30" t="str">
        <x:v>CL0223</x:v>
      </x:c>
      <x:c r="H152" s="32" t="n">
        <x:f>COUNTIF($G$5:$G$228,G152)</x:f>
        <x:v>1</x:v>
      </x:c>
      <x:c r="I152" s="30" t="str">
        <x:v>A14</x:v>
      </x:c>
      <x:c r="J152" s="31" t="str">
        <x:v>l What are the methodologies used in valuation? | i. Briefly explain/introduce the three valuation methodologies | ii. Follow-up</x:v>
      </x:c>
    </x:row>
    <x:row r="153" ht="68" customHeight="1">
      <x:c r="A153" s="30" t="str">
        <x:v>QB1627</x:v>
      </x:c>
      <x:c r="B153" s="30" t="str">
        <x:v>Jefferies</x:v>
      </x:c>
      <x:c r="C153" s="30" t="str">
        <x:v>IBD / GCM</x:v>
      </x:c>
      <x:c r="D153" s="31" t="str">
        <x:v>l EV pitch – what’s the value chain? How are the valuation multiples?</x:v>
      </x:c>
      <x:c r="E153" s="31" t="str">
        <x:v>L EV pitch – what’s the value chain? How are the valuation multiples</x:v>
      </x:c>
      <x:c r="F153" s="31" t="str">
        <x:v>Valuation</x:v>
      </x:c>
      <x:c r="G153" s="30" t="str">
        <x:v>CL0574</x:v>
      </x:c>
      <x:c r="H153" s="32" t="n">
        <x:f>COUNTIF($G$5:$G$228,G153)</x:f>
        <x:v>1</x:v>
      </x:c>
      <x:c r="I153" s="30" t="str">
        <x:v>C14</x:v>
      </x:c>
      <x:c r="J153" s="31" t="str">
        <x:v>Tell me a transaction that you were deeply involved | l (I said a pitch) What did you do (+ explanation)? | l For trading comps, did you do the adjustments? (She said probably Jefferies has different standards)</x:v>
      </x:c>
    </x:row>
    <x:row r="154" ht="92" customHeight="1">
      <x:c r="A154" s="30" t="str">
        <x:v>QB1630</x:v>
      </x:c>
      <x:c r="B154" s="30" t="str">
        <x:v>Jefferies</x:v>
      </x:c>
      <x:c r="C154" s="30" t="str">
        <x:v>IBD / GCM</x:v>
      </x:c>
      <x:c r="D154" s="31" t="str">
        <x:v>Precedent transactions – what are the pros and cons?</x:v>
      </x:c>
      <x:c r="E154" s="31" t="str">
        <x:v>Precedent transactions – what are the pros and cons</x:v>
      </x:c>
      <x:c r="F154" s="31" t="str">
        <x:v>Valuation</x:v>
      </x:c>
      <x:c r="G154" s="30" t="str">
        <x:v>CL0646</x:v>
      </x:c>
      <x:c r="H154" s="32" t="n">
        <x:f>COUNTIF($G$5:$G$228,G154)</x:f>
        <x:v>1</x:v>
      </x:c>
      <x:c r="I154" s="30" t="str">
        <x:v>A16</x:v>
      </x:c>
      <x:c r="J154" s="31" t="str">
        <x:v>ii. Follow-up | DCF – what CF are you using (UFCF or LFCF)? What are the two ways to find the terminal value? What’s the discount rate used in DCF? | Trading comps – what are some common multiples used? Why would two companies with same ...</x:v>
      </x:c>
    </x:row>
    <x:row r="155" ht="68" customHeight="1">
      <x:c r="A155" s="30" t="str">
        <x:v>QB1635</x:v>
      </x:c>
      <x:c r="B155" s="30" t="str">
        <x:v>Jefferies</x:v>
      </x:c>
      <x:c r="C155" s="30" t="str">
        <x:v>IBD / GCM</x:v>
      </x:c>
      <x:c r="D155" s="31" t="str">
        <x:v>Compared to other valuation methodologies, how would their values differ?</x:v>
      </x:c>
      <x:c r="E155" s="31" t="str">
        <x:v>What are the main valuation methodologies?</x:v>
      </x:c>
      <x:c r="F155" s="31" t="str">
        <x:v>Valuation</x:v>
      </x:c>
      <x:c r="G155" s="30" t="str">
        <x:v>CL0010</x:v>
      </x:c>
      <x:c r="H155" s="32" t="n">
        <x:f>COUNTIF($G$5:$G$228,G155)</x:f>
        <x:v>13</x:v>
      </x:c>
      <x:c r="I155" s="30" t="str">
        <x:v>C18</x:v>
      </x:c>
      <x:c r="J155" s="31" t="str">
        <x:v>How are the 3 FS linked together? | If depreciation is up by 10, how would it affect the 3 FS? | Do you know about LBO? In what situations do you use it and in what situations do you not use it?</x:v>
      </x:c>
    </x:row>
    <x:row r="156" ht="48" customHeight="1">
      <x:c r="A156" s="30" t="str">
        <x:v>QB1692</x:v>
      </x:c>
      <x:c r="B156" s="30" t="str">
        <x:v>BNP Paribas</x:v>
      </x:c>
      <x:c r="C156" s="30" t="str">
        <x:v>IBD / GCM</x:v>
      </x:c>
      <x:c r="D156" s="31" t="str">
        <x:v>Suppose you want to do valuation for a pet food company, what are some common valuation methodologies</x:v>
      </x:c>
      <x:c r="E156" s="31" t="str">
        <x:v>What are the main valuation methodologies?</x:v>
      </x:c>
      <x:c r="F156" s="31" t="str">
        <x:v>Valuation</x:v>
      </x:c>
      <x:c r="G156" s="30" t="str">
        <x:v>CL0010</x:v>
      </x:c>
      <x:c r="H156" s="32" t="n">
        <x:f>COUNTIF($G$5:$G$228,G156)</x:f>
        <x:v>13</x:v>
      </x:c>
      <x:c r="I156" s="30" t="str">
        <x:v>G6</x:v>
      </x:c>
      <x:c r="J156" s="31" t="str">
        <x:v>Fourth Interviewer | Industry Group (2 interviewers, TMT and Energy)</x:v>
      </x:c>
    </x:row>
    <x:row r="157" ht="68" customHeight="1">
      <x:c r="A157" s="30" t="str">
        <x:v>QB1696</x:v>
      </x:c>
      <x:c r="B157" s="30" t="str">
        <x:v>BNP Paribas</x:v>
      </x:c>
      <x:c r="C157" s="30" t="str">
        <x:v>IBD / GCM</x:v>
      </x:c>
      <x:c r="D157" s="31" t="str">
        <x:v>Deep dive into each - DCF, comps, precedent transactions</x:v>
      </x:c>
      <x:c r="E157" s="31" t="str">
        <x:v>Deep dive into each - DCF, comps, precedent transactions</x:v>
      </x:c>
      <x:c r="F157" s="31" t="str">
        <x:v>Valuation</x:v>
      </x:c>
      <x:c r="G157" s="30" t="str">
        <x:v>CL0229</x:v>
      </x:c>
      <x:c r="H157" s="32" t="n">
        <x:f>COUNTIF($G$5:$G$228,G157)</x:f>
        <x:v>1</x:v>
      </x:c>
      <x:c r="I157" s="30" t="str">
        <x:v>G7</x:v>
      </x:c>
      <x:c r="J157" s="31" t="str">
        <x:v>Fourth Interviewer | Industry Group (2 interviewers, TMT and Energy) | Suppose you want to do valuation for a pet food company, what are some common valuation methodologies</x:v>
      </x:c>
    </x:row>
    <x:row r="158" ht="48" customHeight="1">
      <x:c r="A158" s="30" t="str">
        <x:v>QB1713</x:v>
      </x:c>
      <x:c r="B158" s="30" t="str">
        <x:v>BNP Paribas</x:v>
      </x:c>
      <x:c r="C158" s="30" t="str">
        <x:v>IBD / GCM</x:v>
      </x:c>
      <x:c r="D158" s="31" t="str">
        <x:v>Walk me through DCF</x:v>
      </x:c>
      <x:c r="E158" s="31" t="str">
        <x:v>Walk me through DCF</x:v>
      </x:c>
      <x:c r="F158" s="31" t="str">
        <x:v>Valuation</x:v>
      </x:c>
      <x:c r="G158" s="30" t="str">
        <x:v>CL0013</x:v>
      </x:c>
      <x:c r="H158" s="32" t="n">
        <x:f>COUNTIF($G$5:$G$228,G158)</x:f>
        <x:v>10</x:v>
      </x:c>
      <x:c r="I158" s="30" t="str">
        <x:v>A11</x:v>
      </x:c>
      <x:c r="J158" s="31" t="str">
        <x:v>What does a CIM include | What does a Letter of Intent include | Total Comprehensive Income vs Net Income</x:v>
      </x:c>
    </x:row>
    <x:row r="159" ht="118" customHeight="1">
      <x:c r="A159" s="30" t="str">
        <x:v>QB1715</x:v>
      </x:c>
      <x:c r="B159" s="30" t="str">
        <x:v>BNP Paribas</x:v>
      </x:c>
      <x:c r="C159" s="30" t="str">
        <x:v>IBD / GCM</x:v>
      </x:c>
      <x:c r="D159" s="31" t="str">
        <x:v>DCF</x:v>
      </x:c>
      <x:c r="E159" s="31" t="str">
        <x:v>DCF</x:v>
      </x:c>
      <x:c r="F159" s="31" t="str">
        <x:v>Valuation</x:v>
      </x:c>
      <x:c r="G159" s="30" t="str">
        <x:v>CL0021</x:v>
      </x:c>
      <x:c r="H159" s="32" t="n">
        <x:f>COUNTIF($G$5:$G$228,G159)</x:f>
        <x:v>3</x:v>
      </x:c>
      <x:c r="I159" s="30" t="str">
        <x:v>E11</x:v>
      </x:c>
      <x:c r="J159" s="31" t="str">
        <x:v>If you're my intern and we want to decide whether we should lend money to KKR for LBO, what will you include in a 2-page memo for me to read suppose I don't know anything about the company | Suppose the target company (that KKR wants to ...</x:v>
      </x:c>
    </x:row>
    <x:row r="160" ht="48" customHeight="1">
      <x:c r="A160" s="30" t="str">
        <x:v>QB1716</x:v>
      </x:c>
      <x:c r="B160" s="30" t="str">
        <x:v>BNP Paribas</x:v>
      </x:c>
      <x:c r="C160" s="30" t="str">
        <x:v>IBD / GCM</x:v>
      </x:c>
      <x:c r="D160" s="31" t="str">
        <x:v>and some other follwup questions regarding the valuation methodologies, to make sure you know every single part of it</x:v>
      </x:c>
      <x:c r="E160" s="31" t="str">
        <x:v>What are the main valuation methodologies?</x:v>
      </x:c>
      <x:c r="F160" s="31" t="str">
        <x:v>Valuation</x:v>
      </x:c>
      <x:c r="G160" s="30" t="str">
        <x:v>CL0010</x:v>
      </x:c>
      <x:c r="H160" s="32" t="n">
        <x:f>COUNTIF($G$5:$G$228,G160)</x:f>
        <x:v>13</x:v>
      </x:c>
      <x:c r="I160" s="30" t="str">
        <x:v>G11</x:v>
      </x:c>
      <x:c r="J160" s="31" t="str">
        <x:v>e.g. what are some inputs for comps | where do u find the inputs | if you cannot use bloomberg, how will you find the data</x:v>
      </x:c>
    </x:row>
    <x:row r="161" ht="48" customHeight="1">
      <x:c r="A161" s="30" t="str">
        <x:v>QB1717</x:v>
      </x:c>
      <x:c r="B161" s="30" t="str">
        <x:v>BNP Paribas</x:v>
      </x:c>
      <x:c r="C161" s="30" t="str">
        <x:v>IBD / GCM</x:v>
      </x:c>
      <x:c r="D161" s="31" t="str">
        <x:v>Deep dive DCF</x:v>
      </x:c>
      <x:c r="E161" s="31" t="str">
        <x:v>Deep dive DCF</x:v>
      </x:c>
      <x:c r="F161" s="31" t="str">
        <x:v>Valuation</x:v>
      </x:c>
      <x:c r="G161" s="30" t="str">
        <x:v>CL0228</x:v>
      </x:c>
      <x:c r="H161" s="32" t="n">
        <x:f>COUNTIF($G$5:$G$228,G161)</x:f>
        <x:v>1</x:v>
      </x:c>
      <x:c r="I161" s="30" t="str">
        <x:v>A12</x:v>
      </x:c>
      <x:c r="J161" s="31" t="str">
        <x:v>What does a Letter of Intent include | Total Comprehensive Income vs Net Income | Walk me through DCF</x:v>
      </x:c>
    </x:row>
    <x:row r="162" ht="68" customHeight="1">
      <x:c r="A162" s="30" t="str">
        <x:v>QB1719</x:v>
      </x:c>
      <x:c r="B162" s="30" t="str">
        <x:v>BNP Paribas</x:v>
      </x:c>
      <x:c r="C162" s="30" t="str">
        <x:v>IBD / GCM</x:v>
      </x:c>
      <x:c r="D162" s="31" t="str">
        <x:v>Enterprise Value (also drill about it)</x:v>
      </x:c>
      <x:c r="E162" s="31" t="str">
        <x:v>Enterprise Value (also drill about it)</x:v>
      </x:c>
      <x:c r="F162" s="31" t="str">
        <x:v>Valuation</x:v>
      </x:c>
      <x:c r="G162" s="30" t="str">
        <x:v>CL0308</x:v>
      </x:c>
      <x:c r="H162" s="32" t="n">
        <x:f>COUNTIF($G$5:$G$228,G162)</x:f>
        <x:v>1</x:v>
      </x:c>
      <x:c r="I162" s="30" t="str">
        <x:v>G12</x:v>
      </x:c>
      <x:c r="J162" s="31" t="str">
        <x:v>where do u find the inputs | if you cannot use bloomberg, how will you find the data | and some other follwup questions regarding the valuation methodologies, to make sure you know every single part of it</x:v>
      </x:c>
    </x:row>
    <x:row r="163" ht="32" customHeight="1">
      <x:c r="A163" s="30" t="str">
        <x:v>QB1720</x:v>
      </x:c>
      <x:c r="B163" s="30" t="str">
        <x:v>BNP Paribas</x:v>
      </x:c>
      <x:c r="C163" s="30" t="str">
        <x:v>IBD / GCM</x:v>
      </x:c>
      <x:c r="D163" s="31" t="str">
        <x:v>Comps?? (forgot if she asked or not)</x:v>
      </x:c>
      <x:c r="E163" s="31" t="str">
        <x:v>Comps?? (forgot if she asked or not)</x:v>
      </x:c>
      <x:c r="F163" s="31" t="str">
        <x:v>Valuation</x:v>
      </x:c>
      <x:c r="G163" s="30" t="str">
        <x:v>CL0204</x:v>
      </x:c>
      <x:c r="H163" s="32" t="n">
        <x:f>COUNTIF($G$5:$G$228,G163)</x:f>
        <x:v>1</x:v>
      </x:c>
      <x:c r="I163" s="30" t="str">
        <x:v>A13</x:v>
      </x:c>
      <x:c r="J163" s="31" t="str">
        <x:v>Total Comprehensive Income vs Net Income | Walk me through DCF | Deep dive DCF</x:v>
      </x:c>
    </x:row>
    <x:row r="164" ht="68" customHeight="1">
      <x:c r="A164" s="30" t="str">
        <x:v>QB1723</x:v>
      </x:c>
      <x:c r="B164" s="30" t="str">
        <x:v>BNP Paribas</x:v>
      </x:c>
      <x:c r="C164" s="30" t="str">
        <x:v>IBD / GCM</x:v>
      </x:c>
      <x:c r="D164" s="31" t="str">
        <x:v>since you mentioned about getting some public info about the deal through reading news, suppose in the news they said the company acquired 70% stake, how would you find the enterprise value</x:v>
      </x:c>
      <x:c r="E164" s="31" t="str">
        <x:v>Since you mentioned about getting some public info about the deal through reading news, suppose in the news they said the company acquired 70% stake, how would you find the enterprise value</x:v>
      </x:c>
      <x:c r="F164" s="31" t="str">
        <x:v>Valuation</x:v>
      </x:c>
      <x:c r="G164" s="30" t="str">
        <x:v>CL0680</x:v>
      </x:c>
      <x:c r="H164" s="32" t="n">
        <x:f>COUNTIF($G$5:$G$228,G164)</x:f>
        <x:v>1</x:v>
      </x:c>
      <x:c r="I164" s="30" t="str">
        <x:v>G14</x:v>
      </x:c>
      <x:c r="J164" s="31" t="str">
        <x:v>and some other follwup questions regarding the valuation methodologies, to make sure you know every single part of it | Enterprise Value (also drill about it) | For precedent transactions, a lot of data is not disclosed, how would you do</x:v>
      </x:c>
    </x:row>
    <x:row r="165" ht="68" customHeight="1">
      <x:c r="A165" s="30" t="str">
        <x:v>QB1735</x:v>
      </x:c>
      <x:c r="B165" s="30" t="str">
        <x:v>BNP Paribas</x:v>
      </x:c>
      <x:c r="C165" s="30" t="str">
        <x:v>IBD / GCM</x:v>
      </x:c>
      <x:c r="D165" s="31" t="str">
        <x:v>The conversion between EV, equity value, and company market capitalization</x:v>
      </x:c>
      <x:c r="E165" s="31" t="str">
        <x:v>The conversion between EV, equity value, and company market capitalization</x:v>
      </x:c>
      <x:c r="F165" s="31" t="str">
        <x:v>Valuation</x:v>
      </x:c>
      <x:c r="G165" s="30" t="str">
        <x:v>CL0780</x:v>
      </x:c>
      <x:c r="H165" s="32" t="n">
        <x:f>COUNTIF($G$5:$G$228,G165)</x:f>
        <x:v>1</x:v>
      </x:c>
      <x:c r="I165" s="30" t="str">
        <x:v>A19</x:v>
      </x:c>
      <x:c r="J165" s="31" t="str">
        <x:v>first interviewer - Doris, a kind graduate from HKU with experience in Tencent | The main focus was on asking questions about the resume. | My insights into the TMT industry and why I chose TMT (I originally worked primarily in pharmaceu...</x:v>
      </x:c>
    </x:row>
    <x:row r="166" ht="92" customHeight="1">
      <x:c r="A166" s="30" t="str">
        <x:v>QB1739</x:v>
      </x:c>
      <x:c r="B166" s="30" t="str">
        <x:v>BNP Paribas</x:v>
      </x:c>
      <x:c r="C166" s="30" t="str">
        <x:v>IBD / GCM</x:v>
      </x:c>
      <x:c r="D166" s="31" t="str">
        <x:v>A rather rough comparison between various valuation methods</x:v>
      </x:c>
      <x:c r="E166" s="31" t="str">
        <x:v>What are the main valuation methodologies?</x:v>
      </x:c>
      <x:c r="F166" s="31" t="str">
        <x:v>Valuation</x:v>
      </x:c>
      <x:c r="G166" s="30" t="str">
        <x:v>CL0010</x:v>
      </x:c>
      <x:c r="H166" s="32" t="n">
        <x:f>COUNTIF($G$5:$G$228,G166)</x:f>
        <x:v>13</x:v>
      </x:c>
      <x:c r="I166" s="30" t="str">
        <x:v>C20</x:v>
      </x:c>
      <x:c r="J166" s="31" t="str">
        <x:v>The main focus was on asking questions about the resume. | Hong Kong Stock Exchange Listing Process | How exactly do you apply the comparable company valuation method (this could be in the technology industry, or it could be an industry ...</x:v>
      </x:c>
    </x:row>
    <x:row r="167" ht="68" customHeight="1">
      <x:c r="A167" s="30" t="str">
        <x:v>QB1742</x:v>
      </x:c>
      <x:c r="B167" s="30" t="str">
        <x:v>BNP Paribas</x:v>
      </x:c>
      <x:c r="C167" s="30" t="str">
        <x:v>IBD / GCM</x:v>
      </x:c>
      <x:c r="D167" s="31" t="str">
        <x:v>Then spent about half an hour asking questions about a project. It required going from the company's logic to how the specific valuation model's figures were derived.</x:v>
      </x:c>
      <x:c r="E167" s="31" t="str">
        <x:v>Then spent about half an hour asking questions about a project. It required going from the company's logic to how the specific valuation model's figures were derived</x:v>
      </x:c>
      <x:c r="F167" s="31" t="str">
        <x:v>Valuation</x:v>
      </x:c>
      <x:c r="G167" s="30" t="str">
        <x:v>CL0787</x:v>
      </x:c>
      <x:c r="H167" s="32" t="n">
        <x:f>COUNTIF($G$5:$G$228,G167)</x:f>
        <x:v>1</x:v>
      </x:c>
      <x:c r="I167" s="30" t="str">
        <x:v>E21</x:v>
      </x:c>
      <x:c r="J167" s="31" t="str">
        <x:v>The main focus was on asking questions about the resume. | An interviewer who was extremely intimidating and put immense pressure on the candidates. | First, spend four minutes questioning my motives.</x:v>
      </x:c>
    </x:row>
    <x:row r="168" ht="92" customHeight="1">
      <x:c r="A168" s="30" t="str">
        <x:v>QB1747</x:v>
      </x:c>
      <x:c r="B168" s="30" t="str">
        <x:v>BNP Paribas</x:v>
      </x:c>
      <x:c r="C168" s="30" t="str">
        <x:v>IBD / GCM</x:v>
      </x:c>
      <x:c r="D168" s="31" t="str">
        <x:v>DCF</x:v>
      </x:c>
      <x:c r="E168" s="31" t="str">
        <x:v>DCF</x:v>
      </x:c>
      <x:c r="F168" s="31" t="str">
        <x:v>Valuation</x:v>
      </x:c>
      <x:c r="G168" s="30" t="str">
        <x:v>CL0021</x:v>
      </x:c>
      <x:c r="H168" s="32" t="n">
        <x:f>COUNTIF($G$5:$G$228,G168)</x:f>
        <x:v>3</x:v>
      </x:c>
      <x:c r="I168" s="30" t="str">
        <x:v>C23</x:v>
      </x:c>
      <x:c r="J168" s="31" t="str">
        <x:v>A rather rough comparison between various valuation methods | They are interested in my experience in the pharmaceutical industry, curious about my methodologies, and importantly, the logic must be sound. | Motivational questioning, beca...</x:v>
      </x:c>
    </x:row>
    <x:row r="169" ht="118" customHeight="1">
      <x:c r="A169" s="30" t="str">
        <x:v>QB1748</x:v>
      </x:c>
      <x:c r="B169" s="30" t="str">
        <x:v>BNP Paribas</x:v>
      </x:c>
      <x:c r="C169" s="30" t="str">
        <x:v>IBD / GCM</x:v>
      </x:c>
      <x:c r="D169" s="31" t="str">
        <x:v>Also, please remember the company's specific valuation figure; he will check its accuracy on his phone on the spot. Furthermore, you must have a clear understanding of your role, such as in which specific detail the investment value analysis report will be used.</x:v>
      </x:c>
      <x:c r="E169" s="31" t="str">
        <x:v>Also, please remember the company's specific valuation figure; he will check its accuracy on his phone on the spot. Furthermore, you must have a clear understanding of your role, such as in which specific detail the investment value analysis report will be used</x:v>
      </x:c>
      <x:c r="F169" s="31" t="str">
        <x:v>Valuation</x:v>
      </x:c>
      <x:c r="G169" s="30" t="str">
        <x:v>CL0108</x:v>
      </x:c>
      <x:c r="H169" s="32" t="n">
        <x:f>COUNTIF($G$5:$G$228,G169)</x:f>
        <x:v>1</x:v>
      </x:c>
      <x:c r="I169" s="30" t="str">
        <x:v>E23</x:v>
      </x:c>
      <x:c r="J169" s="31" t="str">
        <x:v>First, spend four minutes questioning my motives. | Then spent about half an hour asking questions about a project. It required going from the company's logic to how the specific valuation model's figures were derived. | So please take t...</x:v>
      </x:c>
    </x:row>
    <x:row r="170" ht="118" customHeight="1">
      <x:c r="A170" s="30" t="str">
        <x:v>QB1751</x:v>
      </x:c>
      <x:c r="B170" s="30" t="str">
        <x:v>BNP Paribas</x:v>
      </x:c>
      <x:c r="C170" s="30" t="str">
        <x:v>IBD / GCM</x:v>
      </x:c>
      <x:c r="D170" s="31" t="str">
        <x:v>Valuation definitely needs to start with DCF and comparable company valuation methods. Please remember every detail of the figures, such as WACC, g, and risk-free rate, etc.</x:v>
      </x:c>
      <x:c r="E170" s="31" t="str">
        <x:v>What are the main valuation methodologies?</x:v>
      </x:c>
      <x:c r="F170" s="31" t="str">
        <x:v>Valuation</x:v>
      </x:c>
      <x:c r="G170" s="30" t="str">
        <x:v>CL0010</x:v>
      </x:c>
      <x:c r="H170" s="32" t="n">
        <x:f>COUNTIF($G$5:$G$228,G170)</x:f>
        <x:v>13</x:v>
      </x:c>
      <x:c r="I170" s="30" t="str">
        <x:v>E24</x:v>
      </x:c>
      <x:c r="J170" s="31" t="str">
        <x:v>Then spent about half an hour asking questions about a project. It required going from the company's logic to how the specific valuation model's figures were derived. | So please take the time to recall the numerical details of the valua...</x:v>
      </x:c>
    </x:row>
    <x:row r="171" ht="32" customHeight="1">
      <x:c r="A171" s="30" t="str">
        <x:v>QB1771</x:v>
      </x:c>
      <x:c r="B171" s="30" t="str">
        <x:v>BNP Paribas</x:v>
      </x:c>
      <x:c r="C171" s="30" t="str">
        <x:v>IBD / GCM</x:v>
      </x:c>
      <x:c r="D171" s="31" t="str">
        <x:v>Multiples used in comps</x:v>
      </x:c>
      <x:c r="E171" s="31" t="str">
        <x:v>Multiples used in comps</x:v>
      </x:c>
      <x:c r="F171" s="31" t="str">
        <x:v>Valuation</x:v>
      </x:c>
      <x:c r="G171" s="30" t="str">
        <x:v>CL0612</x:v>
      </x:c>
      <x:c r="H171" s="32" t="n">
        <x:f>COUNTIF($G$5:$G$228,G171)</x:f>
        <x:v>1</x:v>
      </x:c>
      <x:c r="I171" s="30" t="str">
        <x:v>E36</x:v>
      </x:c>
      <x:c r="J171" s="31" t="str">
        <x:v>Round 2 (D) | D - Calvin (English) | Walk through experiences, show understanding of M&amp;A</x:v>
      </x:c>
    </x:row>
    <x:row r="172" ht="32" customHeight="1">
      <x:c r="A172" s="30" t="str">
        <x:v>QB1783</x:v>
      </x:c>
      <x:c r="B172" s="30" t="str">
        <x:v>BNP Paribas</x:v>
      </x:c>
      <x:c r="C172" s="30" t="str">
        <x:v>IBD / GCM</x:v>
      </x:c>
      <x:c r="D172" s="31" t="str">
        <x:v>DCF - Time period of estimated</x:v>
      </x:c>
      <x:c r="E172" s="31" t="str">
        <x:v>DCF - Time period of estimated</x:v>
      </x:c>
      <x:c r="F172" s="31" t="str">
        <x:v>Valuation</x:v>
      </x:c>
      <x:c r="G172" s="30" t="str">
        <x:v>CL0221</x:v>
      </x:c>
      <x:c r="H172" s="32" t="n">
        <x:f>COUNTIF($G$5:$G$228,G172)</x:f>
        <x:v>1</x:v>
      </x:c>
      <x:c r="I172" s="30" t="str">
        <x:v>E40</x:v>
      </x:c>
      <x:c r="J172" s="31" t="str">
        <x:v>Difference between EV/ebitda, EV/revenue | When to use EV, when P/E | Trailing or forward?</x:v>
      </x:c>
    </x:row>
    <x:row r="173" ht="32" customHeight="1">
      <x:c r="A173" s="30" t="str">
        <x:v>QB1785</x:v>
      </x:c>
      <x:c r="B173" s="30" t="str">
        <x:v>BNP Paribas</x:v>
      </x:c>
      <x:c r="C173" s="30" t="str">
        <x:v>IBD / GCM</x:v>
      </x:c>
      <x:c r="D173" s="31" t="str">
        <x:v>DCF - PV proportion of the growth period and the TV</x:v>
      </x:c>
      <x:c r="E173" s="31" t="str">
        <x:v>DCF - PV proportion of the growth period and the TV</x:v>
      </x:c>
      <x:c r="F173" s="31" t="str">
        <x:v>Valuation</x:v>
      </x:c>
      <x:c r="G173" s="30" t="str">
        <x:v>CL0220</x:v>
      </x:c>
      <x:c r="H173" s="32" t="n">
        <x:f>COUNTIF($G$5:$G$228,G173)</x:f>
        <x:v>1</x:v>
      </x:c>
      <x:c r="I173" s="30" t="str">
        <x:v>E41</x:v>
      </x:c>
      <x:c r="J173" s="31" t="str">
        <x:v>When to use EV, when P/E | Trailing or forward? | DCF - Time period of estimated</x:v>
      </x:c>
    </x:row>
    <x:row r="174" ht="68" customHeight="1">
      <x:c r="A174" s="30" t="str">
        <x:v>QB1786</x:v>
      </x:c>
      <x:c r="B174" s="30" t="str">
        <x:v>BNP Paribas</x:v>
      </x:c>
      <x:c r="C174" s="30" t="str">
        <x:v>IBD / GCM</x:v>
      </x:c>
      <x:c r="D174" s="31" t="str">
        <x:v>DCF details (I mentioned about SOTP used in biotech)</x:v>
      </x:c>
      <x:c r="E174" s="31" t="str">
        <x:v>DCF details (I mentioned about SOTP used in biotech)</x:v>
      </x:c>
      <x:c r="F174" s="31" t="str">
        <x:v>Valuation</x:v>
      </x:c>
      <x:c r="G174" s="30" t="str">
        <x:v>CL0225</x:v>
      </x:c>
      <x:c r="H174" s="32" t="n">
        <x:f>COUNTIF($G$5:$G$228,G174)</x:f>
        <x:v>1</x:v>
      </x:c>
      <x:c r="I174" s="30" t="str">
        <x:v>A42</x:v>
      </x:c>
      <x:c r="J174" s="31" t="str">
        <x:v>About my investment memo — what were the key investment highlights? | Walk through the company’s P&amp;L structure | How did you build up the revenue forecast/model?</x:v>
      </x:c>
    </x:row>
    <x:row r="175" ht="48" customHeight="1">
      <x:c r="A175" s="30" t="str">
        <x:v>QB1789</x:v>
      </x:c>
      <x:c r="B175" s="30" t="str">
        <x:v>BNP Paribas</x:v>
      </x:c>
      <x:c r="C175" s="30" t="str">
        <x:v>IBD / GCM</x:v>
      </x:c>
      <x:c r="D175" s="31" t="str">
        <x:v>How do you get beta (levered/unlevered)</x:v>
      </x:c>
      <x:c r="E175" s="31" t="str">
        <x:v>How do you get beta (levered/unlevered)</x:v>
      </x:c>
      <x:c r="F175" s="31" t="str">
        <x:v>Valuation</x:v>
      </x:c>
      <x:c r="G175" s="30" t="str">
        <x:v>CL0414</x:v>
      </x:c>
      <x:c r="H175" s="32" t="n">
        <x:f>COUNTIF($G$5:$G$228,G175)</x:f>
        <x:v>1</x:v>
      </x:c>
      <x:c r="I175" s="30" t="str">
        <x:v>A43</x:v>
      </x:c>
      <x:c r="J175" s="31" t="str">
        <x:v>Walk through the company’s P&amp;L structure | How did you build up the revenue forecast/model? | DCF details (I mentioned about SOTP used in biotech)</x:v>
      </x:c>
    </x:row>
    <x:row r="176" ht="48" customHeight="1">
      <x:c r="A176" s="30" t="str">
        <x:v>QB1802</x:v>
      </x:c>
      <x:c r="B176" s="30" t="str">
        <x:v>BNP Paribas</x:v>
      </x:c>
      <x:c r="C176" s="30" t="str">
        <x:v>IBD / GCM</x:v>
      </x:c>
      <x:c r="D176" s="31" t="str">
        <x:v>What was the average EV/EBITDA multiple of your selected comps?</x:v>
      </x:c>
      <x:c r="E176" s="31" t="str">
        <x:v>How do you select comparable companies?</x:v>
      </x:c>
      <x:c r="F176" s="31" t="str">
        <x:v>Valuation</x:v>
      </x:c>
      <x:c r="G176" s="30" t="str">
        <x:v>CL0012</x:v>
      </x:c>
      <x:c r="H176" s="32" t="n">
        <x:f>COUNTIF($G$5:$G$228,G176)</x:f>
        <x:v>12</x:v>
      </x:c>
      <x:c r="I176" s="30" t="str">
        <x:v>A48</x:v>
      </x:c>
      <x:c r="J176" s="31" t="str">
        <x:v>How the 3 statements are linked | What key metrics would you focus on in healthcare | Comparable comps</x:v>
      </x:c>
    </x:row>
    <x:row r="177" ht="32" customHeight="1">
      <x:c r="A177" s="30" t="str">
        <x:v>QB1825</x:v>
      </x:c>
      <x:c r="B177" s="30" t="str">
        <x:v>HSBC</x:v>
      </x:c>
      <x:c r="C177" s="30" t="str">
        <x:v>IBD / GCM</x:v>
      </x:c>
      <x:c r="D177" s="31" t="str">
        <x:v>What's WACC</x:v>
      </x:c>
      <x:c r="E177" s="31" t="str">
        <x:v>What's WACC</x:v>
      </x:c>
      <x:c r="F177" s="31" t="str">
        <x:v>Valuation</x:v>
      </x:c>
      <x:c r="G177" s="30" t="str">
        <x:v>CL1061</x:v>
      </x:c>
      <x:c r="H177" s="32" t="n">
        <x:f>COUNTIF($G$5:$G$228,G177)</x:f>
        <x:v>1</x:v>
      </x:c>
      <x:c r="I177" s="30" t="str">
        <x:v>C10</x:v>
      </x:c>
      <x:c r="J177" s="31" t="str">
        <x:v>Chit Chat | Why IBD | Squareroot of 4000</x:v>
      </x:c>
    </x:row>
    <x:row r="178" ht="118" customHeight="1">
      <x:c r="A178" s="30" t="str">
        <x:v>QB1829</x:v>
      </x:c>
      <x:c r="B178" s="30" t="str">
        <x:v>HSBC</x:v>
      </x:c>
      <x:c r="C178" s="30" t="str">
        <x:v>IBD / GCM</x:v>
      </x:c>
      <x:c r="D178" s="31" t="str">
        <x:v>how do you find equity value from enterprise value</x:v>
      </x:c>
      <x:c r="E178" s="31" t="str">
        <x:v>Bridge equity value to enterprise value</x:v>
      </x:c>
      <x:c r="F178" s="31" t="str">
        <x:v>Valuation</x:v>
      </x:c>
      <x:c r="G178" s="30" t="str">
        <x:v>CL0015</x:v>
      </x:c>
      <x:c r="H178" s="32" t="n">
        <x:f>COUNTIF($G$5:$G$228,G178)</x:f>
        <x:v>7</x:v>
      </x:c>
      <x:c r="I178" s="30" t="str">
        <x:v>E11</x:v>
      </x:c>
      <x:c r="J178" s="31" t="str">
        <x:v>Chit Chat (like what's ur favorite subject) | Brain teaser: 100 balls, 50 black and 50 white, how would you put them into two baskets (in any way u want) to maximize the probability to get a black ball | Brain teaser: 3 boxes with fruits...</x:v>
      </x:c>
    </x:row>
    <x:row r="179" ht="68" customHeight="1">
      <x:c r="A179" s="30" t="str">
        <x:v>QB1844</x:v>
      </x:c>
      <x:c r="B179" s="30" t="str">
        <x:v>HSBC</x:v>
      </x:c>
      <x:c r="C179" s="30" t="str">
        <x:v>IBD / GCM</x:v>
      </x:c>
      <x:c r="D179" s="31" t="str">
        <x:v>what companies did you use for comparables analysis</x:v>
      </x:c>
      <x:c r="E179" s="31" t="str">
        <x:v>What companies did you use for comparables analysis</x:v>
      </x:c>
      <x:c r="F179" s="31" t="str">
        <x:v>Valuation</x:v>
      </x:c>
      <x:c r="G179" s="30" t="str">
        <x:v>CL0889</x:v>
      </x:c>
      <x:c r="H179" s="32" t="n">
        <x:f>COUNTIF($G$5:$G$228,G179)</x:f>
        <x:v>1</x:v>
      </x:c>
      <x:c r="I179" s="30" t="str">
        <x:v>E16</x:v>
      </x:c>
      <x:c r="J179" s="31" t="str">
        <x:v>3 statements question?? not sure if he asked | a bit more tech qs but i dont remember | ok this is the end of the scripted questions im gonna ask u some cv questions</x:v>
      </x:c>
    </x:row>
    <x:row r="180" ht="68" customHeight="1">
      <x:c r="A180" s="30" t="str">
        <x:v>QB1847</x:v>
      </x:c>
      <x:c r="B180" s="30" t="str">
        <x:v>HSBC</x:v>
      </x:c>
      <x:c r="C180" s="30" t="str">
        <x:v>IBD / GCM</x:v>
      </x:c>
      <x:c r="D180" s="31" t="str">
        <x:v>what was the industry multiple</x:v>
      </x:c>
      <x:c r="E180" s="31" t="str">
        <x:v>What was the industry multiple</x:v>
      </x:c>
      <x:c r="F180" s="31" t="str">
        <x:v>Valuation</x:v>
      </x:c>
      <x:c r="G180" s="30" t="str">
        <x:v>CL1035</x:v>
      </x:c>
      <x:c r="H180" s="32" t="n">
        <x:f>COUNTIF($G$5:$G$228,G180)</x:f>
        <x:v>1</x:v>
      </x:c>
      <x:c r="I180" s="30" t="str">
        <x:v>E17</x:v>
      </x:c>
      <x:c r="J180" s="31" t="str">
        <x:v>a bit more tech qs but i dont remember | ok this is the end of the scripted questions im gonna ask u some cv questions | what companies did you use for comparables analysis</x:v>
      </x:c>
    </x:row>
    <x:row r="181" ht="68" customHeight="1">
      <x:c r="A181" s="30" t="str">
        <x:v>QB1850</x:v>
      </x:c>
      <x:c r="B181" s="30" t="str">
        <x:v>HSBC</x:v>
      </x:c>
      <x:c r="C181" s="30" t="str">
        <x:v>IBD / GCM</x:v>
      </x:c>
      <x:c r="D181" s="31" t="str">
        <x:v>do you think it's directly comparable (cuz i used big companies)</x:v>
      </x:c>
      <x:c r="E181" s="31" t="str">
        <x:v>Do you think it's directly comparable (cuz i used big companies)</x:v>
      </x:c>
      <x:c r="F181" s="31" t="str">
        <x:v>Valuation</x:v>
      </x:c>
      <x:c r="G181" s="30" t="str">
        <x:v>CL0294</x:v>
      </x:c>
      <x:c r="H181" s="32" t="n">
        <x:f>COUNTIF($G$5:$G$228,G181)</x:f>
        <x:v>1</x:v>
      </x:c>
      <x:c r="I181" s="30" t="str">
        <x:v>E18</x:v>
      </x:c>
      <x:c r="J181" s="31" t="str">
        <x:v>ok this is the end of the scripted questions im gonna ask u some cv questions | what companies did you use for comparables analysis | what was the industry multiple</x:v>
      </x:c>
    </x:row>
    <x:row r="182" ht="48" customHeight="1">
      <x:c r="A182" s="30" t="str">
        <x:v>QB1852</x:v>
      </x:c>
      <x:c r="B182" s="30" t="str">
        <x:v>HSBC</x:v>
      </x:c>
      <x:c r="C182" s="30" t="str">
        <x:v>IBD / GCM</x:v>
      </x:c>
      <x:c r="D182" s="31" t="str">
        <x:v>beta for tech companies</x:v>
      </x:c>
      <x:c r="E182" s="31" t="str">
        <x:v>Beta for tech companies</x:v>
      </x:c>
      <x:c r="F182" s="31" t="str">
        <x:v>Valuation</x:v>
      </x:c>
      <x:c r="G182" s="30" t="str">
        <x:v>CL0162</x:v>
      </x:c>
      <x:c r="H182" s="32" t="n">
        <x:f>COUNTIF($G$5:$G$228,G182)</x:f>
        <x:v>1</x:v>
      </x:c>
      <x:c r="I182" s="30" t="str">
        <x:v>C19</x:v>
      </x:c>
      <x:c r="J182" s="31" t="str">
        <x:v>How does interest rate impact the stock market | The yield curve right now | Debt vs equity (not sure if she asked)</x:v>
      </x:c>
    </x:row>
    <x:row r="183" ht="68" customHeight="1">
      <x:c r="A183" s="30" t="str">
        <x:v>QB1856</x:v>
      </x:c>
      <x:c r="B183" s="30" t="str">
        <x:v>HSBC</x:v>
      </x:c>
      <x:c r="C183" s="30" t="str">
        <x:v>IBD / GCM</x:v>
      </x:c>
      <x:c r="D183" s="31" t="str">
        <x:v>how did you find the terminal value</x:v>
      </x:c>
      <x:c r="E183" s="31" t="str">
        <x:v>How did you find the terminal value</x:v>
      </x:c>
      <x:c r="F183" s="31" t="str">
        <x:v>Valuation</x:v>
      </x:c>
      <x:c r="G183" s="30" t="str">
        <x:v>CL0389</x:v>
      </x:c>
      <x:c r="H183" s="32" t="n">
        <x:f>COUNTIF($G$5:$G$228,G183)</x:f>
        <x:v>1</x:v>
      </x:c>
      <x:c r="I183" s="30" t="str">
        <x:v>E20</x:v>
      </x:c>
      <x:c r="J183" s="31" t="str">
        <x:v>what was the industry multiple | do you think it's directly comparable (cuz i used big companies) | why did you only do a 5-year projection model but not a 10-year one</x:v>
      </x:c>
    </x:row>
    <x:row r="184" ht="68" customHeight="1">
      <x:c r="A184" s="30" t="str">
        <x:v>QB1860</x:v>
      </x:c>
      <x:c r="B184" s="30" t="str">
        <x:v>HSBC</x:v>
      </x:c>
      <x:c r="C184" s="30" t="str">
        <x:v>IBD / GCM</x:v>
      </x:c>
      <x:c r="D184" s="31" t="str">
        <x:v>what companies did you use for the comparable analysis at XXXX</x:v>
      </x:c>
      <x:c r="E184" s="31" t="str">
        <x:v>What companies did you use for the comparable analysis at XXXX</x:v>
      </x:c>
      <x:c r="F184" s="31" t="str">
        <x:v>Valuation</x:v>
      </x:c>
      <x:c r="G184" s="30" t="str">
        <x:v>CL0890</x:v>
      </x:c>
      <x:c r="H184" s="32" t="n">
        <x:f>COUNTIF($G$5:$G$228,G184)</x:f>
        <x:v>1</x:v>
      </x:c>
      <x:c r="I184" s="30" t="str">
        <x:v>A22</x:v>
      </x:c>
      <x:c r="J184" s="31" t="str">
        <x:v>(i said i was the only intern so no team) then tell me a time when you work INDEPENDENTLY | (i said buyout trends in india declined) why declined | (i said tighter credit policies) we have some credit analysts over there ill check with them</x:v>
      </x:c>
    </x:row>
    <x:row r="185" ht="68" customHeight="1">
      <x:c r="A185" s="30" t="str">
        <x:v>QB1895</x:v>
      </x:c>
      <x:c r="B185" s="30" t="str">
        <x:v>Lazard</x:v>
      </x:c>
      <x:c r="C185" s="30" t="str">
        <x:v>IBD / GCM</x:v>
      </x:c>
      <x:c r="D185" s="31" t="str">
        <x:v>Walk me through DCF and WACC for formula</x:v>
      </x:c>
      <x:c r="E185" s="31" t="str">
        <x:v>Walk me through DCF and WACC for formula</x:v>
      </x:c>
      <x:c r="F185" s="31" t="str">
        <x:v>Valuation</x:v>
      </x:c>
      <x:c r="G185" s="30" t="str">
        <x:v>CL0831</x:v>
      </x:c>
      <x:c r="H185" s="32" t="n">
        <x:f>COUNTIF($G$5:$G$228,G185)</x:f>
        <x:v>1</x:v>
      </x:c>
      <x:c r="I185" s="30" t="str">
        <x:v>A7</x:v>
      </x:c>
      <x:c r="J185" s="31" t="str">
        <x:v>Major responsibilities in deal, company and industry overview | Process of M&amp;A? | What are the main factors of choosing the final buyer in M&amp;A as a sellside advisor?</x:v>
      </x:c>
    </x:row>
    <x:row r="186" ht="68" customHeight="1">
      <x:c r="A186" s="30" t="str">
        <x:v>QB1899</x:v>
      </x:c>
      <x:c r="B186" s="30" t="str">
        <x:v>Lazard</x:v>
      </x:c>
      <x:c r="C186" s="30" t="str">
        <x:v>IBD / GCM</x:v>
      </x:c>
      <x:c r="D186" s="31" t="str">
        <x:v>For private company, what equity value should we use when calculating its enterprise value / % of equity when calculating WACC?</x:v>
      </x:c>
      <x:c r="E186" s="31" t="str">
        <x:v>Bridge equity value to enterprise value</x:v>
      </x:c>
      <x:c r="F186" s="31" t="str">
        <x:v>Valuation</x:v>
      </x:c>
      <x:c r="G186" s="30" t="str">
        <x:v>CL0015</x:v>
      </x:c>
      <x:c r="H186" s="32" t="n">
        <x:f>COUNTIF($G$5:$G$228,G186)</x:f>
        <x:v>7</x:v>
      </x:c>
      <x:c r="I186" s="30" t="str">
        <x:v>A9</x:v>
      </x:c>
      <x:c r="J186" s="31" t="str">
        <x:v>What are the main factors of choosing the final buyer in M&amp;A as a sellside advisor? | Walk me through DCF and WACC for formula | Buying intangible asset counted as CAPEX?</x:v>
      </x:c>
    </x:row>
    <x:row r="187" ht="48" customHeight="1">
      <x:c r="A187" s="30" t="str">
        <x:v>QB1902</x:v>
      </x:c>
      <x:c r="B187" s="30" t="str">
        <x:v>Lazard</x:v>
      </x:c>
      <x:c r="C187" s="30" t="str">
        <x:v>IBD / GCM</x:v>
      </x:c>
      <x:c r="D187" s="31" t="str">
        <x:v>Walk me through DCF</x:v>
      </x:c>
      <x:c r="E187" s="31" t="str">
        <x:v>Walk me through DCF</x:v>
      </x:c>
      <x:c r="F187" s="31" t="str">
        <x:v>Valuation</x:v>
      </x:c>
      <x:c r="G187" s="30" t="str">
        <x:v>CL0013</x:v>
      </x:c>
      <x:c r="H187" s="32" t="n">
        <x:f>COUNTIF($G$5:$G$228,G187)</x:f>
        <x:v>10</x:v>
      </x:c>
      <x:c r="I187" s="30" t="str">
        <x:v>C10</x:v>
      </x:c>
      <x:c r="J187" s="31" t="str">
        <x:v>What is the market dynamic of this sector | Context/background of project 2 | What is the 3 ways of privitization and what’s the difference</x:v>
      </x:c>
    </x:row>
    <x:row r="188" ht="48" customHeight="1">
      <x:c r="A188" s="30" t="str">
        <x:v>QB1903</x:v>
      </x:c>
      <x:c r="B188" s="30" t="str">
        <x:v>Lazard</x:v>
      </x:c>
      <x:c r="C188" s="30" t="str">
        <x:v>IBD / GCM</x:v>
      </x:c>
      <x:c r="D188" s="31" t="str">
        <x:v>Revenue to EBIT? WACC?</x:v>
      </x:c>
      <x:c r="E188" s="31" t="str">
        <x:v>Revenue to EBIT? WACC</x:v>
      </x:c>
      <x:c r="F188" s="31" t="str">
        <x:v>Valuation</x:v>
      </x:c>
      <x:c r="G188" s="30" t="str">
        <x:v>CL0664</x:v>
      </x:c>
      <x:c r="H188" s="32" t="n">
        <x:f>COUNTIF($G$5:$G$228,G188)</x:f>
        <x:v>1</x:v>
      </x:c>
      <x:c r="I188" s="30" t="str">
        <x:v>C11</x:v>
      </x:c>
      <x:c r="J188" s="31" t="str">
        <x:v>Context/background of project 2 | What is the 3 ways of privitization and what’s the difference | Walk me through DCF</x:v>
      </x:c>
    </x:row>
    <x:row r="189" ht="48" customHeight="1">
      <x:c r="A189" s="30" t="str">
        <x:v>QB1919</x:v>
      </x:c>
      <x:c r="B189" s="30" t="str">
        <x:v>Lazard</x:v>
      </x:c>
      <x:c r="C189" s="30" t="str">
        <x:v>IBD / GCM</x:v>
      </x:c>
      <x:c r="D189" s="31" t="str">
        <x:v>Walk me through the stock pitch in Daiwa. Company and valuation, business model</x:v>
      </x:c>
      <x:c r="E189" s="31" t="str">
        <x:v>Pitch me a stock</x:v>
      </x:c>
      <x:c r="F189" s="31" t="str">
        <x:v>Valuation</x:v>
      </x:c>
      <x:c r="G189" s="30" t="str">
        <x:v>CL0006</x:v>
      </x:c>
      <x:c r="H189" s="32" t="n">
        <x:f>COUNTIF($G$5:$G$228,G189)</x:f>
        <x:v>2</x:v>
      </x:c>
      <x:c r="I189" s="30" t="str">
        <x:v>A20</x:v>
      </x:c>
      <x:c r="J189" s="31" t="str">
        <x:v>What did you work on for the operational overview | How did you project the revenue? | How does the company's cash flow look like?</x:v>
      </x:c>
    </x:row>
    <x:row r="190" ht="48" customHeight="1">
      <x:c r="A190" s="30" t="str">
        <x:v>QB1921</x:v>
      </x:c>
      <x:c r="B190" s="30" t="str">
        <x:v>Lazard</x:v>
      </x:c>
      <x:c r="C190" s="30" t="str">
        <x:v>IBD / GCM</x:v>
      </x:c>
      <x:c r="D190" s="31" t="str">
        <x:v>What multiples you used for comps? EV/MW makes sense?</x:v>
      </x:c>
      <x:c r="E190" s="31" t="str">
        <x:v>What multiples you used for comps? EV/MW makes sense</x:v>
      </x:c>
      <x:c r="F190" s="31" t="str">
        <x:v>Valuation</x:v>
      </x:c>
      <x:c r="G190" s="30" t="str">
        <x:v>CL1019</x:v>
      </x:c>
      <x:c r="H190" s="32" t="n">
        <x:f>COUNTIF($G$5:$G$228,G190)</x:f>
        <x:v>1</x:v>
      </x:c>
      <x:c r="I190" s="30" t="str">
        <x:v>A21</x:v>
      </x:c>
      <x:c r="J190" s="31" t="str">
        <x:v>How did you project the revenue? | How does the company's cash flow look like? | Walk me through the stock pitch in Daiwa. Company and valuation, business model</x:v>
      </x:c>
    </x:row>
    <x:row r="191" ht="68" customHeight="1">
      <x:c r="A191" s="30" t="str">
        <x:v>QB1923</x:v>
      </x:c>
      <x:c r="B191" s="30" t="str">
        <x:v>Lazard</x:v>
      </x:c>
      <x:c r="C191" s="30" t="str">
        <x:v>IBD / GCM</x:v>
      </x:c>
      <x:c r="D191" s="31" t="str">
        <x:v>DCF revenue stream breakdown?</x:v>
      </x:c>
      <x:c r="E191" s="31" t="str">
        <x:v>DCF revenue stream breakdown</x:v>
      </x:c>
      <x:c r="F191" s="31" t="str">
        <x:v>Valuation</x:v>
      </x:c>
      <x:c r="G191" s="30" t="str">
        <x:v>CL0227</x:v>
      </x:c>
      <x:c r="H191" s="32" t="n">
        <x:f>COUNTIF($G$5:$G$228,G191)</x:f>
        <x:v>1</x:v>
      </x:c>
      <x:c r="I191" s="30" t="str">
        <x:v>A22</x:v>
      </x:c>
      <x:c r="J191" s="31" t="str">
        <x:v>How does the company's cash flow look like? | Walk me through the stock pitch in Daiwa. Company and valuation, business model | What multiples you used for comps? EV/MW makes sense?</x:v>
      </x:c>
    </x:row>
    <x:row r="192" ht="48" customHeight="1">
      <x:c r="A192" s="30" t="str">
        <x:v>QB1936</x:v>
      </x:c>
      <x:c r="B192" s="30" t="str">
        <x:v>Lazard</x:v>
      </x:c>
      <x:c r="C192" s="30" t="str">
        <x:v>IBD / GCM</x:v>
      </x:c>
      <x:c r="D192" s="31" t="str">
        <x:v>3 valuation methodologies的優勢和劣勢</x:v>
      </x:c>
      <x:c r="E192" s="31" t="str">
        <x:v>What are the main valuation methodologies?</x:v>
      </x:c>
      <x:c r="F192" s="31" t="str">
        <x:v>Valuation</x:v>
      </x:c>
      <x:c r="G192" s="30" t="str">
        <x:v>CL0010</x:v>
      </x:c>
      <x:c r="H192" s="32" t="n">
        <x:f>COUNTIF($G$5:$G$228,G192)</x:f>
        <x:v>13</x:v>
      </x:c>
      <x:c r="I192" s="30" t="str">
        <x:v>A34</x:v>
      </x:c>
      <x:c r="J192" s="31" t="str">
        <x:v>What did you do in BNP? | (Talked about a pitch on a Chinese chain restaurant) | 那你覺得加盟店最大的挑戰是什麼？</x:v>
      </x:c>
    </x:row>
    <x:row r="193" ht="48" customHeight="1">
      <x:c r="A193" s="30" t="str">
        <x:v>QB1937</x:v>
      </x:c>
      <x:c r="B193" s="30" t="str">
        <x:v>Lazard</x:v>
      </x:c>
      <x:c r="C193" s="30" t="str">
        <x:v>IBD / GCM</x:v>
      </x:c>
      <x:c r="D193" s="31" t="str">
        <x:v>Transaction comps - 按照A股的披露標準，什麼valuation multiples比較難拿到</x:v>
      </x:c>
      <x:c r="E193" s="31" t="str">
        <x:v>Transaction comps - 按照A股的披露標準，什麼valuation multiples比較難拿到</x:v>
      </x:c>
      <x:c r="F193" s="31" t="str">
        <x:v>Valuation</x:v>
      </x:c>
      <x:c r="G193" s="30" t="str">
        <x:v>CL0803</x:v>
      </x:c>
      <x:c r="H193" s="32" t="n">
        <x:f>COUNTIF($G$5:$G$228,G193)</x:f>
        <x:v>1</x:v>
      </x:c>
      <x:c r="I193" s="30" t="str">
        <x:v>A35</x:v>
      </x:c>
      <x:c r="J193" s="31" t="str">
        <x:v>(Talked about a pitch on a Chinese chain restaurant) | 那你覺得加盟店最大的挑戰是什麼？ | 3 valuation methodologies的優勢和劣勢</x:v>
      </x:c>
    </x:row>
    <x:row r="194" ht="48" customHeight="1">
      <x:c r="A194" s="30" t="str">
        <x:v>QB1938</x:v>
      </x:c>
      <x:c r="B194" s="30" t="str">
        <x:v>Lazard</x:v>
      </x:c>
      <x:c r="C194" s="30" t="str">
        <x:v>IBD / GCM</x:v>
      </x:c>
      <x:c r="D194" s="31" t="str">
        <x:v>DCF - when to use Gordon Growth Method and when to use Exit Multiple method for TV calculation</x:v>
      </x:c>
      <x:c r="E194" s="31" t="str">
        <x:v>DCF - when to use Gordon Growth Method and when to use Exit Multiple method for TV calculation</x:v>
      </x:c>
      <x:c r="F194" s="31" t="str">
        <x:v>Valuation</x:v>
      </x:c>
      <x:c r="G194" s="30" t="str">
        <x:v>CL0222</x:v>
      </x:c>
      <x:c r="H194" s="32" t="n">
        <x:f>COUNTIF($G$5:$G$228,G194)</x:f>
        <x:v>1</x:v>
      </x:c>
      <x:c r="I194" s="30" t="str">
        <x:v>A36</x:v>
      </x:c>
      <x:c r="J194" s="31" t="str">
        <x:v>那你覺得加盟店最大的挑戰是什麼？ | 3 valuation methodologies的優勢和劣勢 | Transaction comps - 按照A股的披露標準，什麼valuation multiples比較難拿到</x:v>
      </x:c>
    </x:row>
    <x:row r="195" ht="68" customHeight="1">
      <x:c r="A195" s="30" t="str">
        <x:v>QB1940</x:v>
      </x:c>
      <x:c r="B195" s="30" t="str">
        <x:v>Lazard</x:v>
      </x:c>
      <x:c r="C195" s="30" t="str">
        <x:v>IBD / GCM</x:v>
      </x:c>
      <x:c r="D195" s="31" t="str">
        <x:v>Enterprise Value的公式是什麼、除了standard formula裡面的items還有一些其他什麼items</x:v>
      </x:c>
      <x:c r="E195" s="31" t="str">
        <x:v>Enterprise Value的公式是什麼、除了standard formula裡面的items還有一些其他什麼items</x:v>
      </x:c>
      <x:c r="F195" s="31" t="str">
        <x:v>Valuation</x:v>
      </x:c>
      <x:c r="G195" s="30" t="str">
        <x:v>CL0311</x:v>
      </x:c>
      <x:c r="H195" s="32" t="n">
        <x:f>COUNTIF($G$5:$G$228,G195)</x:f>
        <x:v>1</x:v>
      </x:c>
      <x:c r="I195" s="30" t="str">
        <x:v>A38</x:v>
      </x:c>
      <x:c r="J195" s="31" t="str">
        <x:v>Transaction comps - 按照A股的披露標準，什麼valuation multiples比較難拿到 | DCF - when to use Gordon Growth Method and when to use Exit Multiple method for TV calculation | 業務穩定的公司Capex和D&amp;A相差多少</x:v>
      </x:c>
    </x:row>
    <x:row r="196" ht="32" customHeight="1">
      <x:c r="A196" s="30" t="str">
        <x:v>QB1945</x:v>
      </x:c>
      <x:c r="B196" s="30" t="str">
        <x:v>Lazard</x:v>
      </x:c>
      <x:c r="C196" s="30" t="str">
        <x:v>IBD / GCM</x:v>
      </x:c>
      <x:c r="D196" s="31" t="str">
        <x:v>trading comps - 汽車零部件公司 怎麼做怎麼著peers 什麼multiples</x:v>
      </x:c>
      <x:c r="E196" s="31" t="str">
        <x:v>Trading comps - 汽車零部件公司 怎麼做怎麼著peers 什麼multiples</x:v>
      </x:c>
      <x:c r="F196" s="31" t="str">
        <x:v>Valuation</x:v>
      </x:c>
      <x:c r="G196" s="30" t="str">
        <x:v>CL0797</x:v>
      </x:c>
      <x:c r="H196" s="32" t="n">
        <x:f>COUNTIF($G$5:$G$228,G196)</x:f>
        <x:v>1</x:v>
      </x:c>
      <x:c r="I196" s="30" t="str">
        <x:v>A44</x:v>
      </x:c>
      <x:c r="J196" s="31" t="str">
        <x:v>(Conducted in full Mandarin) | 在BNP做了什麼 | Company profile要包括什麼</x:v>
      </x:c>
    </x:row>
    <x:row r="197" ht="32" customHeight="1">
      <x:c r="A197" s="30" t="str">
        <x:v>QB1946</x:v>
      </x:c>
      <x:c r="B197" s="30" t="str">
        <x:v>Lazard</x:v>
      </x:c>
      <x:c r="C197" s="30" t="str">
        <x:v>IBD / GCM</x:v>
      </x:c>
      <x:c r="D197" s="31" t="str">
        <x:v>How to find cost of equity</x:v>
      </x:c>
      <x:c r="E197" s="31" t="str">
        <x:v>How to find cost of equity</x:v>
      </x:c>
      <x:c r="F197" s="31" t="str">
        <x:v>Valuation</x:v>
      </x:c>
      <x:c r="G197" s="30" t="str">
        <x:v>CL0468</x:v>
      </x:c>
      <x:c r="H197" s="32" t="n">
        <x:f>COUNTIF($G$5:$G$228,G197)</x:f>
        <x:v>1</x:v>
      </x:c>
      <x:c r="I197" s="30" t="str">
        <x:v>A45</x:v>
      </x:c>
      <x:c r="J197" s="31" t="str">
        <x:v>在BNP做了什麼 | Company profile要包括什麼 | trading comps - 汽車零部件公司 怎麼做怎麼著peers 什麼multiples</x:v>
      </x:c>
    </x:row>
    <x:row r="198" ht="68" customHeight="1">
      <x:c r="A198" s="30" t="str">
        <x:v>QB1953</x:v>
      </x:c>
      <x:c r="B198" s="30" t="str">
        <x:v>Lazard</x:v>
      </x:c>
      <x:c r="C198" s="30" t="str">
        <x:v>IBD / GCM</x:v>
      </x:c>
      <x:c r="D198" s="31" t="str">
        <x:v>WACC calculation</x:v>
      </x:c>
      <x:c r="E198" s="31" t="str">
        <x:v>How do you calculate WACC?</x:v>
      </x:c>
      <x:c r="F198" s="31" t="str">
        <x:v>Valuation</x:v>
      </x:c>
      <x:c r="G198" s="30" t="str">
        <x:v>CL0011</x:v>
      </x:c>
      <x:c r="H198" s="32" t="n">
        <x:f>COUNTIF($G$5:$G$228,G198)</x:f>
        <x:v>11</x:v>
      </x:c>
      <x:c r="I198" s="30" t="str">
        <x:v>A53</x:v>
      </x:c>
      <x:c r="J198" s="31" t="str">
        <x:v>What did you do in BNP | For the restaurant chain pitch, I mentioned about the chain penetration rate in China vs US, so she asked if you think the penetration rate in China will reach the level in the US in the future | To get FCF from ...</x:v>
      </x:c>
    </x:row>
    <x:row r="199" ht="68" customHeight="1">
      <x:c r="A199" s="30" t="str">
        <x:v>QB1955</x:v>
      </x:c>
      <x:c r="B199" s="30" t="str">
        <x:v>Lazard</x:v>
      </x:c>
      <x:c r="C199" s="30" t="str">
        <x:v>IBD / GCM</x:v>
      </x:c>
      <x:c r="D199" s="31" t="str">
        <x:v>For private companies - how to find the equity value</x:v>
      </x:c>
      <x:c r="E199" s="31" t="str">
        <x:v>For private companies - how to find the equity value</x:v>
      </x:c>
      <x:c r="F199" s="31" t="str">
        <x:v>Valuation</x:v>
      </x:c>
      <x:c r="G199" s="30" t="str">
        <x:v>CL0331</x:v>
      </x:c>
      <x:c r="H199" s="32" t="n">
        <x:f>COUNTIF($G$5:$G$228,G199)</x:f>
        <x:v>1</x:v>
      </x:c>
      <x:c r="I199" s="30" t="str">
        <x:v>A55</x:v>
      </x:c>
      <x:c r="J199" s="31" t="str">
        <x:v>To get FCF from revenue | WACC calculation | Your client is a pe, it wants to sell a pets portfolio company, help it sell, 3 submitted offers showing interest, how to choose the buyer</x:v>
      </x:c>
    </x:row>
    <x:row r="200" ht="48" customHeight="1">
      <x:c r="A200" s="30" t="str">
        <x:v>QB1969</x:v>
      </x:c>
      <x:c r="B200" s="30" t="str">
        <x:v>Lazard</x:v>
      </x:c>
      <x:c r="C200" s="30" t="str">
        <x:v>IBD / GCM</x:v>
      </x:c>
      <x:c r="D200" s="31" t="str">
        <x:v>Any sanity check after comps?</x:v>
      </x:c>
      <x:c r="E200" s="31" t="str">
        <x:v>Any sanity check after comps</x:v>
      </x:c>
      <x:c r="F200" s="31" t="str">
        <x:v>Valuation</x:v>
      </x:c>
      <x:c r="G200" s="30" t="str">
        <x:v>CL0122</x:v>
      </x:c>
      <x:c r="H200" s="32" t="n">
        <x:f>COUNTIF($G$5:$G$228,G200)</x:f>
        <x:v>1</x:v>
      </x:c>
      <x:c r="I200" s="30" t="str">
        <x:v>A70</x:v>
      </x:c>
      <x:c r="J200" s="31" t="str">
        <x:v>有什麼關於你有趣的事情想分享一下嗎 | 如果你要找一個right m&amp;a target，你會問一些什麼問題 | Transaction comps - key priorities?</x:v>
      </x:c>
    </x:row>
    <x:row r="201" ht="32" customHeight="1">
      <x:c r="A201" s="30" t="str">
        <x:v>QB1987</x:v>
      </x:c>
      <x:c r="B201" s="30" t="str">
        <x:v>Greenhill</x:v>
      </x:c>
      <x:c r="C201" s="30" t="str">
        <x:v>IBD / GCM</x:v>
      </x:c>
      <x:c r="D201" s="31" t="str">
        <x:v>Walk me through a dcf</x:v>
      </x:c>
      <x:c r="E201" s="31" t="str">
        <x:v>Walk me through a dcf</x:v>
      </x:c>
      <x:c r="F201" s="31" t="str">
        <x:v>Valuation</x:v>
      </x:c>
      <x:c r="G201" s="30" t="str">
        <x:v>CL0013</x:v>
      </x:c>
      <x:c r="H201" s="32" t="n">
        <x:f>COUNTIF($G$5:$G$228,G201)</x:f>
        <x:v>10</x:v>
      </x:c>
      <x:c r="I201" s="30" t="str">
        <x:v>A5</x:v>
      </x:c>
      <x:c r="J201" s="31" t="str">
        <x:v>First Round | Emily | Pitch me a stock</x:v>
      </x:c>
    </x:row>
    <x:row r="202" ht="32" customHeight="1">
      <x:c r="A202" s="30" t="str">
        <x:v>QB1988</x:v>
      </x:c>
      <x:c r="B202" s="30" t="str">
        <x:v>Greenhill</x:v>
      </x:c>
      <x:c r="C202" s="30" t="str">
        <x:v>IBD / GCM</x:v>
      </x:c>
      <x:c r="D202" s="31" t="str">
        <x:v>How to calculate WACC</x:v>
      </x:c>
      <x:c r="E202" s="31" t="str">
        <x:v>How do you calculate WACC?</x:v>
      </x:c>
      <x:c r="F202" s="31" t="str">
        <x:v>Valuation</x:v>
      </x:c>
      <x:c r="G202" s="30" t="str">
        <x:v>CL0011</x:v>
      </x:c>
      <x:c r="H202" s="32" t="n">
        <x:f>COUNTIF($G$5:$G$228,G202)</x:f>
        <x:v>11</x:v>
      </x:c>
      <x:c r="I202" s="30" t="str">
        <x:v>A6</x:v>
      </x:c>
      <x:c r="J202" s="31" t="str">
        <x:v>Emily | Pitch me a stock | Walk me through a dcf</x:v>
      </x:c>
    </x:row>
    <x:row r="203" ht="32" customHeight="1">
      <x:c r="A203" s="30" t="str">
        <x:v>QB1989</x:v>
      </x:c>
      <x:c r="B203" s="30" t="str">
        <x:v>Greenhill</x:v>
      </x:c>
      <x:c r="C203" s="30" t="str">
        <x:v>IBD / GCM</x:v>
      </x:c>
      <x:c r="D203" s="31" t="str">
        <x:v>How to calculate cost of equity</x:v>
      </x:c>
      <x:c r="E203" s="31" t="str">
        <x:v>How to calculate cost of equity</x:v>
      </x:c>
      <x:c r="F203" s="31" t="str">
        <x:v>Valuation</x:v>
      </x:c>
      <x:c r="G203" s="30" t="str">
        <x:v>CL0462</x:v>
      </x:c>
      <x:c r="H203" s="32" t="n">
        <x:f>COUNTIF($G$5:$G$228,G203)</x:f>
        <x:v>1</x:v>
      </x:c>
      <x:c r="I203" s="30" t="str">
        <x:v>A7</x:v>
      </x:c>
      <x:c r="J203" s="31" t="str">
        <x:v>Pitch me a stock | Walk me through a dcf | How to calculate WACC</x:v>
      </x:c>
    </x:row>
    <x:row r="204" ht="48" customHeight="1">
      <x:c r="A204" s="30" t="str">
        <x:v>QB1992</x:v>
      </x:c>
      <x:c r="B204" s="30" t="str">
        <x:v>Greenhill</x:v>
      </x:c>
      <x:c r="C204" s="30" t="str">
        <x:v>IBD / GCM</x:v>
      </x:c>
      <x:c r="D204" s="31" t="str">
        <x:v>If you have a smaller company, do you expect it to have a lower or higher cost of equity or lower or higher cost of debt</x:v>
      </x:c>
      <x:c r="E204" s="31" t="str">
        <x:v>How should a company choose between debt and equity financing?</x:v>
      </x:c>
      <x:c r="F204" s="31" t="str">
        <x:v>Valuation</x:v>
      </x:c>
      <x:c r="G204" s="30" t="str">
        <x:v>CL0005</x:v>
      </x:c>
      <x:c r="H204" s="32" t="n">
        <x:f>COUNTIF($G$5:$G$228,G204)</x:f>
        <x:v>4</x:v>
      </x:c>
      <x:c r="I204" s="30" t="str">
        <x:v>A10</x:v>
      </x:c>
      <x:c r="J204" s="31" t="str">
        <x:v>How to calculate cost of equity | Pros and cons of using debt | Why is cost of debt always lower than cost of equity</x:v>
      </x:c>
    </x:row>
    <x:row r="205" ht="68" customHeight="1">
      <x:c r="A205" s="30" t="str">
        <x:v>QB1993</x:v>
      </x:c>
      <x:c r="B205" s="30" t="str">
        <x:v>Greenhill</x:v>
      </x:c>
      <x:c r="C205" s="30" t="str">
        <x:v>IBD / GCM</x:v>
      </x:c>
      <x:c r="D205" s="31" t="str">
        <x:v>How to do you calculate enterprise value from equity value</x:v>
      </x:c>
      <x:c r="E205" s="31" t="str">
        <x:v>Bridge equity value to enterprise value</x:v>
      </x:c>
      <x:c r="F205" s="31" t="str">
        <x:v>Valuation</x:v>
      </x:c>
      <x:c r="G205" s="30" t="str">
        <x:v>CL0015</x:v>
      </x:c>
      <x:c r="H205" s="32" t="n">
        <x:f>COUNTIF($G$5:$G$228,G205)</x:f>
        <x:v>7</x:v>
      </x:c>
      <x:c r="I205" s="30" t="str">
        <x:v>A11</x:v>
      </x:c>
      <x:c r="J205" s="31" t="str">
        <x:v>Pros and cons of using debt | Why is cost of debt always lower than cost of equity | If you have a smaller company, do you expect it to have a lower or higher cost of equity or lower or higher cost of debt</x:v>
      </x:c>
    </x:row>
    <x:row r="206" ht="32" customHeight="1">
      <x:c r="A206" s="30" t="str">
        <x:v>QB2009</x:v>
      </x:c>
      <x:c r="B206" s="30" t="str">
        <x:v>Nomura</x:v>
      </x:c>
      <x:c r="C206" s="30" t="str">
        <x:v>IBD / GCM</x:v>
      </x:c>
      <x:c r="D206" s="31" t="str">
        <x:v>walk through a dcf</x:v>
      </x:c>
      <x:c r="E206" s="31" t="str">
        <x:v>Walk me through a DCF</x:v>
      </x:c>
      <x:c r="F206" s="31" t="str">
        <x:v>Valuation</x:v>
      </x:c>
      <x:c r="G206" s="30" t="str">
        <x:v>CL0013</x:v>
      </x:c>
      <x:c r="H206" s="32" t="n">
        <x:f>COUNTIF($G$5:$G$228,G206)</x:f>
        <x:v>10</x:v>
      </x:c>
      <x:c r="I206" s="30" t="str">
        <x:v>A9</x:v>
      </x:c>
      <x:c r="J206" s="31" t="str">
        <x:v>why interested in nomura and ibd | why not pe | why not law</x:v>
      </x:c>
    </x:row>
    <x:row r="207" ht="32" customHeight="1">
      <x:c r="A207" s="30" t="str">
        <x:v>QB2013</x:v>
      </x:c>
      <x:c r="B207" s="30" t="str">
        <x:v>Nomura</x:v>
      </x:c>
      <x:c r="C207" s="30" t="str">
        <x:v>IBD / GCM</x:v>
      </x:c>
      <x:c r="D207" s="31" t="str">
        <x:v>what are the other two valuation methods</x:v>
      </x:c>
      <x:c r="E207" s="31" t="str">
        <x:v>What are the main valuation methodologies?</x:v>
      </x:c>
      <x:c r="F207" s="31" t="str">
        <x:v>Valuation</x:v>
      </x:c>
      <x:c r="G207" s="30" t="str">
        <x:v>CL0010</x:v>
      </x:c>
      <x:c r="H207" s="32" t="n">
        <x:f>COUNTIF($G$5:$G$228,G207)</x:f>
        <x:v>13</x:v>
      </x:c>
      <x:c r="I207" s="30" t="str">
        <x:v>A11</x:v>
      </x:c>
      <x:c r="J207" s="31" t="str">
        <x:v>why not law | walk through a dcf | how to get FCF</x:v>
      </x:c>
    </x:row>
    <x:row r="208" ht="32" customHeight="1">
      <x:c r="A208" s="30" t="str">
        <x:v>QB2047</x:v>
      </x:c>
      <x:c r="B208" s="30" t="str">
        <x:v>Nomura</x:v>
      </x:c>
      <x:c r="C208" s="30" t="str">
        <x:v>IBD / GCM</x:v>
      </x:c>
      <x:c r="D208" s="31" t="str">
        <x:v>how did you do valuation in the project</x:v>
      </x:c>
      <x:c r="E208" s="31" t="str">
        <x:v>How did you do valuation in the project</x:v>
      </x:c>
      <x:c r="F208" s="31" t="str">
        <x:v>Valuation</x:v>
      </x:c>
      <x:c r="G208" s="30" t="str">
        <x:v>CL0387</x:v>
      </x:c>
      <x:c r="H208" s="32" t="n">
        <x:f>COUNTIF($G$5:$G$228,G208)</x:f>
        <x:v>1</x:v>
      </x:c>
      <x:c r="I208" s="30" t="str">
        <x:v>C29</x:v>
      </x:c>
      <x:c r="J208" s="31" t="str">
        <x:v>born and raised in hk? | why not law | walk me through a project</x:v>
      </x:c>
    </x:row>
    <x:row r="209" ht="32" customHeight="1">
      <x:c r="A209" s="30" t="str">
        <x:v>QB2061</x:v>
      </x:c>
      <x:c r="B209" s="30" t="str">
        <x:v>Nomura</x:v>
      </x:c>
      <x:c r="C209" s="30" t="str">
        <x:v>IBD / GCM</x:v>
      </x:c>
      <x:c r="D209" s="31" t="str">
        <x:v>M&amp;A deal walk through, how to do valuation, any insights, what comparables</x:v>
      </x:c>
      <x:c r="E209" s="31" t="str">
        <x:v>M&amp;A deal walk through, how to do valuation, any insights, what comparables</x:v>
      </x:c>
      <x:c r="F209" s="31" t="str">
        <x:v>Valuation</x:v>
      </x:c>
      <x:c r="G209" s="30" t="str">
        <x:v>CL0596</x:v>
      </x:c>
      <x:c r="H209" s="32" t="n">
        <x:f>COUNTIF($G$5:$G$228,G209)</x:f>
        <x:v>1</x:v>
      </x:c>
      <x:c r="I209" s="30" t="str">
        <x:v>C40</x:v>
      </x:c>
      <x:c r="J209" s="31" t="str">
        <x:v>SPD | Kevin Ng--TMT ED | Self-intro</x:v>
      </x:c>
    </x:row>
    <x:row r="210" ht="48" customHeight="1">
      <x:c r="A210" s="30" t="str">
        <x:v>QB2062</x:v>
      </x:c>
      <x:c r="B210" s="30" t="str">
        <x:v>Nomura</x:v>
      </x:c>
      <x:c r="C210" s="30" t="str">
        <x:v>IBD / GCM</x:v>
      </x:c>
      <x:c r="D210" s="31" t="str">
        <x:v>Could you walk me through the DCF model you built for BYD</x:v>
      </x:c>
      <x:c r="E210" s="31" t="str">
        <x:v>Could you walk me through the DCF model you built for BYD</x:v>
      </x:c>
      <x:c r="F210" s="31" t="str">
        <x:v>Valuation</x:v>
      </x:c>
      <x:c r="G210" s="30" t="str">
        <x:v>CL0210</x:v>
      </x:c>
      <x:c r="H210" s="32" t="n">
        <x:f>COUNTIF($G$5:$G$228,G210)</x:f>
        <x:v>1</x:v>
      </x:c>
      <x:c r="I210" s="30" t="str">
        <x:v>A41</x:v>
      </x:c>
      <x:c r="J210" s="31" t="str">
        <x:v>with Benson from International Syndicated team | walk through resume | (he asked me to elaborate a lot more almost cover every experience in details)</x:v>
      </x:c>
    </x:row>
    <x:row r="211" ht="48" customHeight="1">
      <x:c r="A211" s="30" t="str">
        <x:v>QB2063</x:v>
      </x:c>
      <x:c r="B211" s="30" t="str">
        <x:v>Nomura</x:v>
      </x:c>
      <x:c r="C211" s="30" t="str">
        <x:v>IBD / GCM</x:v>
      </x:c>
      <x:c r="D211" s="31" t="str">
        <x:v>DCF model walk through, WACC?</x:v>
      </x:c>
      <x:c r="E211" s="31" t="str">
        <x:v>DCF model walk through, WACC</x:v>
      </x:c>
      <x:c r="F211" s="31" t="str">
        <x:v>Valuation</x:v>
      </x:c>
      <x:c r="G211" s="30" t="str">
        <x:v>CL0226</x:v>
      </x:c>
      <x:c r="H211" s="32" t="n">
        <x:f>COUNTIF($G$5:$G$228,G211)</x:f>
        <x:v>1</x:v>
      </x:c>
      <x:c r="I211" s="30" t="str">
        <x:v>C41</x:v>
      </x:c>
      <x:c r="J211" s="31" t="str">
        <x:v>Kevin Ng--TMT ED | Self-intro | M&amp;A deal walk through, how to do valuation, any insights, what comparables</x:v>
      </x:c>
    </x:row>
    <x:row r="212" ht="32" customHeight="1">
      <x:c r="A212" s="30" t="str">
        <x:v>QB2076</x:v>
      </x:c>
      <x:c r="B212" s="30" t="str">
        <x:v>Nomura</x:v>
      </x:c>
      <x:c r="C212" s="30" t="str">
        <x:v>IBD / GCM</x:v>
      </x:c>
      <x:c r="D212" s="31" t="str">
        <x:v>How did u build the DCF model for BYD</x:v>
      </x:c>
      <x:c r="E212" s="31" t="str">
        <x:v>How did u build the DCF model for BYD</x:v>
      </x:c>
      <x:c r="F212" s="31" t="str">
        <x:v>Valuation</x:v>
      </x:c>
      <x:c r="G212" s="30" t="str">
        <x:v>CL0377</x:v>
      </x:c>
      <x:c r="H212" s="32" t="n">
        <x:f>COUNTIF($G$5:$G$228,G212)</x:f>
        <x:v>1</x:v>
      </x:c>
      <x:c r="I212" s="30" t="str">
        <x:v>C48</x:v>
      </x:c>
      <x:c r="J212" s="31" t="str">
        <x:v>Timothy Wong--Levfin vp | Self-intro | What did you do at equity research internship</x:v>
      </x:c>
    </x:row>
    <x:row r="213" ht="92" customHeight="1">
      <x:c r="A213" s="30" t="str">
        <x:v>QB2088</x:v>
      </x:c>
      <x:c r="B213" s="30" t="str">
        <x:v>Nomura</x:v>
      </x:c>
      <x:c r="C213" s="30" t="str">
        <x:v>IBD / GCM</x:v>
      </x:c>
      <x:c r="D213" s="31" t="str">
        <x:v>What's the difference between comparable comp and transaction comp</x:v>
      </x:c>
      <x:c r="E213" s="31" t="str">
        <x:v>What's the difference between comparable comp and transaction comp</x:v>
      </x:c>
      <x:c r="F213" s="31" t="str">
        <x:v>Valuation</x:v>
      </x:c>
      <x:c r="G213" s="30" t="str">
        <x:v>CL1052</x:v>
      </x:c>
      <x:c r="H213" s="32" t="n">
        <x:f>COUNTIF($G$5:$G$228,G213)</x:f>
        <x:v>1</x:v>
      </x:c>
      <x:c r="I213" s="30" t="str">
        <x:v>C58</x:v>
      </x:c>
      <x:c r="J213" s="31" t="str">
        <x:v>Did you participate in the financing work | Sophie Wang--China team vp | Case study--advising on a European engineering company specialized in the provision of soil studies, financial sponsor exit strategies, business model analysis, acc...</x:v>
      </x:c>
    </x:row>
    <x:row r="214" ht="92" customHeight="1">
      <x:c r="A214" s="30" t="str">
        <x:v>QB2089</x:v>
      </x:c>
      <x:c r="B214" s="30" t="str">
        <x:v>Nomura</x:v>
      </x:c>
      <x:c r="C214" s="30" t="str">
        <x:v>IBD / GCM</x:v>
      </x:c>
      <x:c r="D214" s="31" t="str">
        <x:v>How do you select comparable comps</x:v>
      </x:c>
      <x:c r="E214" s="31" t="str">
        <x:v>How do you select comparable companies?</x:v>
      </x:c>
      <x:c r="F214" s="31" t="str">
        <x:v>Valuation</x:v>
      </x:c>
      <x:c r="G214" s="30" t="str">
        <x:v>CL0012</x:v>
      </x:c>
      <x:c r="H214" s="32" t="n">
        <x:f>COUNTIF($G$5:$G$228,G214)</x:f>
        <x:v>12</x:v>
      </x:c>
      <x:c r="I214" s="30" t="str">
        <x:v>C59</x:v>
      </x:c>
      <x:c r="J214" s="31" t="str">
        <x:v>Sophie Wang--China team vp | Case study--advising on a European engineering company specialized in the provision of soil studies, financial sponsor exit strategies, business model analysis, accounting, basic valuation, DCF | What's the d...</x:v>
      </x:c>
    </x:row>
    <x:row r="215" ht="68" customHeight="1">
      <x:c r="A215" s="30" t="str">
        <x:v>QB2091</x:v>
      </x:c>
      <x:c r="B215" s="30" t="str">
        <x:v>Nomura</x:v>
      </x:c>
      <x:c r="C215" s="30" t="str">
        <x:v>IBD / GCM</x:v>
      </x:c>
      <x:c r="D215" s="31" t="str">
        <x:v>What are commonly used comps?</x:v>
      </x:c>
      <x:c r="E215" s="31" t="str">
        <x:v>What are commonly used comps</x:v>
      </x:c>
      <x:c r="F215" s="31" t="str">
        <x:v>Valuation</x:v>
      </x:c>
      <x:c r="G215" s="30" t="str">
        <x:v>CL0862</x:v>
      </x:c>
      <x:c r="H215" s="32" t="n">
        <x:f>COUNTIF($G$5:$G$228,G215)</x:f>
        <x:v>1</x:v>
      </x:c>
      <x:c r="I215" s="30" t="str">
        <x:v>C61</x:v>
      </x:c>
      <x:c r="J215" s="31" t="str">
        <x:v>What's the difference between comparable comp and transaction comp | How do you select comparable comps | Do you have experience doing comparable comps and precedant transaction analysis in your previous internship?</x:v>
      </x:c>
    </x:row>
    <x:row r="216" ht="68" customHeight="1">
      <x:c r="A216" s="30" t="str">
        <x:v>QB2093</x:v>
      </x:c>
      <x:c r="B216" s="30" t="str">
        <x:v>Nomura</x:v>
      </x:c>
      <x:c r="C216" s="30" t="str">
        <x:v>IBD / GCM</x:v>
      </x:c>
      <x:c r="D216" s="31" t="str">
        <x:v>How do you think of the three valuation methodlogies</x:v>
      </x:c>
      <x:c r="E216" s="31" t="str">
        <x:v>What are the main valuation methodologies?</x:v>
      </x:c>
      <x:c r="F216" s="31" t="str">
        <x:v>Valuation</x:v>
      </x:c>
      <x:c r="G216" s="30" t="str">
        <x:v>CL0010</x:v>
      </x:c>
      <x:c r="H216" s="32" t="n">
        <x:f>COUNTIF($G$5:$G$228,G216)</x:f>
        <x:v>13</x:v>
      </x:c>
      <x:c r="I216" s="30" t="str">
        <x:v>C63</x:v>
      </x:c>
      <x:c r="J216" s="31" t="str">
        <x:v>Do you have experience doing comparable comps and precedant transaction analysis in your previous internship? | What are commonly used comps? | Difference between PE, EV/EBITDA, EV/EBIT</x:v>
      </x:c>
    </x:row>
    <x:row r="217" ht="48" customHeight="1">
      <x:c r="A217" s="30" t="str">
        <x:v>QB2094</x:v>
      </x:c>
      <x:c r="B217" s="30" t="str">
        <x:v>Nomura</x:v>
      </x:c>
      <x:c r="C217" s="30" t="str">
        <x:v>IBD / GCM</x:v>
      </x:c>
      <x:c r="D217" s="31" t="str">
        <x:v>Walk me through a DCF model</x:v>
      </x:c>
      <x:c r="E217" s="31" t="str">
        <x:v>Walk me through a DCF model</x:v>
      </x:c>
      <x:c r="F217" s="31" t="str">
        <x:v>Valuation</x:v>
      </x:c>
      <x:c r="G217" s="30" t="str">
        <x:v>CL0824</x:v>
      </x:c>
      <x:c r="H217" s="32" t="n">
        <x:f>COUNTIF($G$5:$G$228,G217)</x:f>
        <x:v>1</x:v>
      </x:c>
      <x:c r="I217" s="30" t="str">
        <x:v>C64</x:v>
      </x:c>
      <x:c r="J217" s="31" t="str">
        <x:v>What are commonly used comps? | Difference between PE, EV/EBITDA, EV/EBIT | How do you think of the three valuation methodlogies</x:v>
      </x:c>
    </x:row>
    <x:row r="218" ht="48" customHeight="1">
      <x:c r="A218" s="30" t="str">
        <x:v>QB2095</x:v>
      </x:c>
      <x:c r="B218" s="30" t="str">
        <x:v>Nomura</x:v>
      </x:c>
      <x:c r="C218" s="30" t="str">
        <x:v>IBD / GCM</x:v>
      </x:c>
      <x:c r="D218" s="31" t="str">
        <x:v>How to get wacc</x:v>
      </x:c>
      <x:c r="E218" s="31" t="str">
        <x:v>How do you calculate WACC?</x:v>
      </x:c>
      <x:c r="F218" s="31" t="str">
        <x:v>Valuation</x:v>
      </x:c>
      <x:c r="G218" s="30" t="str">
        <x:v>CL0011</x:v>
      </x:c>
      <x:c r="H218" s="32" t="n">
        <x:f>COUNTIF($G$5:$G$228,G218)</x:f>
        <x:v>11</x:v>
      </x:c>
      <x:c r="I218" s="30" t="str">
        <x:v>C65</x:v>
      </x:c>
      <x:c r="J218" s="31" t="str">
        <x:v>Difference between PE, EV/EBITDA, EV/EBIT | How do you think of the three valuation methodlogies | Walk me through a DCF model</x:v>
      </x:c>
    </x:row>
    <x:row r="219" ht="48" customHeight="1">
      <x:c r="A219" s="30" t="str">
        <x:v>QB2096</x:v>
      </x:c>
      <x:c r="B219" s="30" t="str">
        <x:v>Nomura</x:v>
      </x:c>
      <x:c r="C219" s="30" t="str">
        <x:v>IBD / GCM</x:v>
      </x:c>
      <x:c r="D219" s="31" t="str">
        <x:v>How to get cost of equity</x:v>
      </x:c>
      <x:c r="E219" s="31" t="str">
        <x:v>How to get cost of equity</x:v>
      </x:c>
      <x:c r="F219" s="31" t="str">
        <x:v>Valuation</x:v>
      </x:c>
      <x:c r="G219" s="30" t="str">
        <x:v>CL0472</x:v>
      </x:c>
      <x:c r="H219" s="32" t="n">
        <x:f>COUNTIF($G$5:$G$228,G219)</x:f>
        <x:v>1</x:v>
      </x:c>
      <x:c r="I219" s="30" t="str">
        <x:v>C66</x:v>
      </x:c>
      <x:c r="J219" s="31" t="str">
        <x:v>How do you think of the three valuation methodlogies | Walk me through a DCF model | How to get wacc</x:v>
      </x:c>
    </x:row>
    <x:row r="220" ht="32" customHeight="1">
      <x:c r="A220" s="30" t="str">
        <x:v>QB2097</x:v>
      </x:c>
      <x:c r="B220" s="30" t="str">
        <x:v>Nomura</x:v>
      </x:c>
      <x:c r="C220" s="30" t="str">
        <x:v>IBD / GCM</x:v>
      </x:c>
      <x:c r="D220" s="31" t="str">
        <x:v>How to get beta</x:v>
      </x:c>
      <x:c r="E220" s="31" t="str">
        <x:v>How to get beta</x:v>
      </x:c>
      <x:c r="F220" s="31" t="str">
        <x:v>Valuation</x:v>
      </x:c>
      <x:c r="G220" s="30" t="str">
        <x:v>CL0470</x:v>
      </x:c>
      <x:c r="H220" s="32" t="n">
        <x:f>COUNTIF($G$5:$G$228,G220)</x:f>
        <x:v>1</x:v>
      </x:c>
      <x:c r="I220" s="30" t="str">
        <x:v>C67</x:v>
      </x:c>
      <x:c r="J220" s="31" t="str">
        <x:v>Walk me through a DCF model | How to get wacc | How to get cost of equity</x:v>
      </x:c>
    </x:row>
    <x:row r="221" ht="48" customHeight="1">
      <x:c r="A221" s="30" t="str">
        <x:v>QB2104</x:v>
      </x:c>
      <x:c r="B221" s="30" t="str">
        <x:v>Nomura</x:v>
      </x:c>
      <x:c r="C221" s="30" t="str">
        <x:v>IBD / GCM</x:v>
      </x:c>
      <x:c r="D221" s="31" t="str">
        <x:v>Walk through DCF</x:v>
      </x:c>
      <x:c r="E221" s="31" t="str">
        <x:v>Walk me through a DCF</x:v>
      </x:c>
      <x:c r="F221" s="31" t="str">
        <x:v>Valuation</x:v>
      </x:c>
      <x:c r="G221" s="30" t="str">
        <x:v>CL0013</x:v>
      </x:c>
      <x:c r="H221" s="32" t="n">
        <x:f>COUNTIF($G$5:$G$228,G221)</x:f>
        <x:v>10</x:v>
      </x:c>
      <x:c r="I221" s="30" t="str">
        <x:v>A75</x:v>
      </x:c>
      <x:c r="J221" s="31" t="str">
        <x:v>Do you know Rita Zhang from GF Holdings (hk)? | Technical: PPE write down 10 + Depreciation 10, 3 statements? | 1 deal in GF healthcare team</x:v>
      </x:c>
    </x:row>
    <x:row r="222" ht="48" customHeight="1">
      <x:c r="A222" s="30" t="str">
        <x:v>QB2105</x:v>
      </x:c>
      <x:c r="B222" s="30" t="str">
        <x:v>Nomura</x:v>
      </x:c>
      <x:c r="C222" s="30" t="str">
        <x:v>IBD / GCM</x:v>
      </x:c>
      <x:c r="D222" s="31" t="str">
        <x:v>What formula you use for cost of equity</x:v>
      </x:c>
      <x:c r="E222" s="31" t="str">
        <x:v>What formula you use for cost of equity</x:v>
      </x:c>
      <x:c r="F222" s="31" t="str">
        <x:v>Valuation</x:v>
      </x:c>
      <x:c r="G222" s="30" t="str">
        <x:v>CL0946</x:v>
      </x:c>
      <x:c r="H222" s="32" t="n">
        <x:f>COUNTIF($G$5:$G$228,G222)</x:f>
        <x:v>1</x:v>
      </x:c>
      <x:c r="I222" s="30" t="str">
        <x:v>A76</x:v>
      </x:c>
      <x:c r="J222" s="31" t="str">
        <x:v>Technical: PPE write down 10 + Depreciation 10, 3 statements? | 1 deal in GF healthcare team | Walk through DCF</x:v>
      </x:c>
    </x:row>
    <x:row r="223" ht="48" customHeight="1">
      <x:c r="A223" s="30" t="str">
        <x:v>QB2668</x:v>
      </x:c>
      <x:c r="B223" s="30" t="str">
        <x:v>BofA (GM)</x:v>
      </x:c>
      <x:c r="C223" s="30" t="str">
        <x:v>Sales &amp; Trading</x:v>
      </x:c>
      <x:c r="D223" s="31" t="str">
        <x:v>Are you familiar with company valuation?</x:v>
      </x:c>
      <x:c r="E223" s="31" t="str">
        <x:v>Are you familiar with company valuation</x:v>
      </x:c>
      <x:c r="F223" s="31" t="str">
        <x:v>Valuation</x:v>
      </x:c>
      <x:c r="G223" s="30" t="str">
        <x:v>CL0134</x:v>
      </x:c>
      <x:c r="H223" s="32" t="n">
        <x:f>COUNTIF($G$5:$G$228,G223)</x:f>
        <x:v>1</x:v>
      </x:c>
      <x:c r="I223" s="30" t="str">
        <x:v>A48</x:v>
      </x:c>
      <x:c r="J223" s="31" t="str">
        <x:v>What's the S&amp;P500 closing price yesterday? | Do you have your own investment account? | Any trading ideas about the market now?</x:v>
      </x:c>
    </x:row>
    <x:row r="224" ht="48" customHeight="1">
      <x:c r="A224" s="30" t="str">
        <x:v>QB2799</x:v>
      </x:c>
      <x:c r="B224" s="30" t="str">
        <x:v>Others (eg. PE, CB...)</x:v>
      </x:c>
      <x:c r="C224" s="30" t="str">
        <x:v>PE / VC / Other</x:v>
      </x:c>
      <x:c r="D224" s="31" t="str">
        <x:v>Tell me about how you value the company (DCF, PE)</x:v>
      </x:c>
      <x:c r="E224" s="31" t="str">
        <x:v>Tell me about how you value the company (DCF, PE)</x:v>
      </x:c>
      <x:c r="F224" s="31" t="str">
        <x:v>Valuation</x:v>
      </x:c>
      <x:c r="G224" s="30" t="str">
        <x:v>CL0736</x:v>
      </x:c>
      <x:c r="H224" s="32" t="n">
        <x:f>COUNTIF($G$5:$G$228,G224)</x:f>
        <x:v>1</x:v>
      </x:c>
      <x:c r="I224" s="30" t="str">
        <x:v>A6</x:v>
      </x:c>
      <x:c r="J224" s="31" t="str">
        <x:v>Self intro | What did you do in Huatai Investment Banking, any deals | what do you know about this industry the company is in</x:v>
      </x:c>
    </x:row>
    <x:row r="225" ht="68" customHeight="1">
      <x:c r="A225" s="30" t="str">
        <x:v>QB2852</x:v>
      </x:c>
      <x:c r="B225" s="30" t="str">
        <x:v>Fountainvest</x:v>
      </x:c>
      <x:c r="C225" s="30" t="str">
        <x:v>PE / VC / Other</x:v>
      </x:c>
      <x:c r="D225" s="31" t="str">
        <x:v>Please complete a company analysis report for 乐歌股份 (300729). The analysis report should consist of industry analysis, business attractiveness, financials and valuation.</x:v>
      </x:c>
      <x:c r="E225" s="31" t="str">
        <x:v>Please complete a company analysis report for 乐歌股份 (300729). The analysis report should consist of industry analysis, business attractiveness, financials and valuation</x:v>
      </x:c>
      <x:c r="F225" s="31" t="str">
        <x:v>Valuation</x:v>
      </x:c>
      <x:c r="G225" s="30" t="str">
        <x:v>CL0640</x:v>
      </x:c>
      <x:c r="H225" s="32" t="n">
        <x:f>COUNTIF($G$5:$G$228,G225)</x:f>
        <x:v>1</x:v>
      </x:c>
      <x:c r="I225" s="30" t="str">
        <x:v>A5</x:v>
      </x:c>
      <x:c r="J225" s="31" t="str">
        <x:v>45607 | Written test | Test Overview:</x:v>
      </x:c>
    </x:row>
    <x:row r="226" ht="92" customHeight="1">
      <x:c r="A226" s="30" t="str">
        <x:v>QB2890</x:v>
      </x:c>
      <x:c r="B226" s="30" t="str">
        <x:v>MSPEA</x:v>
      </x:c>
      <x:c r="C226" s="30" t="str">
        <x:v>PE / VC / Other</x:v>
      </x:c>
      <x:c r="D226" s="31" t="str">
        <x:v>Pre money and post money valuation for cross border b2b platform?</x:v>
      </x:c>
      <x:c r="E226" s="31" t="str">
        <x:v>Pre money and post money valuation for cross border b2b platform</x:v>
      </x:c>
      <x:c r="F226" s="31" t="str">
        <x:v>Valuation</x:v>
      </x:c>
      <x:c r="G226" s="30" t="str">
        <x:v>CL0645</x:v>
      </x:c>
      <x:c r="H226" s="32" t="n">
        <x:f>COUNTIF($G$5:$G$228,G226)</x:f>
        <x:v>1</x:v>
      </x:c>
      <x:c r="I226" s="30" t="str">
        <x:v>A9</x:v>
      </x:c>
      <x:c r="J226" s="31" t="str">
        <x:v>How to calculate EBITDA from top down? | Effect of gain on sale of asset on EBITDA? (No change) Position on financial statement? | For CPS, how does it affect the enterprise value? How much is pre money and post money valuation? (I said ...</x:v>
      </x:c>
    </x:row>
    <x:row r="227" ht="68" customHeight="1">
      <x:c r="A227" s="30" t="str">
        <x:v>QB2908</x:v>
      </x:c>
      <x:c r="B227" s="30" t="str">
        <x:v>MSPEA</x:v>
      </x:c>
      <x:c r="C227" s="30" t="str">
        <x:v>PE / VC / Other</x:v>
      </x:c>
      <x:c r="D227" s="31" t="str">
        <x:v>If there’s no reports about this company, how would u find comps of this company?</x:v>
      </x:c>
      <x:c r="E227" s="31" t="str">
        <x:v>How do you select comparable companies?</x:v>
      </x:c>
      <x:c r="F227" s="31" t="str">
        <x:v>Valuation</x:v>
      </x:c>
      <x:c r="G227" s="30" t="str">
        <x:v>CL0012</x:v>
      </x:c>
      <x:c r="H227" s="32" t="n">
        <x:f>COUNTIF($G$5:$G$228,G227)</x:f>
        <x:v>12</x:v>
      </x:c>
      <x:c r="I227" s="30" t="str">
        <x:v>A22</x:v>
      </x:c>
      <x:c r="J227" s="31" t="str">
        <x:v>how to pull EV/EBITDA from capiq? | EV: market cap use which one? Diluted market cap? Total market cap? Floating market caps | Where to find each part of EV/ EBITDA breakdown from capiq</x:v>
      </x:c>
    </x:row>
    <x:row r="228" ht="32" customHeight="1">
      <x:c r="A228" s="30" t="str">
        <x:v>QB2919</x:v>
      </x:c>
      <x:c r="B228" s="30" t="str">
        <x:v>IDG Capital</x:v>
      </x:c>
      <x:c r="C228" s="30" t="str">
        <x:v>PE / VC / Other</x:v>
      </x:c>
      <x:c r="D228" s="31" t="str">
        <x:v>Use which year multiple for exit multiple</x:v>
      </x:c>
      <x:c r="E228" s="31" t="str">
        <x:v>Use which year multiple for exit multiple</x:v>
      </x:c>
      <x:c r="F228" s="31" t="str">
        <x:v>Valuation</x:v>
      </x:c>
      <x:c r="G228" s="30" t="str">
        <x:v>CL0811</x:v>
      </x:c>
      <x:c r="H228" s="32" t="n">
        <x:f>COUNTIF($G$5:$G$228,G228)</x:f>
        <x:v>1</x:v>
      </x:c>
      <x:c r="I228" s="30" t="str">
        <x:v>A3</x:v>
      </x:c>
      <x:c r="J228" s="31" t="str">
        <x:v>2025 offcycle (Emily) | 100 sales, impact on 3 statement</x:v>
      </x:c>
    </x:row>
  </x:sheetData>
  <x:mergeCells>
    <x:mergeCell ref="A1:J1"/>
    <x:mergeCell ref="A2:J2"/>
  </x:mergeCells>
  <x:conditionalFormatting sqref="H5:H228">
    <x:cfRule type="cellIs" dxfId="14" priority="1" operator="greaterThan">
      <x:formula>1</x:formula>
    </x:cfRule>
  </x:conditionalFormatting>
  <x:pageMargins left="0.7" right="0.7" top="0.75" bottom="0.75" header="0.3" footer="0.3"/>
  <x:tableParts count="1">
    <x:tablePart xmlns:r="http://schemas.openxmlformats.org/officeDocument/2006/relationships" r:id="R548ed61d751942b6"/>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M&amp;A</x:v>
      </x:c>
      <x:c r="B1" s="3"/>
      <x:c r="C1" s="3"/>
      <x:c r="D1" s="3"/>
      <x:c r="E1" s="3"/>
      <x:c r="F1" s="3"/>
      <x:c r="G1" s="3"/>
      <x:c r="H1" s="3"/>
      <x:c r="I1" s="3"/>
      <x:c r="J1" s="3"/>
    </x:row>
    <x:row r="2" ht="30" customHeight="1">
      <x:c r="A2" s="7" t="str">
        <x:v>Preparation list for M&amp;A.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68" customHeight="1">
      <x:c r="A5" s="30" t="str">
        <x:v>QB0173</x:v>
      </x:c>
      <x:c r="B5" s="30" t="str">
        <x:v>MS IBD</x:v>
      </x:c>
      <x:c r="C5" s="30" t="str">
        <x:v>IBD / GCM</x:v>
      </x:c>
      <x:c r="D5" s="31" t="str">
        <x:v>Was it a strategic or financial buyer that you were looking for?</x:v>
      </x:c>
      <x:c r="E5" s="31" t="str">
        <x:v>Was it a strategic or financial buyer that you were looking for</x:v>
      </x:c>
      <x:c r="F5" s="31" t="str">
        <x:v>M&amp;A</x:v>
      </x:c>
      <x:c r="G5" s="30" t="str">
        <x:v>CL0855</x:v>
      </x:c>
      <x:c r="H5" s="32" t="n">
        <x:f>COUNTIF($G$5:$G$17,G5)</x:f>
        <x:v>1</x:v>
      </x:c>
      <x:c r="I5" s="30" t="str">
        <x:v>A73</x:v>
      </x:c>
      <x:c r="J5" s="31" t="str">
        <x:v>Self Intro | Same revenue to profit for a coffee shop question again (coz they all just flip through the same question bank lol) except this time the coffee shop is in MS | Walk me through the sell side M&amp;A that you did during your previ...</x:v>
      </x:c>
    </x:row>
    <x:row r="6" ht="68" customHeight="1">
      <x:c r="A6" s="30" t="str">
        <x:v>QB0232</x:v>
      </x:c>
      <x:c r="B6" s="30" t="str">
        <x:v>MS IBD</x:v>
      </x:c>
      <x:c r="C6" s="30" t="str">
        <x:v>IBD / GCM</x:v>
      </x:c>
      <x:c r="D6" s="31" t="str">
        <x:v>PE 25x acquires PE 15x, accretive or dilutive? Any assumptions?</x:v>
      </x:c>
      <x:c r="E6" s="31" t="str">
        <x:v>What makes an M&amp;A deal accretive or dilutive?</x:v>
      </x:c>
      <x:c r="F6" s="31" t="str">
        <x:v>M&amp;A</x:v>
      </x:c>
      <x:c r="G6" s="30" t="str">
        <x:v>CL0048</x:v>
      </x:c>
      <x:c r="H6" s="32" t="n">
        <x:f>COUNTIF($G$5:$G$17,G6)</x:f>
        <x:v>1</x:v>
      </x:c>
      <x:c r="I6" s="30" t="str">
        <x:v>A119</x:v>
      </x:c>
      <x:c r="J6" s="31" t="str">
        <x:v>Explain minority interest, do minority shareholders also share your revenue (only NI sharing) | Under what circumstances use EV/EBITDA instead of PE | How to value a firm with -ve CFs (also talked about replacement valuation)</x:v>
      </x:c>
    </x:row>
    <x:row r="7" ht="48" customHeight="1">
      <x:c r="A7" s="30" t="str">
        <x:v>QB0621</x:v>
      </x:c>
      <x:c r="B7" s="30" t="str">
        <x:v>Deutsche</x:v>
      </x:c>
      <x:c r="C7" s="30" t="str">
        <x:v>IBD / GCM</x:v>
      </x:c>
      <x:c r="D7" s="31" t="str">
        <x:v>Walk me through your projects at Odysseus Capital Asia - brief me the pre-IPO roadshow as well as sell-side M&amp;A transaction?</x:v>
      </x:c>
      <x:c r="E7" s="31" t="str">
        <x:v>Walk me through your projects at Odysseus Capital Asia - brief me the pre-IPO roadshow as well as sell-side M&amp;A transaction</x:v>
      </x:c>
      <x:c r="F7" s="31" t="str">
        <x:v>M&amp;A</x:v>
      </x:c>
      <x:c r="G7" s="30" t="str">
        <x:v>CL0843</x:v>
      </x:c>
      <x:c r="H7" s="32" t="n">
        <x:f>COUNTIF($G$5:$G$17,G7)</x:f>
        <x:v>1</x:v>
      </x:c>
      <x:c r="I7" s="30" t="str">
        <x:v>E24</x:v>
      </x:c>
      <x:c r="J7" s="31" t="str">
        <x:v>Walk me through your resume | Why IBD and not PB, or consulting or even regulatory work? | Most memorable internship experience and why?</x:v>
      </x:c>
    </x:row>
    <x:row r="8" ht="92" customHeight="1">
      <x:c r="A8" s="30" t="str">
        <x:v>QB0742</x:v>
      </x:c>
      <x:c r="B8" s="30" t="str">
        <x:v>Deutsche</x:v>
      </x:c>
      <x:c r="C8" s="30" t="str">
        <x:v>IBD / GCM</x:v>
      </x:c>
      <x:c r="D8" s="31" t="str">
        <x:v>If you are a strategic buyer, what's the answer?</x:v>
      </x:c>
      <x:c r="E8" s="31" t="str">
        <x:v>If you are a strategic buyer, what's the answer</x:v>
      </x:c>
      <x:c r="F8" s="31" t="str">
        <x:v>M&amp;A</x:v>
      </x:c>
      <x:c r="G8" s="30" t="str">
        <x:v>CL0525</x:v>
      </x:c>
      <x:c r="H8" s="32" t="n">
        <x:f>COUNTIF($G$5:$G$17,G8)</x:f>
        <x:v>1</x:v>
      </x:c>
      <x:c r="I8" s="30" t="str">
        <x:v>C94</x:v>
      </x:c>
      <x:c r="J8" s="31" t="str">
        <x:v>Return offer? Why? | Sounds well-rehearsaled, tell me the real reason | We have a company with 50% boring and stable business, lower margin, another 50% faster growing consultancy based higher margin business, which business unit will yo...</x:v>
      </x:c>
    </x:row>
    <x:row r="9" ht="48" customHeight="1">
      <x:c r="A9" s="30" t="str">
        <x:v>QB0794</x:v>
      </x:c>
      <x:c r="B9" s="30" t="str">
        <x:v>Deutsche</x:v>
      </x:c>
      <x:c r="C9" s="30" t="str">
        <x:v>IBD / GCM</x:v>
      </x:c>
      <x:c r="D9" s="31" t="str">
        <x:v>can you accept the ibd hours after working at buyside?</x:v>
      </x:c>
      <x:c r="E9" s="31" t="str">
        <x:v>Can you accept the ibd hours after working at buyside</x:v>
      </x:c>
      <x:c r="F9" s="31" t="str">
        <x:v>M&amp;A</x:v>
      </x:c>
      <x:c r="G9" s="30" t="str">
        <x:v>CL0187</x:v>
      </x:c>
      <x:c r="H9" s="32" t="n">
        <x:f>COUNTIF($G$5:$G$17,G9)</x:f>
        <x:v>1</x:v>
      </x:c>
      <x:c r="I9" s="30" t="str">
        <x:v>C127</x:v>
      </x:c>
      <x:c r="J9" s="31" t="str">
        <x:v>recent ECM deals | one very specific deal (investment thesis, valuation, comps) | you worked at secondary market before and why IBD?</x:v>
      </x:c>
    </x:row>
    <x:row r="10" ht="48" customHeight="1">
      <x:c r="A10" s="30" t="str">
        <x:v>QB0867</x:v>
      </x:c>
      <x:c r="B10" s="30" t="str">
        <x:v>Citi</x:v>
      </x:c>
      <x:c r="C10" s="30" t="str">
        <x:v>IBD / GCM</x:v>
      </x:c>
      <x:c r="D10" s="31" t="str">
        <x:v>if the company were to be acquired 100% by another company how much would it be (higher than ev bc control premium)</x:v>
      </x:c>
      <x:c r="E10" s="31" t="str">
        <x:v>If the company were to be acquired 100% by another company how much would it be (higher than ev bc control premium)</x:v>
      </x:c>
      <x:c r="F10" s="31" t="str">
        <x:v>M&amp;A</x:v>
      </x:c>
      <x:c r="G10" s="30" t="str">
        <x:v>CL0516</x:v>
      </x:c>
      <x:c r="H10" s="32" t="n">
        <x:f>COUNTIF($G$5:$G$17,G10)</x:f>
        <x:v>1</x:v>
      </x:c>
      <x:c r="I10" s="30" t="str">
        <x:v>A6</x:v>
      </x:c>
      <x:c r="J10" s="31" t="str">
        <x:v>tell me about a recent citi deal | how to get ev from equity value | what other additional things are in the equation and why (nols, dta etc)</x:v>
      </x:c>
    </x:row>
    <x:row r="11" ht="92" customHeight="1">
      <x:c r="A11" s="30" t="str">
        <x:v>QB1400</x:v>
      </x:c>
      <x:c r="B11" s="30" t="str">
        <x:v>Bofa IBD</x:v>
      </x:c>
      <x:c r="C11" s="30" t="str">
        <x:v>IBD / GCM</x:v>
      </x:c>
      <x:c r="D11" s="31" t="str">
        <x:v>Commercial bank buyside pitch: investment highlights, operating metrics</x:v>
      </x:c>
      <x:c r="E11" s="31" t="str">
        <x:v>Commercial bank buyside pitch: investment highlights, operating metrics</x:v>
      </x:c>
      <x:c r="F11" s="31" t="str">
        <x:v>M&amp;A</x:v>
      </x:c>
      <x:c r="G11" s="30" t="str">
        <x:v>CL0201</x:v>
      </x:c>
      <x:c r="H11" s="32" t="n">
        <x:f>COUNTIF($G$5:$G$17,G11)</x:f>
        <x:v>1</x:v>
      </x:c>
      <x:c r="I11" s="30" t="str">
        <x:v>C97</x:v>
      </x:c>
      <x:c r="J11" s="31" t="str">
        <x:v>B2B payment pre ipo: Tell me about industry, investment highlights, how you did trading comps, what are the competitors you chose | Why you picked these competitors? One of these competitor main business isn't just B2B, why choose? Did y...</x:v>
      </x:c>
    </x:row>
    <x:row r="12" ht="68" customHeight="1">
      <x:c r="A12" s="30" t="str">
        <x:v>QB1536</x:v>
      </x:c>
      <x:c r="B12" s="30" t="str">
        <x:v>Grant Samuel</x:v>
      </x:c>
      <x:c r="C12" s="30" t="str">
        <x:v>IBD / GCM</x:v>
      </x:c>
      <x:c r="D12" s="31" t="str">
        <x:v>In most of the cases, involving debt financing, cash, e.g., acquisition involves all three, what are some of the impacts that have to encounter for the merger model</x:v>
      </x:c>
      <x:c r="E12" s="31" t="str">
        <x:v>In most of the cases, involving debt financing, cash, e.g., acquisition involves all three, what are some of the impacts that have to encounter for the merger model</x:v>
      </x:c>
      <x:c r="F12" s="31" t="str">
        <x:v>M&amp;A</x:v>
      </x:c>
      <x:c r="G12" s="30" t="str">
        <x:v>CL0540</x:v>
      </x:c>
      <x:c r="H12" s="32" t="n">
        <x:f>COUNTIF($G$5:$G$17,G12)</x:f>
        <x:v>1</x:v>
      </x:c>
      <x:c r="I12" s="30" t="str">
        <x:v>A11</x:v>
      </x:c>
      <x:c r="J12" s="31" t="str">
        <x:v>&gt; may be different stages, e.g., turning into profitability | Walk me thru impact on 3 FS, acquiring pp&amp;e at the start of the year, you can make your own assumptions | All-stock deal, buyer has a higher p/e, is it accretive or dlitutive?...</x:v>
      </x:c>
    </x:row>
    <x:row r="13" ht="92" customHeight="1">
      <x:c r="A13" s="30" t="str">
        <x:v>QB1599</x:v>
      </x:c>
      <x:c r="B13" s="30" t="str">
        <x:v>Moelis</x:v>
      </x:c>
      <x:c r="C13" s="30" t="str">
        <x:v>IBD / GCM</x:v>
      </x:c>
      <x:c r="D13" s="31" t="str">
        <x:v>If there’s an energy company and you’re working on a sell side model, you have the ASP, sales volume, utilization rates, PPA, what inputs will you put into the model? Would you be more aggressive or less aggressive?</x:v>
      </x:c>
      <x:c r="E13" s="31" t="str">
        <x:v>If there’s an energy company and you’re working on a sell side model, you have the ASP, sales volume, utilization rates, PPA, what inputs will you put into the model? Would you be more aggressive or less aggressive</x:v>
      </x:c>
      <x:c r="F13" s="31" t="str">
        <x:v>M&amp;A</x:v>
      </x:c>
      <x:c r="G13" s="30" t="str">
        <x:v>CL0523</x:v>
      </x:c>
      <x:c r="H13" s="32" t="n">
        <x:f>COUNTIF($G$5:$G$17,G13)</x:f>
        <x:v>1</x:v>
      </x:c>
      <x:c r="I13" s="30" t="str">
        <x:v>A65</x:v>
      </x:c>
      <x:c r="J13" s="31" t="str">
        <x:v>l Did you go through SPA? | i. I said I only arrived at the LOI stage when I left, he asked if I participated in drafting LOI, I said no but my boss showed me how it looked like | What’s your favorite sector and what’s your least favorit...</x:v>
      </x:c>
    </x:row>
    <x:row r="14" ht="48" customHeight="1">
      <x:c r="A14" s="30" t="str">
        <x:v>QB1782</x:v>
      </x:c>
      <x:c r="B14" s="30" t="str">
        <x:v>BNP Paribas</x:v>
      </x:c>
      <x:c r="C14" s="30" t="str">
        <x:v>IBD / GCM</x:v>
      </x:c>
      <x:c r="D14" s="31" t="str">
        <x:v>How about buy-side, difference?</x:v>
      </x:c>
      <x:c r="E14" s="31" t="str">
        <x:v>How about buy-side, difference</x:v>
      </x:c>
      <x:c r="F14" s="31" t="str">
        <x:v>M&amp;A</x:v>
      </x:c>
      <x:c r="G14" s="30" t="str">
        <x:v>CL0369</x:v>
      </x:c>
      <x:c r="H14" s="32" t="n">
        <x:f>COUNTIF($G$5:$G$17,G14)</x:f>
        <x:v>1</x:v>
      </x:c>
      <x:c r="I14" s="30" t="str">
        <x:v>C40</x:v>
      </x:c>
      <x:c r="J14" s="31" t="str">
        <x:v>most of your experience is IPO-related — why M&amp;A? | Sell-side M&amp;A process | Basic understanding of the documents (NDA, CIM)</x:v>
      </x:c>
    </x:row>
    <x:row r="15" ht="48" customHeight="1">
      <x:c r="A15" s="30" t="str">
        <x:v>QB1893</x:v>
      </x:c>
      <x:c r="B15" s="30" t="str">
        <x:v>Lazard</x:v>
      </x:c>
      <x:c r="C15" s="30" t="str">
        <x:v>IBD / GCM</x:v>
      </x:c>
      <x:c r="D15" s="31" t="str">
        <x:v>What are the main factors of choosing the final buyer in M&amp;A as a sellside advisor?</x:v>
      </x:c>
      <x:c r="E15" s="31" t="str">
        <x:v>What are the main factors of choosing the final buyer in M&amp;A as a sellside advisor</x:v>
      </x:c>
      <x:c r="F15" s="31" t="str">
        <x:v>M&amp;A</x:v>
      </x:c>
      <x:c r="G15" s="30" t="str">
        <x:v>CL0883</x:v>
      </x:c>
      <x:c r="H15" s="32" t="n">
        <x:f>COUNTIF($G$5:$G$17,G15)</x:f>
        <x:v>1</x:v>
      </x:c>
      <x:c r="I15" s="30" t="str">
        <x:v>A6</x:v>
      </x:c>
      <x:c r="J15" s="31" t="str">
        <x:v>Self intro | Major responsibilities in deal, company and industry overview | Process of M&amp;A?</x:v>
      </x:c>
    </x:row>
    <x:row r="16" ht="48" customHeight="1">
      <x:c r="A16" s="30" t="str">
        <x:v>QB1894</x:v>
      </x:c>
      <x:c r="B16" s="30" t="str">
        <x:v>Lazard</x:v>
      </x:c>
      <x:c r="C16" s="30" t="str">
        <x:v>IBD / GCM</x:v>
      </x:c>
      <x:c r="D16" s="31" t="str">
        <x:v>How do you do the buyer research for project 1</x:v>
      </x:c>
      <x:c r="E16" s="31" t="str">
        <x:v>How do you do the buyer research for project 1</x:v>
      </x:c>
      <x:c r="F16" s="31" t="str">
        <x:v>M&amp;A</x:v>
      </x:c>
      <x:c r="G16" s="30" t="str">
        <x:v>CL0407</x:v>
      </x:c>
      <x:c r="H16" s="32" t="n">
        <x:f>COUNTIF($G$5:$G$17,G16)</x:f>
        <x:v>1</x:v>
      </x:c>
      <x:c r="I16" s="30" t="str">
        <x:v>C6</x:v>
      </x:c>
      <x:c r="J16" s="31" t="str">
        <x:v>Self introduction | Walk through one of the projects you have engaged in | CV experiences deep-dive</x:v>
      </x:c>
    </x:row>
    <x:row r="17" ht="68" customHeight="1">
      <x:c r="A17" s="30" t="str">
        <x:v>QB2139</x:v>
      </x:c>
      <x:c r="B17" s="30" t="str">
        <x:v>Nomura</x:v>
      </x:c>
      <x:c r="C17" s="30" t="str">
        <x:v>IBD / GCM</x:v>
      </x:c>
      <x:c r="D17" s="31" t="str">
        <x:v>讲一下M&amp;A的整个流程（buyside/sellside）</x:v>
      </x:c>
      <x:c r="E17" s="31" t="str">
        <x:v>讲一下M&amp;A的整个流程（buyside/sellside）</x:v>
      </x:c>
      <x:c r="F17" s="31" t="str">
        <x:v>M&amp;A</x:v>
      </x:c>
      <x:c r="G17" s="30" t="str">
        <x:v>CL1253</x:v>
      </x:c>
      <x:c r="H17" s="32" t="n">
        <x:f>COUNTIF($G$5:$G$17,G17)</x:f>
        <x:v>1</x:v>
      </x:c>
      <x:c r="I17" s="30" t="str">
        <x:v>C105</x:v>
      </x:c>
      <x:c r="J17" s="31" t="str">
        <x:v>Need to sacrifice your private time doing ibd, are you ready for this? | You chatted with junior bankers, what you know about Nomura ibd at this stage | 日本人口有1.2亿，理发店的总数量大约是？（估算逻辑+结果）</x:v>
      </x:c>
    </x:row>
  </x:sheetData>
  <x:mergeCells>
    <x:mergeCell ref="A1:J1"/>
    <x:mergeCell ref="A2:J2"/>
  </x:mergeCells>
  <x:conditionalFormatting sqref="H5:H17">
    <x:cfRule type="cellIs" dxfId="15" priority="1" operator="greaterThan">
      <x:formula>1</x:formula>
    </x:cfRule>
  </x:conditionalFormatting>
  <x:pageMargins left="0.7" right="0.7" top="0.75" bottom="0.75" header="0.3" footer="0.3"/>
  <x:tableParts count="1">
    <x:tablePart xmlns:r="http://schemas.openxmlformats.org/officeDocument/2006/relationships" r:id="R72fe49df045c43a3"/>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Capital Markets &amp; Financing</x:v>
      </x:c>
      <x:c r="B1" s="3"/>
      <x:c r="C1" s="3"/>
      <x:c r="D1" s="3"/>
      <x:c r="E1" s="3"/>
      <x:c r="F1" s="3"/>
      <x:c r="G1" s="3"/>
      <x:c r="H1" s="3"/>
      <x:c r="I1" s="3"/>
      <x:c r="J1" s="3"/>
    </x:row>
    <x:row r="2" ht="30" customHeight="1">
      <x:c r="A2" s="7" t="str">
        <x:v>Preparation list for Capital Markets &amp; Financing.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48" customHeight="1">
      <x:c r="A5" s="30" t="str">
        <x:v>QB0053</x:v>
      </x:c>
      <x:c r="B5" s="30" t="str">
        <x:v>MS IBD</x:v>
      </x:c>
      <x:c r="C5" s="30" t="str">
        <x:v>IBD / GCM</x:v>
      </x:c>
      <x:c r="D5" s="31" t="str">
        <x:v>Do you like financing / capital markets?</x:v>
      </x:c>
      <x:c r="E5" s="31" t="str">
        <x:v>Do you like financing / capital markets</x:v>
      </x:c>
      <x:c r="F5" s="31" t="str">
        <x:v>Capital Markets &amp; Financing</x:v>
      </x:c>
      <x:c r="G5" s="30" t="str">
        <x:v>CL0283</x:v>
      </x:c>
      <x:c r="H5" s="32" t="n">
        <x:f>COUNTIF($G$5:$G$49,G5)</x:f>
        <x:v>1</x:v>
      </x:c>
      <x:c r="I5" s="30" t="str">
        <x:v>H23</x:v>
      </x:c>
      <x:c r="J5" s="31" t="str">
        <x:v>1st round Jasmine 4/10 (Kelly Liu, Asso from TMT) | Self Intro | What is client financing solutions, DCM?</x:v>
      </x:c>
    </x:row>
    <x:row r="6" ht="48" customHeight="1">
      <x:c r="A6" s="30" t="str">
        <x:v>QB0066</x:v>
      </x:c>
      <x:c r="B6" s="30" t="str">
        <x:v>MS IBD</x:v>
      </x:c>
      <x:c r="C6" s="30" t="str">
        <x:v>IBD / GCM</x:v>
      </x:c>
      <x:c r="D6" s="31" t="str">
        <x:v>What are differences between different exit methods (IPO, strategic purchase...)</x:v>
      </x:c>
      <x:c r="E6" s="31" t="str">
        <x:v>What are differences between different exit methods (IPO, strategic purchase...)</x:v>
      </x:c>
      <x:c r="F6" s="31" t="str">
        <x:v>Capital Markets &amp; Financing</x:v>
      </x:c>
      <x:c r="G6" s="30" t="str">
        <x:v>CL0863</x:v>
      </x:c>
      <x:c r="H6" s="32" t="n">
        <x:f>COUNTIF($G$5:$G$49,G6)</x:f>
        <x:v>1</x:v>
      </x:c>
      <x:c r="I6" s="30" t="str">
        <x:v>A26</x:v>
      </x:c>
      <x:c r="J6" s="31" t="str">
        <x:v>Why doing college in Hong Kong | difference between securities in mainland China and ibd in Hong Kong | How do equity fund/buyout fund make money</x:v>
      </x:c>
    </x:row>
    <x:row r="7" ht="32" customHeight="1">
      <x:c r="A7" s="30" t="str">
        <x:v>QB0097</x:v>
      </x:c>
      <x:c r="B7" s="30" t="str">
        <x:v>MS IBD</x:v>
      </x:c>
      <x:c r="C7" s="30" t="str">
        <x:v>IBD / GCM</x:v>
      </x:c>
      <x:c r="D7" s="31" t="str">
        <x:v>⁠⁠so whats the US treasury yield now?</x:v>
      </x:c>
      <x:c r="E7" s="31" t="str">
        <x:v>⁠⁠so whats the US treasury yield now</x:v>
      </x:c>
      <x:c r="F7" s="31" t="str">
        <x:v>Capital Markets &amp; Financing</x:v>
      </x:c>
      <x:c r="G7" s="30" t="str">
        <x:v>CL0686</x:v>
      </x:c>
      <x:c r="H7" s="32" t="n">
        <x:f>COUNTIF($G$5:$G$49,G7)</x:f>
        <x:v>1</x:v>
      </x:c>
      <x:c r="I7" s="30" t="str">
        <x:v>C31</x:v>
      </x:c>
      <x:c r="J7" s="31" t="str">
        <x:v>⁠⁠what is cost of debt | what is cost of equity | how you get the risk free rate</x:v>
      </x:c>
    </x:row>
    <x:row r="8" ht="32" customHeight="1">
      <x:c r="A8" s="30" t="str">
        <x:v>QB0145</x:v>
      </x:c>
      <x:c r="B8" s="30" t="str">
        <x:v>MS IBD</x:v>
      </x:c>
      <x:c r="C8" s="30" t="str">
        <x:v>IBD / GCM</x:v>
      </x:c>
      <x:c r="D8" s="31" t="str">
        <x:v>Things to consider for Debt investors vs Equity investors</x:v>
      </x:c>
      <x:c r="E8" s="31" t="str">
        <x:v>How should a company choose between debt and equity financing?</x:v>
      </x:c>
      <x:c r="F8" s="31" t="str">
        <x:v>Capital Markets &amp; Financing</x:v>
      </x:c>
      <x:c r="G8" s="30" t="str">
        <x:v>CL0005</x:v>
      </x:c>
      <x:c r="H8" s="32" t="n">
        <x:f>COUNTIF($G$5:$G$49,G8)</x:f>
        <x:v>6</x:v>
      </x:c>
      <x:c r="I8" s="30" t="str">
        <x:v>C58</x:v>
      </x:c>
      <x:c r="J8" s="31" t="str">
        <x:v>10 - 19/10 Jasmine | 1 China Coverage ED | Self Intro</x:v>
      </x:c>
    </x:row>
    <x:row r="9" ht="48" customHeight="1">
      <x:c r="A9" s="30" t="str">
        <x:v>QB0147</x:v>
      </x:c>
      <x:c r="B9" s="30" t="str">
        <x:v>MS IBD</x:v>
      </x:c>
      <x:c r="C9" s="30" t="str">
        <x:v>IBD / GCM</x:v>
      </x:c>
      <x:c r="D9" s="31" t="str">
        <x:v>How about for leveraged loans</x:v>
      </x:c>
      <x:c r="E9" s="31" t="str">
        <x:v>How about for leveraged loans</x:v>
      </x:c>
      <x:c r="F9" s="31" t="str">
        <x:v>Capital Markets &amp; Financing</x:v>
      </x:c>
      <x:c r="G9" s="30" t="str">
        <x:v>CL0370</x:v>
      </x:c>
      <x:c r="H9" s="32" t="n">
        <x:f>COUNTIF($G$5:$G$49,G9)</x:f>
        <x:v>1</x:v>
      </x:c>
      <x:c r="I9" s="30" t="str">
        <x:v>C59</x:v>
      </x:c>
      <x:c r="J9" s="31" t="str">
        <x:v>1 China Coverage ED | Self Intro | Things to consider for Debt investors vs Equity investors</x:v>
      </x:c>
    </x:row>
    <x:row r="10" ht="32" customHeight="1">
      <x:c r="A10" s="30" t="str">
        <x:v>QB0176</x:v>
      </x:c>
      <x:c r="B10" s="30" t="str">
        <x:v>MS IBD</x:v>
      </x:c>
      <x:c r="C10" s="30" t="str">
        <x:v>IBD / GCM</x:v>
      </x:c>
      <x:c r="D10" s="31" t="str">
        <x:v>Was I allocated or I chose Capital Market at Nomura</x:v>
      </x:c>
      <x:c r="E10" s="31" t="str">
        <x:v>Was I allocated or I chose Capital Market at Nomura</x:v>
      </x:c>
      <x:c r="F10" s="31" t="str">
        <x:v>Capital Markets &amp; Financing</x:v>
      </x:c>
      <x:c r="G10" s="30" t="str">
        <x:v>CL0854</x:v>
      </x:c>
      <x:c r="H10" s="32" t="n">
        <x:f>COUNTIF($G$5:$G$49,G10)</x:f>
        <x:v>1</x:v>
      </x:c>
      <x:c r="I10" s="30" t="str">
        <x:v>C74</x:v>
      </x:c>
      <x:c r="J10" s="31" t="str">
        <x:v>2 FIG ED | Self intro | Capital Markets vs IBD</x:v>
      </x:c>
    </x:row>
    <x:row r="11" ht="48" customHeight="1">
      <x:c r="A11" s="30" t="str">
        <x:v>QB0262</x:v>
      </x:c>
      <x:c r="B11" s="30" t="str">
        <x:v>MS GCM</x:v>
      </x:c>
      <x:c r="C11" s="30" t="str">
        <x:v>IBD / GCM</x:v>
      </x:c>
      <x:c r="D11" s="31" t="str">
        <x:v>What are some ways to raise funds</x:v>
      </x:c>
      <x:c r="E11" s="31" t="str">
        <x:v>What are some ways to raise funds</x:v>
      </x:c>
      <x:c r="F11" s="31" t="str">
        <x:v>Capital Markets &amp; Financing</x:v>
      </x:c>
      <x:c r="G11" s="30" t="str">
        <x:v>CL0874</x:v>
      </x:c>
      <x:c r="H11" s="32" t="n">
        <x:f>COUNTIF($G$5:$G$49,G11)</x:f>
        <x:v>1</x:v>
      </x:c>
      <x:c r="I11" s="30" t="str">
        <x:v>C20</x:v>
      </x:c>
      <x:c r="J11" s="31" t="str">
        <x:v>Which team would you prefer | Tell me about a deal done by MS, valuation, how did you find the comps for it? | Market outlook</x:v>
      </x:c>
    </x:row>
    <x:row r="12" ht="32" customHeight="1">
      <x:c r="A12" s="30" t="str">
        <x:v>QB0264</x:v>
      </x:c>
      <x:c r="B12" s="30" t="str">
        <x:v>MS GCM</x:v>
      </x:c>
      <x:c r="C12" s="30" t="str">
        <x:v>IBD / GCM</x:v>
      </x:c>
      <x:c r="D12" s="31" t="str">
        <x:v>How do you price the convertible bonds</x:v>
      </x:c>
      <x:c r="E12" s="31" t="str">
        <x:v>Explain convertible bonds and why an issuer might use them</x:v>
      </x:c>
      <x:c r="F12" s="31" t="str">
        <x:v>Capital Markets &amp; Financing</x:v>
      </x:c>
      <x:c r="G12" s="30" t="str">
        <x:v>CL0016</x:v>
      </x:c>
      <x:c r="H12" s="32" t="n">
        <x:f>COUNTIF($G$5:$G$49,G12)</x:f>
        <x:v>6</x:v>
      </x:c>
      <x:c r="I12" s="30" t="str">
        <x:v>C22</x:v>
      </x:c>
      <x:c r="J12" s="31" t="str">
        <x:v>Market outlook | What are some ways to raise funds | What is convertible bonds</x:v>
      </x:c>
    </x:row>
    <x:row r="13" ht="48" customHeight="1">
      <x:c r="A13" s="30" t="str">
        <x:v>QB0265</x:v>
      </x:c>
      <x:c r="B13" s="30" t="str">
        <x:v>MS GCM</x:v>
      </x:c>
      <x:c r="C13" s="30" t="str">
        <x:v>IBD / GCM</x:v>
      </x:c>
      <x:c r="D13" s="31" t="str">
        <x:v>What are some inputs in calculating the price of convertible bonds</x:v>
      </x:c>
      <x:c r="E13" s="31" t="str">
        <x:v>Explain convertible bonds and why an issuer might use them</x:v>
      </x:c>
      <x:c r="F13" s="31" t="str">
        <x:v>Capital Markets &amp; Financing</x:v>
      </x:c>
      <x:c r="G13" s="30" t="str">
        <x:v>CL0016</x:v>
      </x:c>
      <x:c r="H13" s="32" t="n">
        <x:f>COUNTIF($G$5:$G$49,G13)</x:f>
        <x:v>6</x:v>
      </x:c>
      <x:c r="I13" s="30" t="str">
        <x:v>C23</x:v>
      </x:c>
      <x:c r="J13" s="31" t="str">
        <x:v>What are some ways to raise funds | What is convertible bonds | How do you price the convertible bonds</x:v>
      </x:c>
    </x:row>
    <x:row r="14" ht="32" customHeight="1">
      <x:c r="A14" s="30" t="str">
        <x:v>QB0273</x:v>
      </x:c>
      <x:c r="B14" s="30" t="str">
        <x:v>MS GCM</x:v>
      </x:c>
      <x:c r="C14" s="30" t="str">
        <x:v>IBD / GCM</x:v>
      </x:c>
      <x:c r="D14" s="31" t="str">
        <x:v>How would you advise an energy storage company to raise capital, debt or equity</x:v>
      </x:c>
      <x:c r="E14" s="31" t="str">
        <x:v>How should a company choose between debt and equity financing?</x:v>
      </x:c>
      <x:c r="F14" s="31" t="str">
        <x:v>Capital Markets &amp; Financing</x:v>
      </x:c>
      <x:c r="G14" s="30" t="str">
        <x:v>CL0005</x:v>
      </x:c>
      <x:c r="H14" s="32" t="n">
        <x:f>COUNTIF($G$5:$G$49,G14)</x:f>
        <x:v>6</x:v>
      </x:c>
      <x:c r="I14" s="30" t="str">
        <x:v>C32</x:v>
      </x:c>
      <x:c r="J14" s="31" t="str">
        <x:v>Why MS | Why MS not GS | Pretend I am GS interviewer, why GS</x:v>
      </x:c>
    </x:row>
    <x:row r="15" ht="48" customHeight="1">
      <x:c r="A15" s="30" t="str">
        <x:v>QB0274</x:v>
      </x:c>
      <x:c r="B15" s="30" t="str">
        <x:v>MS GCM</x:v>
      </x:c>
      <x:c r="C15" s="30" t="str">
        <x:v>IBD / GCM</x:v>
      </x:c>
      <x:c r="D15" s="31" t="str">
        <x:v>How would you advise an EV company to raise capital, debt or equity</x:v>
      </x:c>
      <x:c r="E15" s="31" t="str">
        <x:v>How should a company choose between debt and equity financing?</x:v>
      </x:c>
      <x:c r="F15" s="31" t="str">
        <x:v>Capital Markets &amp; Financing</x:v>
      </x:c>
      <x:c r="G15" s="30" t="str">
        <x:v>CL0005</x:v>
      </x:c>
      <x:c r="H15" s="32" t="n">
        <x:f>COUNTIF($G$5:$G$49,G15)</x:f>
        <x:v>6</x:v>
      </x:c>
      <x:c r="I15" s="30" t="str">
        <x:v>C33</x:v>
      </x:c>
      <x:c r="J15" s="31" t="str">
        <x:v>Why MS not GS | Pretend I am GS interviewer, why GS | How would you advise an energy storage company to raise capital, debt or equity</x:v>
      </x:c>
    </x:row>
    <x:row r="16" ht="68" customHeight="1">
      <x:c r="A16" s="30" t="str">
        <x:v>QB0275</x:v>
      </x:c>
      <x:c r="B16" s="30" t="str">
        <x:v>MS GCM</x:v>
      </x:c>
      <x:c r="C16" s="30" t="str">
        <x:v>IBD / GCM</x:v>
      </x:c>
      <x:c r="D16" s="31" t="str">
        <x:v>If you are Tencent CEO, what factors would you look into to decide raise debt or equity</x:v>
      </x:c>
      <x:c r="E16" s="31" t="str">
        <x:v>How should a company choose between debt and equity financing?</x:v>
      </x:c>
      <x:c r="F16" s="31" t="str">
        <x:v>Capital Markets &amp; Financing</x:v>
      </x:c>
      <x:c r="G16" s="30" t="str">
        <x:v>CL0005</x:v>
      </x:c>
      <x:c r="H16" s="32" t="n">
        <x:f>COUNTIF($G$5:$G$49,G16)</x:f>
        <x:v>6</x:v>
      </x:c>
      <x:c r="I16" s="30" t="str">
        <x:v>C34</x:v>
      </x:c>
      <x:c r="J16" s="31" t="str">
        <x:v>Pretend I am GS interviewer, why GS | How would you advise an energy storage company to raise capital, debt or equity | How would you advise an EV company to raise capital, debt or equity</x:v>
      </x:c>
    </x:row>
    <x:row r="17" ht="48" customHeight="1">
      <x:c r="A17" s="30" t="str">
        <x:v>QB0284</x:v>
      </x:c>
      <x:c r="B17" s="30" t="str">
        <x:v>MS GCM</x:v>
      </x:c>
      <x:c r="C17" s="30" t="str">
        <x:v>IBD / GCM</x:v>
      </x:c>
      <x:c r="D17" s="31" t="str">
        <x:v>Advise on bond issuance - terms (coupon rate, maturity) , market condition (assuming high-rate), steel industry</x:v>
      </x:c>
      <x:c r="E17" s="31" t="str">
        <x:v>Advise on bond issuance - terms (coupon rate, maturity) , market condition (assuming high-rate), steel industry</x:v>
      </x:c>
      <x:c r="F17" s="31" t="str">
        <x:v>Capital Markets &amp; Financing</x:v>
      </x:c>
      <x:c r="G17" s="30" t="str">
        <x:v>CL0102</x:v>
      </x:c>
      <x:c r="H17" s="32" t="n">
        <x:f>COUNTIF($G$5:$G$49,G17)</x:f>
        <x:v>1</x:v>
      </x:c>
      <x:c r="I17" s="30" t="str">
        <x:v>A42</x:v>
      </x:c>
      <x:c r="J17" s="31" t="str">
        <x:v>First Round | Jasmine 10/10 | Group Discussion:</x:v>
      </x:c>
    </x:row>
    <x:row r="18" ht="32" customHeight="1">
      <x:c r="A18" s="30" t="str">
        <x:v>QB0288</x:v>
      </x:c>
      <x:c r="B18" s="30" t="str">
        <x:v>MS GCM</x:v>
      </x:c>
      <x:c r="C18" s="30" t="str">
        <x:v>IBD / GCM</x:v>
      </x:c>
      <x:c r="D18" s="31" t="str">
        <x:v>what do GCM do</x:v>
      </x:c>
      <x:c r="E18" s="31" t="str">
        <x:v>What do GCM do</x:v>
      </x:c>
      <x:c r="F18" s="31" t="str">
        <x:v>Capital Markets &amp; Financing</x:v>
      </x:c>
      <x:c r="G18" s="30" t="str">
        <x:v>CL0912</x:v>
      </x:c>
      <x:c r="H18" s="32" t="n">
        <x:f>COUNTIF($G$5:$G$49,G18)</x:f>
        <x:v>1</x:v>
      </x:c>
      <x:c r="I18" s="30" t="str">
        <x:v>C44</x:v>
      </x:c>
      <x:c r="J18" s="31" t="str">
        <x:v>Intro; | why GCM, not IBD | why not consulting, PE</x:v>
      </x:c>
    </x:row>
    <x:row r="19" ht="32" customHeight="1">
      <x:c r="A19" s="30" t="str">
        <x:v>QB0290</x:v>
      </x:c>
      <x:c r="B19" s="30" t="str">
        <x:v>MS GCM</x:v>
      </x:c>
      <x:c r="C19" s="30" t="str">
        <x:v>IBD / GCM</x:v>
      </x:c>
      <x:c r="D19" s="31" t="str">
        <x:v>what traits do you think a GCM banker should have</x:v>
      </x:c>
      <x:c r="E19" s="31" t="str">
        <x:v>What traits do you think a GCM banker should have</x:v>
      </x:c>
      <x:c r="F19" s="31" t="str">
        <x:v>Capital Markets &amp; Financing</x:v>
      </x:c>
      <x:c r="G19" s="30" t="str">
        <x:v>CL1034</x:v>
      </x:c>
      <x:c r="H19" s="32" t="n">
        <x:f>COUNTIF($G$5:$G$49,G19)</x:f>
        <x:v>1</x:v>
      </x:c>
      <x:c r="I19" s="30" t="str">
        <x:v>C45</x:v>
      </x:c>
      <x:c r="J19" s="31" t="str">
        <x:v>why GCM, not IBD | why not consulting, PE | what do GCM do</x:v>
      </x:c>
    </x:row>
    <x:row r="20" ht="68" customHeight="1">
      <x:c r="A20" s="30" t="str">
        <x:v>QB0320</x:v>
      </x:c>
      <x:c r="B20" s="30" t="str">
        <x:v>MS GCM</x:v>
      </x:c>
      <x:c r="C20" s="30" t="str">
        <x:v>IBD / GCM</x:v>
      </x:c>
      <x:c r="D20" s="31" t="str">
        <x:v>if you get offer from MS GCM, and you call your grandma back to Yunnan, your grandma said congratulations but what if GCM? What will you explain to your grandma about your role</x:v>
      </x:c>
      <x:c r="E20" s="31" t="str">
        <x:v>If you get offer from MS GCM, and you call your grandma back to Yunnan, your grandma said congratulations but what if GCM? What will you explain to your grandma about your role</x:v>
      </x:c>
      <x:c r="F20" s="31" t="str">
        <x:v>Capital Markets &amp; Financing</x:v>
      </x:c>
      <x:c r="G20" s="30" t="str">
        <x:v>CL0531</x:v>
      </x:c>
      <x:c r="H20" s="32" t="n">
        <x:f>COUNTIF($G$5:$G$49,G20)</x:f>
        <x:v>1</x:v>
      </x:c>
      <x:c r="I20" s="30" t="str">
        <x:v>C73</x:v>
      </x:c>
      <x:c r="J20" s="31" t="str">
        <x:v>Pitch me a stock; | Some comparable comps; | what's the technical skills that make you stand out;</x:v>
      </x:c>
    </x:row>
    <x:row r="21" ht="32" customHeight="1">
      <x:c r="A21" s="30" t="str">
        <x:v>QB0340</x:v>
      </x:c>
      <x:c r="B21" s="30" t="str">
        <x:v>MS GCM</x:v>
      </x:c>
      <x:c r="C21" s="30" t="str">
        <x:v>IBD / GCM</x:v>
      </x:c>
      <x:c r="D21" s="31" t="str">
        <x:v>With Para Zhao, Leveraged Finance, VP/D?</x:v>
      </x:c>
      <x:c r="E21" s="31" t="str">
        <x:v>With Para Zhao, Leveraged Finance, VP/D</x:v>
      </x:c>
      <x:c r="F21" s="31" t="str">
        <x:v>Capital Markets &amp; Financing</x:v>
      </x:c>
      <x:c r="G21" s="30" t="str">
        <x:v>CL1187</x:v>
      </x:c>
      <x:c r="H21" s="32" t="n">
        <x:f>COUNTIF($G$5:$G$49,G21)</x:f>
        <x:v>1</x:v>
      </x:c>
      <x:c r="I21" s="30" t="str">
        <x:v>A94</x:v>
      </x:c>
      <x:c r="J21" s="31" t="str">
        <x:v>2026 SA | First Round | John</x:v>
      </x:c>
    </x:row>
    <x:row r="22" ht="32" customHeight="1">
      <x:c r="A22" s="30" t="str">
        <x:v>QB0342</x:v>
      </x:c>
      <x:c r="B22" s="30" t="str">
        <x:v>MS GCM</x:v>
      </x:c>
      <x:c r="C22" s="30" t="str">
        <x:v>IBD / GCM</x:v>
      </x:c>
      <x:c r="D22" s="31" t="str">
        <x:v>ABOUT AN EQUITY SEASONED OFFERING SOLUTION TO A COMPANY</x:v>
      </x:c>
      <x:c r="E22" s="31" t="str">
        <x:v>ABOUT AN EQUITY SEASONED OFFERING SOLUTION TO A COMPANY</x:v>
      </x:c>
      <x:c r="F22" s="31" t="str">
        <x:v>Capital Markets &amp; Financing</x:v>
      </x:c>
      <x:c r="G22" s="30" t="str">
        <x:v>CL0094</x:v>
      </x:c>
      <x:c r="H22" s="32" t="n">
        <x:f>COUNTIF($G$5:$G$49,G22)</x:f>
        <x:v>1</x:v>
      </x:c>
      <x:c r="I22" s="30" t="str">
        <x:v>D94</x:v>
      </x:c>
      <x:c r="J22" s="31" t="str">
        <x:v>CASE STUDY (5mins read+15mins discussion+20mins pre and Q&amp;A)</x:v>
      </x:c>
    </x:row>
    <x:row r="23" ht="32" customHeight="1">
      <x:c r="A23" s="30" t="str">
        <x:v>QB0348</x:v>
      </x:c>
      <x:c r="B23" s="30" t="str">
        <x:v>MS GCM</x:v>
      </x:c>
      <x:c r="C23" s="30" t="str">
        <x:v>IBD / GCM</x:v>
      </x:c>
      <x:c r="D23" s="31" t="str">
        <x:v>Raising capital through equity or debt, usually what are the pros and cons?</x:v>
      </x:c>
      <x:c r="E23" s="31" t="str">
        <x:v>How should a company choose between debt and equity financing?</x:v>
      </x:c>
      <x:c r="F23" s="31" t="str">
        <x:v>Capital Markets &amp; Financing</x:v>
      </x:c>
      <x:c r="G23" s="30" t="str">
        <x:v>CL0005</x:v>
      </x:c>
      <x:c r="H23" s="32" t="n">
        <x:f>COUNTIF($G$5:$G$49,G23)</x:f>
        <x:v>6</x:v>
      </x:c>
      <x:c r="I23" s="30" t="str">
        <x:v>A97</x:v>
      </x:c>
      <x:c r="J23" s="31" t="str">
        <x:v>With Para Zhao, Leveraged Finance, VP/D? | Walk me through your CV | Why GCM not GM?</x:v>
      </x:c>
    </x:row>
    <x:row r="24" ht="32" customHeight="1">
      <x:c r="A24" s="30" t="str">
        <x:v>QB0349</x:v>
      </x:c>
      <x:c r="B24" s="30" t="str">
        <x:v>MS GCM</x:v>
      </x:c>
      <x:c r="C24" s="30" t="str">
        <x:v>IBD / GCM</x:v>
      </x:c>
      <x:c r="D24" s="31" t="str">
        <x:v>Tell me about the product teams under GCM. Their functions?</x:v>
      </x:c>
      <x:c r="E24" s="31" t="str">
        <x:v>Tell me about the product teams under GCM. Their functions</x:v>
      </x:c>
      <x:c r="F24" s="31" t="str">
        <x:v>Capital Markets &amp; Financing</x:v>
      </x:c>
      <x:c r="G24" s="30" t="str">
        <x:v>CL0744</x:v>
      </x:c>
      <x:c r="H24" s="32" t="n">
        <x:f>COUNTIF($G$5:$G$49,G24)</x:f>
        <x:v>1</x:v>
      </x:c>
      <x:c r="I24" s="30" t="str">
        <x:v>C97</x:v>
      </x:c>
      <x:c r="J24" s="31" t="str">
        <x:v>Interviewer: Dick Lee (he is very chill) | Self intro | why GCM instead of IBD/PE</x:v>
      </x:c>
    </x:row>
    <x:row r="25" ht="48" customHeight="1">
      <x:c r="A25" s="30" t="str">
        <x:v>QB0350</x:v>
      </x:c>
      <x:c r="B25" s="30" t="str">
        <x:v>MS GCM</x:v>
      </x:c>
      <x:c r="C25" s="30" t="str">
        <x:v>IBD / GCM</x:v>
      </x:c>
      <x:c r="D25" s="31" t="str">
        <x:v>Situational Q: asked about financing solution for a company that I followed during my ER intern</x:v>
      </x:c>
      <x:c r="E25" s="31" t="str">
        <x:v>Situational Q: asked about financing solution for a company that I followed during my ER intern</x:v>
      </x:c>
      <x:c r="F25" s="31" t="str">
        <x:v>Capital Markets &amp; Financing</x:v>
      </x:c>
      <x:c r="G25" s="30" t="str">
        <x:v>CL0681</x:v>
      </x:c>
      <x:c r="H25" s="32" t="n">
        <x:f>COUNTIF($G$5:$G$49,G25)</x:f>
        <x:v>1</x:v>
      </x:c>
      <x:c r="I25" s="30" t="str">
        <x:v>A98</x:v>
      </x:c>
      <x:c r="J25" s="31" t="str">
        <x:v>Walk me through your CV | Why GCM not GM? | Raising capital through equity or debt, usually what are the pros and cons?</x:v>
      </x:c>
    </x:row>
    <x:row r="26" ht="32" customHeight="1">
      <x:c r="A26" s="30" t="str">
        <x:v>QB0358</x:v>
      </x:c>
      <x:c r="B26" s="30" t="str">
        <x:v>MS GCM</x:v>
      </x:c>
      <x:c r="C26" s="30" t="str">
        <x:v>IBD / GCM</x:v>
      </x:c>
      <x:c r="D26" s="31" t="str">
        <x:v>Tell me about whats happening in the capital market this year</x:v>
      </x:c>
      <x:c r="E26" s="31" t="str">
        <x:v>Tell me about whats happening in the capital market this year</x:v>
      </x:c>
      <x:c r="F26" s="31" t="str">
        <x:v>Capital Markets &amp; Financing</x:v>
      </x:c>
      <x:c r="G26" s="30" t="str">
        <x:v>CL0749</x:v>
      </x:c>
      <x:c r="H26" s="32" t="n">
        <x:f>COUNTIF($G$5:$G$49,G26)</x:f>
        <x:v>1</x:v>
      </x:c>
      <x:c r="I26" s="30" t="str">
        <x:v>C102</x:v>
      </x:c>
      <x:c r="J26" s="31" t="str">
        <x:v>Case comp experience | HSBC vs MS | CV questions</x:v>
      </x:c>
    </x:row>
    <x:row r="27" ht="48" customHeight="1">
      <x:c r="A27" s="30" t="str">
        <x:v>QB0360</x:v>
      </x:c>
      <x:c r="B27" s="30" t="str">
        <x:v>MS GCM</x:v>
      </x:c>
      <x:c r="C27" s="30" t="str">
        <x:v>IBD / GCM</x:v>
      </x:c>
      <x:c r="D27" s="31" t="str">
        <x:v>whats the biggest IPO in hk this year</x:v>
      </x:c>
      <x:c r="E27" s="31" t="str">
        <x:v>Whats the biggest IPO in hk this year</x:v>
      </x:c>
      <x:c r="F27" s="31" t="str">
        <x:v>Capital Markets &amp; Financing</x:v>
      </x:c>
      <x:c r="G27" s="30" t="str">
        <x:v>CL1072</x:v>
      </x:c>
      <x:c r="H27" s="32" t="n">
        <x:f>COUNTIF($G$5:$G$49,G27)</x:f>
        <x:v>1</x:v>
      </x:c>
      <x:c r="I27" s="30" t="str">
        <x:v>C104</x:v>
      </x:c>
      <x:c r="J27" s="31" t="str">
        <x:v>CV questions | Tell me about whats happening in the capital market this year | Walk thru a deal by MS</x:v>
      </x:c>
    </x:row>
    <x:row r="28" ht="32" customHeight="1">
      <x:c r="A28" s="30" t="str">
        <x:v>QB0383</x:v>
      </x:c>
      <x:c r="B28" s="30" t="str">
        <x:v>MS GCM</x:v>
      </x:c>
      <x:c r="C28" s="30" t="str">
        <x:v>IBD / GCM</x:v>
      </x:c>
      <x:c r="D28" s="31" t="str">
        <x:v>Walk me through a typical process of a HK IPO</x:v>
      </x:c>
      <x:c r="E28" s="31" t="str">
        <x:v>Walk me through a typical process of a HK IPO</x:v>
      </x:c>
      <x:c r="F28" s="31" t="str">
        <x:v>Capital Markets &amp; Financing</x:v>
      </x:c>
      <x:c r="G28" s="30" t="str">
        <x:v>CL0829</x:v>
      </x:c>
      <x:c r="H28" s="32" t="n">
        <x:f>COUNTIF($G$5:$G$49,G28)</x:f>
        <x:v>1</x:v>
      </x:c>
      <x:c r="I28" s="30" t="str">
        <x:v>A119</x:v>
      </x:c>
      <x:c r="J28" s="31" t="str">
        <x:v>反问 | Amber Xi, ED in ECM | Self intro</x:v>
      </x:c>
    </x:row>
    <x:row r="29" ht="32" customHeight="1">
      <x:c r="A29" s="30" t="str">
        <x:v>QB0385</x:v>
      </x:c>
      <x:c r="B29" s="30" t="str">
        <x:v>MS GCM</x:v>
      </x:c>
      <x:c r="C29" s="30" t="str">
        <x:v>IBD / GCM</x:v>
      </x:c>
      <x:c r="D29" s="31" t="str">
        <x:v>What are the pros and cons of raising capital through equity/debt?</x:v>
      </x:c>
      <x:c r="E29" s="31" t="str">
        <x:v>How should a company choose between debt and equity financing?</x:v>
      </x:c>
      <x:c r="F29" s="31" t="str">
        <x:v>Capital Markets &amp; Financing</x:v>
      </x:c>
      <x:c r="G29" s="30" t="str">
        <x:v>CL0005</x:v>
      </x:c>
      <x:c r="H29" s="32" t="n">
        <x:f>COUNTIF($G$5:$G$49,G29)</x:f>
        <x:v>6</x:v>
      </x:c>
      <x:c r="I29" s="30" t="str">
        <x:v>A120</x:v>
      </x:c>
      <x:c r="J29" s="31" t="str">
        <x:v>Amber Xi, ED in ECM | Self intro | Walk me through a typical process of a HK IPO</x:v>
      </x:c>
    </x:row>
    <x:row r="30" ht="32" customHeight="1">
      <x:c r="A30" s="30" t="str">
        <x:v>QB0400</x:v>
      </x:c>
      <x:c r="B30" s="30" t="str">
        <x:v>MS GCM</x:v>
      </x:c>
      <x:c r="C30" s="30" t="str">
        <x:v>IBD / GCM</x:v>
      </x:c>
      <x:c r="D30" s="31" t="str">
        <x:v>I am doing convertibles - any ideas or have been following any updates in this field?</x:v>
      </x:c>
      <x:c r="E30" s="31" t="str">
        <x:v>Explain convertible bonds and why an issuer might use them</x:v>
      </x:c>
      <x:c r="F30" s="31" t="str">
        <x:v>Capital Markets &amp; Financing</x:v>
      </x:c>
      <x:c r="G30" s="30" t="str">
        <x:v>CL0016</x:v>
      </x:c>
      <x:c r="H30" s="32" t="n">
        <x:f>COUNTIF($G$5:$G$49,G30)</x:f>
        <x:v>6</x:v>
      </x:c>
      <x:c r="I30" s="30" t="str">
        <x:v>A129</x:v>
      </x:c>
      <x:c r="J30" s="31" t="str">
        <x:v>Self intro | Tell me about a deal done by MS | Which team do you prefer</x:v>
      </x:c>
    </x:row>
    <x:row r="31" ht="68" customHeight="1">
      <x:c r="A31" s="30" t="str">
        <x:v>QB0410</x:v>
      </x:c>
      <x:c r="B31" s="30" t="str">
        <x:v>MS GCM</x:v>
      </x:c>
      <x:c r="C31" s="30" t="str">
        <x:v>IBD / GCM</x:v>
      </x:c>
      <x:c r="D31" s="31" t="str">
        <x:v>The stock I pitched wants to do an IPO. However, investors are only willing to pay a price much lower than what the issuer expects. How would you convince the investors?</x:v>
      </x:c>
      <x:c r="E31" s="31" t="str">
        <x:v>The stock I pitched wants to do an IPO. However, investors are only willing to pay a price much lower than what the issuer expects. How would you convince the investors</x:v>
      </x:c>
      <x:c r="F31" s="31" t="str">
        <x:v>Capital Markets &amp; Financing</x:v>
      </x:c>
      <x:c r="G31" s="30" t="str">
        <x:v>CL0782</x:v>
      </x:c>
      <x:c r="H31" s="32" t="n">
        <x:f>COUNTIF($G$5:$G$49,G31)</x:f>
        <x:v>1</x:v>
      </x:c>
      <x:c r="I31" s="30" t="str">
        <x:v>C135</x:v>
      </x:c>
      <x:c r="J31" s="31" t="str">
        <x:v>pitch a thematic in my previous internship (with follow-up questions) | what are other stocks in that value chain? pitch one (with follow-up questions) | how to find comps</x:v>
      </x:c>
    </x:row>
    <x:row r="32" ht="48" customHeight="1">
      <x:c r="A32" s="30" t="str">
        <x:v>QB0565</x:v>
      </x:c>
      <x:c r="B32" s="30" t="str">
        <x:v>UBS IBD</x:v>
      </x:c>
      <x:c r="C32" s="30" t="str">
        <x:v>IBD / GCM</x:v>
      </x:c>
      <x:c r="D32" s="31" t="str">
        <x:v>As for last question I all talked about M&amp;A stuff so he asked me to talk about the IPO market as well</x:v>
      </x:c>
      <x:c r="E32" s="31" t="str">
        <x:v>As for last question I all talked about M&amp;A stuff so he asked me to talk about the IPO market as well</x:v>
      </x:c>
      <x:c r="F32" s="31" t="str">
        <x:v>Capital Markets &amp; Financing</x:v>
      </x:c>
      <x:c r="G32" s="30" t="str">
        <x:v>CL0139</x:v>
      </x:c>
      <x:c r="H32" s="32" t="n">
        <x:f>COUNTIF($G$5:$G$49,G32)</x:f>
        <x:v>1</x:v>
      </x:c>
      <x:c r="I32" s="30" t="str">
        <x:v>A100</x:v>
      </x:c>
      <x:c r="J32" s="31" t="str">
        <x:v>Most interesting thing in IBD | Why UBS and對但這跟你有什麼關係 | Tell me the current state of the world</x:v>
      </x:c>
    </x:row>
    <x:row r="33" ht="32" customHeight="1">
      <x:c r="A33" s="30" t="str">
        <x:v>QB0642</x:v>
      </x:c>
      <x:c r="B33" s="30" t="str">
        <x:v>Deutsche</x:v>
      </x:c>
      <x:c r="C33" s="30" t="str">
        <x:v>IBD / GCM</x:v>
      </x:c>
      <x:c r="D33" s="31" t="str">
        <x:v>preference on capital market or coverage?</x:v>
      </x:c>
      <x:c r="E33" s="31" t="str">
        <x:v>Preference on capital market or coverage</x:v>
      </x:c>
      <x:c r="F33" s="31" t="str">
        <x:v>Capital Markets &amp; Financing</x:v>
      </x:c>
      <x:c r="G33" s="30" t="str">
        <x:v>CL0648</x:v>
      </x:c>
      <x:c r="H33" s="32" t="n">
        <x:f>COUNTIF($G$5:$G$49,G33)</x:f>
        <x:v>1</x:v>
      </x:c>
      <x:c r="I33" s="30" t="str">
        <x:v>A36</x:v>
      </x:c>
      <x:c r="J33" s="31" t="str">
        <x:v>Jasmine 5/10 | 1 (she’s on zoom and didnt open cam…) | self intro in 30s</x:v>
      </x:c>
    </x:row>
    <x:row r="34" ht="68" customHeight="1">
      <x:c r="A34" s="30" t="str">
        <x:v>QB0871</x:v>
      </x:c>
      <x:c r="B34" s="30" t="str">
        <x:v>Citi</x:v>
      </x:c>
      <x:c r="C34" s="30" t="str">
        <x:v>IBD / GCM</x:v>
      </x:c>
      <x:c r="D34" s="31" t="str">
        <x:v>What opportunities this company can have (ECM, DCM, M&amp;A)</x:v>
      </x:c>
      <x:c r="E34" s="31" t="str">
        <x:v>What opportunities this company can have (ECM, DCM, M&amp;A)</x:v>
      </x:c>
      <x:c r="F34" s="31" t="str">
        <x:v>Capital Markets &amp; Financing</x:v>
      </x:c>
      <x:c r="G34" s="30" t="str">
        <x:v>CL1023</x:v>
      </x:c>
      <x:c r="H34" s="32" t="n">
        <x:f>COUNTIF($G$5:$G$49,G34)</x:f>
        <x:v>1</x:v>
      </x:c>
      <x:c r="I34" s="30" t="str">
        <x:v>B8</x:v>
      </x:c>
      <x:c r="J34" s="31" t="str">
        <x:v>Canto: why IBD, why not equity research, ask more about background stuff | Initiation on the electroplating company, how do you do valuation, investment thesis, comparables and DCF | How do you compare DCF, EV/EBITDA, PE valuation method...</x:v>
      </x:c>
    </x:row>
    <x:row r="35" ht="68" customHeight="1">
      <x:c r="A35" s="30" t="str">
        <x:v>QB0905</x:v>
      </x:c>
      <x:c r="B35" s="30" t="str">
        <x:v>Citi</x:v>
      </x:c>
      <x:c r="C35" s="30" t="str">
        <x:v>IBD / GCM</x:v>
      </x:c>
      <x:c r="D35" s="31" t="str">
        <x:v>What considerations for the bank take into account when making a decision on bank loan or bond issuance for the corporates?</x:v>
      </x:c>
      <x:c r="E35" s="31" t="str">
        <x:v>What considerations for the bank take into account when making a decision on bank loan or bond issuance for the corporates</x:v>
      </x:c>
      <x:c r="F35" s="31" t="str">
        <x:v>Capital Markets &amp; Financing</x:v>
      </x:c>
      <x:c r="G35" s="30" t="str">
        <x:v>CL0891</x:v>
      </x:c>
      <x:c r="H35" s="32" t="n">
        <x:f>COUNTIF($G$5:$G$49,G35)</x:f>
        <x:v>1</x:v>
      </x:c>
      <x:c r="I35" s="30" t="str">
        <x:v>A53</x:v>
      </x:c>
      <x:c r="J35" s="31" t="str">
        <x:v>Key diff between cash balance and free cash flow? | Factors to consider when extending a loan to clients? | How does credit default swaps work, what are some other ways to hedge balance sheet exposure?</x:v>
      </x:c>
    </x:row>
    <x:row r="36" ht="48" customHeight="1">
      <x:c r="A36" s="30" t="str">
        <x:v>QB0960</x:v>
      </x:c>
      <x:c r="B36" s="30" t="str">
        <x:v>Barclays</x:v>
      </x:c>
      <x:c r="C36" s="30" t="str">
        <x:v>IBD / GCM</x:v>
      </x:c>
      <x:c r="D36" s="31" t="str">
        <x:v>how can we provide value to both investors and the client when issuing convertible bonds</x:v>
      </x:c>
      <x:c r="E36" s="31" t="str">
        <x:v>Explain convertible bonds and why an issuer might use them</x:v>
      </x:c>
      <x:c r="F36" s="31" t="str">
        <x:v>Capital Markets &amp; Financing</x:v>
      </x:c>
      <x:c r="G36" s="30" t="str">
        <x:v>CL0016</x:v>
      </x:c>
      <x:c r="H36" s="32" t="n">
        <x:f>COUNTIF($G$5:$G$49,G36)</x:f>
        <x:v>6</x:v>
      </x:c>
      <x:c r="I36" s="30" t="str">
        <x:v>E9</x:v>
      </x:c>
      <x:c r="J36" s="31" t="str">
        <x:v>tell me about your deal exp | why did you use overall breast cancer market share and not the specific treatment | what did you learn in ur ECM internship</x:v>
      </x:c>
    </x:row>
    <x:row r="37" ht="92" customHeight="1">
      <x:c r="A37" s="30" t="str">
        <x:v>QB1147</x:v>
      </x:c>
      <x:c r="B37" s="30" t="str">
        <x:v>Barclays</x:v>
      </x:c>
      <x:c r="C37" s="30" t="str">
        <x:v>IBD / GCM</x:v>
      </x:c>
      <x:c r="D37" s="31" t="str">
        <x:v>Rank the financing costs of a standard bond, a convertible bond, and a convertible with capped call</x:v>
      </x:c>
      <x:c r="E37" s="31" t="str">
        <x:v>Explain convertible bonds and why an issuer might use them</x:v>
      </x:c>
      <x:c r="F37" s="31" t="str">
        <x:v>Capital Markets &amp; Financing</x:v>
      </x:c>
      <x:c r="G37" s="30" t="str">
        <x:v>CL0016</x:v>
      </x:c>
      <x:c r="H37" s="32" t="n">
        <x:f>COUNTIF($G$5:$G$49,G37)</x:f>
        <x:v>6</x:v>
      </x:c>
      <x:c r="I37" s="30" t="str">
        <x:v>A104</x:v>
      </x:c>
      <x:c r="J37" s="31" t="str">
        <x:v>Market views/market news (anything happening in the markets that you think is interesting) | (Mentioned about the rate cut) Followup: what rate is that | In your written test, for the Alibaba CB slide, you wrote delta, how did you find t...</x:v>
      </x:c>
    </x:row>
    <x:row r="38" ht="48" customHeight="1">
      <x:c r="A38" s="30" t="str">
        <x:v>QB1159</x:v>
      </x:c>
      <x:c r="B38" s="30" t="str">
        <x:v>GS DCMECM</x:v>
      </x:c>
      <x:c r="C38" s="30" t="str">
        <x:v>IBD / GCM</x:v>
      </x:c>
      <x:c r="D38" s="31" t="str">
        <x:v>You said bond prices are still facing some uncertanties, arent they already priced in in the current yield?</x:v>
      </x:c>
      <x:c r="E38" s="31" t="str">
        <x:v>You said bond prices are still facing some uncertanties, arent they already priced in in the current yield</x:v>
      </x:c>
      <x:c r="F38" s="31" t="str">
        <x:v>Capital Markets &amp; Financing</x:v>
      </x:c>
      <x:c r="G38" s="30" t="str">
        <x:v>CL1208</x:v>
      </x:c>
      <x:c r="H38" s="32" t="n">
        <x:f>COUNTIF($G$5:$G$49,G38)</x:f>
        <x:v>1</x:v>
      </x:c>
      <x:c r="I38" s="30" t="str">
        <x:v>A6</x:v>
      </x:c>
      <x:c r="J38" s="31" t="str">
        <x:v>1 Lunkun Deng Bond Syndicate (BJ) | Self Intro | Interest rate</x:v>
      </x:c>
    </x:row>
    <x:row r="39" ht="32" customHeight="1">
      <x:c r="A39" s="30" t="str">
        <x:v>QB1197</x:v>
      </x:c>
      <x:c r="B39" s="30" t="str">
        <x:v>GS DCMECM</x:v>
      </x:c>
      <x:c r="C39" s="30" t="str">
        <x:v>IBD / GCM</x:v>
      </x:c>
      <x:c r="D39" s="31" t="str">
        <x:v>Did I choose ECM as my first preference</x:v>
      </x:c>
      <x:c r="E39" s="31" t="str">
        <x:v>Did I choose ECM as my first preference</x:v>
      </x:c>
      <x:c r="F39" s="31" t="str">
        <x:v>Capital Markets &amp; Financing</x:v>
      </x:c>
      <x:c r="G39" s="30" t="str">
        <x:v>CL0236</x:v>
      </x:c>
      <x:c r="H39" s="32" t="n">
        <x:f>COUNTIF($G$5:$G$49,G39)</x:f>
        <x:v>1</x:v>
      </x:c>
      <x:c r="I39" s="30" t="str">
        <x:v>B27</x:v>
      </x:c>
      <x:c r="J39" s="31" t="str">
        <x:v>Why you | 3 Jason ECM ED | Self intro</x:v>
      </x:c>
    </x:row>
    <x:row r="40" ht="32" customHeight="1">
      <x:c r="A40" s="30" t="str">
        <x:v>QB1204</x:v>
      </x:c>
      <x:c r="B40" s="30" t="str">
        <x:v>GS DCMECM</x:v>
      </x:c>
      <x:c r="C40" s="30" t="str">
        <x:v>IBD / GCM</x:v>
      </x:c>
      <x:c r="D40" s="31" t="str">
        <x:v>Who were on the Nomura DCM Team</x:v>
      </x:c>
      <x:c r="E40" s="31" t="str">
        <x:v>Who were on the Nomura DCM Team</x:v>
      </x:c>
      <x:c r="F40" s="31" t="str">
        <x:v>Capital Markets &amp; Financing</x:v>
      </x:c>
      <x:c r="G40" s="30" t="str">
        <x:v>CL1110</x:v>
      </x:c>
      <x:c r="H40" s="32" t="n">
        <x:f>COUNTIF($G$5:$G$49,G40)</x:f>
        <x:v>1</x:v>
      </x:c>
      <x:c r="I40" s="30" t="str">
        <x:v>A31</x:v>
      </x:c>
      <x:c r="J40" s="31" t="str">
        <x:v>4 Andrew Chan Head of Bond Syndiate | Self Intro | Why GS why DCM</x:v>
      </x:c>
    </x:row>
    <x:row r="41" ht="48" customHeight="1">
      <x:c r="A41" s="30" t="str">
        <x:v>QB1303</x:v>
      </x:c>
      <x:c r="B41" s="30" t="str">
        <x:v>Bofa IBD</x:v>
      </x:c>
      <x:c r="C41" s="30" t="str">
        <x:v>IBD / GCM</x:v>
      </x:c>
      <x:c r="D41" s="31" t="str">
        <x:v>Walk me through the rights issue and your main considerations (e.g. dilution effect, subscription price considerations, timeline)</x:v>
      </x:c>
      <x:c r="E41" s="31" t="str">
        <x:v>Walk me through the rights issue and your main considerations (e.g. dilution effect, subscription price considerations, timeline)</x:v>
      </x:c>
      <x:c r="F41" s="31" t="str">
        <x:v>Capital Markets &amp; Financing</x:v>
      </x:c>
      <x:c r="G41" s="30" t="str">
        <x:v>CL0838</x:v>
      </x:c>
      <x:c r="H41" s="32" t="n">
        <x:f>COUNTIF($G$5:$G$49,G41)</x:f>
        <x:v>1</x:v>
      </x:c>
      <x:c r="I41" s="30" t="str">
        <x:v>C24</x:v>
      </x:c>
      <x:c r="J41" s="31" t="str">
        <x:v>What if you projected it for longer | Questions | Xin wang - director, corp fin</x:v>
      </x:c>
    </x:row>
    <x:row r="42" ht="48" customHeight="1">
      <x:c r="A42" s="30" t="str">
        <x:v>QB1322</x:v>
      </x:c>
      <x:c r="B42" s="30" t="str">
        <x:v>Bofa IBD</x:v>
      </x:c>
      <x:c r="C42" s="30" t="str">
        <x:v>IBD / GCM</x:v>
      </x:c>
      <x:c r="D42" s="31" t="str">
        <x:v>Tell me about the different methods china companies can IPO in HK (H shares, Red chip, P share)</x:v>
      </x:c>
      <x:c r="E42" s="31" t="str">
        <x:v>Tell me about the different methods china companies can IPO in HK (H shares, Red chip, P share)</x:v>
      </x:c>
      <x:c r="F42" s="31" t="str">
        <x:v>Capital Markets &amp; Financing</x:v>
      </x:c>
      <x:c r="G42" s="30" t="str">
        <x:v>CL0740</x:v>
      </x:c>
      <x:c r="H42" s="32" t="n">
        <x:f>COUNTIF($G$5:$G$49,G42)</x:f>
        <x:v>1</x:v>
      </x:c>
      <x:c r="I42" s="30" t="str">
        <x:v>A39</x:v>
      </x:c>
      <x:c r="J42" s="31" t="str">
        <x:v>WACC? (actual number + how to get the number) | How to find cost of debt | Cost of equity: Risk premium should you include country risk? (bro idk)</x:v>
      </x:c>
    </x:row>
    <x:row r="43" ht="48" customHeight="1">
      <x:c r="A43" s="30" t="str">
        <x:v>QB1443</x:v>
      </x:c>
      <x:c r="B43" s="30" t="str">
        <x:v>Bofa GCM</x:v>
      </x:c>
      <x:c r="C43" s="30" t="str">
        <x:v>IBD / GCM</x:v>
      </x:c>
      <x:c r="D43" s="31" t="str">
        <x:v>given the current macro environment, advise on a company in need of cash, you have three options: follows-on, convertible bond, block trade</x:v>
      </x:c>
      <x:c r="E43" s="31" t="str">
        <x:v>Explain convertible bonds and why an issuer might use them</x:v>
      </x:c>
      <x:c r="F43" s="31" t="str">
        <x:v>Capital Markets &amp; Financing</x:v>
      </x:c>
      <x:c r="G43" s="30" t="str">
        <x:v>CL0016</x:v>
      </x:c>
      <x:c r="H43" s="32" t="n">
        <x:f>COUNTIF($G$5:$G$49,G43)</x:f>
        <x:v>6</x:v>
      </x:c>
      <x:c r="I43" s="30" t="str">
        <x:v>B8</x:v>
      </x:c>
      <x:c r="J43" s="31" t="str">
        <x:v>tell me 2 macro news | how do you view the recent stock rally? is it sustainable? | sector you bullish on</x:v>
      </x:c>
    </x:row>
    <x:row r="44" ht="32" customHeight="1">
      <x:c r="A44" s="30" t="str">
        <x:v>QB1690</x:v>
      </x:c>
      <x:c r="B44" s="30" t="str">
        <x:v>BNP Paribas</x:v>
      </x:c>
      <x:c r="C44" s="30" t="str">
        <x:v>IBD / GCM</x:v>
      </x:c>
      <x:c r="D44" s="31" t="str">
        <x:v>What do you know about DCM (not sure if she asked)</x:v>
      </x:c>
      <x:c r="E44" s="31" t="str">
        <x:v>What do you know about DCM (not sure if she asked)</x:v>
      </x:c>
      <x:c r="F44" s="31" t="str">
        <x:v>Capital Markets &amp; Financing</x:v>
      </x:c>
      <x:c r="G44" s="30" t="str">
        <x:v>CL0921</x:v>
      </x:c>
      <x:c r="H44" s="32" t="n">
        <x:f>COUNTIF($G$5:$G$49,G44)</x:f>
        <x:v>1</x:v>
      </x:c>
      <x:c r="I44" s="30" t="str">
        <x:v>C6</x:v>
      </x:c>
      <x:c r="J44" s="31" t="str">
        <x:v>Second Interviewer | DCM</x:v>
      </x:c>
    </x:row>
    <x:row r="45" ht="48" customHeight="1">
      <x:c r="A45" s="30" t="str">
        <x:v>QB1855</x:v>
      </x:c>
      <x:c r="B45" s="30" t="str">
        <x:v>HSBC</x:v>
      </x:c>
      <x:c r="C45" s="30" t="str">
        <x:v>IBD / GCM</x:v>
      </x:c>
      <x:c r="D45" s="31" t="str">
        <x:v>Do you think it's cheaper for Tech companies like Alibaba and Tencent to raise funds or bluechip companies</x:v>
      </x:c>
      <x:c r="E45" s="31" t="str">
        <x:v>Do you think it's cheaper for Tech companies like Alibaba and Tencent to raise funds or bluechip companies</x:v>
      </x:c>
      <x:c r="F45" s="31" t="str">
        <x:v>Capital Markets &amp; Financing</x:v>
      </x:c>
      <x:c r="G45" s="30" t="str">
        <x:v>CL0293</x:v>
      </x:c>
      <x:c r="H45" s="32" t="n">
        <x:f>COUNTIF($G$5:$G$49,G45)</x:f>
        <x:v>1</x:v>
      </x:c>
      <x:c r="I45" s="30" t="str">
        <x:v>C20</x:v>
      </x:c>
      <x:c r="J45" s="31" t="str">
        <x:v>The yield curve right now | Debt vs equity (not sure if she asked) | beta for tech companies</x:v>
      </x:c>
    </x:row>
    <x:row r="46" ht="32" customHeight="1">
      <x:c r="A46" s="30" t="str">
        <x:v>QB2056</x:v>
      </x:c>
      <x:c r="B46" s="30" t="str">
        <x:v>Nomura</x:v>
      </x:c>
      <x:c r="C46" s="30" t="str">
        <x:v>IBD / GCM</x:v>
      </x:c>
      <x:c r="D46" s="31" t="str">
        <x:v>with Benson from International Syndicated team</x:v>
      </x:c>
      <x:c r="E46" s="31" t="str">
        <x:v>With Benson from International Syndicated team</x:v>
      </x:c>
      <x:c r="F46" s="31" t="str">
        <x:v>Capital Markets &amp; Financing</x:v>
      </x:c>
      <x:c r="G46" s="30" t="str">
        <x:v>CL1185</x:v>
      </x:c>
      <x:c r="H46" s="32" t="n">
        <x:f>COUNTIF($G$5:$G$49,G46)</x:f>
        <x:v>1</x:v>
      </x:c>
      <x:c r="I46" s="30" t="str">
        <x:v>A38</x:v>
      </x:c>
      <x:c r="J46" s="31" t="str">
        <x:v>有什么问题想问？ | 2025 SA | Daisy 25/10</x:v>
      </x:c>
    </x:row>
    <x:row r="47" ht="48" customHeight="1">
      <x:c r="A47" s="30" t="str">
        <x:v>QB2085</x:v>
      </x:c>
      <x:c r="B47" s="30" t="str">
        <x:v>Nomura</x:v>
      </x:c>
      <x:c r="C47" s="30" t="str">
        <x:v>IBD / GCM</x:v>
      </x:c>
      <x:c r="D47" s="31" t="str">
        <x:v>Did you participate in the financing work</x:v>
      </x:c>
      <x:c r="E47" s="31" t="str">
        <x:v>Did you participate in the financing work</x:v>
      </x:c>
      <x:c r="F47" s="31" t="str">
        <x:v>Capital Markets &amp; Financing</x:v>
      </x:c>
      <x:c r="G47" s="30" t="str">
        <x:v>CL0249</x:v>
      </x:c>
      <x:c r="H47" s="32" t="n">
        <x:f>COUNTIF($G$5:$G$49,G47)</x:f>
        <x:v>1</x:v>
      </x:c>
      <x:c r="I47" s="30" t="str">
        <x:v>C54</x:v>
      </x:c>
      <x:c r="J47" s="31" t="str">
        <x:v>Walk through the M&amp;A deal you did in your first internship | any regulatory concern | by debt/cash?</x:v>
      </x:c>
    </x:row>
    <x:row r="48" ht="48" customHeight="1">
      <x:c r="A48" s="30" t="str">
        <x:v>QB2140</x:v>
      </x:c>
      <x:c r="B48" s="30" t="str">
        <x:v>Nomura</x:v>
      </x:c>
      <x:c r="C48" s="30" t="str">
        <x:v>IBD / GCM</x:v>
      </x:c>
      <x:c r="D48" s="31" t="str">
        <x:v>拿到hk offer后更多的exposure在north-asia，主要的product是M&amp;A，IPO ECM相关的很少，你ok吗？</x:v>
      </x:c>
      <x:c r="E48" s="31" t="str">
        <x:v>拿到hk offer后更多的exposure在north-asia，主要的product是M&amp;A，IPO ECM相关的很少，你ok吗</x:v>
      </x:c>
      <x:c r="F48" s="31" t="str">
        <x:v>Capital Markets &amp; Financing</x:v>
      </x:c>
      <x:c r="G48" s="30" t="str">
        <x:v>CL1244</x:v>
      </x:c>
      <x:c r="H48" s="32" t="n">
        <x:f>COUNTIF($G$5:$G$49,G48)</x:f>
        <x:v>1</x:v>
      </x:c>
      <x:c r="I48" s="30" t="str">
        <x:v>C106</x:v>
      </x:c>
      <x:c r="J48" s="31" t="str">
        <x:v>You chatted with junior bankers, what you know about Nomura ibd at this stage | 日本人口有1.2亿，理发店的总数量大约是？（估算逻辑+结果） | 讲一下M&amp;A的整个流程（buyside/sellside）</x:v>
      </x:c>
    </x:row>
    <x:row r="49" ht="68" customHeight="1">
      <x:c r="A49" s="30" t="str">
        <x:v>QB2585</x:v>
      </x:c>
      <x:c r="B49" s="30" t="str">
        <x:v>MS IED</x:v>
      </x:c>
      <x:c r="C49" s="30" t="str">
        <x:v>Sales &amp; Trading</x:v>
      </x:c>
      <x:c r="D49" s="31" t="str">
        <x:v>Technical (bond coupon and interest rate related)</x:v>
      </x:c>
      <x:c r="E49" s="31" t="str">
        <x:v>Technical (bond coupon and interest rate related)</x:v>
      </x:c>
      <x:c r="F49" s="31" t="str">
        <x:v>Capital Markets &amp; Financing</x:v>
      </x:c>
      <x:c r="G49" s="30" t="str">
        <x:v>CL0699</x:v>
      </x:c>
      <x:c r="H49" s="32" t="n">
        <x:f>COUNTIF($G$5:$G$49,G49)</x:f>
        <x:v>1</x:v>
      </x:c>
      <x:c r="I49" s="30" t="str">
        <x:v>A22</x:v>
      </x:c>
      <x:c r="J49" s="31" t="str">
        <x:v>tell me what you know about the China policy pivot (detail such as size of the swap facility) | Give me one investment idea | Asset allocation (client profile is the interviewer himself)</x:v>
      </x:c>
    </x:row>
  </x:sheetData>
  <x:mergeCells>
    <x:mergeCell ref="A1:J1"/>
    <x:mergeCell ref="A2:J2"/>
  </x:mergeCells>
  <x:conditionalFormatting sqref="H5:H49">
    <x:cfRule type="cellIs" dxfId="16" priority="1" operator="greaterThan">
      <x:formula>1</x:formula>
    </x:cfRule>
  </x:conditionalFormatting>
  <x:pageMargins left="0.7" right="0.7" top="0.75" bottom="0.75" header="0.3" footer="0.3"/>
  <x:tableParts count="1">
    <x:tablePart xmlns:r="http://schemas.openxmlformats.org/officeDocument/2006/relationships" r:id="R66b19856e336489c"/>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Markets &amp; Macro</x:v>
      </x:c>
      <x:c r="B1" s="3"/>
      <x:c r="C1" s="3"/>
      <x:c r="D1" s="3"/>
      <x:c r="E1" s="3"/>
      <x:c r="F1" s="3"/>
      <x:c r="G1" s="3"/>
      <x:c r="H1" s="3"/>
      <x:c r="I1" s="3"/>
      <x:c r="J1" s="3"/>
    </x:row>
    <x:row r="2" ht="30" customHeight="1">
      <x:c r="A2" s="7" t="str">
        <x:v>Preparation list for Markets &amp; Macro.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48" customHeight="1">
      <x:c r="A5" s="30" t="str">
        <x:v>QB0248</x:v>
      </x:c>
      <x:c r="B5" s="30" t="str">
        <x:v>MS GCM</x:v>
      </x:c>
      <x:c r="C5" s="30" t="str">
        <x:v>IBD / GCM</x:v>
      </x:c>
      <x:c r="D5" s="31" t="str">
        <x:v>US interest rate forecast</x:v>
      </x:c>
      <x:c r="E5" s="31" t="str">
        <x:v>What is your outlook for interest rates?</x:v>
      </x:c>
      <x:c r="F5" s="31" t="str">
        <x:v>Markets &amp; Macro</x:v>
      </x:c>
      <x:c r="G5" s="30" t="str">
        <x:v>CL0028</x:v>
      </x:c>
      <x:c r="H5" s="32" t="n">
        <x:f>COUNTIF($G$5:$G$42,G5)</x:f>
        <x:v>3</x:v>
      </x:c>
      <x:c r="I5" s="30" t="str">
        <x:v>A8</x:v>
      </x:c>
      <x:c r="J5" s="31" t="str">
        <x:v>Pitch me a stock | Follow up: target valuation, comparables valuation | 中文: Why is there AH share premium (for SMEs)</x:v>
      </x:c>
    </x:row>
    <x:row r="6" ht="48" customHeight="1">
      <x:c r="A6" s="30" t="str">
        <x:v>QB0250</x:v>
      </x:c>
      <x:c r="B6" s="30" t="str">
        <x:v>MS GCM</x:v>
      </x:c>
      <x:c r="C6" s="30" t="str">
        <x:v>IBD / GCM</x:v>
      </x:c>
      <x:c r="D6" s="31" t="str">
        <x:v>Will Fed look at nonfarm payroll data vs unemployment rate to decide for interest rate</x:v>
      </x:c>
      <x:c r="E6" s="31" t="str">
        <x:v>Will Fed look at nonfarm payroll data vs unemployment rate to decide for interest rate</x:v>
      </x:c>
      <x:c r="F6" s="31" t="str">
        <x:v>Markets &amp; Macro</x:v>
      </x:c>
      <x:c r="G6" s="30" t="str">
        <x:v>CL1182</x:v>
      </x:c>
      <x:c r="H6" s="32" t="n">
        <x:f>COUNTIF($G$5:$G$42,G6)</x:f>
        <x:v>1</x:v>
      </x:c>
      <x:c r="I6" s="30" t="str">
        <x:v>A9</x:v>
      </x:c>
      <x:c r="J6" s="31" t="str">
        <x:v>Follow up: target valuation, comparables valuation | 中文: Why is there AH share premium (for SMEs) | US interest rate forecast</x:v>
      </x:c>
    </x:row>
    <x:row r="7" ht="48" customHeight="1">
      <x:c r="A7" s="30" t="str">
        <x:v>QB0261</x:v>
      </x:c>
      <x:c r="B7" s="30" t="str">
        <x:v>MS GCM</x:v>
      </x:c>
      <x:c r="C7" s="30" t="str">
        <x:v>IBD / GCM</x:v>
      </x:c>
      <x:c r="D7" s="31" t="str">
        <x:v>Market outlook</x:v>
      </x:c>
      <x:c r="E7" s="31" t="str">
        <x:v>What is your current market outlook?</x:v>
      </x:c>
      <x:c r="F7" s="31" t="str">
        <x:v>Markets &amp; Macro</x:v>
      </x:c>
      <x:c r="G7" s="30" t="str">
        <x:v>CL0018</x:v>
      </x:c>
      <x:c r="H7" s="32" t="n">
        <x:f>COUNTIF($G$5:$G$42,G7)</x:f>
        <x:v>3</x:v>
      </x:c>
      <x:c r="I7" s="30" t="str">
        <x:v>C19</x:v>
      </x:c>
      <x:c r="J7" s="31" t="str">
        <x:v>Why GCM | Which team would you prefer | Tell me about a deal done by MS, valuation, how did you find the comps for it?</x:v>
      </x:c>
    </x:row>
    <x:row r="8" ht="48" customHeight="1">
      <x:c r="A8" s="30" t="str">
        <x:v>QB0292</x:v>
      </x:c>
      <x:c r="B8" s="30" t="str">
        <x:v>MS GCM</x:v>
      </x:c>
      <x:c r="C8" s="30" t="str">
        <x:v>IBD / GCM</x:v>
      </x:c>
      <x:c r="D8" s="31" t="str">
        <x:v>you mention market skills, could you please share some news about Chinese markets?</x:v>
      </x:c>
      <x:c r="E8" s="31" t="str">
        <x:v>You mention market skills, could you please share some news about Chinese markets</x:v>
      </x:c>
      <x:c r="F8" s="31" t="str">
        <x:v>Markets &amp; Macro</x:v>
      </x:c>
      <x:c r="G8" s="30" t="str">
        <x:v>CL1205</x:v>
      </x:c>
      <x:c r="H8" s="32" t="n">
        <x:f>COUNTIF($G$5:$G$42,G8)</x:f>
        <x:v>1</x:v>
      </x:c>
      <x:c r="I8" s="30" t="str">
        <x:v>C46</x:v>
      </x:c>
      <x:c r="J8" s="31" t="str">
        <x:v>why not consulting, PE | what do GCM do | what traits do you think a GCM banker should have</x:v>
      </x:c>
    </x:row>
    <x:row r="9" ht="32" customHeight="1">
      <x:c r="A9" s="30" t="str">
        <x:v>QB0293</x:v>
      </x:c>
      <x:c r="B9" s="30" t="str">
        <x:v>MS GCM</x:v>
      </x:c>
      <x:c r="C9" s="30" t="str">
        <x:v>IBD / GCM</x:v>
      </x:c>
      <x:c r="D9" s="31" t="str">
        <x:v>Interest rate environment</x:v>
      </x:c>
      <x:c r="E9" s="31" t="str">
        <x:v>What is your outlook for interest rates?</x:v>
      </x:c>
      <x:c r="F9" s="31" t="str">
        <x:v>Markets &amp; Macro</x:v>
      </x:c>
      <x:c r="G9" s="30" t="str">
        <x:v>CL0028</x:v>
      </x:c>
      <x:c r="H9" s="32" t="n">
        <x:f>COUNTIF($G$5:$G$42,G9)</x:f>
        <x:v>3</x:v>
      </x:c>
      <x:c r="I9" s="30" t="str">
        <x:v>A47</x:v>
      </x:c>
      <x:c r="J9" s="31" t="str">
        <x:v>1-to-1 (Selena, Equity Solutions) | Self Intro | Is Nomura a formal internship? (lmao)</x:v>
      </x:c>
    </x:row>
    <x:row r="10" ht="48" customHeight="1">
      <x:c r="A10" s="30" t="str">
        <x:v>QB0361</x:v>
      </x:c>
      <x:c r="B10" s="30" t="str">
        <x:v>MS GCM</x:v>
      </x:c>
      <x:c r="C10" s="30" t="str">
        <x:v>IBD / GCM</x:v>
      </x:c>
      <x:c r="D10" s="31" t="str">
        <x:v>views on interest rate</x:v>
      </x:c>
      <x:c r="E10" s="31" t="str">
        <x:v>What is your outlook for interest rates?</x:v>
      </x:c>
      <x:c r="F10" s="31" t="str">
        <x:v>Markets &amp; Macro</x:v>
      </x:c>
      <x:c r="G10" s="30" t="str">
        <x:v>CL0028</x:v>
      </x:c>
      <x:c r="H10" s="32" t="n">
        <x:f>COUNTIF($G$5:$G$42,G10)</x:f>
        <x:v>3</x:v>
      </x:c>
      <x:c r="I10" s="30" t="str">
        <x:v>C105</x:v>
      </x:c>
      <x:c r="J10" s="31" t="str">
        <x:v>Tell me about whats happening in the capital market this year | Walk thru a deal by MS | whats the biggest IPO in hk this year</x:v>
      </x:c>
    </x:row>
    <x:row r="11" ht="68" customHeight="1">
      <x:c r="A11" s="30" t="str">
        <x:v>QB0421</x:v>
      </x:c>
      <x:c r="B11" s="30" t="str">
        <x:v>MS GCM</x:v>
      </x:c>
      <x:c r="C11" s="30" t="str">
        <x:v>IBD / GCM</x:v>
      </x:c>
      <x:c r="D11" s="31" t="str">
        <x:v>market grill (forgot the question, prob about interest rate)</x:v>
      </x:c>
      <x:c r="E11" s="31" t="str">
        <x:v>Market grill (forgot the question, prob about interest rate)</x:v>
      </x:c>
      <x:c r="F11" s="31" t="str">
        <x:v>Markets &amp; Macro</x:v>
      </x:c>
      <x:c r="G11" s="30" t="str">
        <x:v>CL0601</x:v>
      </x:c>
      <x:c r="H11" s="32" t="n">
        <x:f>COUNTIF($G$5:$G$42,G11)</x:f>
        <x:v>1</x:v>
      </x:c>
      <x:c r="I11" s="30" t="str">
        <x:v>C147</x:v>
      </x:c>
      <x:c r="J11" s="31" t="str">
        <x:v>tell me about your understanding of debt and equity (after i gave my opinions, he asked me to use one sentence to summarise) | WACC calculation | how to find beta</x:v>
      </x:c>
    </x:row>
    <x:row r="12" ht="118" customHeight="1">
      <x:c r="A12" s="30" t="str">
        <x:v>QB0506</x:v>
      </x:c>
      <x:c r="B12" s="30" t="str">
        <x:v>UBS IBD</x:v>
      </x:c>
      <x:c r="C12" s="30" t="str">
        <x:v>IBD / GCM</x:v>
      </x:c>
      <x:c r="D12" s="31" t="str">
        <x:v>please discuss how the US' current account and fiscal deficits, coupled with its increasing national debt burden, will impact its role in the global economy and monetary system, in particular the role of USD as the world's reserve currency?</x:v>
      </x:c>
      <x:c r="E12" s="31" t="str">
        <x:v>Please discuss how the US' current account and fiscal deficits, coupled with its increasing national debt burden, will impact its role in the global economy and monetary system, in particular the role of USD as the world's reserve currency</x:v>
      </x:c>
      <x:c r="F12" s="31" t="str">
        <x:v>Markets &amp; Macro</x:v>
      </x:c>
      <x:c r="G12" s="30" t="str">
        <x:v>CL0641</x:v>
      </x:c>
      <x:c r="H12" s="32" t="n">
        <x:f>COUNTIF($G$5:$G$42,G12)</x:f>
        <x:v>1</x:v>
      </x:c>
      <x:c r="I12" s="30" t="str">
        <x:v>A37</x:v>
      </x:c>
      <x:c r="J12" s="31" t="str">
        <x:v>considering the continued growth in ASEAN as opposed to the stagnant developments of the Greater China markets, do you think Singapore will overtake HK as an international financial hub in the future? What are the respective strengths an...</x:v>
      </x:c>
    </x:row>
    <x:row r="13" ht="68" customHeight="1">
      <x:c r="A13" s="30" t="str">
        <x:v>QB0521</x:v>
      </x:c>
      <x:c r="B13" s="30" t="str">
        <x:v>UBS IBD</x:v>
      </x:c>
      <x:c r="C13" s="30" t="str">
        <x:v>IBD / GCM</x:v>
      </x:c>
      <x:c r="D13" s="31" t="str">
        <x:v>Do you follow the stock market closely? What's a stock you've been following closely?</x:v>
      </x:c>
      <x:c r="E13" s="31" t="str">
        <x:v>Do you follow the stock market closely? What's a stock you've been following closely</x:v>
      </x:c>
      <x:c r="F13" s="31" t="str">
        <x:v>Markets &amp; Macro</x:v>
      </x:c>
      <x:c r="G13" s="30" t="str">
        <x:v>CL0269</x:v>
      </x:c>
      <x:c r="H13" s="32" t="n">
        <x:f>COUNTIF($G$5:$G$42,G13)</x:f>
        <x:v>1</x:v>
      </x:c>
      <x:c r="I13" s="30" t="str">
        <x:v>A52</x:v>
      </x:c>
      <x:c r="J13" s="31" t="str">
        <x:v>China Real Estate - why is tackling this important? | Industry pitch for Chinese market | For companies like Tencent, 3 main items of financial statements to look at</x:v>
      </x:c>
    </x:row>
    <x:row r="14" ht="118" customHeight="1">
      <x:c r="A14" s="30" t="str">
        <x:v>QB0536</x:v>
      </x:c>
      <x:c r="B14" s="30" t="str">
        <x:v>UBS IBD</x:v>
      </x:c>
      <x:c r="C14" s="30" t="str">
        <x:v>IBD / GCM</x:v>
      </x:c>
      <x:c r="D14" s="31" t="str">
        <x:v>Discuss how the US tariffs announcements and the overall erratic policy will impact its role in the global economy and monetary system in the medium or long term.</x:v>
      </x:c>
      <x:c r="E14" s="31" t="str">
        <x:v>Discuss how the US tariffs announcements and the overall erratic policy will impact its role in the global economy and monetary system in the medium or long term</x:v>
      </x:c>
      <x:c r="F14" s="31" t="str">
        <x:v>Markets &amp; Macro</x:v>
      </x:c>
      <x:c r="G14" s="30" t="str">
        <x:v>CL0258</x:v>
      </x:c>
      <x:c r="H14" s="32" t="n">
        <x:f>COUNTIF($G$5:$G$42,G14)</x:f>
        <x:v>1</x:v>
      </x:c>
      <x:c r="I14" s="30" t="str">
        <x:v>A69</x:v>
      </x:c>
      <x:c r="J14" s="31" t="str">
        <x:v>10/18 Kate (webinar with 2 rounds of group discussions) | In light of decent deglobalisation trends, what is your view of the role of HK as a global financial hub going forward | In light of continued challenging situations of internally...</x:v>
      </x:c>
    </x:row>
    <x:row r="15" ht="118" customHeight="1">
      <x:c r="A15" s="30" t="str">
        <x:v>QB0538</x:v>
      </x:c>
      <x:c r="B15" s="30" t="str">
        <x:v>UBS IBD</x:v>
      </x:c>
      <x:c r="C15" s="30" t="str">
        <x:v>IBD / GCM</x:v>
      </x:c>
      <x:c r="D15" s="31" t="str">
        <x:v>What do you think would be the impact or consequences of tariffs on Asian economies in the short/medium/long term</x:v>
      </x:c>
      <x:c r="E15" s="31" t="str">
        <x:v>What do you think would be the impact or consequences of tariffs on Asian economies in the short/medium/long term</x:v>
      </x:c>
      <x:c r="F15" s="31" t="str">
        <x:v>Markets &amp; Macro</x:v>
      </x:c>
      <x:c r="G15" s="30" t="str">
        <x:v>CL0933</x:v>
      </x:c>
      <x:c r="H15" s="32" t="n">
        <x:f>COUNTIF($G$5:$G$42,G15)</x:f>
        <x:v>1</x:v>
      </x:c>
      <x:c r="I15" s="30" t="str">
        <x:v>A71</x:v>
      </x:c>
      <x:c r="J15" s="31" t="str">
        <x:v>In light of continued challenging situations of internally, say the real estate slump, and externally, say the trade tensions that's impacting the Chinese economy. What do you think is the medium-term impact on the overall Chinese econom...</x:v>
      </x:c>
    </x:row>
    <x:row r="16" ht="92" customHeight="1">
      <x:c r="A16" s="30" t="str">
        <x:v>QB0557</x:v>
      </x:c>
      <x:c r="B16" s="30" t="str">
        <x:v>UBS IBD</x:v>
      </x:c>
      <x:c r="C16" s="30" t="str">
        <x:v>IBD / GCM</x:v>
      </x:c>
      <x:c r="D16" s="31" t="str">
        <x:v>Macro: how the current market would affect the company’s share price and why</x:v>
      </x:c>
      <x:c r="E16" s="31" t="str">
        <x:v>Macro: how the current market would affect the company’s share price and why</x:v>
      </x:c>
      <x:c r="F16" s="31" t="str">
        <x:v>Markets &amp; Macro</x:v>
      </x:c>
      <x:c r="G16" s="30" t="str">
        <x:v>CL0597</x:v>
      </x:c>
      <x:c r="H16" s="32" t="n">
        <x:f>COUNTIF($G$5:$G$42,G16)</x:f>
        <x:v>1</x:v>
      </x:c>
      <x:c r="I16" s="30" t="str">
        <x:v>A91</x:v>
      </x:c>
      <x:c r="J16" s="31" t="str">
        <x:v>Additional ways to look at valuation. I mentioned historical cost | Investment accounting: 10 percent vs 60 percent, differences in 3 statements, and net income impact | Convertible bond: strike price 50, should they convert, how it affe...</x:v>
      </x:c>
    </x:row>
    <x:row r="17" ht="68" customHeight="1">
      <x:c r="A17" s="30" t="str">
        <x:v>QB0564</x:v>
      </x:c>
      <x:c r="B17" s="30" t="str">
        <x:v>UBS IBD</x:v>
      </x:c>
      <x:c r="C17" s="30" t="str">
        <x:v>IBD / GCM</x:v>
      </x:c>
      <x:c r="D17" s="31" t="str">
        <x:v>Tell me the current state of the world</x:v>
      </x:c>
      <x:c r="E17" s="31" t="str">
        <x:v>Tell me the current state of the world</x:v>
      </x:c>
      <x:c r="F17" s="31" t="str">
        <x:v>Markets &amp; Macro</x:v>
      </x:c>
      <x:c r="G17" s="30" t="str">
        <x:v>CL0775</x:v>
      </x:c>
      <x:c r="H17" s="32" t="n">
        <x:f>COUNTIF($G$5:$G$42,G17)</x:f>
        <x:v>1</x:v>
      </x:c>
      <x:c r="I17" s="30" t="str">
        <x:v>A99</x:v>
      </x:c>
      <x:c r="J17" s="31" t="str">
        <x:v>Chat around how's Lazard, how's the hours like and biggest challenge there, what do I learn there that kind of stuff | Most interesting thing in IBD | Why UBS and對但這跟你有什麼關係</x:v>
      </x:c>
    </x:row>
    <x:row r="18" ht="68" customHeight="1">
      <x:c r="A18" s="30" t="str">
        <x:v>QB0566</x:v>
      </x:c>
      <x:c r="B18" s="30" t="str">
        <x:v>UBS IBD</x:v>
      </x:c>
      <x:c r="C18" s="30" t="str">
        <x:v>IBD / GCM</x:v>
      </x:c>
      <x:c r="D18" s="31" t="str">
        <x:v>How do you see the equity market</x:v>
      </x:c>
      <x:c r="E18" s="31" t="str">
        <x:v>How do you see the equity market</x:v>
      </x:c>
      <x:c r="F18" s="31" t="str">
        <x:v>Markets &amp; Macro</x:v>
      </x:c>
      <x:c r="G18" s="30" t="str">
        <x:v>CL0422</x:v>
      </x:c>
      <x:c r="H18" s="32" t="n">
        <x:f>COUNTIF($G$5:$G$42,G18)</x:f>
        <x:v>1</x:v>
      </x:c>
      <x:c r="I18" s="30" t="str">
        <x:v>A101</x:v>
      </x:c>
      <x:c r="J18" s="31" t="str">
        <x:v>Why UBS and對但這跟你有什麼關係 | Tell me the current state of the world | As for last question I all talked about M&amp;A stuff so he asked me to talk about the IPO market as well</x:v>
      </x:c>
    </x:row>
    <x:row r="19" ht="68" customHeight="1">
      <x:c r="A19" s="30" t="str">
        <x:v>QB0714</x:v>
      </x:c>
      <x:c r="B19" s="30" t="str">
        <x:v>Deutsche</x:v>
      </x:c>
      <x:c r="C19" s="30" t="str">
        <x:v>IBD / GCM</x:v>
      </x:c>
      <x:c r="D19" s="31" t="str">
        <x:v>How do you view the HK and China market for past two weeks</x:v>
      </x:c>
      <x:c r="E19" s="31" t="str">
        <x:v>What is your current market outlook?</x:v>
      </x:c>
      <x:c r="F19" s="31" t="str">
        <x:v>Markets &amp; Macro</x:v>
      </x:c>
      <x:c r="G19" s="30" t="str">
        <x:v>CL0018</x:v>
      </x:c>
      <x:c r="H19" s="32" t="n">
        <x:f>COUNTIF($G$5:$G$42,G19)</x:f>
        <x:v>3</x:v>
      </x:c>
      <x:c r="I19" s="30" t="str">
        <x:v>C78</x:v>
      </x:c>
      <x:c r="J19" s="31" t="str">
        <x:v>Pitch me yourself, what is the advantage for someone with PE experience compared to someone with ib experience in doing IDB roles? | Experience of approaching difficult question and find a solution with positive outcome | Interesting thi...</x:v>
      </x:c>
    </x:row>
    <x:row r="20" ht="68" customHeight="1">
      <x:c r="A20" s="30" t="str">
        <x:v>QB0764</x:v>
      </x:c>
      <x:c r="B20" s="30" t="str">
        <x:v>Deutsche</x:v>
      </x:c>
      <x:c r="C20" s="30" t="str">
        <x:v>IBD / GCM</x:v>
      </x:c>
      <x:c r="D20" s="31" t="str">
        <x:v>How do you view the HK and China market for past two weeks</x:v>
      </x:c>
      <x:c r="E20" s="31" t="str">
        <x:v>What is your current market outlook?</x:v>
      </x:c>
      <x:c r="F20" s="31" t="str">
        <x:v>Markets &amp; Macro</x:v>
      </x:c>
      <x:c r="G20" s="30" t="str">
        <x:v>CL0018</x:v>
      </x:c>
      <x:c r="H20" s="32" t="n">
        <x:f>COUNTIF($G$5:$G$42,G20)</x:f>
        <x:v>3</x:v>
      </x:c>
      <x:c r="I20" s="30" t="str">
        <x:v>A107</x:v>
      </x:c>
      <x:c r="J20" s="31" t="str">
        <x:v>“有個friend好耐以前都係st john打hockey” blablabla around hockey for a bit | Tell me one project you did at Nomura, your role and why you picked it | Tell me a project thats more complicated, not just making slides (bruh......)</x:v>
      </x:c>
    </x:row>
    <x:row r="21" ht="32" customHeight="1">
      <x:c r="A21" s="30" t="str">
        <x:v>QB1132</x:v>
      </x:c>
      <x:c r="B21" s="30" t="str">
        <x:v>Barclays</x:v>
      </x:c>
      <x:c r="C21" s="30" t="str">
        <x:v>IBD / GCM</x:v>
      </x:c>
      <x:c r="D21" s="31" t="str">
        <x:v>How many FED meeting are left in the year</x:v>
      </x:c>
      <x:c r="E21" s="31" t="str">
        <x:v>How many FED meeting are left in the year</x:v>
      </x:c>
      <x:c r="F21" s="31" t="str">
        <x:v>Markets &amp; Macro</x:v>
      </x:c>
      <x:c r="G21" s="30" t="str">
        <x:v>CL0454</x:v>
      </x:c>
      <x:c r="H21" s="32" t="n">
        <x:f>COUNTIF($G$5:$G$42,G21)</x:f>
        <x:v>1</x:v>
      </x:c>
      <x:c r="I21" s="30" t="str">
        <x:v>A87</x:v>
      </x:c>
      <x:c r="J21" s="31" t="str">
        <x:v>Recent policies in China | HSI, CSI300 current number | Recent news in the US</x:v>
      </x:c>
    </x:row>
    <x:row r="22" ht="32" customHeight="1">
      <x:c r="A22" s="30" t="str">
        <x:v>QB1157</x:v>
      </x:c>
      <x:c r="B22" s="30" t="str">
        <x:v>GS DCMECM</x:v>
      </x:c>
      <x:c r="C22" s="30" t="str">
        <x:v>IBD / GCM</x:v>
      </x:c>
      <x:c r="D22" s="31" t="str">
        <x:v>Interest rate</x:v>
      </x:c>
      <x:c r="E22" s="31" t="str">
        <x:v>Interest rate</x:v>
      </x:c>
      <x:c r="F22" s="31" t="str">
        <x:v>Markets &amp; Macro</x:v>
      </x:c>
      <x:c r="G22" s="30" t="str">
        <x:v>CL0547</x:v>
      </x:c>
      <x:c r="H22" s="32" t="n">
        <x:f>COUNTIF($G$5:$G$42,G22)</x:f>
        <x:v>1</x:v>
      </x:c>
      <x:c r="I22" s="30" t="str">
        <x:v>A5</x:v>
      </x:c>
      <x:c r="J22" s="31" t="str">
        <x:v>Jasmine 10/10 &amp; 14/10 | 1 Lunkun Deng Bond Syndicate (BJ) | Self Intro</x:v>
      </x:c>
    </x:row>
    <x:row r="23" ht="32" customHeight="1">
      <x:c r="A23" s="30" t="str">
        <x:v>QB1190</x:v>
      </x:c>
      <x:c r="B23" s="30" t="str">
        <x:v>GS DCMECM</x:v>
      </x:c>
      <x:c r="C23" s="30" t="str">
        <x:v>IBD / GCM</x:v>
      </x:c>
      <x:c r="D23" s="31" t="str">
        <x:v>How would increase in interest rate affect LBO costs</x:v>
      </x:c>
      <x:c r="E23" s="31" t="str">
        <x:v>How would increase in interest rate affect LBO costs</x:v>
      </x:c>
      <x:c r="F23" s="31" t="str">
        <x:v>Markets &amp; Macro</x:v>
      </x:c>
      <x:c r="G23" s="30" t="str">
        <x:v>CL0492</x:v>
      </x:c>
      <x:c r="H23" s="32" t="n">
        <x:f>COUNTIF($G$5:$G$42,G23)</x:f>
        <x:v>1</x:v>
      </x:c>
      <x:c r="I23" s="30" t="str">
        <x:v>A23</x:v>
      </x:c>
      <x:c r="J23" s="31" t="str">
        <x:v>3 Nelson Lo Head of Leveraged Loans | Self intro | Recent LBO trend</x:v>
      </x:c>
    </x:row>
    <x:row r="24" ht="68" customHeight="1">
      <x:c r="A24" s="30" t="str">
        <x:v>QB1399</x:v>
      </x:c>
      <x:c r="B24" s="30" t="str">
        <x:v>Bofa IBD</x:v>
      </x:c>
      <x:c r="C24" s="30" t="str">
        <x:v>IBD / GCM</x:v>
      </x:c>
      <x:c r="D24" s="31" t="str">
        <x:v>Any exposure to china market?</x:v>
      </x:c>
      <x:c r="E24" s="31" t="str">
        <x:v>Any exposure to china market</x:v>
      </x:c>
      <x:c r="F24" s="31" t="str">
        <x:v>Markets &amp; Macro</x:v>
      </x:c>
      <x:c r="G24" s="30" t="str">
        <x:v>CL0115</x:v>
      </x:c>
      <x:c r="H24" s="32" t="n">
        <x:f>COUNTIF($G$5:$G$42,G24)</x:f>
        <x:v>1</x:v>
      </x:c>
      <x:c r="I24" s="30" t="str">
        <x:v>A97</x:v>
      </x:c>
      <x:c r="J24" s="31" t="str">
        <x:v>What is the top line? How did you determine the revenue growth rate? | How did you justify this company is growing faster than market average? Growth driver? | How did you do comps analysis for the international school platform?</x:v>
      </x:c>
    </x:row>
    <x:row r="25" ht="32" customHeight="1">
      <x:c r="A25" s="30" t="str">
        <x:v>QB1431</x:v>
      </x:c>
      <x:c r="B25" s="30" t="str">
        <x:v>Bofa GCM</x:v>
      </x:c>
      <x:c r="C25" s="30" t="str">
        <x:v>IBD / GCM</x:v>
      </x:c>
      <x:c r="D25" s="31" t="str">
        <x:v>tell me 2 macro news</x:v>
      </x:c>
      <x:c r="E25" s="31" t="str">
        <x:v>Tell me 2 macro news</x:v>
      </x:c>
      <x:c r="F25" s="31" t="str">
        <x:v>Markets &amp; Macro</x:v>
      </x:c>
      <x:c r="G25" s="30" t="str">
        <x:v>CL0702</x:v>
      </x:c>
      <x:c r="H25" s="32" t="n">
        <x:f>COUNTIF($G$5:$G$42,G25)</x:f>
        <x:v>1</x:v>
      </x:c>
      <x:c r="I25" s="30" t="str">
        <x:v>B5</x:v>
      </x:c>
      <x:c r="J25" s="31" t="str">
        <x:v>ECM Asso | Self-intro | what do you do in NB? (didnt go deep)</x:v>
      </x:c>
    </x:row>
    <x:row r="26" ht="48" customHeight="1">
      <x:c r="A26" s="30" t="str">
        <x:v>QB1508</x:v>
      </x:c>
      <x:c r="B26" s="30" t="str">
        <x:v>JPM</x:v>
      </x:c>
      <x:c r="C26" s="30" t="str">
        <x:v>IBD / GCM</x:v>
      </x:c>
      <x:c r="D26" s="31" t="str">
        <x:v>liquidity issue with USD 1B debt due in 8 months, but only 300m cash in hand</x:v>
      </x:c>
      <x:c r="E26" s="31" t="str">
        <x:v>Liquidity issue with USD 1B debt due in 8 months, but only 300m cash in hand</x:v>
      </x:c>
      <x:c r="F26" s="31" t="str">
        <x:v>Markets &amp; Macro</x:v>
      </x:c>
      <x:c r="G26" s="30" t="str">
        <x:v>CL0592</x:v>
      </x:c>
      <x:c r="H26" s="32" t="n">
        <x:f>COUNTIF($G$5:$G$42,G26)</x:f>
        <x:v>1</x:v>
      </x:c>
      <x:c r="I26" s="30" t="str">
        <x:v>A25</x:v>
      </x:c>
      <x:c r="J26" s="31" t="str">
        <x:v>life insurance | company currently facing 2 problems: | trading at deep discount (p/b 0.4x)</x:v>
      </x:c>
    </x:row>
    <x:row r="27" ht="68" customHeight="1">
      <x:c r="A27" s="30" t="str">
        <x:v>QB1637</x:v>
      </x:c>
      <x:c r="B27" s="30" t="str">
        <x:v>Jefferies</x:v>
      </x:c>
      <x:c r="C27" s="30" t="str">
        <x:v>IBD / GCM</x:v>
      </x:c>
      <x:c r="D27" s="31" t="str">
        <x:v>HK market – bear market, what do you think about the HK market in the future?</x:v>
      </x:c>
      <x:c r="E27" s="31" t="str">
        <x:v>HK market – bear market, what do you think about the HK market in the future</x:v>
      </x:c>
      <x:c r="F27" s="31" t="str">
        <x:v>Markets &amp; Macro</x:v>
      </x:c>
      <x:c r="G27" s="30" t="str">
        <x:v>CL0366</x:v>
      </x:c>
      <x:c r="H27" s="32" t="n">
        <x:f>COUNTIF($G$5:$G$42,G27)</x:f>
        <x:v>1</x:v>
      </x:c>
      <x:c r="I27" s="30" t="str">
        <x:v>C19</x:v>
      </x:c>
      <x:c r="J27" s="31" t="str">
        <x:v>If depreciation is up by 10, how would it affect the 3 FS? | Do you know about LBO? In what situations do you use it and in what situations do you not use it? | Compared to other valuation methodologies, how would their values differ?</x:v>
      </x:c>
    </x:row>
    <x:row r="28" ht="68" customHeight="1">
      <x:c r="A28" s="30" t="str">
        <x:v>QB1641</x:v>
      </x:c>
      <x:c r="B28" s="30" t="str">
        <x:v>Jefferies</x:v>
      </x:c>
      <x:c r="C28" s="30" t="str">
        <x:v>IBD / GCM</x:v>
      </x:c>
      <x:c r="D28" s="31" t="str">
        <x:v>Given the situation, how do you think it will affect the China and HK market?</x:v>
      </x:c>
      <x:c r="E28" s="31" t="str">
        <x:v>Given the situation, how do you think it will affect the China and HK market</x:v>
      </x:c>
      <x:c r="F28" s="31" t="str">
        <x:v>Markets &amp; Macro</x:v>
      </x:c>
      <x:c r="G28" s="30" t="str">
        <x:v>CL0357</x:v>
      </x:c>
      <x:c r="H28" s="32" t="n">
        <x:f>COUNTIF($G$5:$G$42,G28)</x:f>
        <x:v>1</x:v>
      </x:c>
      <x:c r="I28" s="30" t="str">
        <x:v>C21</x:v>
      </x:c>
      <x:c r="J28" s="31" t="str">
        <x:v>Compared to other valuation methodologies, how would their values differ? | HK market – bear market, what do you think about the HK market in the future? | Did you follow the news yesterday – US election? Do you know how the market movem...</x:v>
      </x:c>
    </x:row>
    <x:row r="29" ht="48" customHeight="1">
      <x:c r="A29" s="30" t="str">
        <x:v>QB1840</x:v>
      </x:c>
      <x:c r="B29" s="30" t="str">
        <x:v>HSBC</x:v>
      </x:c>
      <x:c r="C29" s="30" t="str">
        <x:v>IBD / GCM</x:v>
      </x:c>
      <x:c r="D29" s="31" t="str">
        <x:v>Do you know the interest rate right now</x:v>
      </x:c>
      <x:c r="E29" s="31" t="str">
        <x:v>Do you know the interest rate right now</x:v>
      </x:c>
      <x:c r="F29" s="31" t="str">
        <x:v>Markets &amp; Macro</x:v>
      </x:c>
      <x:c r="G29" s="30" t="str">
        <x:v>CL0280</x:v>
      </x:c>
      <x:c r="H29" s="32" t="n">
        <x:f>COUNTIF($G$5:$G$42,G29)</x:f>
        <x:v>1</x:v>
      </x:c>
      <x:c r="I29" s="30" t="str">
        <x:v>C15</x:v>
      </x:c>
      <x:c r="J29" s="31" t="str">
        <x:v>(i said no i didnt) then what discount rate do you use in leveraged finance | CAPEX 10, 3 statements | at the end of year, 3 statements</x:v>
      </x:c>
    </x:row>
    <x:row r="30" ht="48" customHeight="1">
      <x:c r="A30" s="30" t="str">
        <x:v>QB1843</x:v>
      </x:c>
      <x:c r="B30" s="30" t="str">
        <x:v>HSBC</x:v>
      </x:c>
      <x:c r="C30" s="30" t="str">
        <x:v>IBD / GCM</x:v>
      </x:c>
      <x:c r="D30" s="31" t="str">
        <x:v>How does interest rate impact the stock market</x:v>
      </x:c>
      <x:c r="E30" s="31" t="str">
        <x:v>How does interest rate impact the stock market</x:v>
      </x:c>
      <x:c r="F30" s="31" t="str">
        <x:v>Markets &amp; Macro</x:v>
      </x:c>
      <x:c r="G30" s="30" t="str">
        <x:v>CL0433</x:v>
      </x:c>
      <x:c r="H30" s="32" t="n">
        <x:f>COUNTIF($G$5:$G$42,G30)</x:f>
        <x:v>1</x:v>
      </x:c>
      <x:c r="I30" s="30" t="str">
        <x:v>C16</x:v>
      </x:c>
      <x:c r="J30" s="31" t="str">
        <x:v>CAPEX 10, 3 statements | at the end of year, 3 statements | Do you know the interest rate right now</x:v>
      </x:c>
    </x:row>
    <x:row r="31" ht="32" customHeight="1">
      <x:c r="A31" s="30" t="str">
        <x:v>QB2048</x:v>
      </x:c>
      <x:c r="B31" s="30" t="str">
        <x:v>Nomura</x:v>
      </x:c>
      <x:c r="C31" s="30" t="str">
        <x:v>IBD / GCM</x:v>
      </x:c>
      <x:c r="D31" s="31" t="str">
        <x:v>have you followed the fed interest rate hike</x:v>
      </x:c>
      <x:c r="E31" s="31" t="str">
        <x:v>Have you followed the fed interest rate hike</x:v>
      </x:c>
      <x:c r="F31" s="31" t="str">
        <x:v>Markets &amp; Macro</x:v>
      </x:c>
      <x:c r="G31" s="30" t="str">
        <x:v>CL0364</x:v>
      </x:c>
      <x:c r="H31" s="32" t="n">
        <x:f>COUNTIF($G$5:$G$42,G31)</x:f>
        <x:v>1</x:v>
      </x:c>
      <x:c r="I31" s="30" t="str">
        <x:v>C30</x:v>
      </x:c>
      <x:c r="J31" s="31" t="str">
        <x:v>why not law | walk me through a project | how did you do valuation in the project</x:v>
      </x:c>
    </x:row>
    <x:row r="32" ht="48" customHeight="1">
      <x:c r="A32" s="30" t="str">
        <x:v>QB2078</x:v>
      </x:c>
      <x:c r="B32" s="30" t="str">
        <x:v>Nomura</x:v>
      </x:c>
      <x:c r="C32" s="30" t="str">
        <x:v>IBD / GCM</x:v>
      </x:c>
      <x:c r="D32" s="31" t="str">
        <x:v>Discuss tariff effect on Chinese EV makers blabla</x:v>
      </x:c>
      <x:c r="E32" s="31" t="str">
        <x:v>Discuss tariff effect on Chinese EV makers blabla</x:v>
      </x:c>
      <x:c r="F32" s="31" t="str">
        <x:v>Markets &amp; Macro</x:v>
      </x:c>
      <x:c r="G32" s="30" t="str">
        <x:v>CL0259</x:v>
      </x:c>
      <x:c r="H32" s="32" t="n">
        <x:f>COUNTIF($G$5:$G$42,G32)</x:f>
        <x:v>1</x:v>
      </x:c>
      <x:c r="I32" s="30" t="str">
        <x:v>C49</x:v>
      </x:c>
      <x:c r="J32" s="31" t="str">
        <x:v>Self-intro | What did you do at equity research internship | How did u build the DCF model for BYD</x:v>
      </x:c>
    </x:row>
    <x:row r="33" ht="32" customHeight="1">
      <x:c r="A33" s="30" t="str">
        <x:v>QB2149</x:v>
      </x:c>
      <x:c r="B33" s="30" t="str">
        <x:v>Houlihan Lokey</x:v>
      </x:c>
      <x:c r="C33" s="30" t="str">
        <x:v>IBD / GCM</x:v>
      </x:c>
      <x:c r="D33" s="31" t="str">
        <x:v>8 EV/EBITDA, 5 interest coverage ratio, 5% interest rate on debt, Loan to value? (0.5)</x:v>
      </x:c>
      <x:c r="E33" s="31" t="str">
        <x:v>8 EV/EBITDA, 5 interest coverage ratio, 5% interest rate on debt, Loan to value? (0.5)</x:v>
      </x:c>
      <x:c r="F33" s="31" t="str">
        <x:v>Markets &amp; Macro</x:v>
      </x:c>
      <x:c r="G33" s="30" t="str">
        <x:v>CL0086</x:v>
      </x:c>
      <x:c r="H33" s="32" t="n">
        <x:f>COUNTIF($G$5:$G$42,G33)</x:f>
        <x:v>1</x:v>
      </x:c>
      <x:c r="I33" s="30" t="str">
        <x:v>A5</x:v>
      </x:c>
      <x:c r="J33" s="31" t="str">
        <x:v>1st round (Emily) | (20 mins interview) | Self Intro</x:v>
      </x:c>
    </x:row>
    <x:row r="34" ht="32" customHeight="1">
      <x:c r="A34" s="30" t="str">
        <x:v>QB2544</x:v>
      </x:c>
      <x:c r="B34" s="30" t="str">
        <x:v>MS IED</x:v>
      </x:c>
      <x:c r="C34" s="30" t="str">
        <x:v>Sales &amp; Trading</x:v>
      </x:c>
      <x:c r="D34" s="31" t="str">
        <x:v>do u forsee any geopolitical concerns</x:v>
      </x:c>
      <x:c r="E34" s="31" t="str">
        <x:v>Do u forsee any geopolitical concerns</x:v>
      </x:c>
      <x:c r="F34" s="31" t="str">
        <x:v>Markets &amp; Macro</x:v>
      </x:c>
      <x:c r="G34" s="30" t="str">
        <x:v>CL0262</x:v>
      </x:c>
      <x:c r="H34" s="32" t="n">
        <x:f>COUNTIF($G$5:$G$42,G34)</x:f>
        <x:v>1</x:v>
      </x:c>
      <x:c r="I34" s="30" t="str">
        <x:v>B5</x:v>
      </x:c>
      <x:c r="J34" s="31" t="str"/>
    </x:row>
    <x:row r="35" ht="48" customHeight="1">
      <x:c r="A35" s="30" t="str">
        <x:v>QB2575</x:v>
      </x:c>
      <x:c r="B35" s="30" t="str">
        <x:v>MS IED</x:v>
      </x:c>
      <x:c r="C35" s="30" t="str">
        <x:v>Sales &amp; Trading</x:v>
      </x:c>
      <x:c r="D35" s="31" t="str">
        <x:v>tell me what you know about the China policy pivot (detail such as size of the swap facility)</x:v>
      </x:c>
      <x:c r="E35" s="31" t="str">
        <x:v>Tell me what you know about the China policy pivot (detail such as size of the swap facility)</x:v>
      </x:c>
      <x:c r="F35" s="31" t="str">
        <x:v>Markets &amp; Macro</x:v>
      </x:c>
      <x:c r="G35" s="30" t="str">
        <x:v>CL0776</x:v>
      </x:c>
      <x:c r="H35" s="32" t="n">
        <x:f>COUNTIF($G$5:$G$42,G35)</x:f>
        <x:v>1</x:v>
      </x:c>
      <x:c r="I35" s="30" t="str">
        <x:v>A19</x:v>
      </x:c>
      <x:c r="J35" s="31" t="str">
        <x:v>follow up on stock pitch | why pitch Ctrip but not Meituan since they're all China consumption sector | US election impact on the China's consumption sector</x:v>
      </x:c>
    </x:row>
    <x:row r="36" ht="68" customHeight="1">
      <x:c r="A36" s="30" t="str">
        <x:v>QB2578</x:v>
      </x:c>
      <x:c r="B36" s="30" t="str">
        <x:v>MS IED</x:v>
      </x:c>
      <x:c r="C36" s="30" t="str">
        <x:v>Sales &amp; Trading</x:v>
      </x:c>
      <x:c r="D36" s="31" t="str">
        <x:v>Discuss what's going on in China's stock market</x:v>
      </x:c>
      <x:c r="E36" s="31" t="str">
        <x:v>Discuss what's going on in China's stock market</x:v>
      </x:c>
      <x:c r="F36" s="31" t="str">
        <x:v>Markets &amp; Macro</x:v>
      </x:c>
      <x:c r="G36" s="30" t="str">
        <x:v>CL0261</x:v>
      </x:c>
      <x:c r="H36" s="32" t="n">
        <x:f>COUNTIF($G$5:$G$42,G36)</x:f>
        <x:v>1</x:v>
      </x:c>
      <x:c r="I36" s="30" t="str">
        <x:v>R19</x:v>
      </x:c>
      <x:c r="J36" s="31" t="str">
        <x:v>Followup 2 (Anqi Jiang) | self introduction (rest of the interview all in mandarin) | asked a lot about CV, especially the mainland security firm experience (cuz of her background from mainland)</x:v>
      </x:c>
    </x:row>
    <x:row r="37" ht="68" customHeight="1">
      <x:c r="A37" s="30" t="str">
        <x:v>QB2658</x:v>
      </x:c>
      <x:c r="B37" s="30" t="str">
        <x:v>BofA (GM)</x:v>
      </x:c>
      <x:c r="C37" s="30" t="str">
        <x:v>Sales &amp; Trading</x:v>
      </x:c>
      <x:c r="D37" s="31" t="str">
        <x:v>Situational Q: if you expect a 20% in gold price rally in the future, what investment target will you choose: Gold; gold-mining companies - leading and big market player or small and just break-even one.</x:v>
      </x:c>
      <x:c r="E37" s="31" t="str">
        <x:v>Situational Q: if you expect a 20% in gold price rally in the future, what investment target will you choose: Gold; gold-mining companies - leading and big market player or small and just break-even one</x:v>
      </x:c>
      <x:c r="F37" s="31" t="str">
        <x:v>Markets &amp; Macro</x:v>
      </x:c>
      <x:c r="G37" s="30" t="str">
        <x:v>CL0682</x:v>
      </x:c>
      <x:c r="H37" s="32" t="n">
        <x:f>COUNTIF($G$5:$G$42,G37)</x:f>
        <x:v>1</x:v>
      </x:c>
      <x:c r="I37" s="30" t="str">
        <x:v>A37</x:v>
      </x:c>
      <x:c r="J37" s="31" t="str">
        <x:v>Where is your passion for finance and SnT come from? | Any preference for the particular asset class or roles? | How do you deal with an ethical dillemma or "grey area"?</x:v>
      </x:c>
    </x:row>
    <x:row r="38" ht="32" customHeight="1">
      <x:c r="A38" s="30" t="str">
        <x:v>QB2677</x:v>
      </x:c>
      <x:c r="B38" s="30" t="str">
        <x:v>BofA (GM)</x:v>
      </x:c>
      <x:c r="C38" s="30" t="str">
        <x:v>Sales &amp; Trading</x:v>
      </x:c>
      <x:c r="D38" s="31" t="str">
        <x:v>What's your view on the Chinese macroeconomy? (I said neutral in the short run)</x:v>
      </x:c>
      <x:c r="E38" s="31" t="str">
        <x:v>What's your view on the Chinese macroeconomy? (I said neutral in the short run)</x:v>
      </x:c>
      <x:c r="F38" s="31" t="str">
        <x:v>Markets &amp; Macro</x:v>
      </x:c>
      <x:c r="G38" s="30" t="str">
        <x:v>CL1071</x:v>
      </x:c>
      <x:c r="H38" s="32" t="n">
        <x:f>COUNTIF($G$5:$G$42,G38)</x:f>
        <x:v>1</x:v>
      </x:c>
      <x:c r="I38" s="30" t="str">
        <x:v>A58</x:v>
      </x:c>
      <x:c r="J38" s="31" t="str">
        <x:v>self-intro | Are you from Shanghai? | Why come to HK for University?</x:v>
      </x:c>
    </x:row>
    <x:row r="39" ht="48" customHeight="1">
      <x:c r="A39" s="30" t="str">
        <x:v>QB2688</x:v>
      </x:c>
      <x:c r="B39" s="30" t="str">
        <x:v>HSBC (GM)</x:v>
      </x:c>
      <x:c r="C39" s="30" t="str">
        <x:v>Sales &amp; Trading</x:v>
      </x:c>
      <x:c r="D39" s="31" t="str">
        <x:v>what does gold mean as safe haven asset and what other assets are also safe haven</x:v>
      </x:c>
      <x:c r="E39" s="31" t="str">
        <x:v>What does gold mean as safe haven asset and what other assets are also safe haven</x:v>
      </x:c>
      <x:c r="F39" s="31" t="str">
        <x:v>Markets &amp; Macro</x:v>
      </x:c>
      <x:c r="G39" s="30" t="str">
        <x:v>CL0940</x:v>
      </x:c>
      <x:c r="H39" s="32" t="n">
        <x:f>COUNTIF($G$5:$G$42,G39)</x:f>
        <x:v>1</x:v>
      </x:c>
      <x:c r="I39" s="30" t="str">
        <x:v>A5</x:v>
      </x:c>
      <x:c r="J39" s="31" t="str">
        <x:v>Round 1 (Erik from High Touch Sales) | introduce urself | what is ur favourite subject in school</x:v>
      </x:c>
    </x:row>
    <x:row r="40" ht="68" customHeight="1">
      <x:c r="A40" s="30" t="str">
        <x:v>QB2714</x:v>
      </x:c>
      <x:c r="B40" s="30" t="str">
        <x:v>HSBC (GM)</x:v>
      </x:c>
      <x:c r="C40" s="30" t="str">
        <x:v>Sales &amp; Trading</x:v>
      </x:c>
      <x:c r="D40" s="31" t="str">
        <x:v>do you see the world trending towards globalization or deglobalization</x:v>
      </x:c>
      <x:c r="E40" s="31" t="str">
        <x:v>Do you see the world trending towards globalization or deglobalization</x:v>
      </x:c>
      <x:c r="F40" s="31" t="str">
        <x:v>Markets &amp; Macro</x:v>
      </x:c>
      <x:c r="G40" s="30" t="str">
        <x:v>CL0288</x:v>
      </x:c>
      <x:c r="H40" s="32" t="n">
        <x:f>COUNTIF($G$5:$G$42,G40)</x:f>
        <x:v>1</x:v>
      </x:c>
      <x:c r="I40" s="30" t="str">
        <x:v>A19</x:v>
      </x:c>
      <x:c r="J40" s="31" t="str">
        <x:v>some questions for warm up (wont be assessed) | if ECB were to tighten monetary policy now what is the effect on FX rates and equities | i said tighten rates then FX increase</x:v>
      </x:c>
    </x:row>
    <x:row r="41" ht="32" customHeight="1">
      <x:c r="A41" s="30" t="str">
        <x:v>QB2731</x:v>
      </x:c>
      <x:c r="B41" s="30" t="str">
        <x:v>HSBC (GM)</x:v>
      </x:c>
      <x:c r="C41" s="30" t="str">
        <x:v>Sales &amp; Trading</x:v>
      </x:c>
      <x:c r="D41" s="31" t="str">
        <x:v>how interest rate affects the global markets and different assets</x:v>
      </x:c>
      <x:c r="E41" s="31" t="str">
        <x:v>How interest rate affects the global markets and different assets</x:v>
      </x:c>
      <x:c r="F41" s="31" t="str">
        <x:v>Markets &amp; Macro</x:v>
      </x:c>
      <x:c r="G41" s="30" t="str">
        <x:v>CL0444</x:v>
      </x:c>
      <x:c r="H41" s="32" t="n">
        <x:f>COUNTIF($G$5:$G$42,G41)</x:f>
        <x:v>1</x:v>
      </x:c>
      <x:c r="I41" s="30" t="str">
        <x:v>L28</x:v>
      </x:c>
      <x:c r="J41" s="31" t="str">
        <x:v>self intro | sales or trading | CV question</x:v>
      </x:c>
    </x:row>
    <x:row r="42" ht="48" customHeight="1">
      <x:c r="A42" s="30" t="str">
        <x:v>QB2815</x:v>
      </x:c>
      <x:c r="B42" s="30" t="str">
        <x:v>Neuberger Berman</x:v>
      </x:c>
      <x:c r="C42" s="30" t="str">
        <x:v>PWM / AM</x:v>
      </x:c>
      <x:c r="D42" s="31" t="str">
        <x:v>How US tariff would affect PE &amp; share a market event</x:v>
      </x:c>
      <x:c r="E42" s="31" t="str">
        <x:v>How US tariff would affect PE &amp; share a market event</x:v>
      </x:c>
      <x:c r="F42" s="31" t="str">
        <x:v>Markets &amp; Macro</x:v>
      </x:c>
      <x:c r="G42" s="30" t="str">
        <x:v>CL0485</x:v>
      </x:c>
      <x:c r="H42" s="32" t="n">
        <x:f>COUNTIF($G$5:$G$42,G42)</x:f>
        <x:v>1</x:v>
      </x:c>
      <x:c r="I42" s="30" t="str">
        <x:v>A8</x:v>
      </x:c>
      <x:c r="J42" s="31" t="str">
        <x:v>Walk though current internships | Ask what I do and the deals for each internship | What is a good target for PE</x:v>
      </x:c>
    </x:row>
  </x:sheetData>
  <x:mergeCells>
    <x:mergeCell ref="A1:J1"/>
    <x:mergeCell ref="A2:J2"/>
  </x:mergeCells>
  <x:conditionalFormatting sqref="H5:H42">
    <x:cfRule type="cellIs" dxfId="17" priority="1" operator="greaterThan">
      <x:formula>1</x:formula>
    </x:cfRule>
  </x:conditionalFormatting>
  <x:pageMargins left="0.7" right="0.7" top="0.75" bottom="0.75" header="0.3" footer="0.3"/>
  <x:tableParts count="1">
    <x:tablePart xmlns:r="http://schemas.openxmlformats.org/officeDocument/2006/relationships" r:id="Rf6d65b5a18b4428b"/>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Company, Industry &amp; Deals</x:v>
      </x:c>
      <x:c r="B1" s="3"/>
      <x:c r="C1" s="3"/>
      <x:c r="D1" s="3"/>
      <x:c r="E1" s="3"/>
      <x:c r="F1" s="3"/>
      <x:c r="G1" s="3"/>
      <x:c r="H1" s="3"/>
      <x:c r="I1" s="3"/>
      <x:c r="J1" s="3"/>
    </x:row>
    <x:row r="2" ht="30" customHeight="1">
      <x:c r="A2" s="7" t="str">
        <x:v>Preparation list for Company, Industry &amp; Deals.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QB0018</x:v>
      </x:c>
      <x:c r="B5" s="30" t="str">
        <x:v>MS IBD</x:v>
      </x:c>
      <x:c r="C5" s="30" t="str">
        <x:v>IBD / GCM</x:v>
      </x:c>
      <x:c r="D5" s="31" t="str">
        <x:v>Tell me some deals MS has done</x:v>
      </x:c>
      <x:c r="E5" s="31" t="str">
        <x:v>Discuss a recent deal completed by this firm</x:v>
      </x:c>
      <x:c r="F5" s="31" t="str">
        <x:v>Company, Industry &amp; Deals</x:v>
      </x:c>
      <x:c r="G5" s="30" t="str">
        <x:v>CL0008</x:v>
      </x:c>
      <x:c r="H5" s="32" t="n">
        <x:f>COUNTIF($G$5:$G$117,G5)</x:f>
        <x:v>8</x:v>
      </x:c>
      <x:c r="I5" s="30" t="str">
        <x:v>A6</x:v>
      </x:c>
      <x:c r="J5" s="31" t="str">
        <x:v>Emily | Walk me through your resume and tell me about yourself | Why Morgan Stanley?</x:v>
      </x:c>
    </x:row>
    <x:row r="6" ht="48" customHeight="1">
      <x:c r="A6" s="30" t="str">
        <x:v>QB0049</x:v>
      </x:c>
      <x:c r="B6" s="30" t="str">
        <x:v>MS IBD</x:v>
      </x:c>
      <x:c r="C6" s="30" t="str">
        <x:v>IBD / GCM</x:v>
      </x:c>
      <x:c r="D6" s="31" t="str">
        <x:v>AI semiconductor industry - overview, trends, opportunities, risks, competitor analysis, competitive edge</x:v>
      </x:c>
      <x:c r="E6" s="31" t="str">
        <x:v>AI semiconductor industry - overview, trends, opportunities, risks, competitor analysis, competitive edge</x:v>
      </x:c>
      <x:c r="F6" s="31" t="str">
        <x:v>Company, Industry &amp; Deals</x:v>
      </x:c>
      <x:c r="G6" s="30" t="str">
        <x:v>CL0106</x:v>
      </x:c>
      <x:c r="H6" s="32" t="n">
        <x:f>COUNTIF($G$5:$G$117,G6)</x:f>
        <x:v>1</x:v>
      </x:c>
      <x:c r="I6" s="30" t="str">
        <x:v>C23</x:v>
      </x:c>
      <x:c r="J6" s="31" t="str">
        <x:v>1st round 8/9 Germaine (Ray Hu from Real Estate) | Self Intro + Why IBD | What did you do in Odysseus</x:v>
      </x:c>
    </x:row>
    <x:row r="7" ht="32" customHeight="1">
      <x:c r="A7" s="30" t="str">
        <x:v>QB0057</x:v>
      </x:c>
      <x:c r="B7" s="30" t="str">
        <x:v>MS IBD</x:v>
      </x:c>
      <x:c r="C7" s="30" t="str">
        <x:v>IBD / GCM</x:v>
      </x:c>
      <x:c r="D7" s="31" t="str">
        <x:v>Tell me about a company you researched on for 3 mins</x:v>
      </x:c>
      <x:c r="E7" s="31" t="str">
        <x:v>Tell me about a company you researched on for 3 mins</x:v>
      </x:c>
      <x:c r="F7" s="31" t="str">
        <x:v>Company, Industry &amp; Deals</x:v>
      </x:c>
      <x:c r="G7" s="30" t="str">
        <x:v>CL0721</x:v>
      </x:c>
      <x:c r="H7" s="32" t="n">
        <x:f>COUNTIF($G$5:$G$117,G7)</x:f>
        <x:v>1</x:v>
      </x:c>
      <x:c r="I7" s="30" t="str">
        <x:v>F24</x:v>
      </x:c>
      <x:c r="J7" s="31" t="str">
        <x:v>Self-intro | You have internships in other areas, why IBD? | Why MS?</x:v>
      </x:c>
    </x:row>
    <x:row r="8" ht="48" customHeight="1">
      <x:c r="A8" s="30" t="str">
        <x:v>QB0071</x:v>
      </x:c>
      <x:c r="B8" s="30" t="str">
        <x:v>MS IBD</x:v>
      </x:c>
      <x:c r="C8" s="30" t="str">
        <x:v>IBD / GCM</x:v>
      </x:c>
      <x:c r="D8" s="31" t="str">
        <x:v>What are some common credit ratios?</x:v>
      </x:c>
      <x:c r="E8" s="31" t="str">
        <x:v>What are some common credit ratios</x:v>
      </x:c>
      <x:c r="F8" s="31" t="str">
        <x:v>Company, Industry &amp; Deals</x:v>
      </x:c>
      <x:c r="G8" s="30" t="str">
        <x:v>CL0866</x:v>
      </x:c>
      <x:c r="H8" s="32" t="n">
        <x:f>COUNTIF($G$5:$G$117,G8)</x:f>
        <x:v>1</x:v>
      </x:c>
      <x:c r="I8" s="30" t="str">
        <x:v>H26</x:v>
      </x:c>
      <x:c r="J8" s="31" t="str">
        <x:v>Do you like financing / capital markets? | Tell me about one project you worked on in Nomura | Did you do credit anlysis?</x:v>
      </x:c>
    </x:row>
    <x:row r="9" ht="68" customHeight="1">
      <x:c r="A9" s="30" t="str">
        <x:v>QB0072</x:v>
      </x:c>
      <x:c r="B9" s="30" t="str">
        <x:v>MS IBD</x:v>
      </x:c>
      <x:c r="C9" s="30" t="str">
        <x:v>IBD / GCM</x:v>
      </x:c>
      <x:c r="D9" s="31" t="str">
        <x:v>How would u analyze a company if you are working for a PE firm</x:v>
      </x:c>
      <x:c r="E9" s="31" t="str">
        <x:v>How would u analyze a company if you are working for a PE firm</x:v>
      </x:c>
      <x:c r="F9" s="31" t="str">
        <x:v>Company, Industry &amp; Deals</x:v>
      </x:c>
      <x:c r="G9" s="30" t="str">
        <x:v>CL0493</x:v>
      </x:c>
      <x:c r="H9" s="32" t="n">
        <x:f>COUNTIF($G$5:$G$117,G9)</x:f>
        <x:v>1</x:v>
      </x:c>
      <x:c r="I9" s="30" t="str">
        <x:v>A27</x:v>
      </x:c>
      <x:c r="J9" s="31" t="str">
        <x:v>difference between securities in mainland China and ibd in Hong Kong | How do equity fund/buyout fund make money | What are differences between different exit methods (IPO, strategic purchase...)</x:v>
      </x:c>
    </x:row>
    <x:row r="10" ht="48" customHeight="1">
      <x:c r="A10" s="30" t="str">
        <x:v>QB0110</x:v>
      </x:c>
      <x:c r="B10" s="30" t="str">
        <x:v>MS IBD</x:v>
      </x:c>
      <x:c r="C10" s="30" t="str">
        <x:v>IBD / GCM</x:v>
      </x:c>
      <x:c r="D10" s="31" t="str">
        <x:v>Tell me some deals MS did</x:v>
      </x:c>
      <x:c r="E10" s="31" t="str">
        <x:v>Discuss a recent deal completed by this firm</x:v>
      </x:c>
      <x:c r="F10" s="31" t="str">
        <x:v>Company, Industry &amp; Deals</x:v>
      </x:c>
      <x:c r="G10" s="30" t="str">
        <x:v>CL0008</x:v>
      </x:c>
      <x:c r="H10" s="32" t="n">
        <x:f>COUNTIF($G$5:$G$117,G10)</x:f>
        <x:v>8</x:v>
      </x:c>
      <x:c r="I10" s="30" t="str">
        <x:v>A34</x:v>
      </x:c>
      <x:c r="J10" s="31" t="str">
        <x:v>get enterprise value from equity value | why do companies want to do M&amp;A | you have experiece in healthcare and Auto, which you prefer to work in</x:v>
      </x:c>
    </x:row>
    <x:row r="11" ht="48" customHeight="1">
      <x:c r="A11" s="30" t="str">
        <x:v>QB0114</x:v>
      </x:c>
      <x:c r="B11" s="30" t="str">
        <x:v>MS IBD</x:v>
      </x:c>
      <x:c r="C11" s="30" t="str">
        <x:v>IBD / GCM</x:v>
      </x:c>
      <x:c r="D11" s="31" t="str">
        <x:v>Which deal you are interested in and walk me through</x:v>
      </x:c>
      <x:c r="E11" s="31" t="str">
        <x:v>Which deal you are interested in and walk me through</x:v>
      </x:c>
      <x:c r="F11" s="31" t="str">
        <x:v>Company, Industry &amp; Deals</x:v>
      </x:c>
      <x:c r="G11" s="30" t="str">
        <x:v>CL1093</x:v>
      </x:c>
      <x:c r="H11" s="32" t="n">
        <x:f>COUNTIF($G$5:$G$117,G11)</x:f>
        <x:v>1</x:v>
      </x:c>
      <x:c r="I11" s="30" t="str">
        <x:v>A35</x:v>
      </x:c>
      <x:c r="J11" s="31" t="str">
        <x:v>why do companies want to do M&amp;A | you have experiece in healthcare and Auto, which you prefer to work in | Tell me some deals MS did</x:v>
      </x:c>
    </x:row>
    <x:row r="12" ht="48" customHeight="1">
      <x:c r="A12" s="30" t="str">
        <x:v>QB0153</x:v>
      </x:c>
      <x:c r="B12" s="30" t="str">
        <x:v>MS IBD</x:v>
      </x:c>
      <x:c r="C12" s="30" t="str">
        <x:v>IBD / GCM</x:v>
      </x:c>
      <x:c r="D12" s="31" t="str">
        <x:v>What are some impacts or catalysts for the store</x:v>
      </x:c>
      <x:c r="E12" s="31" t="str">
        <x:v>What are some impacts or catalysts for the store</x:v>
      </x:c>
      <x:c r="F12" s="31" t="str">
        <x:v>Company, Industry &amp; Deals</x:v>
      </x:c>
      <x:c r="G12" s="30" t="str">
        <x:v>CL0870</x:v>
      </x:c>
      <x:c r="H12" s="32" t="n">
        <x:f>COUNTIF($G$5:$G$117,G12)</x:f>
        <x:v>1</x:v>
      </x:c>
      <x:c r="I12" s="30" t="str">
        <x:v>C62</x:v>
      </x:c>
      <x:c r="J12" s="31" t="str">
        <x:v>How about for leveraged loans | A deal I worked on before | Starbucks revenue and costs projection</x:v>
      </x:c>
    </x:row>
    <x:row r="13" ht="92" customHeight="1">
      <x:c r="A13" s="30" t="str">
        <x:v>QB0160</x:v>
      </x:c>
      <x:c r="B13" s="30" t="str">
        <x:v>MS IBD</x:v>
      </x:c>
      <x:c r="C13" s="30" t="str">
        <x:v>IBD / GCM</x:v>
      </x:c>
      <x:c r="D13" s="31" t="str">
        <x:v>How to project monthly revenue for a starbucks in hku</x:v>
      </x:c>
      <x:c r="E13" s="31" t="str">
        <x:v>How to project monthly revenue for a starbucks in hku</x:v>
      </x:c>
      <x:c r="F13" s="31" t="str">
        <x:v>Company, Industry &amp; Deals</x:v>
      </x:c>
      <x:c r="G13" s="30" t="str">
        <x:v>CL0480</x:v>
      </x:c>
      <x:c r="H13" s="32" t="n">
        <x:f>COUNTIF($G$5:$G$117,G13)</x:f>
        <x:v>1</x:v>
      </x:c>
      <x:c r="I13" s="30" t="str">
        <x:v>A66</x:v>
      </x:c>
      <x:c r="J13" s="31" t="str">
        <x:v>As you can see, you are in the same round as two Masters student, and usually the superday applicant pool is full of people with direct ibd experience already but you don't have a lot, why should MS pick you | Tell me your biggest streng...</x:v>
      </x:c>
    </x:row>
    <x:row r="14" ht="48" customHeight="1">
      <x:c r="A14" s="30" t="str">
        <x:v>QB0161</x:v>
      </x:c>
      <x:c r="B14" s="30" t="str">
        <x:v>MS IBD</x:v>
      </x:c>
      <x:c r="C14" s="30" t="str">
        <x:v>IBD / GCM</x:v>
      </x:c>
      <x:c r="D14" s="31" t="str">
        <x:v>What MS deals do I know</x:v>
      </x:c>
      <x:c r="E14" s="31" t="str">
        <x:v>What MS deals do I know</x:v>
      </x:c>
      <x:c r="F14" s="31" t="str">
        <x:v>Company, Industry &amp; Deals</x:v>
      </x:c>
      <x:c r="G14" s="30" t="str">
        <x:v>CL1014</x:v>
      </x:c>
      <x:c r="H14" s="32" t="n">
        <x:f>COUNTIF($G$5:$G$117,G14)</x:f>
        <x:v>1</x:v>
      </x:c>
      <x:c r="I14" s="30" t="str">
        <x:v>C66</x:v>
      </x:c>
      <x:c r="J14" s="31" t="str">
        <x:v>20x PE acquires 10x PE, accretive or dilutive | Rationale for cross-border M&amp;As | Recent news that affect banking, esp HK and China</x:v>
      </x:c>
    </x:row>
    <x:row r="15" ht="32" customHeight="1">
      <x:c r="A15" s="30" t="str">
        <x:v>QB0247</x:v>
      </x:c>
      <x:c r="B15" s="30" t="str">
        <x:v>MS GCM</x:v>
      </x:c>
      <x:c r="C15" s="30" t="str">
        <x:v>IBD / GCM</x:v>
      </x:c>
      <x:c r="D15" s="31" t="str">
        <x:v>Tell me about a deal done by MS</x:v>
      </x:c>
      <x:c r="E15" s="31" t="str">
        <x:v>Discuss a recent deal completed by this firm</x:v>
      </x:c>
      <x:c r="F15" s="31" t="str">
        <x:v>Company, Industry &amp; Deals</x:v>
      </x:c>
      <x:c r="G15" s="30" t="str">
        <x:v>CL0008</x:v>
      </x:c>
      <x:c r="H15" s="32" t="n">
        <x:f>COUNTIF($G$5:$G$117,G15)</x:f>
        <x:v>8</x:v>
      </x:c>
      <x:c r="I15" s="30" t="str">
        <x:v>C7</x:v>
      </x:c>
      <x:c r="J15" s="31" t="str">
        <x:v>Dick Lee | Self Intro, why GCM, why MS | why GCM not IBD</x:v>
      </x:c>
    </x:row>
    <x:row r="16" ht="32" customHeight="1">
      <x:c r="A16" s="30" t="str">
        <x:v>QB0299</x:v>
      </x:c>
      <x:c r="B16" s="30" t="str">
        <x:v>MS GCM</x:v>
      </x:c>
      <x:c r="C16" s="30" t="str">
        <x:v>IBD / GCM</x:v>
      </x:c>
      <x:c r="D16" s="31" t="str">
        <x:v>Equity vs Debt (from both company and investor's perspectives)</x:v>
      </x:c>
      <x:c r="E16" s="31" t="str">
        <x:v>How should a company choose between debt and equity financing?</x:v>
      </x:c>
      <x:c r="F16" s="31" t="str">
        <x:v>Company, Industry &amp; Deals</x:v>
      </x:c>
      <x:c r="G16" s="30" t="str">
        <x:v>CL0005</x:v>
      </x:c>
      <x:c r="H16" s="32" t="n">
        <x:f>COUNTIF($G$5:$G$117,G16)</x:f>
        <x:v>3</x:v>
      </x:c>
      <x:c r="I16" s="30" t="str">
        <x:v>A50</x:v>
      </x:c>
      <x:c r="J16" s="31" t="str">
        <x:v>Interest rate environment | MS core values | MS deals</x:v>
      </x:c>
    </x:row>
    <x:row r="17" ht="32" customHeight="1">
      <x:c r="A17" s="30" t="str">
        <x:v>QB0309</x:v>
      </x:c>
      <x:c r="B17" s="30" t="str">
        <x:v>MS GCM</x:v>
      </x:c>
      <x:c r="C17" s="30" t="str">
        <x:v>IBD / GCM</x:v>
      </x:c>
      <x:c r="D17" s="31" t="str">
        <x:v>how chinese drug company grow big globally?</x:v>
      </x:c>
      <x:c r="E17" s="31" t="str">
        <x:v>How chinese drug company grow big globally</x:v>
      </x:c>
      <x:c r="F17" s="31" t="str">
        <x:v>Company, Industry &amp; Deals</x:v>
      </x:c>
      <x:c r="G17" s="30" t="str">
        <x:v>CL0374</x:v>
      </x:c>
      <x:c r="H17" s="32" t="n">
        <x:f>COUNTIF($G$5:$G$117,G17)</x:f>
        <x:v>1</x:v>
      </x:c>
      <x:c r="I17" s="30" t="str">
        <x:v>C61</x:v>
      </x:c>
      <x:c r="J17" s="31" t="str">
        <x:v>why MS; | why HK | healthcare industry, gimme a firm</x:v>
      </x:c>
    </x:row>
    <x:row r="18" ht="32" customHeight="1">
      <x:c r="A18" s="30" t="str">
        <x:v>QB0310</x:v>
      </x:c>
      <x:c r="B18" s="30" t="str">
        <x:v>MS GCM</x:v>
      </x:c>
      <x:c r="C18" s="30" t="str">
        <x:v>IBD / GCM</x:v>
      </x:c>
      <x:c r="D18" s="31" t="str">
        <x:v>how will a chinese company stand out compare to US companies</x:v>
      </x:c>
      <x:c r="E18" s="31" t="str">
        <x:v>How will a chinese company stand out compare to US companies</x:v>
      </x:c>
      <x:c r="F18" s="31" t="str">
        <x:v>Company, Industry &amp; Deals</x:v>
      </x:c>
      <x:c r="G18" s="30" t="str">
        <x:v>CL0489</x:v>
      </x:c>
      <x:c r="H18" s="32" t="n">
        <x:f>COUNTIF($G$5:$G$117,G18)</x:f>
        <x:v>1</x:v>
      </x:c>
      <x:c r="I18" s="30" t="str">
        <x:v>C62</x:v>
      </x:c>
      <x:c r="J18" s="31" t="str">
        <x:v>why HK | healthcare industry, gimme a firm | how chinese drug company grow big globally?</x:v>
      </x:c>
    </x:row>
    <x:row r="19" ht="32" customHeight="1">
      <x:c r="A19" s="30" t="str">
        <x:v>QB0325</x:v>
      </x:c>
      <x:c r="B19" s="30" t="str">
        <x:v>MS GCM</x:v>
      </x:c>
      <x:c r="C19" s="30" t="str">
        <x:v>IBD / GCM</x:v>
      </x:c>
      <x:c r="D19" s="31" t="str">
        <x:v>how a deal couldn't get listed, factors?</x:v>
      </x:c>
      <x:c r="E19" s="31" t="str">
        <x:v>How a deal couldn't get listed, factors</x:v>
      </x:c>
      <x:c r="F19" s="31" t="str">
        <x:v>Company, Industry &amp; Deals</x:v>
      </x:c>
      <x:c r="G19" s="30" t="str">
        <x:v>CL0368</x:v>
      </x:c>
      <x:c r="H19" s="32" t="n">
        <x:f>COUNTIF($G$5:$G$117,G19)</x:f>
        <x:v>1</x:v>
      </x:c>
      <x:c r="I19" s="30" t="str">
        <x:v>C79</x:v>
      </x:c>
      <x:c r="J19" s="31" t="str">
        <x:v>interviewer 3, Melody Wang, female, hk, vp: | intro | why GCM</x:v>
      </x:c>
    </x:row>
    <x:row r="20" ht="48" customHeight="1">
      <x:c r="A20" s="30" t="str">
        <x:v>QB0329</x:v>
      </x:c>
      <x:c r="B20" s="30" t="str">
        <x:v>MS GCM</x:v>
      </x:c>
      <x:c r="C20" s="30" t="str">
        <x:v>IBD / GCM</x:v>
      </x:c>
      <x:c r="D20" s="31" t="str">
        <x:v>name 3 Chinese unicorns</x:v>
      </x:c>
      <x:c r="E20" s="31" t="str">
        <x:v>Name 3 Chinese unicorns</x:v>
      </x:c>
      <x:c r="F20" s="31" t="str">
        <x:v>Company, Industry &amp; Deals</x:v>
      </x:c>
      <x:c r="G20" s="30" t="str">
        <x:v>CL0615</x:v>
      </x:c>
      <x:c r="H20" s="32" t="n">
        <x:f>COUNTIF($G$5:$G$117,G20)</x:f>
        <x:v>1</x:v>
      </x:c>
      <x:c r="I20" s="30" t="str">
        <x:v>C83</x:v>
      </x:c>
      <x:c r="J20" s="31" t="str">
        <x:v>a firm/deal you worked on that you think is interesting; | highlights, risks | name 5 listed Chinese TMT comps;</x:v>
      </x:c>
    </x:row>
    <x:row r="21" ht="68" customHeight="1">
      <x:c r="A21" s="30" t="str">
        <x:v>QB0374</x:v>
      </x:c>
      <x:c r="B21" s="30" t="str">
        <x:v>MS GCM</x:v>
      </x:c>
      <x:c r="C21" s="30" t="str">
        <x:v>IBD / GCM</x:v>
      </x:c>
      <x:c r="D21" s="31" t="str">
        <x:v>Tell me about a deal done by MS</x:v>
      </x:c>
      <x:c r="E21" s="31" t="str">
        <x:v>Discuss a recent deal completed by this firm</x:v>
      </x:c>
      <x:c r="F21" s="31" t="str">
        <x:v>Company, Industry &amp; Deals</x:v>
      </x:c>
      <x:c r="G21" s="30" t="str">
        <x:v>CL0008</x:v>
      </x:c>
      <x:c r="H21" s="32" t="n">
        <x:f>COUNTIF($G$5:$G$117,G21)</x:f>
        <x:v>8</x:v>
      </x:c>
      <x:c r="I21" s="30" t="str">
        <x:v>A114</x:v>
      </x:c>
      <x:c r="J21" s="31" t="str">
        <x:v>Mostly very common behavioral ones. Chill and easy to handle | Why GCM not GM? | What's your hours on the trading floor? - Banking side has long hours, be prepared.</x:v>
      </x:c>
    </x:row>
    <x:row r="22" ht="68" customHeight="1">
      <x:c r="A22" s="30" t="str">
        <x:v>QB0382</x:v>
      </x:c>
      <x:c r="B22" s="30" t="str">
        <x:v>MS GCM</x:v>
      </x:c>
      <x:c r="C22" s="30" t="str">
        <x:v>IBD / GCM</x:v>
      </x:c>
      <x:c r="D22" s="31" t="str">
        <x:v>how do you define value stock/growth stock?</x:v>
      </x:c>
      <x:c r="E22" s="31" t="str">
        <x:v>How do you define value stock/growth stock</x:v>
      </x:c>
      <x:c r="F22" s="31" t="str">
        <x:v>Company, Industry &amp; Deals</x:v>
      </x:c>
      <x:c r="G22" s="30" t="str">
        <x:v>CL0404</x:v>
      </x:c>
      <x:c r="H22" s="32" t="n">
        <x:f>COUNTIF($G$5:$G$117,G22)</x:f>
        <x:v>1</x:v>
      </x:c>
      <x:c r="I22" s="30" t="str">
        <x:v>C118</x:v>
      </x:c>
      <x:c r="J22" s="31" t="str">
        <x:v>other sector you followed? pitch a stock in that sector (i wanna pitch one listed in mainland, she said No, can only pitch stock listed in hk) | grill on stock pitch (many follow-up questions) | is this stock value stock or growth stock?</x:v>
      </x:c>
    </x:row>
    <x:row r="23" ht="48" customHeight="1">
      <x:c r="A23" s="30" t="str">
        <x:v>QB0387</x:v>
      </x:c>
      <x:c r="B23" s="30" t="str">
        <x:v>MS GCM</x:v>
      </x:c>
      <x:c r="C23" s="30" t="str">
        <x:v>IBD / GCM</x:v>
      </x:c>
      <x:c r="D23" s="31" t="str">
        <x:v>Tell me about a deal done by MS</x:v>
      </x:c>
      <x:c r="E23" s="31" t="str">
        <x:v>Discuss a recent deal completed by this firm</x:v>
      </x:c>
      <x:c r="F23" s="31" t="str">
        <x:v>Company, Industry &amp; Deals</x:v>
      </x:c>
      <x:c r="G23" s="30" t="str">
        <x:v>CL0008</x:v>
      </x:c>
      <x:c r="H23" s="32" t="n">
        <x:f>COUNTIF($G$5:$G$117,G23)</x:f>
        <x:v>8</x:v>
      </x:c>
      <x:c r="I23" s="30" t="str">
        <x:v>A121</x:v>
      </x:c>
      <x:c r="J23" s="31" t="str">
        <x:v>Self intro | Walk me through a typical process of a HK IPO | What are the pros and cons of raising capital through equity/debt?</x:v>
      </x:c>
    </x:row>
    <x:row r="24" ht="32" customHeight="1">
      <x:c r="A24" s="30" t="str">
        <x:v>QB0396</x:v>
      </x:c>
      <x:c r="B24" s="30" t="str">
        <x:v>MS GCM</x:v>
      </x:c>
      <x:c r="C24" s="30" t="str">
        <x:v>IBD / GCM</x:v>
      </x:c>
      <x:c r="D24" s="31" t="str">
        <x:v>Tell me about a deal done by MS</x:v>
      </x:c>
      <x:c r="E24" s="31" t="str">
        <x:v>Discuss a recent deal completed by this firm</x:v>
      </x:c>
      <x:c r="F24" s="31" t="str">
        <x:v>Company, Industry &amp; Deals</x:v>
      </x:c>
      <x:c r="G24" s="30" t="str">
        <x:v>CL0008</x:v>
      </x:c>
      <x:c r="H24" s="32" t="n">
        <x:f>COUNTIF($G$5:$G$117,G24)</x:f>
        <x:v>8</x:v>
      </x:c>
      <x:c r="I24" s="30" t="str">
        <x:v>A127</x:v>
      </x:c>
      <x:c r="J24" s="31" t="str">
        <x:v>反问 | Dick Lee, MD and APAC Head of Corporate Equity Derivatives | Self intro</x:v>
      </x:c>
    </x:row>
    <x:row r="25" ht="48" customHeight="1">
      <x:c r="A25" s="30" t="str">
        <x:v>QB0416</x:v>
      </x:c>
      <x:c r="B25" s="30" t="str">
        <x:v>MS GCM</x:v>
      </x:c>
      <x:c r="C25" s="30" t="str">
        <x:v>IBD / GCM</x:v>
      </x:c>
      <x:c r="D25" s="31" t="str">
        <x:v>how do you assess the performance of a company</x:v>
      </x:c>
      <x:c r="E25" s="31" t="str">
        <x:v>How do you assess the performance of a company</x:v>
      </x:c>
      <x:c r="F25" s="31" t="str">
        <x:v>Company, Industry &amp; Deals</x:v>
      </x:c>
      <x:c r="G25" s="30" t="str">
        <x:v>CL0400</x:v>
      </x:c>
      <x:c r="H25" s="32" t="n">
        <x:f>COUNTIF($G$5:$G$117,G25)</x:f>
        <x:v>1</x:v>
      </x:c>
      <x:c r="I25" s="30" t="str">
        <x:v>C142</x:v>
      </x:c>
      <x:c r="J25" s="31" t="str">
        <x:v>Interviewer 3: Michael Leong (serious guy) | self intro | Financial modelling with follow up questions</x:v>
      </x:c>
    </x:row>
    <x:row r="26" ht="32" customHeight="1">
      <x:c r="A26" s="30" t="str">
        <x:v>QB0436</x:v>
      </x:c>
      <x:c r="B26" s="30" t="str">
        <x:v>UBS IBD</x:v>
      </x:c>
      <x:c r="C26" s="30" t="str">
        <x:v>IBD / GCM</x:v>
      </x:c>
      <x:c r="D26" s="31" t="str">
        <x:v>Which sector would you recommend investing? (globally)</x:v>
      </x:c>
      <x:c r="E26" s="31" t="str">
        <x:v>Which sector would you recommend investing? (globally)</x:v>
      </x:c>
      <x:c r="F26" s="31" t="str">
        <x:v>Company, Industry &amp; Deals</x:v>
      </x:c>
      <x:c r="G26" s="30" t="str">
        <x:v>CL1101</x:v>
      </x:c>
      <x:c r="H26" s="32" t="n">
        <x:f>COUNTIF($G$5:$G$117,G26)</x:f>
        <x:v>1</x:v>
      </x:c>
      <x:c r="I26" s="30" t="str">
        <x:v>D4</x:v>
      </x:c>
      <x:c r="J26" s="31" t="str">
        <x:v>19 UBS SPD Emily | Technical</x:v>
      </x:c>
    </x:row>
    <x:row r="27" ht="32" customHeight="1">
      <x:c r="A27" s="30" t="str">
        <x:v>QB0440</x:v>
      </x:c>
      <x:c r="B27" s="30" t="str">
        <x:v>UBS IBD</x:v>
      </x:c>
      <x:c r="C27" s="30" t="str">
        <x:v>IBD / GCM</x:v>
      </x:c>
      <x:c r="D27" s="31" t="str">
        <x:v>Industry overview of energy storage (globally)</x:v>
      </x:c>
      <x:c r="E27" s="31" t="str">
        <x:v>Industry overview of energy storage (globally)</x:v>
      </x:c>
      <x:c r="F27" s="31" t="str">
        <x:v>Company, Industry &amp; Deals</x:v>
      </x:c>
      <x:c r="G27" s="30" t="str">
        <x:v>CL0543</x:v>
      </x:c>
      <x:c r="H27" s="32" t="n">
        <x:f>COUNTIF($G$5:$G$117,G27)</x:f>
        <x:v>1</x:v>
      </x:c>
      <x:c r="I27" s="30" t="str">
        <x:v>D5</x:v>
      </x:c>
      <x:c r="J27" s="31" t="str">
        <x:v>19 UBS SPD Emily | Technical | Which sector would you recommend investing? (globally)</x:v>
      </x:c>
    </x:row>
    <x:row r="28" ht="32" customHeight="1">
      <x:c r="A28" s="30" t="str">
        <x:v>QB0449</x:v>
      </x:c>
      <x:c r="B28" s="30" t="str">
        <x:v>UBS IBD</x:v>
      </x:c>
      <x:c r="C28" s="30" t="str">
        <x:v>IBD / GCM</x:v>
      </x:c>
      <x:c r="D28" s="31" t="str">
        <x:v>Any sectors with opportunities?</x:v>
      </x:c>
      <x:c r="E28" s="31" t="str">
        <x:v>Any sectors with opportunities</x:v>
      </x:c>
      <x:c r="F28" s="31" t="str">
        <x:v>Company, Industry &amp; Deals</x:v>
      </x:c>
      <x:c r="G28" s="30" t="str">
        <x:v>CL0123</x:v>
      </x:c>
      <x:c r="H28" s="32" t="n">
        <x:f>COUNTIF($G$5:$G$117,G28)</x:f>
        <x:v>1</x:v>
      </x:c>
      <x:c r="I28" s="30" t="str">
        <x:v>G7</x:v>
      </x:c>
      <x:c r="J28" s="31" t="str">
        <x:v>Why UBS | Mandarin: | Outlook of investment banking segment</x:v>
      </x:c>
    </x:row>
    <x:row r="29" ht="92" customHeight="1">
      <x:c r="A29" s="30" t="str">
        <x:v>QB0464</x:v>
      </x:c>
      <x:c r="B29" s="30" t="str">
        <x:v>UBS IBD</x:v>
      </x:c>
      <x:c r="C29" s="30" t="str">
        <x:v>IBD / GCM</x:v>
      </x:c>
      <x:c r="D29" s="31" t="str">
        <x:v>How did you do revenue and cost breakdown for it?</x:v>
      </x:c>
      <x:c r="E29" s="31" t="str">
        <x:v>How did you do revenue and cost breakdown for it</x:v>
      </x:c>
      <x:c r="F29" s="31" t="str">
        <x:v>Company, Industry &amp; Deals</x:v>
      </x:c>
      <x:c r="G29" s="30" t="str">
        <x:v>CL0383</x:v>
      </x:c>
      <x:c r="H29" s="32" t="n">
        <x:f>COUNTIF($G$5:$G$117,G29)</x:f>
        <x:v>1</x:v>
      </x:c>
      <x:c r="I29" s="30" t="str">
        <x:v>A12</x:v>
      </x:c>
      <x:c r="J29" s="31" t="str">
        <x:v>Tell me about a leadership experiences in your societies | Walk me through industry in energy storage and what you did in stock pitch and investment thesis | Walk me through industry in electroplating equipment and what you did in stock ...</x:v>
      </x:c>
    </x:row>
    <x:row r="30" ht="68" customHeight="1">
      <x:c r="A30" s="30" t="str">
        <x:v>QB0486</x:v>
      </x:c>
      <x:c r="B30" s="30" t="str">
        <x:v>UBS IBD</x:v>
      </x:c>
      <x:c r="C30" s="30" t="str">
        <x:v>IBD / GCM</x:v>
      </x:c>
      <x:c r="D30" s="31" t="str">
        <x:v>Tell me a time you had to to face conflciting and high pressure deadline? How do you deal with it?</x:v>
      </x:c>
      <x:c r="E30" s="31" t="str">
        <x:v>Tell me a time you had to to face conflciting and high pressure deadline? How do you deal with it</x:v>
      </x:c>
      <x:c r="F30" s="31" t="str">
        <x:v>Company, Industry &amp; Deals</x:v>
      </x:c>
      <x:c r="G30" s="30" t="str">
        <x:v>CL0714</x:v>
      </x:c>
      <x:c r="H30" s="32" t="n">
        <x:f>COUNTIF($G$5:$G$117,G30)</x:f>
        <x:v>1</x:v>
      </x:c>
      <x:c r="I30" s="30" t="str">
        <x:v>D21</x:v>
      </x:c>
      <x:c r="J30" s="31" t="str">
        <x:v>Tell me a time you faced challenges | Gold innovative award for BOCHK, what is the comp about | Tell me a time you created an innovative approach to solve a problem</x:v>
      </x:c>
    </x:row>
    <x:row r="31" ht="48" customHeight="1">
      <x:c r="A31" s="30" t="str">
        <x:v>QB0497</x:v>
      </x:c>
      <x:c r="B31" s="30" t="str">
        <x:v>UBS IBD</x:v>
      </x:c>
      <x:c r="C31" s="30" t="str">
        <x:v>IBD / GCM</x:v>
      </x:c>
      <x:c r="D31" s="31" t="str">
        <x:v>How would you value the company</x:v>
      </x:c>
      <x:c r="E31" s="31" t="str">
        <x:v>How would you value the company</x:v>
      </x:c>
      <x:c r="F31" s="31" t="str">
        <x:v>Company, Industry &amp; Deals</x:v>
      </x:c>
      <x:c r="G31" s="30" t="str">
        <x:v>CL0500</x:v>
      </x:c>
      <x:c r="H31" s="32" t="n">
        <x:f>COUNTIF($G$5:$G$117,G31)</x:f>
        <x:v>1</x:v>
      </x:c>
      <x:c r="I31" s="30" t="str">
        <x:v>D27</x:v>
      </x:c>
      <x:c r="J31" s="31" t="str">
        <x:v>Case study | (I fucked up really badly so he is just asking wtf r u doing lol and guiding me to solve it) | Why do you think the company is undervalued</x:v>
      </x:c>
    </x:row>
    <x:row r="32" ht="118" customHeight="1">
      <x:c r="A32" s="30" t="str">
        <x:v>QB0509</x:v>
      </x:c>
      <x:c r="B32" s="30" t="str">
        <x:v>UBS IBD</x:v>
      </x:c>
      <x:c r="C32" s="30" t="str">
        <x:v>IBD / GCM</x:v>
      </x:c>
      <x:c r="D32" s="31" t="str">
        <x:v>how would you compare the outlook of starting your career in investment banking vs. PE/VC companies?</x:v>
      </x:c>
      <x:c r="E32" s="31" t="str">
        <x:v>How would you compare the outlook of starting your career in investment banking vs. PE/VC companies</x:v>
      </x:c>
      <x:c r="F32" s="31" t="str">
        <x:v>Company, Industry &amp; Deals</x:v>
      </x:c>
      <x:c r="G32" s="30" t="str">
        <x:v>CL0496</x:v>
      </x:c>
      <x:c r="H32" s="32" t="n">
        <x:f>COUNTIF($G$5:$G$117,G32)</x:f>
        <x:v>1</x:v>
      </x:c>
      <x:c r="I32" s="30" t="str">
        <x:v>A40</x:v>
      </x:c>
      <x:c r="J32" s="31" t="str">
        <x:v>please discuss how the US' current account and fiscal deficits, coupled with its increasing national debt burden, will impact its role in the global economy and monetary system, in particular the role of USD as the world's reserve curren...</x:v>
      </x:c>
    </x:row>
    <x:row r="33" ht="92" customHeight="1">
      <x:c r="A33" s="30" t="str">
        <x:v>QB0600</x:v>
      </x:c>
      <x:c r="B33" s="30" t="str">
        <x:v>Deutsche</x:v>
      </x:c>
      <x:c r="C33" s="30" t="str">
        <x:v>IBD / GCM</x:v>
      </x:c>
      <x:c r="D33" s="31" t="str">
        <x:v>Assume I'm comparing two companies - one of them has a lot of D&amp;A while another doesn't - should I use EV/EBITDA or EV/EBIT?</x:v>
      </x:c>
      <x:c r="E33" s="31" t="str">
        <x:v>Assume I'm comparing two companies - one of them has a lot of D&amp;A while another doesn't - should I use EV/EBITDA or EV/EBIT</x:v>
      </x:c>
      <x:c r="F33" s="31" t="str">
        <x:v>Company, Industry &amp; Deals</x:v>
      </x:c>
      <x:c r="G33" s="30" t="str">
        <x:v>CL0151</x:v>
      </x:c>
      <x:c r="H33" s="32" t="n">
        <x:f>COUNTIF($G$5:$G$117,G33)</x:f>
        <x:v>1</x:v>
      </x:c>
      <x:c r="I33" s="30" t="str">
        <x:v>A16</x:v>
      </x:c>
      <x:c r="J33" s="31" t="str">
        <x:v>Two ways of calculating terminal value | For gordon growth method, you assume normal perpetual growth - but what if during final year there's unexpected changes in business, i.e. depreciation amount is only half of the asset value (need ...</x:v>
      </x:c>
    </x:row>
    <x:row r="34" ht="68" customHeight="1">
      <x:c r="A34" s="30" t="str">
        <x:v>QB0653</x:v>
      </x:c>
      <x:c r="B34" s="30" t="str">
        <x:v>Deutsche</x:v>
      </x:c>
      <x:c r="C34" s="30" t="str">
        <x:v>IBD / GCM</x:v>
      </x:c>
      <x:c r="D34" s="31" t="str">
        <x:v>How to forecast the growth of the SEA logistic company, P&amp;L breakdown</x:v>
      </x:c>
      <x:c r="E34" s="31" t="str">
        <x:v>How to forecast the growth of the SEA logistic company, P&amp;L breakdown</x:v>
      </x:c>
      <x:c r="F34" s="31" t="str">
        <x:v>Company, Industry &amp; Deals</x:v>
      </x:c>
      <x:c r="G34" s="30" t="str">
        <x:v>CL0469</x:v>
      </x:c>
      <x:c r="H34" s="32" t="n">
        <x:f>COUNTIF($G$5:$G$117,G34)</x:f>
        <x:v>1</x:v>
      </x:c>
      <x:c r="I34" s="30" t="str">
        <x:v>C41</x:v>
      </x:c>
      <x:c r="J34" s="31" t="str">
        <x:v>What I did at blackrock, deal background about the buyout of the indian IT services, EBITDA margin level and compared to industry average | Whay you did for the portfolio level analysis for the fund investing project? | How is the IRR fo...</x:v>
      </x:c>
    </x:row>
    <x:row r="35" ht="68" customHeight="1">
      <x:c r="A35" s="30" t="str">
        <x:v>QB0675</x:v>
      </x:c>
      <x:c r="B35" s="30" t="str">
        <x:v>Deutsche</x:v>
      </x:c>
      <x:c r="C35" s="30" t="str">
        <x:v>IBD / GCM</x:v>
      </x:c>
      <x:c r="D35" s="31" t="str">
        <x:v>Growth rate in near term and to 2030?</x:v>
      </x:c>
      <x:c r="E35" s="31" t="str">
        <x:v>Growth rate in near term and to 2030</x:v>
      </x:c>
      <x:c r="F35" s="31" t="str">
        <x:v>Company, Industry &amp; Deals</x:v>
      </x:c>
      <x:c r="G35" s="30" t="str">
        <x:v>CL0359</x:v>
      </x:c>
      <x:c r="H35" s="32" t="n">
        <x:f>COUNTIF($G$5:$G$117,G35)</x:f>
        <x:v>1</x:v>
      </x:c>
      <x:c r="I35" s="30" t="str">
        <x:v>C53</x:v>
      </x:c>
      <x:c r="J35" s="31" t="str">
        <x:v>Why is it cheaper than industry average? | How much equity is sponsor paying? | SEA logistic company, how did you do the dcf? How do you get the assumption of growth rate?</x:v>
      </x:c>
    </x:row>
    <x:row r="36" ht="68" customHeight="1">
      <x:c r="A36" s="30" t="str">
        <x:v>QB0694</x:v>
      </x:c>
      <x:c r="B36" s="30" t="str">
        <x:v>Deutsche</x:v>
      </x:c>
      <x:c r="C36" s="30" t="str">
        <x:v>IBD / GCM</x:v>
      </x:c>
      <x:c r="D36" s="31" t="str">
        <x:v>what are some financial services deutsche can provide to SenseTime? how about for Nomura?</x:v>
      </x:c>
      <x:c r="E36" s="31" t="str">
        <x:v>What are some financial services deutsche can provide to SenseTime? how about for Nomura</x:v>
      </x:c>
      <x:c r="F36" s="31" t="str">
        <x:v>Company, Industry &amp; Deals</x:v>
      </x:c>
      <x:c r="G36" s="30" t="str">
        <x:v>CL0869</x:v>
      </x:c>
      <x:c r="H36" s="32" t="n">
        <x:f>COUNTIF($G$5:$G$117,G36)</x:f>
        <x:v>1</x:v>
      </x:c>
      <x:c r="I36" s="30" t="str">
        <x:v>A64</x:v>
      </x:c>
      <x:c r="J36" s="31" t="str">
        <x:v>3 Debt syndicate (all behav) | Why DB, nomura vs DB, teamwork, which team, etc | Slghtly asked on my M&amp;A Case com experience -am i still following SenseTime (said no)</x:v>
      </x:c>
    </x:row>
    <x:row r="37" ht="68" customHeight="1">
      <x:c r="A37" s="30" t="str">
        <x:v>QB0700</x:v>
      </x:c>
      <x:c r="B37" s="30" t="str">
        <x:v>Deutsche</x:v>
      </x:c>
      <x:c r="C37" s="30" t="str">
        <x:v>IBD / GCM</x:v>
      </x:c>
      <x:c r="D37" s="31" t="str">
        <x:v>Business model: Asset light or Asset heavy?</x:v>
      </x:c>
      <x:c r="E37" s="31" t="str">
        <x:v>Business model: Asset light or Asset heavy</x:v>
      </x:c>
      <x:c r="F37" s="31" t="str">
        <x:v>Company, Industry &amp; Deals</x:v>
      </x:c>
      <x:c r="G37" s="30" t="str">
        <x:v>CL0176</x:v>
      </x:c>
      <x:c r="H37" s="32" t="n">
        <x:f>COUNTIF($G$5:$G$117,G37)</x:f>
        <x:v>1</x:v>
      </x:c>
      <x:c r="I37" s="30" t="str">
        <x:v>C69</x:v>
      </x:c>
      <x:c r="J37" s="31" t="str">
        <x:v>What you did at BLK | Tell me move about the logistic market, did you identify any trends or market dynamics? | 3 Investment thesis for the logistic/freight forwarding business</x:v>
      </x:c>
    </x:row>
    <x:row r="38" ht="68" customHeight="1">
      <x:c r="A38" s="30" t="str">
        <x:v>QB0740</x:v>
      </x:c>
      <x:c r="B38" s="30" t="str">
        <x:v>Deutsche</x:v>
      </x:c>
      <x:c r="C38" s="30" t="str">
        <x:v>IBD / GCM</x:v>
      </x:c>
      <x:c r="D38" s="31" t="str">
        <x:v>We have a company with 50% boring and stable business, lower margin, another 50% faster growing consultancy based higher margin business, which business unit will you value with higher value?</x:v>
      </x:c>
      <x:c r="E38" s="31" t="str">
        <x:v>We have a company with 50% boring and stable business, lower margin, another 50% faster growing consultancy based higher margin business, which business unit will you value with higher value</x:v>
      </x:c>
      <x:c r="F38" s="31" t="str">
        <x:v>Company, Industry &amp; Deals</x:v>
      </x:c>
      <x:c r="G38" s="30" t="str">
        <x:v>CL0857</x:v>
      </x:c>
      <x:c r="H38" s="32" t="n">
        <x:f>COUNTIF($G$5:$G$117,G38)</x:f>
        <x:v>1</x:v>
      </x:c>
      <x:c r="I38" s="30" t="str">
        <x:v>C93</x:v>
      </x:c>
      <x:c r="J38" s="31" t="str">
        <x:v>Why IBD | Return offer? Why? | Sounds well-rehearsaled, tell me the real reason</x:v>
      </x:c>
    </x:row>
    <x:row r="39" ht="48" customHeight="1">
      <x:c r="A39" s="30" t="str">
        <x:v>QB0830</x:v>
      </x:c>
      <x:c r="B39" s="30" t="str">
        <x:v>Deutsche</x:v>
      </x:c>
      <x:c r="C39" s="30" t="str">
        <x:v>IBD / GCM</x:v>
      </x:c>
      <x:c r="D39" s="31" t="str">
        <x:v>Tell me about this deal</x:v>
      </x:c>
      <x:c r="E39" s="31" t="str">
        <x:v>Tell me about this deal</x:v>
      </x:c>
      <x:c r="F39" s="31" t="str">
        <x:v>Company, Industry &amp; Deals</x:v>
      </x:c>
      <x:c r="G39" s="30" t="str">
        <x:v>CL0748</x:v>
      </x:c>
      <x:c r="H39" s="32" t="n">
        <x:f>COUNTIF($G$5:$G$117,G39)</x:f>
        <x:v>1</x:v>
      </x:c>
      <x:c r="I39" s="30" t="str">
        <x:v>C152</x:v>
      </x:c>
      <x:c r="J39" s="31" t="str">
        <x:v>Self introduction - pick some highlights in your CV to talk about | Basically goes down my CV and grill every detail | Project 1</x:v>
      </x:c>
    </x:row>
    <x:row r="40" ht="68" customHeight="1">
      <x:c r="A40" s="30" t="str">
        <x:v>QB0855</x:v>
      </x:c>
      <x:c r="B40" s="30" t="str">
        <x:v>Deutsche</x:v>
      </x:c>
      <x:c r="C40" s="30" t="str">
        <x:v>IBD / GCM</x:v>
      </x:c>
      <x:c r="D40" s="31" t="str">
        <x:v>You know there’s only two companies in China for mining EPC right - I said I’m talking about Australian and Canadian target. He said he think he knows which company I’m talking about</x:v>
      </x:c>
      <x:c r="E40" s="31" t="str">
        <x:v>You know there’s only two companies in China for mining EPC right - I said I’m talking about Australian and Canadian target. He said he think he knows which company I’m talking about</x:v>
      </x:c>
      <x:c r="F40" s="31" t="str">
        <x:v>Company, Industry &amp; Deals</x:v>
      </x:c>
      <x:c r="G40" s="30" t="str">
        <x:v>CL1204</x:v>
      </x:c>
      <x:c r="H40" s="32" t="n">
        <x:f>COUNTIF($G$5:$G$117,G40)</x:f>
        <x:v>1</x:v>
      </x:c>
      <x:c r="I40" s="30" t="str">
        <x:v>C171</x:v>
      </x:c>
      <x:c r="J40" s="31" t="str">
        <x:v>Project 4 | What did you look at for this pitching (it was an industrial pitch) | I said mining EPC - Which mineral?</x:v>
      </x:c>
    </x:row>
    <x:row r="41" ht="32" customHeight="1">
      <x:c r="A41" s="30" t="str">
        <x:v>QB0861</x:v>
      </x:c>
      <x:c r="B41" s="30" t="str">
        <x:v>Citi</x:v>
      </x:c>
      <x:c r="C41" s="30" t="str">
        <x:v>IBD / GCM</x:v>
      </x:c>
      <x:c r="D41" s="31" t="str">
        <x:v>tell me about a recent citi deal</x:v>
      </x:c>
      <x:c r="E41" s="31" t="str">
        <x:v>Discuss a recent deal completed by this firm</x:v>
      </x:c>
      <x:c r="F41" s="31" t="str">
        <x:v>Company, Industry &amp; Deals</x:v>
      </x:c>
      <x:c r="G41" s="30" t="str">
        <x:v>CL0008</x:v>
      </x:c>
      <x:c r="H41" s="32" t="n">
        <x:f>COUNTIF($G$5:$G$117,G41)</x:f>
        <x:v>8</x:v>
      </x:c>
      <x:c r="I41" s="30" t="str">
        <x:v>A3</x:v>
      </x:c>
      <x:c r="J41" s="31" t="str">
        <x:v>2024 SA | citi 1st round group technicals</x:v>
      </x:c>
    </x:row>
    <x:row r="42" ht="68" customHeight="1">
      <x:c r="A42" s="30" t="str">
        <x:v>QB0869</x:v>
      </x:c>
      <x:c r="B42" s="30" t="str">
        <x:v>Citi</x:v>
      </x:c>
      <x:c r="C42" s="30" t="str">
        <x:v>IBD / GCM</x:v>
      </x:c>
      <x:c r="D42" s="31" t="str">
        <x:v>pitch me an industry</x:v>
      </x:c>
      <x:c r="E42" s="31" t="str">
        <x:v>Pitch me an industry</x:v>
      </x:c>
      <x:c r="F42" s="31" t="str">
        <x:v>Company, Industry &amp; Deals</x:v>
      </x:c>
      <x:c r="G42" s="30" t="str">
        <x:v>CL0634</x:v>
      </x:c>
      <x:c r="H42" s="32" t="n">
        <x:f>COUNTIF($G$5:$G$117,G42)</x:f>
        <x:v>1</x:v>
      </x:c>
      <x:c r="I42" s="30" t="str">
        <x:v>A7</x:v>
      </x:c>
      <x:c r="J42" s="31" t="str">
        <x:v>how to get ev from equity value | what other additional things are in the equation and why (nols, dta etc) | if the company were to be acquired 100% by another company how much would it be (higher than ev bc control premium)</x:v>
      </x:c>
    </x:row>
    <x:row r="43" ht="92" customHeight="1">
      <x:c r="A43" s="30" t="str">
        <x:v>QB0881</x:v>
      </x:c>
      <x:c r="B43" s="30" t="str">
        <x:v>Citi</x:v>
      </x:c>
      <x:c r="C43" s="30" t="str">
        <x:v>IBD / GCM</x:v>
      </x:c>
      <x:c r="D43" s="31" t="str">
        <x:v>There's a steep learning curve in investment bank (need to learn about an industry really quickly and also company), what's your methodology in doing that?</x:v>
      </x:c>
      <x:c r="E43" s="31" t="str">
        <x:v>There's a steep learning curve in investment bank (need to learn about an industry really quickly and also company), what's your methodology in doing that</x:v>
      </x:c>
      <x:c r="F43" s="31" t="str">
        <x:v>Company, Industry &amp; Deals</x:v>
      </x:c>
      <x:c r="G43" s="30" t="str">
        <x:v>CL0789</x:v>
      </x:c>
      <x:c r="H43" s="32" t="n">
        <x:f>COUNTIF($G$5:$G$117,G43)</x:f>
        <x:v>1</x:v>
      </x:c>
      <x:c r="I43" s="30" t="str">
        <x:v>B19</x:v>
      </x:c>
      <x:c r="J43" s="31" t="str">
        <x:v>What's your biggest strength compared to all your competitors? | What if someone in your team is not performing as expected (like in that case), how do you deal with it? | Tell me a time your worked in a team and you faced a challenge, h...</x:v>
      </x:c>
    </x:row>
    <x:row r="44" ht="92" customHeight="1">
      <x:c r="A44" s="30" t="str">
        <x:v>QB0894</x:v>
      </x:c>
      <x:c r="B44" s="30" t="str">
        <x:v>Citi</x:v>
      </x:c>
      <x:c r="C44" s="30" t="str">
        <x:v>IBD / GCM</x:v>
      </x:c>
      <x:c r="D44" s="31" t="str">
        <x:v>what to include in a one-page company profile</x:v>
      </x:c>
      <x:c r="E44" s="31" t="str">
        <x:v>What to include in a one-page company profile</x:v>
      </x:c>
      <x:c r="F44" s="31" t="str">
        <x:v>Company, Industry &amp; Deals</x:v>
      </x:c>
      <x:c r="G44" s="30" t="str">
        <x:v>CL1033</x:v>
      </x:c>
      <x:c r="H44" s="32" t="n">
        <x:f>COUNTIF($G$5:$G$117,G44)</x:f>
        <x:v>1</x:v>
      </x:c>
      <x:c r="I44" s="30" t="str">
        <x:v>A33</x:v>
      </x:c>
      <x:c r="J44" s="31" t="str">
        <x:v>pros and cons of dcf, trading comps, precedent transactions, when do u prefer which | given that you have the operating model already, ,and u dont need to do further assumptions, what steps would you take to convert this into an LBO mode...</x:v>
      </x:c>
    </x:row>
    <x:row r="45" ht="48" customHeight="1">
      <x:c r="A45" s="30" t="str">
        <x:v>QB0897</x:v>
      </x:c>
      <x:c r="B45" s="30" t="str">
        <x:v>Citi</x:v>
      </x:c>
      <x:c r="C45" s="30" t="str">
        <x:v>IBD / GCM</x:v>
      </x:c>
      <x:c r="D45" s="31" t="str">
        <x:v>What financial ratios will you take a look when you take a look at the leverage of a company?</x:v>
      </x:c>
      <x:c r="E45" s="31" t="str">
        <x:v>What financial ratios will you take a look when you take a look at the leverage of a company</x:v>
      </x:c>
      <x:c r="F45" s="31" t="str">
        <x:v>Company, Industry &amp; Deals</x:v>
      </x:c>
      <x:c r="G45" s="30" t="str">
        <x:v>CL0945</x:v>
      </x:c>
      <x:c r="H45" s="32" t="n">
        <x:f>COUNTIF($G$5:$G$117,G45)</x:f>
        <x:v>1</x:v>
      </x:c>
      <x:c r="I45" s="30" t="str">
        <x:v>A37</x:v>
      </x:c>
      <x:c r="J45" s="31" t="str">
        <x:v>what to include in a one-page company profile | Corporate Banking 1st Round Group Interview - Tech | Beata</x:v>
      </x:c>
    </x:row>
    <x:row r="46" ht="92" customHeight="1">
      <x:c r="A46" s="30" t="str">
        <x:v>QB0906</x:v>
      </x:c>
      <x:c r="B46" s="30" t="str">
        <x:v>Citi</x:v>
      </x:c>
      <x:c r="C46" s="30" t="str">
        <x:v>IBD / GCM</x:v>
      </x:c>
      <x:c r="D46" s="31" t="str">
        <x:v>What can companies use with excess cash?</x:v>
      </x:c>
      <x:c r="E46" s="31" t="str">
        <x:v>What can companies use with excess cash</x:v>
      </x:c>
      <x:c r="F46" s="31" t="str">
        <x:v>Company, Industry &amp; Deals</x:v>
      </x:c>
      <x:c r="G46" s="30" t="str">
        <x:v>CL0888</x:v>
      </x:c>
      <x:c r="H46" s="32" t="n">
        <x:f>COUNTIF($G$5:$G$117,G46)</x:f>
        <x:v>1</x:v>
      </x:c>
      <x:c r="I46" s="30" t="str">
        <x:v>A55</x:v>
      </x:c>
      <x:c r="J46" s="31" t="str">
        <x:v>Factors to consider when extending a loan to clients? | How does credit default swaps work, what are some other ways to hedge balance sheet exposure? | What considerations for the bank take into account when making a decision on bank loa...</x:v>
      </x:c>
    </x:row>
    <x:row r="47" ht="48" customHeight="1">
      <x:c r="A47" s="30" t="str">
        <x:v>QB0909</x:v>
      </x:c>
      <x:c r="B47" s="30" t="str">
        <x:v>Citi</x:v>
      </x:c>
      <x:c r="C47" s="30" t="str">
        <x:v>IBD / GCM</x:v>
      </x:c>
      <x:c r="D47" s="31" t="str">
        <x:v>What’s the difference between valuing a private and public company?</x:v>
      </x:c>
      <x:c r="E47" s="31" t="str">
        <x:v>What’s the difference between valuing a private and public company</x:v>
      </x:c>
      <x:c r="F47" s="31" t="str">
        <x:v>Company, Industry &amp; Deals</x:v>
      </x:c>
      <x:c r="G47" s="30" t="str">
        <x:v>CL1053</x:v>
      </x:c>
      <x:c r="H47" s="32" t="n">
        <x:f>COUNTIF($G$5:$G$117,G47)</x:f>
        <x:v>1</x:v>
      </x:c>
      <x:c r="I47" s="30" t="str">
        <x:v>A61</x:v>
      </x:c>
      <x:c r="J47" s="31" t="str">
        <x:v>What can companies use with excess cash? | What does negative NWC mean and how to improve WC? | What are the three valuation methodologies?</x:v>
      </x:c>
    </x:row>
    <x:row r="48" ht="32" customHeight="1">
      <x:c r="A48" s="30" t="str">
        <x:v>QB0948</x:v>
      </x:c>
      <x:c r="B48" s="30" t="str">
        <x:v>Barclays</x:v>
      </x:c>
      <x:c r="C48" s="30" t="str">
        <x:v>IBD / GCM</x:v>
      </x:c>
      <x:c r="D48" s="31" t="str">
        <x:v>tell me about your deal exp</x:v>
      </x:c>
      <x:c r="E48" s="31" t="str">
        <x:v>Tell me about your deal exp</x:v>
      </x:c>
      <x:c r="F48" s="31" t="str">
        <x:v>Company, Industry &amp; Deals</x:v>
      </x:c>
      <x:c r="G48" s="30" t="str">
        <x:v>CL0751</x:v>
      </x:c>
      <x:c r="H48" s="32" t="n">
        <x:f>COUNTIF($G$5:$G$117,G48)</x:f>
        <x:v>1</x:v>
      </x:c>
      <x:c r="I48" s="30" t="str">
        <x:v>E6</x:v>
      </x:c>
      <x:c r="J48" s="31" t="str">
        <x:v>Regan | Henry (more tech, aggresive, drill) | self intro</x:v>
      </x:c>
    </x:row>
    <x:row r="49" ht="48" customHeight="1">
      <x:c r="A49" s="30" t="str">
        <x:v>QB0957</x:v>
      </x:c>
      <x:c r="B49" s="30" t="str">
        <x:v>Barclays</x:v>
      </x:c>
      <x:c r="C49" s="30" t="str">
        <x:v>IBD / GCM</x:v>
      </x:c>
      <x:c r="D49" s="31" t="str">
        <x:v>What’s the best fund investment that was done by HKEX in your opinion and why</x:v>
      </x:c>
      <x:c r="E49" s="31" t="str">
        <x:v>What’s the best fund investment that was done by HKEX in your opinion and why</x:v>
      </x:c>
      <x:c r="F49" s="31" t="str">
        <x:v>Company, Industry &amp; Deals</x:v>
      </x:c>
      <x:c r="G49" s="30" t="str">
        <x:v>CL1049</x:v>
      </x:c>
      <x:c r="H49" s="32" t="n">
        <x:f>COUNTIF($G$5:$G$117,G49)</x:f>
        <x:v>1</x:v>
      </x:c>
      <x:c r="I49" s="30" t="str">
        <x:v>G8</x:v>
      </x:c>
      <x:c r="J49" s="31" t="str">
        <x:v>Self Intro | Your experience in HKEX and what do you usually look at | What’s the most memorable experience you had in HKEX</x:v>
      </x:c>
    </x:row>
    <x:row r="50" ht="48" customHeight="1">
      <x:c r="A50" s="30" t="str">
        <x:v>QB0969</x:v>
      </x:c>
      <x:c r="B50" s="30" t="str">
        <x:v>Barclays</x:v>
      </x:c>
      <x:c r="C50" s="30" t="str">
        <x:v>IBD / GCM</x:v>
      </x:c>
      <x:c r="D50" s="31" t="str">
        <x:v>Tell more about PCB industry outlook and observation</x:v>
      </x:c>
      <x:c r="E50" s="31" t="str">
        <x:v>Tell more about PCB industry outlook and observation</x:v>
      </x:c>
      <x:c r="F50" s="31" t="str">
        <x:v>Company, Industry &amp; Deals</x:v>
      </x:c>
      <x:c r="G50" s="30" t="str">
        <x:v>CL0778</x:v>
      </x:c>
      <x:c r="H50" s="32" t="n">
        <x:f>COUNTIF($G$5:$G$117,G50)</x:f>
        <x:v>1</x:v>
      </x:c>
      <x:c r="I50" s="30" t="str">
        <x:v>G11</x:v>
      </x:c>
      <x:c r="J50" s="31" t="str">
        <x:v>What’s the best fund investment that was done by HKEX in your opinion and why | Experience in Daiwa | Biggest challenge you faced in your Daiwa internship</x:v>
      </x:c>
    </x:row>
    <x:row r="51" ht="92" customHeight="1">
      <x:c r="A51" s="30" t="str">
        <x:v>QB0970</x:v>
      </x:c>
      <x:c r="B51" s="30" t="str">
        <x:v>Barclays</x:v>
      </x:c>
      <x:c r="C51" s="30" t="str">
        <x:v>IBD / GCM</x:v>
      </x:c>
      <x:c r="D51" s="31" t="str">
        <x:v>How do you enhance personal growth? What habits do you cultivate?</x:v>
      </x:c>
      <x:c r="E51" s="31" t="str">
        <x:v>How do you enhance personal growth? What habits do you cultivate</x:v>
      </x:c>
      <x:c r="F51" s="31" t="str">
        <x:v>Company, Industry &amp; Deals</x:v>
      </x:c>
      <x:c r="G51" s="30" t="str">
        <x:v>CL0409</x:v>
      </x:c>
      <x:c r="H51" s="32" t="n">
        <x:f>COUNTIF($G$5:$G$117,G51)</x:f>
        <x:v>1</x:v>
      </x:c>
      <x:c r="I51" s="30" t="str">
        <x:v>A12</x:v>
      </x:c>
      <x:c r="J51" s="31" t="str">
        <x:v>What is your most favourite and least favourite internship and why | For my most favourite internship, walk through deal, ask about equity-linked notes and whether it is closed | Technical: Growth Perpetuity method, if 0 growth rate, 10%...</x:v>
      </x:c>
    </x:row>
    <x:row r="52" ht="68" customHeight="1">
      <x:c r="A52" s="30" t="str">
        <x:v>QB0971</x:v>
      </x:c>
      <x:c r="B52" s="30" t="str">
        <x:v>Barclays</x:v>
      </x:c>
      <x:c r="C52" s="30" t="str">
        <x:v>IBD / GCM</x:v>
      </x:c>
      <x:c r="D52" s="31" t="str">
        <x:v>What’s the premium that an investor would pay for an ESG themed company?</x:v>
      </x:c>
      <x:c r="E52" s="31" t="str">
        <x:v>What’s the premium that an investor would pay for an ESG themed company</x:v>
      </x:c>
      <x:c r="F52" s="31" t="str">
        <x:v>Company, Industry &amp; Deals</x:v>
      </x:c>
      <x:c r="G52" s="30" t="str">
        <x:v>CL1055</x:v>
      </x:c>
      <x:c r="H52" s="32" t="n">
        <x:f>COUNTIF($G$5:$G$117,G52)</x:f>
        <x:v>1</x:v>
      </x:c>
      <x:c r="I52" s="30" t="str">
        <x:v>C12</x:v>
      </x:c>
      <x:c r="J52" s="31" t="str">
        <x:v>Tell me more about S and G since it is not really viewed upon a lot by others | Tell me ESG in the investing perspective | Views are conflicting for the effect on ESG investing, what are your views?</x:v>
      </x:c>
    </x:row>
    <x:row r="53" ht="68" customHeight="1">
      <x:c r="A53" s="30" t="str">
        <x:v>QB1003</x:v>
      </x:c>
      <x:c r="B53" s="30" t="str">
        <x:v>Barclays</x:v>
      </x:c>
      <x:c r="C53" s="30" t="str">
        <x:v>IBD / GCM</x:v>
      </x:c>
      <x:c r="D53" s="31" t="str">
        <x:v>Tell me more about the healthcare industry.</x:v>
      </x:c>
      <x:c r="E53" s="31" t="str">
        <x:v>Tell me more about the healthcare industry</x:v>
      </x:c>
      <x:c r="F53" s="31" t="str">
        <x:v>Company, Industry &amp; Deals</x:v>
      </x:c>
      <x:c r="G53" s="30" t="str">
        <x:v>CL0766</x:v>
      </x:c>
      <x:c r="H53" s="32" t="n">
        <x:f>COUNTIF($G$5:$G$117,G53)</x:f>
        <x:v>1</x:v>
      </x:c>
      <x:c r="I53" s="30" t="str">
        <x:v>A23</x:v>
      </x:c>
      <x:c r="J53" s="31" t="str">
        <x:v>Why do you think your previous exp will help you at Barclays? | What coverage are you interested in working on at Barclays? | Tell me about a deal you worked on.</x:v>
      </x:c>
    </x:row>
    <x:row r="54" ht="48" customHeight="1">
      <x:c r="A54" s="30" t="str">
        <x:v>QB1048</x:v>
      </x:c>
      <x:c r="B54" s="30" t="str">
        <x:v>Barclays</x:v>
      </x:c>
      <x:c r="C54" s="30" t="str">
        <x:v>IBD / GCM</x:v>
      </x:c>
      <x:c r="D54" s="31" t="str">
        <x:v>Any other thesis to support this (industry trend)</x:v>
      </x:c>
      <x:c r="E54" s="31" t="str">
        <x:v>Any other thesis to support this (industry trend)</x:v>
      </x:c>
      <x:c r="F54" s="31" t="str">
        <x:v>Company, Industry &amp; Deals</x:v>
      </x:c>
      <x:c r="G54" s="30" t="str">
        <x:v>CL0117</x:v>
      </x:c>
      <x:c r="H54" s="32" t="n">
        <x:f>COUNTIF($G$5:$G$117,G54)</x:f>
        <x:v>1</x:v>
      </x:c>
      <x:c r="I54" s="30" t="str">
        <x:v>A41</x:v>
      </x:c>
      <x:c r="J54" s="31" t="str">
        <x:v>STOCK 2 | Revenue breakdown, revenue driver, reason for assumption | P, Q, COGS, GPM change and reason (why high growth)</x:v>
      </x:c>
    </x:row>
    <x:row r="55" ht="32" customHeight="1">
      <x:c r="A55" s="30" t="str">
        <x:v>QB1080</x:v>
      </x:c>
      <x:c r="B55" s="30" t="str">
        <x:v>Barclays</x:v>
      </x:c>
      <x:c r="C55" s="30" t="str">
        <x:v>IBD / GCM</x:v>
      </x:c>
      <x:c r="D55" s="31" t="str">
        <x:v>tell me more about china esport industry</x:v>
      </x:c>
      <x:c r="E55" s="31" t="str">
        <x:v>Tell me more about china esport industry</x:v>
      </x:c>
      <x:c r="F55" s="31" t="str">
        <x:v>Company, Industry &amp; Deals</x:v>
      </x:c>
      <x:c r="G55" s="30" t="str">
        <x:v>CL0763</x:v>
      </x:c>
      <x:c r="H55" s="32" t="n">
        <x:f>COUNTIF($G$5:$G$117,G55)</x:f>
        <x:v>1</x:v>
      </x:c>
      <x:c r="I55" s="30" t="str">
        <x:v>C61</x:v>
      </x:c>
      <x:c r="J55" s="31" t="str">
        <x:v>Jasmine 1st round | 2nd interviewer xuanning fang | self intro</x:v>
      </x:c>
    </x:row>
    <x:row r="56" ht="68" customHeight="1">
      <x:c r="A56" s="30" t="str">
        <x:v>QB1099</x:v>
      </x:c>
      <x:c r="B56" s="30" t="str">
        <x:v>Barclays</x:v>
      </x:c>
      <x:c r="C56" s="30" t="str">
        <x:v>IBD / GCM</x:v>
      </x:c>
      <x:c r="D56" s="31" t="str">
        <x:v>if a car company and a pe firm are buying a company that makes wheel, which one can pay higher</x:v>
      </x:c>
      <x:c r="E56" s="31" t="str">
        <x:v>If a car company and a pe firm are buying a company that makes wheel, which one can pay higher</x:v>
      </x:c>
      <x:c r="F56" s="31" t="str">
        <x:v>Company, Industry &amp; Deals</x:v>
      </x:c>
      <x:c r="G56" s="30" t="str">
        <x:v>CL0511</x:v>
      </x:c>
      <x:c r="H56" s="32" t="n">
        <x:f>COUNTIF($G$5:$G$117,G56)</x:f>
        <x:v>1</x:v>
      </x:c>
      <x:c r="I56" s="30" t="str">
        <x:v>A71</x:v>
      </x:c>
      <x:c r="J56" s="31" t="str">
        <x:v>where do you find capex on the three statements | buy 100 pp&amp;e using 50 debt and 50 equity, 3 statements changes | after 1 yr, what are the changes, make any assumptions yourself</x:v>
      </x:c>
    </x:row>
    <x:row r="57" ht="48" customHeight="1">
      <x:c r="A57" s="30" t="str">
        <x:v>QB1116</x:v>
      </x:c>
      <x:c r="B57" s="30" t="str">
        <x:v>Barclays</x:v>
      </x:c>
      <x:c r="C57" s="30" t="str">
        <x:v>IBD / GCM</x:v>
      </x:c>
      <x:c r="D57" s="31" t="str">
        <x:v>What are some points that investors will look into when investing in companies in this industry</x:v>
      </x:c>
      <x:c r="E57" s="31" t="str">
        <x:v>What are some points that investors will look into when investing in companies in this industry</x:v>
      </x:c>
      <x:c r="F57" s="31" t="str">
        <x:v>Company, Industry &amp; Deals</x:v>
      </x:c>
      <x:c r="G57" s="30" t="str">
        <x:v>CL0872</x:v>
      </x:c>
      <x:c r="H57" s="32" t="n">
        <x:f>COUNTIF($G$5:$G$117,G57)</x:f>
        <x:v>1</x:v>
      </x:c>
      <x:c r="I57" s="30" t="str">
        <x:v>A81</x:v>
      </x:c>
      <x:c r="J57" s="31" t="str">
        <x:v>Walk me through your resume | Did you get return and why not | What did you do in UBS</x:v>
      </x:c>
    </x:row>
    <x:row r="58" ht="48" customHeight="1">
      <x:c r="A58" s="30" t="str">
        <x:v>QB1161</x:v>
      </x:c>
      <x:c r="B58" s="30" t="str">
        <x:v>GS DCMECM</x:v>
      </x:c>
      <x:c r="C58" s="30" t="str">
        <x:v>IBD / GCM</x:v>
      </x:c>
      <x:c r="D58" s="31" t="str">
        <x:v>How does this affect companies who want to issue debt, 1year ago vs now vs future</x:v>
      </x:c>
      <x:c r="E58" s="31" t="str">
        <x:v>How does this affect companies who want to issue debt, 1year ago vs now vs future</x:v>
      </x:c>
      <x:c r="F58" s="31" t="str">
        <x:v>Company, Industry &amp; Deals</x:v>
      </x:c>
      <x:c r="G58" s="30" t="str">
        <x:v>CL0436</x:v>
      </x:c>
      <x:c r="H58" s="32" t="n">
        <x:f>COUNTIF($G$5:$G$117,G58)</x:f>
        <x:v>1</x:v>
      </x:c>
      <x:c r="I58" s="30" t="str">
        <x:v>A7</x:v>
      </x:c>
      <x:c r="J58" s="31" t="str">
        <x:v>Self Intro | Interest rate | You said bond prices are still facing some uncertanties, arent they already priced in in the current yield?</x:v>
      </x:c>
    </x:row>
    <x:row r="59" ht="48" customHeight="1">
      <x:c r="A59" s="30" t="str">
        <x:v>QB1176</x:v>
      </x:c>
      <x:c r="B59" s="30" t="str">
        <x:v>GS DCMECM</x:v>
      </x:c>
      <x:c r="C59" s="30" t="str">
        <x:v>IBD / GCM</x:v>
      </x:c>
      <x:c r="D59" s="31" t="str">
        <x:v>For a consumer packaging company, what are some mertics for credit analysis</x:v>
      </x:c>
      <x:c r="E59" s="31" t="str">
        <x:v>For a consumer packaging company, what are some mertics for credit analysis</x:v>
      </x:c>
      <x:c r="F59" s="31" t="str">
        <x:v>Company, Industry &amp; Deals</x:v>
      </x:c>
      <x:c r="G59" s="30" t="str">
        <x:v>CL0326</x:v>
      </x:c>
      <x:c r="H59" s="32" t="n">
        <x:f>COUNTIF($G$5:$G$117,G59)</x:f>
        <x:v>1</x:v>
      </x:c>
      <x:c r="I59" s="30" t="str">
        <x:v>A15</x:v>
      </x:c>
      <x:c r="J59" s="31" t="str">
        <x:v>2 Martina Piccolo Sponsors / Loan | Self intro, why GS, why DCM | Would lendor look at upside case</x:v>
      </x:c>
    </x:row>
    <x:row r="60" ht="48" customHeight="1">
      <x:c r="A60" s="30" t="str">
        <x:v>QB1253</x:v>
      </x:c>
      <x:c r="B60" s="30" t="str">
        <x:v>Bofa IBD</x:v>
      </x:c>
      <x:c r="C60" s="30" t="str">
        <x:v>IBD / GCM</x:v>
      </x:c>
      <x:c r="D60" s="31" t="str">
        <x:v>Tell me about an industry, industry trends, key deals in the industry and trends in dealmaking</x:v>
      </x:c>
      <x:c r="E60" s="31" t="str">
        <x:v>Tell me about an industry, industry trends, key deals in the industry and trends in dealmaking</x:v>
      </x:c>
      <x:c r="F60" s="31" t="str">
        <x:v>Company, Industry &amp; Deals</x:v>
      </x:c>
      <x:c r="G60" s="30" t="str">
        <x:v>CL0735</x:v>
      </x:c>
      <x:c r="H60" s="32" t="n">
        <x:f>COUNTIF($G$5:$G$117,G60)</x:f>
        <x:v>1</x:v>
      </x:c>
      <x:c r="I60" s="30" t="str">
        <x:v>A5</x:v>
      </x:c>
      <x:c r="J60" s="31" t="str">
        <x:v>First Round Emily | Emily 1st interviewer Suzie | Self intro, why ibd, why bofa</x:v>
      </x:c>
    </x:row>
    <x:row r="61" ht="48" customHeight="1">
      <x:c r="A61" s="30" t="str">
        <x:v>QB1257</x:v>
      </x:c>
      <x:c r="B61" s="30" t="str">
        <x:v>Bofa IBD</x:v>
      </x:c>
      <x:c r="C61" s="30" t="str">
        <x:v>IBD / GCM</x:v>
      </x:c>
      <x:c r="D61" s="31" t="str">
        <x:v>(I said I only know 1 deal so she changed to all technical)</x:v>
      </x:c>
      <x:c r="E61" s="31" t="str">
        <x:v>(I said I only know 1 deal so she changed to all technical)</x:v>
      </x:c>
      <x:c r="F61" s="31" t="str">
        <x:v>Company, Industry &amp; Deals</x:v>
      </x:c>
      <x:c r="G61" s="30" t="str">
        <x:v>CL0058</x:v>
      </x:c>
      <x:c r="H61" s="32" t="n">
        <x:f>COUNTIF($G$5:$G$117,G61)</x:f>
        <x:v>1</x:v>
      </x:c>
      <x:c r="I61" s="30" t="str">
        <x:v>A6</x:v>
      </x:c>
      <x:c r="J61" s="31" t="str">
        <x:v>Emily 1st interviewer Suzie | Self intro, why ibd, why bofa | Tell me about an industry, industry trends, key deals in the industry and trends in dealmaking</x:v>
      </x:c>
    </x:row>
    <x:row r="62" ht="32" customHeight="1">
      <x:c r="A62" s="30" t="str">
        <x:v>QB1259</x:v>
      </x:c>
      <x:c r="B62" s="30" t="str">
        <x:v>Bofa IBD</x:v>
      </x:c>
      <x:c r="C62" s="30" t="str">
        <x:v>IBD / GCM</x:v>
      </x:c>
      <x:c r="D62" s="31" t="str">
        <x:v>3any preference sector for choosing to work? (i said industrials)</x:v>
      </x:c>
      <x:c r="E62" s="31" t="str">
        <x:v>3any preference sector for choosing to work? (i said industrials)</x:v>
      </x:c>
      <x:c r="F62" s="31" t="str">
        <x:v>Company, Industry &amp; Deals</x:v>
      </x:c>
      <x:c r="G62" s="30" t="str">
        <x:v>CL0078</x:v>
      </x:c>
      <x:c r="H62" s="32" t="n">
        <x:f>COUNTIF($G$5:$G$117,G62)</x:f>
        <x:v>1</x:v>
      </x:c>
      <x:c r="I62" s="30" t="str">
        <x:v>E6</x:v>
      </x:c>
      <x:c r="J62" s="31" t="str">
        <x:v>24 Alan 1st round | 1self intro | 2why ibd considering your bg in pe consulting and dcm?</x:v>
      </x:c>
    </x:row>
    <x:row r="63" ht="48" customHeight="1">
      <x:c r="A63" s="30" t="str">
        <x:v>QB1282</x:v>
      </x:c>
      <x:c r="B63" s="30" t="str">
        <x:v>Bofa IBD</x:v>
      </x:c>
      <x:c r="C63" s="30" t="str">
        <x:v>IBD / GCM</x:v>
      </x:c>
      <x:c r="D63" s="31" t="str">
        <x:v>What’s deferred revenue</x:v>
      </x:c>
      <x:c r="E63" s="31" t="str">
        <x:v>What’s deferred revenue</x:v>
      </x:c>
      <x:c r="F63" s="31" t="str">
        <x:v>Company, Industry &amp; Deals</x:v>
      </x:c>
      <x:c r="G63" s="30" t="str">
        <x:v>CL1045</x:v>
      </x:c>
      <x:c r="H63" s="32" t="n">
        <x:f>COUNTIF($G$5:$G$117,G63)</x:f>
        <x:v>1</x:v>
      </x:c>
      <x:c r="I63" s="30" t="str">
        <x:v>A13</x:v>
      </x:c>
      <x:c r="J63" s="31" t="str">
        <x:v>Would you include long term debt in net working capital and why? | How do you account for equity investment in net working capital? | What’s deferred expense</x:v>
      </x:c>
    </x:row>
    <x:row r="64" ht="68" customHeight="1">
      <x:c r="A64" s="30" t="str">
        <x:v>QB1287</x:v>
      </x:c>
      <x:c r="B64" s="30" t="str">
        <x:v>Bofa IBD</x:v>
      </x:c>
      <x:c r="C64" s="30" t="str">
        <x:v>IBD / GCM</x:v>
      </x:c>
      <x:c r="D64" s="31" t="str">
        <x:v>Considerations between debt and equity in this market, which would you suggest for companies to issue</x:v>
      </x:c>
      <x:c r="E64" s="31" t="str">
        <x:v>How should a company choose between debt and equity financing?</x:v>
      </x:c>
      <x:c r="F64" s="31" t="str">
        <x:v>Company, Industry &amp; Deals</x:v>
      </x:c>
      <x:c r="G64" s="30" t="str">
        <x:v>CL0005</x:v>
      </x:c>
      <x:c r="H64" s="32" t="n">
        <x:f>COUNTIF($G$5:$G$117,G64)</x:f>
        <x:v>3</x:v>
      </x:c>
      <x:c r="I64" s="30" t="str">
        <x:v>C15</x:v>
      </x:c>
      <x:c r="J64" s="31" t="str">
        <x:v>3 statement year 1 start 100M loan buy fixed asset; year 1 end 10M repayment, 5% interest, 10 year straight line depreciation, 30% tax rate | 18 Kai tang director bofa | What is the market for sell side right now</x:v>
      </x:c>
    </x:row>
    <x:row r="65" ht="68" customHeight="1">
      <x:c r="A65" s="30" t="str">
        <x:v>QB1345</x:v>
      </x:c>
      <x:c r="B65" s="30" t="str">
        <x:v>Bofa IBD</x:v>
      </x:c>
      <x:c r="C65" s="30" t="str">
        <x:v>IBD / GCM</x:v>
      </x:c>
      <x:c r="D65" s="31" t="str">
        <x:v>Preference towards industry group?</x:v>
      </x:c>
      <x:c r="E65" s="31" t="str">
        <x:v>Preference towards industry group</x:v>
      </x:c>
      <x:c r="F65" s="31" t="str">
        <x:v>Company, Industry &amp; Deals</x:v>
      </x:c>
      <x:c r="G65" s="30" t="str">
        <x:v>CL0649</x:v>
      </x:c>
      <x:c r="H65" s="32" t="n">
        <x:f>COUNTIF($G$5:$G$117,G65)</x:f>
        <x:v>1</x:v>
      </x:c>
      <x:c r="I65" s="30" t="str">
        <x:v>A64</x:v>
      </x:c>
      <x:c r="J65" s="31" t="str">
        <x:v>Why use EV/EBITDA instead of PE multiple? (he was looking for NI vs EBITDA reasoning) | Dongwei stock initiation: revenue drivers, top-line CAGR, why such high growth? | HKEX: what was your responsibility and what did you learn from it?</x:v>
      </x:c>
    </x:row>
    <x:row r="66" ht="68" customHeight="1">
      <x:c r="A66" s="30" t="str">
        <x:v>QB1357</x:v>
      </x:c>
      <x:c r="B66" s="30" t="str">
        <x:v>Bofa IBD</x:v>
      </x:c>
      <x:c r="C66" s="30" t="str">
        <x:v>IBD / GCM</x:v>
      </x:c>
      <x:c r="D66" s="31" t="str">
        <x:v>Daiwa energy storage: walk me through industry, trends, company, highlight</x:v>
      </x:c>
      <x:c r="E66" s="31" t="str">
        <x:v>Daiwa energy storage: walk me through industry, trends, company, highlight</x:v>
      </x:c>
      <x:c r="F66" s="31" t="str">
        <x:v>Company, Industry &amp; Deals</x:v>
      </x:c>
      <x:c r="G66" s="30" t="str">
        <x:v>CL0217</x:v>
      </x:c>
      <x:c r="H66" s="32" t="n">
        <x:f>COUNTIF($G$5:$G$117,G66)</x:f>
        <x:v>1</x:v>
      </x:c>
      <x:c r="I66" s="30" t="str">
        <x:v>C73</x:v>
      </x:c>
      <x:c r="J66" s="31" t="str">
        <x:v>8 1st Round (By Sam Hsu Asso) | Self Intro and ask bg: where did you grow up in, where is high school, HKU? | Why no return? Did you seek feedback from people you worked with?</x:v>
      </x:c>
    </x:row>
    <x:row r="67" ht="32" customHeight="1">
      <x:c r="A67" s="30" t="str">
        <x:v>QB1375</x:v>
      </x:c>
      <x:c r="B67" s="30" t="str">
        <x:v>Bofa IBD</x:v>
      </x:c>
      <x:c r="C67" s="30" t="str">
        <x:v>IBD / GCM</x:v>
      </x:c>
      <x:c r="D67" s="31" t="str">
        <x:v>Tell me about a deal you've down at BlackRock</x:v>
      </x:c>
      <x:c r="E67" s="31" t="str">
        <x:v>Tell me about a deal you've down at BlackRock</x:v>
      </x:c>
      <x:c r="F67" s="31" t="str">
        <x:v>Company, Industry &amp; Deals</x:v>
      </x:c>
      <x:c r="G67" s="30" t="str">
        <x:v>CL0722</x:v>
      </x:c>
      <x:c r="H67" s="32" t="n">
        <x:f>COUNTIF($G$5:$G$117,G67)</x:f>
        <x:v>1</x:v>
      </x:c>
      <x:c r="I67" s="30" t="str">
        <x:v>A84</x:v>
      </x:c>
      <x:c r="J67" s="31" t="str">
        <x:v>What is goodwill? | 8 Tim Tian, FSG | Self intro</x:v>
      </x:c>
    </x:row>
    <x:row r="68" ht="68" customHeight="1">
      <x:c r="A68" s="30" t="str">
        <x:v>QB1378</x:v>
      </x:c>
      <x:c r="B68" s="30" t="str">
        <x:v>Bofa IBD</x:v>
      </x:c>
      <x:c r="C68" s="30" t="str">
        <x:v>IBD / GCM</x:v>
      </x:c>
      <x:c r="D68" s="31" t="str">
        <x:v>For the credit analysis, what was the revenue build up? How did you do the model ?</x:v>
      </x:c>
      <x:c r="E68" s="31" t="str">
        <x:v>For the credit analysis, what was the revenue build up? How did you do the model</x:v>
      </x:c>
      <x:c r="F68" s="31" t="str">
        <x:v>Company, Industry &amp; Deals</x:v>
      </x:c>
      <x:c r="G68" s="30" t="str">
        <x:v>CL0333</x:v>
      </x:c>
      <x:c r="H68" s="32" t="n">
        <x:f>COUNTIF($G$5:$G$117,G68)</x:f>
        <x:v>1</x:v>
      </x:c>
      <x:c r="I68" s="30" t="str">
        <x:v>C85</x:v>
      </x:c>
      <x:c r="J68" s="31" t="str">
        <x:v>8 2nd Round (By Jenny Jia) | Self Intro, why would you want to work with us? | Why no return? What was the feedback you got? What specific techncial skills you lack? What project was it</x:v>
      </x:c>
    </x:row>
    <x:row r="69" ht="68" customHeight="1">
      <x:c r="A69" s="30" t="str">
        <x:v>QB1381</x:v>
      </x:c>
      <x:c r="B69" s="30" t="str">
        <x:v>Bofa IBD</x:v>
      </x:c>
      <x:c r="C69" s="30" t="str">
        <x:v>IBD / GCM</x:v>
      </x:c>
      <x:c r="D69" s="31" t="str">
        <x:v>How do you project the growth rate for revenues given you brokedown revenue by single client account?</x:v>
      </x:c>
      <x:c r="E69" s="31" t="str">
        <x:v>How do you project the growth rate for revenues given you brokedown revenue by single client account</x:v>
      </x:c>
      <x:c r="F69" s="31" t="str">
        <x:v>Company, Industry &amp; Deals</x:v>
      </x:c>
      <x:c r="G69" s="30" t="str">
        <x:v>CL0420</x:v>
      </x:c>
      <x:c r="H69" s="32" t="n">
        <x:f>COUNTIF($G$5:$G$117,G69)</x:f>
        <x:v>1</x:v>
      </x:c>
      <x:c r="I69" s="30" t="str">
        <x:v>A87</x:v>
      </x:c>
      <x:c r="J69" s="31" t="str">
        <x:v>Tell me about a deal you've down at BlackRock | How is your view on the EV/EBITDA | Any protection if indian premium collapse in the future, how would you plan to save the valuation?</x:v>
      </x:c>
    </x:row>
    <x:row r="70" ht="68" customHeight="1">
      <x:c r="A70" s="30" t="str">
        <x:v>QB1391</x:v>
      </x:c>
      <x:c r="B70" s="30" t="str">
        <x:v>Bofa IBD</x:v>
      </x:c>
      <x:c r="C70" s="30" t="str">
        <x:v>IBD / GCM</x:v>
      </x:c>
      <x:c r="D70" s="31" t="str">
        <x:v>Tell me about the IT service company you did in BLK, what kind of IT service does it provide?</x:v>
      </x:c>
      <x:c r="E70" s="31" t="str">
        <x:v>Tell me about the IT service company you did in BLK, what kind of IT service does it provide</x:v>
      </x:c>
      <x:c r="F70" s="31" t="str">
        <x:v>Company, Industry &amp; Deals</x:v>
      </x:c>
      <x:c r="G70" s="30" t="str">
        <x:v>CL0743</x:v>
      </x:c>
      <x:c r="H70" s="32" t="n">
        <x:f>COUNTIF($G$5:$G$117,G70)</x:f>
        <x:v>1</x:v>
      </x:c>
      <x:c r="I70" s="30" t="str">
        <x:v>A93</x:v>
      </x:c>
      <x:c r="J70" s="31" t="str">
        <x:v>16 2nd Round Yining, ED China Team &amp; Chelsy(?) TMT | BlackRock, do you have return offer, why? | How many interns in BlackRock, how many teams, divide by asset classes?</x:v>
      </x:c>
    </x:row>
    <x:row r="71" ht="48" customHeight="1">
      <x:c r="A71" s="30" t="str">
        <x:v>QB1411</x:v>
      </x:c>
      <x:c r="B71" s="30" t="str">
        <x:v>Bofa IBD</x:v>
      </x:c>
      <x:c r="C71" s="30" t="str">
        <x:v>IBD / GCM</x:v>
      </x:c>
      <x:c r="D71" s="31" t="str">
        <x:v>Tell me about an industry that you would like to pitch to an investor to invest in? What are some risks also?</x:v>
      </x:c>
      <x:c r="E71" s="31" t="str">
        <x:v>Tell me about an industry that you would like to pitch to an investor to invest in? What are some risks also</x:v>
      </x:c>
      <x:c r="F71" s="31" t="str">
        <x:v>Company, Industry &amp; Deals</x:v>
      </x:c>
      <x:c r="G71" s="30" t="str">
        <x:v>CL0734</x:v>
      </x:c>
      <x:c r="H71" s="32" t="n">
        <x:f>COUNTIF($G$5:$G$117,G71)</x:f>
        <x:v>1</x:v>
      </x:c>
      <x:c r="I71" s="30" t="str">
        <x:v>C103</x:v>
      </x:c>
      <x:c r="J71" s="31" t="str">
        <x:v>NPL formula, and what is NPL | 10 4th Round (By Teng Xuan, Director) | Self intro, why you want to work with us?</x:v>
      </x:c>
    </x:row>
    <x:row r="72" ht="48" customHeight="1">
      <x:c r="A72" s="30" t="str">
        <x:v>QB1494</x:v>
      </x:c>
      <x:c r="B72" s="30" t="str">
        <x:v>JPM</x:v>
      </x:c>
      <x:c r="C72" s="30" t="str">
        <x:v>IBD / GCM</x:v>
      </x:c>
      <x:c r="D72" s="31" t="str">
        <x:v>own 51% of a healthcare listed company (went public 4yrs ago when healthcare was hot)</x:v>
      </x:c>
      <x:c r="E72" s="31" t="str">
        <x:v>Own 51% of a healthcare listed company (went public 4yrs ago when healthcare was hot)</x:v>
      </x:c>
      <x:c r="F72" s="31" t="str">
        <x:v>Company, Industry &amp; Deals</x:v>
      </x:c>
      <x:c r="G72" s="30" t="str">
        <x:v>CL0631</x:v>
      </x:c>
      <x:c r="H72" s="32" t="n">
        <x:f>COUNTIF($G$5:$G$117,G72)</x:f>
        <x:v>1</x:v>
      </x:c>
      <x:c r="I72" s="30" t="str">
        <x:v>A17</x:v>
      </x:c>
      <x:c r="J72" s="31" t="str">
        <x:v>hk-listed, main operation in china | 60% owned by founder, rest by institutional investors | diverse businesses:</x:v>
      </x:c>
    </x:row>
    <x:row r="73" ht="48" customHeight="1">
      <x:c r="A73" s="30" t="str">
        <x:v>QB1517</x:v>
      </x:c>
      <x:c r="B73" s="30" t="str">
        <x:v>JPM</x:v>
      </x:c>
      <x:c r="C73" s="30" t="str">
        <x:v>IBD / GCM</x:v>
      </x:c>
      <x:c r="D73" s="31" t="str">
        <x:v>how to get fcf from revenue</x:v>
      </x:c>
      <x:c r="E73" s="31" t="str">
        <x:v>How to get fcf from revenue</x:v>
      </x:c>
      <x:c r="F73" s="31" t="str">
        <x:v>Company, Industry &amp; Deals</x:v>
      </x:c>
      <x:c r="G73" s="30" t="str">
        <x:v>CL0476</x:v>
      </x:c>
      <x:c r="H73" s="32" t="n">
        <x:f>COUNTIF($G$5:$G$117,G73)</x:f>
        <x:v>1</x:v>
      </x:c>
      <x:c r="I73" s="30" t="str">
        <x:v>C34</x:v>
      </x:c>
      <x:c r="J73" s="31" t="str">
        <x:v>how to do credit analysis | how would you do valuation for a instant noodle company | how do you do dcf</x:v>
      </x:c>
    </x:row>
    <x:row r="74" ht="92" customHeight="1">
      <x:c r="A74" s="30" t="str">
        <x:v>QB1537</x:v>
      </x:c>
      <x:c r="B74" s="30" t="str">
        <x:v>Grant Samuel</x:v>
      </x:c>
      <x:c r="C74" s="30" t="str">
        <x:v>IBD / GCM</x:v>
      </x:c>
      <x:c r="D74" s="31" t="str">
        <x:v>e.g., you're advising a company, client comes to u, I lack capital rn, whether I should use debt/equity/convertivble bonds, what questions to ask to decide which to use</x:v>
      </x:c>
      <x:c r="E74" s="31" t="str">
        <x:v>How should a company choose between debt and equity financing?</x:v>
      </x:c>
      <x:c r="F74" s="31" t="str">
        <x:v>Company, Industry &amp; Deals</x:v>
      </x:c>
      <x:c r="G74" s="30" t="str">
        <x:v>CL0005</x:v>
      </x:c>
      <x:c r="H74" s="32" t="n">
        <x:f>COUNTIF($G$5:$G$117,G74)</x:f>
        <x:v>3</x:v>
      </x:c>
      <x:c r="I74" s="30" t="str">
        <x:v>A12</x:v>
      </x:c>
      <x:c r="J74" s="31" t="str">
        <x:v>Walk me thru impact on 3 FS, acquiring pp&amp;e at the start of the year, you can make your own assumptions | All-stock deal, buyer has a higher p/e, is it accretive or dlitutive? Why? | In most of the cases, involving debt financing, cash, ...</x:v>
      </x:c>
    </x:row>
    <x:row r="75" ht="48" customHeight="1">
      <x:c r="A75" s="30" t="str">
        <x:v>QB1566</x:v>
      </x:c>
      <x:c r="B75" s="30" t="str">
        <x:v>Moelis</x:v>
      </x:c>
      <x:c r="C75" s="30" t="str">
        <x:v>IBD / GCM</x:v>
      </x:c>
      <x:c r="D75" s="31" t="str">
        <x:v>If the company's operations are in China, but listed in US, what Rf do you use?</x:v>
      </x:c>
      <x:c r="E75" s="31" t="str">
        <x:v>If the company's operations are in China, but listed in US, what Rf do you use</x:v>
      </x:c>
      <x:c r="F75" s="31" t="str">
        <x:v>Company, Industry &amp; Deals</x:v>
      </x:c>
      <x:c r="G75" s="30" t="str">
        <x:v>CL0517</x:v>
      </x:c>
      <x:c r="H75" s="32" t="n">
        <x:f>COUNTIF($G$5:$G$117,G75)</x:f>
        <x:v>1</x:v>
      </x:c>
      <x:c r="I75" s="30" t="str">
        <x:v>A13</x:v>
      </x:c>
      <x:c r="J75" s="31" t="str">
        <x:v>Why these multiples? | Factory $100, selling at $80, 25% TR | Cash flow $100 every year, 10% discount rate, how much would u pay to buy it?</x:v>
      </x:c>
    </x:row>
    <x:row r="76" ht="68" customHeight="1">
      <x:c r="A76" s="30" t="str">
        <x:v>QB1568</x:v>
      </x:c>
      <x:c r="B76" s="30" t="str">
        <x:v>Moelis</x:v>
      </x:c>
      <x:c r="C76" s="30" t="str">
        <x:v>IBD / GCM</x:v>
      </x:c>
      <x:c r="D76" s="31" t="str">
        <x:v>What are the factors that will affect the NPV of the company?</x:v>
      </x:c>
      <x:c r="E76" s="31" t="str">
        <x:v>What are the factors that will affect the NPV of the company</x:v>
      </x:c>
      <x:c r="F76" s="31" t="str">
        <x:v>Company, Industry &amp; Deals</x:v>
      </x:c>
      <x:c r="G76" s="30" t="str">
        <x:v>CL0881</x:v>
      </x:c>
      <x:c r="H76" s="32" t="n">
        <x:f>COUNTIF($G$5:$G$117,G76)</x:f>
        <x:v>1</x:v>
      </x:c>
      <x:c r="I76" s="30" t="str">
        <x:v>A15</x:v>
      </x:c>
      <x:c r="J76" s="31" t="str">
        <x:v>Cash flow $100 every year, 10% discount rate, how much would u pay to buy it? | If the company's operations are in China, but listed in US, what Rf do you use? | CAPEX $100 to buy PPE?</x:v>
      </x:c>
    </x:row>
    <x:row r="77" ht="48" customHeight="1">
      <x:c r="A77" s="30" t="str">
        <x:v>QB1590</x:v>
      </x:c>
      <x:c r="B77" s="30" t="str">
        <x:v>Moelis</x:v>
      </x:c>
      <x:c r="C77" s="30" t="str">
        <x:v>IBD / GCM</x:v>
      </x:c>
      <x:c r="D77" s="31" t="str">
        <x:v>l Shared a pitch on a Cambodia-based insurance company -&gt; was surprised that Cambodia has a huge potential in insurance market due to its under penetration rate</x:v>
      </x:c>
      <x:c r="E77" s="31" t="str">
        <x:v>L Shared a pitch on a Cambodia-based insurance company -&gt; was surprised that Cambodia has a huge potential in insurance market due to its under penetration rate</x:v>
      </x:c>
      <x:c r="F77" s="31" t="str">
        <x:v>Company, Industry &amp; Deals</x:v>
      </x:c>
      <x:c r="G77" s="30" t="str">
        <x:v>CL0582</x:v>
      </x:c>
      <x:c r="H77" s="32" t="n">
        <x:f>COUNTIF($G$5:$G$117,G77)</x:f>
        <x:v>1</x:v>
      </x:c>
      <x:c r="I77" s="30" t="str">
        <x:v>A47</x:v>
      </x:c>
      <x:c r="J77" s="31" t="str">
        <x:v>i. What did you do? Also walked through some industry trends | ii. Trading comps | What do you think about the FI?</x:v>
      </x:c>
    </x:row>
    <x:row r="78" ht="68" customHeight="1">
      <x:c r="A78" s="30" t="str">
        <x:v>QB1598</x:v>
      </x:c>
      <x:c r="B78" s="30" t="str">
        <x:v>Moelis</x:v>
      </x:c>
      <x:c r="C78" s="30" t="str">
        <x:v>IBD / GCM</x:v>
      </x:c>
      <x:c r="D78" s="31" t="str">
        <x:v>What’s your favorite sector and what’s your least favorite sector at BNP Paribas?</x:v>
      </x:c>
      <x:c r="E78" s="31" t="str">
        <x:v>What’s your favorite sector and what’s your least favorite sector at BNP Paribas</x:v>
      </x:c>
      <x:c r="F78" s="31" t="str">
        <x:v>Company, Industry &amp; Deals</x:v>
      </x:c>
      <x:c r="G78" s="30" t="str">
        <x:v>CL1063</x:v>
      </x:c>
      <x:c r="H78" s="32" t="n">
        <x:f>COUNTIF($G$5:$G$117,G78)</x:f>
        <x:v>1</x:v>
      </x:c>
      <x:c r="I78" s="30" t="str">
        <x:v>A63</x:v>
      </x:c>
      <x:c r="J78" s="31" t="str">
        <x:v>i. Key assumptions | l Did you go through SPA? | i. I said I only arrived at the LOI stage when I left, he asked if I participated in drafting LOI, I said no but my boss showed me how it looked like</x:v>
      </x:c>
    </x:row>
    <x:row r="79" ht="48" customHeight="1">
      <x:c r="A79" s="30" t="str">
        <x:v>QB1615</x:v>
      </x:c>
      <x:c r="B79" s="30" t="str">
        <x:v>Jefferies</x:v>
      </x:c>
      <x:c r="C79" s="30" t="str">
        <x:v>IBD / GCM</x:v>
      </x:c>
      <x:c r="D79" s="31" t="str">
        <x:v>M&amp;A deal involving an Indian pharma company acquiring a French counterpart</x:v>
      </x:c>
      <x:c r="E79" s="31" t="str">
        <x:v>M&amp;A deal involving an Indian pharma company acquiring a French counterpart</x:v>
      </x:c>
      <x:c r="F79" s="31" t="str">
        <x:v>Company, Industry &amp; Deals</x:v>
      </x:c>
      <x:c r="G79" s="30" t="str">
        <x:v>CL0595</x:v>
      </x:c>
      <x:c r="H79" s="32" t="n">
        <x:f>COUNTIF($G$5:$G$117,G79)</x:f>
        <x:v>1</x:v>
      </x:c>
      <x:c r="I79" s="30" t="str">
        <x:v>C8</x:v>
      </x:c>
      <x:c r="J79" s="31" t="str">
        <x:v>Self-introduction / walk me through your resume | l You did an exchange in PKU? | Why Jefferies?</x:v>
      </x:c>
    </x:row>
    <x:row r="80" ht="32" customHeight="1">
      <x:c r="A80" s="30" t="str">
        <x:v>QB1686</x:v>
      </x:c>
      <x:c r="B80" s="30" t="str">
        <x:v>BNP Paribas</x:v>
      </x:c>
      <x:c r="C80" s="30" t="str">
        <x:v>IBD / GCM</x:v>
      </x:c>
      <x:c r="D80" s="31" t="str">
        <x:v>Industry Group (2 interviewers, TMT and Energy)</x:v>
      </x:c>
      <x:c r="E80" s="31" t="str">
        <x:v>Industry Group (2 interviewers, TMT and Energy)</x:v>
      </x:c>
      <x:c r="F80" s="31" t="str">
        <x:v>Company, Industry &amp; Deals</x:v>
      </x:c>
      <x:c r="G80" s="30" t="str">
        <x:v>CL0541</x:v>
      </x:c>
      <x:c r="H80" s="32" t="n">
        <x:f>COUNTIF($G$5:$G$117,G80)</x:f>
        <x:v>1</x:v>
      </x:c>
      <x:c r="I80" s="30" t="str">
        <x:v>G4</x:v>
      </x:c>
      <x:c r="J80" s="31" t="str">
        <x:v>Fourth Interviewer</x:v>
      </x:c>
    </x:row>
    <x:row r="81" ht="48" customHeight="1">
      <x:c r="A81" s="30" t="str">
        <x:v>QB1712</x:v>
      </x:c>
      <x:c r="B81" s="30" t="str">
        <x:v>BNP Paribas</x:v>
      </x:c>
      <x:c r="C81" s="30" t="str">
        <x:v>IBD / GCM</x:v>
      </x:c>
      <x:c r="D81" s="31" t="str">
        <x:v>Need to do PPT on the company overview, stock price performance, key financials, SWOT analysis</x:v>
      </x:c>
      <x:c r="E81" s="31" t="str">
        <x:v>Need to do PPT on the company overview, stock price performance, key financials, SWOT analysis</x:v>
      </x:c>
      <x:c r="F81" s="31" t="str">
        <x:v>Company, Industry &amp; Deals</x:v>
      </x:c>
      <x:c r="G81" s="30" t="str">
        <x:v>CL0618</x:v>
      </x:c>
      <x:c r="H81" s="32" t="n">
        <x:f>COUNTIF($G$5:$G$117,G81)</x:f>
        <x:v>1</x:v>
      </x:c>
      <x:c r="I81" s="30" t="str">
        <x:v>I10</x:v>
      </x:c>
      <x:c r="J81" s="31" t="str">
        <x:v>Case Study | 2-page pitch deck for Weilong | an excel file and other equity research reports are given, as well as Weilong's annual reports</x:v>
      </x:c>
    </x:row>
    <x:row r="82" ht="92" customHeight="1">
      <x:c r="A82" s="30" t="str">
        <x:v>QB1740</x:v>
      </x:c>
      <x:c r="B82" s="30" t="str">
        <x:v>BNP Paribas</x:v>
      </x:c>
      <x:c r="C82" s="30" t="str">
        <x:v>IBD / GCM</x:v>
      </x:c>
      <x:c r="D82" s="31" t="str">
        <x:v>They'll ask some questions about industries I've worked in before; mine was the stablecoin industry, but not in great depth.</x:v>
      </x:c>
      <x:c r="E82" s="31" t="str">
        <x:v>They'll ask some questions about industries I've worked in before; mine was the stablecoin industry, but not in great depth</x:v>
      </x:c>
      <x:c r="F82" s="31" t="str">
        <x:v>Company, Industry &amp; Deals</x:v>
      </x:c>
      <x:c r="G82" s="30" t="str">
        <x:v>CL0791</x:v>
      </x:c>
      <x:c r="H82" s="32" t="n">
        <x:f>COUNTIF($G$5:$G$117,G82)</x:f>
        <x:v>1</x:v>
      </x:c>
      <x:c r="I82" s="30" t="str">
        <x:v>A21</x:v>
      </x:c>
      <x:c r="J82" s="31" t="str">
        <x:v>My insights into the TMT industry and why I chose TMT (I originally worked primarily in pharmaceuticals). | The conversion between EV, equity value, and company market capitalization | Formulas for some basic indicators, such as ROE and ...</x:v>
      </x:c>
    </x:row>
    <x:row r="83" ht="48" customHeight="1">
      <x:c r="A83" s="30" t="str">
        <x:v>QB1772</x:v>
      </x:c>
      <x:c r="B83" s="30" t="str">
        <x:v>BNP Paribas</x:v>
      </x:c>
      <x:c r="C83" s="30" t="str">
        <x:v>IBD / GCM</x:v>
      </x:c>
      <x:c r="D83" s="31" t="str">
        <x:v>Talk about the healthcare deal mentioned</x:v>
      </x:c>
      <x:c r="E83" s="31" t="str">
        <x:v>Talk about the healthcare deal mentioned</x:v>
      </x:c>
      <x:c r="F83" s="31" t="str">
        <x:v>Company, Industry &amp; Deals</x:v>
      </x:c>
      <x:c r="G83" s="30" t="str">
        <x:v>CL0697</x:v>
      </x:c>
      <x:c r="H83" s="32" t="n">
        <x:f>COUNTIF($G$5:$G$117,G83)</x:f>
        <x:v>1</x:v>
      </x:c>
      <x:c r="I83" s="30" t="str">
        <x:v>A37</x:v>
      </x:c>
      <x:c r="J83" s="31" t="str">
        <x:v>VP - Nichole (English) | Walk through of CV | Detailed questions on lastest internship (start with "tell us what did you do...")</x:v>
      </x:c>
    </x:row>
    <x:row r="84" ht="48" customHeight="1">
      <x:c r="A84" s="30" t="str">
        <x:v>QB1774</x:v>
      </x:c>
      <x:c r="B84" s="30" t="str">
        <x:v>BNP Paribas</x:v>
      </x:c>
      <x:c r="C84" s="30" t="str">
        <x:v>IBD / GCM</x:v>
      </x:c>
      <x:c r="D84" s="31" t="str">
        <x:v>Difference between EV/ebitda, EV/revenue</x:v>
      </x:c>
      <x:c r="E84" s="31" t="str">
        <x:v>Difference between EV/ebitda, EV/revenue</x:v>
      </x:c>
      <x:c r="F84" s="31" t="str">
        <x:v>Company, Industry &amp; Deals</x:v>
      </x:c>
      <x:c r="G84" s="30" t="str">
        <x:v>CL0253</x:v>
      </x:c>
      <x:c r="H84" s="32" t="n">
        <x:f>COUNTIF($G$5:$G$117,G84)</x:f>
        <x:v>1</x:v>
      </x:c>
      <x:c r="I84" s="30" t="str">
        <x:v>E37</x:v>
      </x:c>
      <x:c r="J84" s="31" t="str">
        <x:v>D - Calvin (English) | Walk through experiences, show understanding of M&amp;A | Multiples used in comps</x:v>
      </x:c>
    </x:row>
    <x:row r="85" ht="48" customHeight="1">
      <x:c r="A85" s="30" t="str">
        <x:v>QB1775</x:v>
      </x:c>
      <x:c r="B85" s="30" t="str">
        <x:v>BNP Paribas</x:v>
      </x:c>
      <x:c r="C85" s="30" t="str">
        <x:v>IBD / GCM</x:v>
      </x:c>
      <x:c r="D85" s="31" t="str">
        <x:v>Industry insights - healthcare verticals (basic)</x:v>
      </x:c>
      <x:c r="E85" s="31" t="str">
        <x:v>Industry insights - healthcare verticals (basic)</x:v>
      </x:c>
      <x:c r="F85" s="31" t="str">
        <x:v>Company, Industry &amp; Deals</x:v>
      </x:c>
      <x:c r="G85" s="30" t="str">
        <x:v>CL0542</x:v>
      </x:c>
      <x:c r="H85" s="32" t="n">
        <x:f>COUNTIF($G$5:$G$117,G85)</x:f>
        <x:v>1</x:v>
      </x:c>
      <x:c r="I85" s="30" t="str">
        <x:v>A38</x:v>
      </x:c>
      <x:c r="J85" s="31" t="str">
        <x:v>Walk through of CV | Detailed questions on lastest internship (start with "tell us what did you do...") | Talk about the healthcare deal mentioned</x:v>
      </x:c>
    </x:row>
    <x:row r="86" ht="68" customHeight="1">
      <x:c r="A86" s="30" t="str">
        <x:v>QB1781</x:v>
      </x:c>
      <x:c r="B86" s="30" t="str">
        <x:v>BNP Paribas</x:v>
      </x:c>
      <x:c r="C86" s="30" t="str">
        <x:v>IBD / GCM</x:v>
      </x:c>
      <x:c r="D86" s="31" t="str">
        <x:v>Walk through the company’s P&amp;L structure</x:v>
      </x:c>
      <x:c r="E86" s="31" t="str">
        <x:v>Walk through the company’s P&amp;L structure</x:v>
      </x:c>
      <x:c r="F86" s="31" t="str">
        <x:v>Company, Industry &amp; Deals</x:v>
      </x:c>
      <x:c r="G86" s="30" t="str">
        <x:v>CL0853</x:v>
      </x:c>
      <x:c r="H86" s="32" t="n">
        <x:f>COUNTIF($G$5:$G$117,G86)</x:f>
        <x:v>1</x:v>
      </x:c>
      <x:c r="I86" s="30" t="str">
        <x:v>A40</x:v>
      </x:c>
      <x:c r="J86" s="31" t="str">
        <x:v>Talk about the healthcare deal mentioned | Industry insights - healthcare verticals (basic) | About my investment memo — what were the key investment highlights?</x:v>
      </x:c>
    </x:row>
    <x:row r="87" ht="68" customHeight="1">
      <x:c r="A87" s="30" t="str">
        <x:v>QB1784</x:v>
      </x:c>
      <x:c r="B87" s="30" t="str">
        <x:v>BNP Paribas</x:v>
      </x:c>
      <x:c r="C87" s="30" t="str">
        <x:v>IBD / GCM</x:v>
      </x:c>
      <x:c r="D87" s="31" t="str">
        <x:v>How did you build up the revenue forecast/model?</x:v>
      </x:c>
      <x:c r="E87" s="31" t="str">
        <x:v>How did you build up the revenue forecast/model</x:v>
      </x:c>
      <x:c r="F87" s="31" t="str">
        <x:v>Company, Industry &amp; Deals</x:v>
      </x:c>
      <x:c r="G87" s="30" t="str">
        <x:v>CL0378</x:v>
      </x:c>
      <x:c r="H87" s="32" t="n">
        <x:f>COUNTIF($G$5:$G$117,G87)</x:f>
        <x:v>1</x:v>
      </x:c>
      <x:c r="I87" s="30" t="str">
        <x:v>A41</x:v>
      </x:c>
      <x:c r="J87" s="31" t="str">
        <x:v>Industry insights - healthcare verticals (basic) | About my investment memo — what were the key investment highlights? | Walk through the company’s P&amp;L structure</x:v>
      </x:c>
    </x:row>
    <x:row r="88" ht="48" customHeight="1">
      <x:c r="A88" s="30" t="str">
        <x:v>QB1791</x:v>
      </x:c>
      <x:c r="B88" s="30" t="str">
        <x:v>BNP Paribas</x:v>
      </x:c>
      <x:c r="C88" s="30" t="str">
        <x:v>IBD / GCM</x:v>
      </x:c>
      <x:c r="D88" s="31" t="str">
        <x:v>Industry you familiar with (I talked about EV, as they have worked on deals in EV)</x:v>
      </x:c>
      <x:c r="E88" s="31" t="str">
        <x:v>Industry you familiar with (I talked about EV, as they have worked on deals in EV)</x:v>
      </x:c>
      <x:c r="F88" s="31" t="str">
        <x:v>Company, Industry &amp; Deals</x:v>
      </x:c>
      <x:c r="G88" s="30" t="str">
        <x:v>CL0544</x:v>
      </x:c>
      <x:c r="H88" s="32" t="n">
        <x:f>COUNTIF($G$5:$G$117,G88)</x:f>
        <x:v>1</x:v>
      </x:c>
      <x:c r="I88" s="30" t="str">
        <x:v>E43</x:v>
      </x:c>
      <x:c r="J88" s="31" t="str">
        <x:v>DCF - Time period of estimated | DCF - PV proportion of the growth period and the TV | Do you know IFRS 16?</x:v>
      </x:c>
    </x:row>
    <x:row r="89" ht="48" customHeight="1">
      <x:c r="A89" s="30" t="str">
        <x:v>QB1797</x:v>
      </x:c>
      <x:c r="B89" s="30" t="str">
        <x:v>BNP Paribas</x:v>
      </x:c>
      <x:c r="C89" s="30" t="str">
        <x:v>IBD / GCM</x:v>
      </x:c>
      <x:c r="D89" s="31" t="str">
        <x:v>Tell me more about your research task on the healthcare supplement industry</x:v>
      </x:c>
      <x:c r="E89" s="31" t="str">
        <x:v>Tell me more about your research task on the healthcare supplement industry</x:v>
      </x:c>
      <x:c r="F89" s="31" t="str">
        <x:v>Company, Industry &amp; Deals</x:v>
      </x:c>
      <x:c r="G89" s="30" t="str">
        <x:v>CL0770</x:v>
      </x:c>
      <x:c r="H89" s="32" t="n">
        <x:f>COUNTIF($G$5:$G$117,G89)</x:f>
        <x:v>1</x:v>
      </x:c>
      <x:c r="I89" s="30" t="str">
        <x:v>E45</x:v>
      </x:c>
      <x:c r="J89" s="31" t="str">
        <x:v>Do you know IFRS 16? | Industry you familiar with (I talked about EV, as they have worked on deals in EV) | Discussed about their deals</x:v>
      </x:c>
    </x:row>
    <x:row r="90" ht="48" customHeight="1">
      <x:c r="A90" s="30" t="str">
        <x:v>QB1907</x:v>
      </x:c>
      <x:c r="B90" s="30" t="str">
        <x:v>Lazard</x:v>
      </x:c>
      <x:c r="C90" s="30" t="str">
        <x:v>IBD / GCM</x:v>
      </x:c>
      <x:c r="D90" s="31" t="str">
        <x:v>How to get capital structure of private company</x:v>
      </x:c>
      <x:c r="E90" s="31" t="str">
        <x:v>How to get capital structure of private company</x:v>
      </x:c>
      <x:c r="F90" s="31" t="str">
        <x:v>Company, Industry &amp; Deals</x:v>
      </x:c>
      <x:c r="G90" s="30" t="str">
        <x:v>CL0471</x:v>
      </x:c>
      <x:c r="H90" s="32" t="n">
        <x:f>COUNTIF($G$5:$G$117,G90)</x:f>
        <x:v>1</x:v>
      </x:c>
      <x:c r="I90" s="30" t="str">
        <x:v>C13</x:v>
      </x:c>
      <x:c r="J90" s="31" t="str">
        <x:v>Walk me through DCF | Revenue to EBIT? WACC? | How to get capital structure (%equity %debt)</x:v>
      </x:c>
    </x:row>
    <x:row r="91" ht="68" customHeight="1">
      <x:c r="A91" s="30" t="str">
        <x:v>QB1914</x:v>
      </x:c>
      <x:c r="B91" s="30" t="str">
        <x:v>Lazard</x:v>
      </x:c>
      <x:c r="C91" s="30" t="str">
        <x:v>IBD / GCM</x:v>
      </x:c>
      <x:c r="D91" s="31" t="str">
        <x:v>What did you work on for the operational overview</x:v>
      </x:c>
      <x:c r="E91" s="31" t="str">
        <x:v>What did you work on for the operational overview</x:v>
      </x:c>
      <x:c r="F91" s="31" t="str">
        <x:v>Company, Industry &amp; Deals</x:v>
      </x:c>
      <x:c r="G91" s="30" t="str">
        <x:v>CL0910</x:v>
      </x:c>
      <x:c r="H91" s="32" t="n">
        <x:f>COUNTIF($G$5:$G$117,G91)</x:f>
        <x:v>1</x:v>
      </x:c>
      <x:c r="I91" s="30" t="str">
        <x:v>A17</x:v>
      </x:c>
      <x:c r="J91" s="31" t="str">
        <x:v>Major responsibilities in deal, company and industry overview | Why CPS vs debt or common equity? | What are typical components in CIM and Management presentation?</x:v>
      </x:c>
    </x:row>
    <x:row r="92" ht="48" customHeight="1">
      <x:c r="A92" s="30" t="str">
        <x:v>QB1915</x:v>
      </x:c>
      <x:c r="B92" s="30" t="str">
        <x:v>Lazard</x:v>
      </x:c>
      <x:c r="C92" s="30" t="str">
        <x:v>IBD / GCM</x:v>
      </x:c>
      <x:c r="D92" s="31" t="str">
        <x:v>How did you project the revenue?</x:v>
      </x:c>
      <x:c r="E92" s="31" t="str">
        <x:v>How did you project the revenue</x:v>
      </x:c>
      <x:c r="F92" s="31" t="str">
        <x:v>Company, Industry &amp; Deals</x:v>
      </x:c>
      <x:c r="G92" s="30" t="str">
        <x:v>CL0391</x:v>
      </x:c>
      <x:c r="H92" s="32" t="n">
        <x:f>COUNTIF($G$5:$G$117,G92)</x:f>
        <x:v>1</x:v>
      </x:c>
      <x:c r="I92" s="30" t="str">
        <x:v>A18</x:v>
      </x:c>
      <x:c r="J92" s="31" t="str">
        <x:v>Why CPS vs debt or common equity? | What are typical components in CIM and Management presentation? | What did you work on for the operational overview</x:v>
      </x:c>
    </x:row>
    <x:row r="93" ht="68" customHeight="1">
      <x:c r="A93" s="30" t="str">
        <x:v>QB1922</x:v>
      </x:c>
      <x:c r="B93" s="30" t="str">
        <x:v>Lazard</x:v>
      </x:c>
      <x:c r="C93" s="30" t="str">
        <x:v>IBD / GCM</x:v>
      </x:c>
      <x:c r="D93" s="31" t="str">
        <x:v>What part of CIM I did? How long have you stayed in this company and how long does the CIM takes</x:v>
      </x:c>
      <x:c r="E93" s="31" t="str">
        <x:v>What part of CIM I did? How long have you stayed in this company and how long does the CIM takes</x:v>
      </x:c>
      <x:c r="F93" s="31" t="str">
        <x:v>Company, Industry &amp; Deals</x:v>
      </x:c>
      <x:c r="G93" s="30" t="str">
        <x:v>CL1025</x:v>
      </x:c>
      <x:c r="H93" s="32" t="n">
        <x:f>COUNTIF($G$5:$G$117,G93)</x:f>
        <x:v>1</x:v>
      </x:c>
      <x:c r="I93" s="30" t="str">
        <x:v>C21</x:v>
      </x:c>
      <x:c r="J93" s="31" t="str">
        <x:v>2nd Interview - Junnan Zhang (Director) in English | Self introduction | CV project - ask in detail abt a CIM on market / investment rationale / sale process walk through</x:v>
      </x:c>
    </x:row>
    <x:row r="94" ht="48" customHeight="1">
      <x:c r="A94" s="30" t="str">
        <x:v>QB1970</x:v>
      </x:c>
      <x:c r="B94" s="30" t="str">
        <x:v>Lazard</x:v>
      </x:c>
      <x:c r="C94" s="30" t="str">
        <x:v>IBD / GCM</x:v>
      </x:c>
      <x:c r="D94" s="31" t="str">
        <x:v>一般如果要做company profile 比如說事工業製造行業企業 profile要包括什麼</x:v>
      </x:c>
      <x:c r="E94" s="31" t="str">
        <x:v>一般如果要做company profile 比如說事工業製造行業企業 profile要包括什麼</x:v>
      </x:c>
      <x:c r="F94" s="31" t="str">
        <x:v>Company, Industry &amp; Deals</x:v>
      </x:c>
      <x:c r="G94" s="30" t="str">
        <x:v>CL1216</x:v>
      </x:c>
      <x:c r="H94" s="32" t="n">
        <x:f>COUNTIF($G$5:$G$117,G94)</x:f>
        <x:v>1</x:v>
      </x:c>
      <x:c r="I94" s="30" t="str">
        <x:v>A71</x:v>
      </x:c>
      <x:c r="J94" s="31" t="str">
        <x:v>如果你要找一個right m&amp;a target，你會問一些什麼問題 | Transaction comps - key priorities? | Any sanity check after comps?</x:v>
      </x:c>
    </x:row>
    <x:row r="95" ht="68" customHeight="1">
      <x:c r="A95" s="30" t="str">
        <x:v>QB2069</x:v>
      </x:c>
      <x:c r="B95" s="30" t="str">
        <x:v>Nomura</x:v>
      </x:c>
      <x:c r="C95" s="30" t="str">
        <x:v>IBD / GCM</x:v>
      </x:c>
      <x:c r="D95" s="31" t="str">
        <x:v>Which company will be the best winner (I said Tesla)</x:v>
      </x:c>
      <x:c r="E95" s="31" t="str">
        <x:v>Which company will be the best winner (I said Tesla)</x:v>
      </x:c>
      <x:c r="F95" s="31" t="str">
        <x:v>Company, Industry &amp; Deals</x:v>
      </x:c>
      <x:c r="G95" s="30" t="str">
        <x:v>CL1092</x:v>
      </x:c>
      <x:c r="H95" s="32" t="n">
        <x:f>COUNTIF($G$5:$G$117,G95)</x:f>
        <x:v>1</x:v>
      </x:c>
      <x:c r="I95" s="30" t="str">
        <x:v>A45</x:v>
      </x:c>
      <x:c r="J95" s="31" t="str">
        <x:v>Did you meet any conflicts or disagreements during the process | How do you think of the EV market in the future | (I asked him is it global or just chinese market, he said global)</x:v>
      </x:c>
    </x:row>
    <x:row r="96" ht="92" customHeight="1">
      <x:c r="A96" s="30" t="str">
        <x:v>QB2123</x:v>
      </x:c>
      <x:c r="B96" s="30" t="str">
        <x:v>Nomura</x:v>
      </x:c>
      <x:c r="C96" s="30" t="str">
        <x:v>IBD / GCM</x:v>
      </x:c>
      <x:c r="D96" s="31" t="str">
        <x:v>Current deal on EOR, where's the firm based at, competitive advantages etc.</x:v>
      </x:c>
      <x:c r="E96" s="31" t="str">
        <x:v>Discuss a recent deal completed by this firm</x:v>
      </x:c>
      <x:c r="F96" s="31" t="str">
        <x:v>Company, Industry &amp; Deals</x:v>
      </x:c>
      <x:c r="G96" s="30" t="str">
        <x:v>CL0008</x:v>
      </x:c>
      <x:c r="H96" s="32" t="n">
        <x:f>COUNTIF($G$5:$G$117,G96)</x:f>
        <x:v>8</x:v>
      </x:c>
      <x:c r="I96" s="30" t="str">
        <x:v>A91</x:v>
      </x:c>
      <x:c r="J96" s="31" t="str">
        <x:v>(She did not open cam, but I recognized her from Women Who Lead) | Introduce yourself, past experience, why you want to join Nomura (I talked about the deal that she introduced us during the event) | Talk more about internships, projects...</x:v>
      </x:c>
    </x:row>
    <x:row r="97" ht="92" customHeight="1">
      <x:c r="A97" s="30" t="str">
        <x:v>QB2125</x:v>
      </x:c>
      <x:c r="B97" s="30" t="str">
        <x:v>Nomura</x:v>
      </x:c>
      <x:c r="C97" s="30" t="str">
        <x:v>IBD / GCM</x:v>
      </x:c>
      <x:c r="D97" s="31" t="str">
        <x:v>Lots of follow-ups cause she's working on a deal in the same sector</x:v>
      </x:c>
      <x:c r="E97" s="31" t="str">
        <x:v>Lots of follow-ups cause she's working on a deal in the same sector</x:v>
      </x:c>
      <x:c r="F97" s="31" t="str">
        <x:v>Company, Industry &amp; Deals</x:v>
      </x:c>
      <x:c r="G97" s="30" t="str">
        <x:v>CL0594</x:v>
      </x:c>
      <x:c r="H97" s="32" t="n">
        <x:f>COUNTIF($G$5:$G$117,G97)</x:f>
        <x:v>1</x:v>
      </x:c>
      <x:c r="I97" s="30" t="str">
        <x:v>A92</x:v>
      </x:c>
      <x:c r="J97" s="31" t="str">
        <x:v>Introduce yourself, past experience, why you want to join Nomura (I talked about the deal that she introduced us during the event) | Talk more about internships, projects you worked on in the last internship | Current deal on EOR, where'...</x:v>
      </x:c>
    </x:row>
    <x:row r="98" ht="48" customHeight="1">
      <x:c r="A98" s="30" t="str">
        <x:v>QB2168</x:v>
      </x:c>
      <x:c r="B98" s="30" t="str">
        <x:v>Houlihan Lokey</x:v>
      </x:c>
      <x:c r="C98" s="30" t="str">
        <x:v>IBD / GCM</x:v>
      </x:c>
      <x:c r="D98" s="31" t="str">
        <x:v>What are some signs of company going through distress</x:v>
      </x:c>
      <x:c r="E98" s="31" t="str">
        <x:v>What are some signs of company going through distress</x:v>
      </x:c>
      <x:c r="F98" s="31" t="str">
        <x:v>Company, Industry &amp; Deals</x:v>
      </x:c>
      <x:c r="G98" s="30" t="str">
        <x:v>CL0873</x:v>
      </x:c>
      <x:c r="H98" s="32" t="n">
        <x:f>COUNTIF($G$5:$G$117,G98)</x:f>
        <x:v>1</x:v>
      </x:c>
      <x:c r="I98" s="30" t="str">
        <x:v>A25</x:v>
      </x:c>
      <x:c r="J98" s="31" t="str">
        <x:v>Tell me a company on your resume, and how do you evaluate the company | Investment grade bond vs high yield bond | What are the credit analysis metrics</x:v>
      </x:c>
    </x:row>
    <x:row r="99" ht="68" customHeight="1">
      <x:c r="A99" s="30" t="str">
        <x:v>QB2171</x:v>
      </x:c>
      <x:c r="B99" s="30" t="str">
        <x:v>Houlihan Lokey</x:v>
      </x:c>
      <x:c r="C99" s="30" t="str">
        <x:v>IBD / GCM</x:v>
      </x:c>
      <x:c r="D99" s="31" t="str">
        <x:v>Tell me how you do due dilligence in one of your deals</x:v>
      </x:c>
      <x:c r="E99" s="31" t="str">
        <x:v>Tell me how you do due dilligence in one of your deals</x:v>
      </x:c>
      <x:c r="F99" s="31" t="str">
        <x:v>Company, Industry &amp; Deals</x:v>
      </x:c>
      <x:c r="G99" s="30" t="str">
        <x:v>CL0762</x:v>
      </x:c>
      <x:c r="H99" s="32" t="n">
        <x:f>COUNTIF($G$5:$G$117,G99)</x:f>
        <x:v>1</x:v>
      </x:c>
      <x:c r="I99" s="30" t="str">
        <x:v>A28</x:v>
      </x:c>
      <x:c r="J99" s="31" t="str">
        <x:v>What are some signs of company going through distress | EV/EBITDA=5, Interest coverage =5, what's loan to value (need to ask for lended interest rate of 5%). Answer is 1.25 | Walk me through a DCF, purpose, what is WACC, what is beta, as...</x:v>
      </x:c>
    </x:row>
    <x:row r="100" ht="68" customHeight="1">
      <x:c r="A100" s="30" t="str">
        <x:v>QB2297</x:v>
      </x:c>
      <x:c r="B100" s="30" t="str">
        <x:v>JPM AM</x:v>
      </x:c>
      <x:c r="C100" s="30" t="str">
        <x:v>PWM / AM</x:v>
      </x:c>
      <x:c r="D100" s="31" t="str">
        <x:v>What kinds of preparations you've made for the SPD?</x:v>
      </x:c>
      <x:c r="E100" s="31" t="str">
        <x:v>What kinds of preparations you've made for the SPD</x:v>
      </x:c>
      <x:c r="F100" s="31" t="str">
        <x:v>Company, Industry &amp; Deals</x:v>
      </x:c>
      <x:c r="G100" s="30" t="str">
        <x:v>CL1010</x:v>
      </x:c>
      <x:c r="H100" s="32" t="n">
        <x:f>COUNTIF($G$5:$G$117,G100)</x:f>
        <x:v>1</x:v>
      </x:c>
      <x:c r="I100" s="30" t="str">
        <x:v>G9</x:v>
      </x:c>
      <x:c r="J100" s="31" t="str">
        <x:v>Just to know you a bit more. | Lots of CV-based questions but more on the project/leadership/voluntary related experiences but not internship ones. | Share a little bit more about the JPM AWMC you've done. How did you become the captain?</x:v>
      </x:c>
    </x:row>
    <x:row r="101" ht="48" customHeight="1">
      <x:c r="A101" s="30" t="str">
        <x:v>QB2325</x:v>
      </x:c>
      <x:c r="B101" s="30" t="str">
        <x:v>JPM AM</x:v>
      </x:c>
      <x:c r="C101" s="30" t="str">
        <x:v>PWM / AM</x:v>
      </x:c>
      <x:c r="D101" s="31" t="str">
        <x:v>Pitch me one sector or asset class and what's your expectation for it in the future and 5 years horizon</x:v>
      </x:c>
      <x:c r="E101" s="31" t="str">
        <x:v>Pitch me one sector or asset class and what's your expectation for it in the future and 5 years horizon</x:v>
      </x:c>
      <x:c r="F101" s="31" t="str">
        <x:v>Company, Industry &amp; Deals</x:v>
      </x:c>
      <x:c r="G101" s="30" t="str">
        <x:v>CL0637</x:v>
      </x:c>
      <x:c r="H101" s="32" t="n">
        <x:f>COUNTIF($G$5:$G$117,G101)</x:f>
        <x:v>1</x:v>
      </x:c>
      <x:c r="I101" s="30" t="str">
        <x:v>G26</x:v>
      </x:c>
      <x:c r="J101" s="31" t="str">
        <x:v>SPD one-on-one | w/ Jacky Cheung in Product Strategy Team | Self intro</x:v>
      </x:c>
    </x:row>
    <x:row r="102" ht="68" customHeight="1">
      <x:c r="A102" s="30" t="str">
        <x:v>QB2348</x:v>
      </x:c>
      <x:c r="B102" s="30" t="str">
        <x:v>Citi PB</x:v>
      </x:c>
      <x:c r="C102" s="30" t="str">
        <x:v>PWM / AM</x:v>
      </x:c>
      <x:c r="D102" s="31" t="str">
        <x:v>How do you see the conglomerates sector?</x:v>
      </x:c>
      <x:c r="E102" s="31" t="str">
        <x:v>How do you see the conglomerates sector</x:v>
      </x:c>
      <x:c r="F102" s="31" t="str">
        <x:v>Company, Industry &amp; Deals</x:v>
      </x:c>
      <x:c r="G102" s="30" t="str">
        <x:v>CL0421</x:v>
      </x:c>
      <x:c r="H102" s="32" t="n">
        <x:f>COUNTIF($G$5:$G$117,G102)</x:f>
        <x:v>1</x:v>
      </x:c>
      <x:c r="I102" s="30" t="str">
        <x:v>A6</x:v>
      </x:c>
      <x:c r="J102" s="31" t="str">
        <x:v>1st part: Business sense (asset allocation) | 2nd part: Market (give a news, asking the impact on PB Clients) | Superday Ribo with one harsh and one nice Director</x:v>
      </x:c>
    </x:row>
    <x:row r="103" ht="48" customHeight="1">
      <x:c r="A103" s="30" t="str">
        <x:v>QB2349</x:v>
      </x:c>
      <x:c r="B103" s="30" t="str">
        <x:v>Citi PB</x:v>
      </x:c>
      <x:c r="C103" s="30" t="str">
        <x:v>PWM / AM</x:v>
      </x:c>
      <x:c r="D103" s="31" t="str">
        <x:v>which sectors are undervalued right now?</x:v>
      </x:c>
      <x:c r="E103" s="31" t="str">
        <x:v>Which sectors are undervalued right now</x:v>
      </x:c>
      <x:c r="F103" s="31" t="str">
        <x:v>Company, Industry &amp; Deals</x:v>
      </x:c>
      <x:c r="G103" s="30" t="str">
        <x:v>CL1102</x:v>
      </x:c>
      <x:c r="H103" s="32" t="n">
        <x:f>COUNTIF($G$5:$G$117,G103)</x:f>
        <x:v>1</x:v>
      </x:c>
      <x:c r="I103" s="30" t="str">
        <x:v>A7</x:v>
      </x:c>
      <x:c r="J103" s="31" t="str">
        <x:v>2nd part: Market (give a news, asking the impact on PB Clients) | Superday Ribo with one harsh and one nice Director | How do you see the conglomerates sector?</x:v>
      </x:c>
    </x:row>
    <x:row r="104" ht="68" customHeight="1">
      <x:c r="A104" s="30" t="str">
        <x:v>QB2843</x:v>
      </x:c>
      <x:c r="B104" s="30" t="str">
        <x:v>UBS AM</x:v>
      </x:c>
      <x:c r="C104" s="30" t="str">
        <x:v>PWM / AM</x:v>
      </x:c>
      <x:c r="D104" s="31" t="str">
        <x:v>How would you analyse new company/new investment opportunity?</x:v>
      </x:c>
      <x:c r="E104" s="31" t="str">
        <x:v>How would you analyse new company/new investment opportunity</x:v>
      </x:c>
      <x:c r="F104" s="31" t="str">
        <x:v>Company, Industry &amp; Deals</x:v>
      </x:c>
      <x:c r="G104" s="30" t="str">
        <x:v>CL0494</x:v>
      </x:c>
      <x:c r="H104" s="32" t="n">
        <x:f>COUNTIF($G$5:$G$117,G104)</x:f>
        <x:v>1</x:v>
      </x:c>
      <x:c r="I104" s="30" t="str">
        <x:v>A24</x:v>
      </x:c>
      <x:c r="J104" s="31" t="str">
        <x:v>What are other investment opportunities you are paying attention in the market? | What are the risks in the China and US market? | What is your expectation for the UBS AM GTP programme?</x:v>
      </x:c>
    </x:row>
    <x:row r="105" ht="92" customHeight="1">
      <x:c r="A105" s="30" t="str">
        <x:v>QB2857</x:v>
      </x:c>
      <x:c r="B105" s="30" t="str">
        <x:v>Fountainvest</x:v>
      </x:c>
      <x:c r="C105" s="30" t="str">
        <x:v>PE / VC / Other</x:v>
      </x:c>
      <x:c r="D105" s="31" t="str">
        <x:v>Revenue forecast of the company?</x:v>
      </x:c>
      <x:c r="E105" s="31" t="str">
        <x:v>Revenue forecast of the company</x:v>
      </x:c>
      <x:c r="F105" s="31" t="str">
        <x:v>Company, Industry &amp; Deals</x:v>
      </x:c>
      <x:c r="G105" s="30" t="str">
        <x:v>CL0663</x:v>
      </x:c>
      <x:c r="H105" s="32" t="n">
        <x:f>COUNTIF($G$5:$G$117,G105)</x:f>
        <x:v>1</x:v>
      </x:c>
      <x:c r="I105" s="30" t="str">
        <x:v>B7</x:v>
      </x:c>
      <x:c r="J105" s="31" t="str">
        <x:v>Tell me about a deal you worked on | Industry: how is the growth rate being justified? What are the key growth drivers, what was the growth rate before COVID, grwoth rate for oil, what drives the demand for oil? | Give me an example of o...</x:v>
      </x:c>
    </x:row>
    <x:row r="106" ht="48" customHeight="1">
      <x:c r="A106" s="30" t="str">
        <x:v>QB2867</x:v>
      </x:c>
      <x:c r="B106" s="30" t="str">
        <x:v>Fountainvest</x:v>
      </x:c>
      <x:c r="C106" s="30" t="str">
        <x:v>PE / VC / Other</x:v>
      </x:c>
      <x:c r="D106" s="31" t="str">
        <x:v>How do you dissect and understand an industry?</x:v>
      </x:c>
      <x:c r="E106" s="31" t="str">
        <x:v>How do you dissect and understand an industry</x:v>
      </x:c>
      <x:c r="F106" s="31" t="str">
        <x:v>Company, Industry &amp; Deals</x:v>
      </x:c>
      <x:c r="G106" s="30" t="str">
        <x:v>CL0405</x:v>
      </x:c>
      <x:c r="H106" s="32" t="n">
        <x:f>COUNTIF($G$5:$G$117,G106)</x:f>
        <x:v>1</x:v>
      </x:c>
      <x:c r="I106" s="30" t="str">
        <x:v>A16</x:v>
      </x:c>
      <x:c r="J106" s="31" t="str">
        <x:v>What is your career plan? | Why didn't you get return from UBS? | What did you learn in UBS?</x:v>
      </x:c>
    </x:row>
    <x:row r="107" ht="92" customHeight="1">
      <x:c r="A107" s="30" t="str">
        <x:v>QB2887</x:v>
      </x:c>
      <x:c r="B107" s="30" t="str">
        <x:v>MSPEA</x:v>
      </x:c>
      <x:c r="C107" s="30" t="str">
        <x:v>PE / VC / Other</x:v>
      </x:c>
      <x:c r="D107" s="31" t="str">
        <x:v>For a company with high debt usage vs low debt, but similar EV/EBIT, which company will you invest in?</x:v>
      </x:c>
      <x:c r="E107" s="31" t="str">
        <x:v>For a company with high debt usage vs low debt, but similar EV/EBIT, which company will you invest in</x:v>
      </x:c>
      <x:c r="F107" s="31" t="str">
        <x:v>Company, Industry &amp; Deals</x:v>
      </x:c>
      <x:c r="G107" s="30" t="str">
        <x:v>CL0325</x:v>
      </x:c>
      <x:c r="H107" s="32" t="n">
        <x:f>COUNTIF($G$5:$G$117,G107)</x:f>
        <x:v>1</x:v>
      </x:c>
      <x:c r="I107" s="30" t="str">
        <x:v>B7</x:v>
      </x:c>
      <x:c r="J107" s="31" t="str">
        <x:v>What are the differences in primary markets investment compared to secondary markets? | Tell me about a recent investment you made that you think is very attractive? Tell me about the industry and highlights | What multiples would you lo...</x:v>
      </x:c>
    </x:row>
    <x:row r="108" ht="92" customHeight="1">
      <x:c r="A108" s="30" t="str">
        <x:v>QB2889</x:v>
      </x:c>
      <x:c r="B108" s="30" t="str">
        <x:v>MSPEA</x:v>
      </x:c>
      <x:c r="C108" s="30" t="str">
        <x:v>PE / VC / Other</x:v>
      </x:c>
      <x:c r="D108" s="31" t="str">
        <x:v>What are some metrics you would look at to evaluate a debt ratio? Apart from these ratio, any qualitative measures?</x:v>
      </x:c>
      <x:c r="E108" s="31" t="str">
        <x:v>What are some metrics you would look at to evaluate a debt ratio? Apart from these ratio, any qualitative measures</x:v>
      </x:c>
      <x:c r="F108" s="31" t="str">
        <x:v>Company, Industry &amp; Deals</x:v>
      </x:c>
      <x:c r="G108" s="30" t="str">
        <x:v>CL0871</x:v>
      </x:c>
      <x:c r="H108" s="32" t="n">
        <x:f>COUNTIF($G$5:$G$117,G108)</x:f>
        <x:v>1</x:v>
      </x:c>
      <x:c r="I108" s="30" t="str">
        <x:v>B8</x:v>
      </x:c>
      <x:c r="J108" s="31" t="str">
        <x:v>Tell me about a recent investment you made that you think is very attractive? Tell me about the industry and highlights | What multiples would you look at? Why EV/EBIT but not other multiples? | For a company with high debt usage vs low ...</x:v>
      </x:c>
    </x:row>
    <x:row r="109" ht="118" customHeight="1">
      <x:c r="A109" s="30" t="str">
        <x:v>QB2894</x:v>
      </x:c>
      <x:c r="B109" s="30" t="str">
        <x:v>MSPEA</x:v>
      </x:c>
      <x:c r="C109" s="30" t="str">
        <x:v>PE / VC / Other</x:v>
      </x:c>
      <x:c r="D109" s="31" t="str">
        <x:v>Tell me about the energy storage company and industry dynamic.</x:v>
      </x:c>
      <x:c r="E109" s="31" t="str">
        <x:v>Tell me about the energy storage company and industry dynamic</x:v>
      </x:c>
      <x:c r="F109" s="31" t="str">
        <x:v>Company, Industry &amp; Deals</x:v>
      </x:c>
      <x:c r="G109" s="30" t="str">
        <x:v>CL0741</x:v>
      </x:c>
      <x:c r="H109" s="32" t="n">
        <x:f>COUNTIF($G$5:$G$117,G109)</x:f>
        <x:v>1</x:v>
      </x:c>
      <x:c r="I109" s="30" t="str">
        <x:v>A11</x:v>
      </x:c>
      <x:c r="J109" s="31" t="str">
        <x:v>For CPS, how does it affect the enterprise value? How much is pre money and post money valuation? (I said counted as preferred shares at first) | Pre money and post money valuation for cross border b2b platform? | 15 billion market cap, ...</x:v>
      </x:c>
    </x:row>
    <x:row r="110" ht="118" customHeight="1">
      <x:c r="A110" s="30" t="str">
        <x:v>QB2895</x:v>
      </x:c>
      <x:c r="B110" s="30" t="str">
        <x:v>MSPEA</x:v>
      </x:c>
      <x:c r="C110" s="30" t="str">
        <x:v>PE / VC / Other</x:v>
      </x:c>
      <x:c r="D110" s="31" t="str">
        <x:v>Tell me another industry that you worked on before that you find attractive?</x:v>
      </x:c>
      <x:c r="E110" s="31" t="str">
        <x:v>Tell me another industry that you worked on before that you find attractive</x:v>
      </x:c>
      <x:c r="F110" s="31" t="str">
        <x:v>Company, Industry &amp; Deals</x:v>
      </x:c>
      <x:c r="G110" s="30" t="str">
        <x:v>CL0759</x:v>
      </x:c>
      <x:c r="H110" s="32" t="n">
        <x:f>COUNTIF($G$5:$G$117,G110)</x:f>
        <x:v>1</x:v>
      </x:c>
      <x:c r="I110" s="30" t="str">
        <x:v>B11</x:v>
      </x:c>
      <x:c r="J110" s="31" t="str">
        <x:v>What are some metrics you would look at to evaluate a debt ratio? Apart from these ratio, any qualitative measures? | What are some factors that will affect oil price? | What affects gross profit margin? (I said, price, cost, volume). Sh...</x:v>
      </x:c>
    </x:row>
    <x:row r="111" ht="48" customHeight="1">
      <x:c r="A111" s="30" t="str">
        <x:v>QB2900</x:v>
      </x:c>
      <x:c r="B111" s="30" t="str">
        <x:v>MSPEA</x:v>
      </x:c>
      <x:c r="C111" s="30" t="str">
        <x:v>PE / VC / Other</x:v>
      </x:c>
      <x:c r="D111" s="31" t="str">
        <x:v>有什么其他玩家，公司的市占率多少？排名是什么 (in terms of revenue) ? 最大的公司收入多少，公司自己收入多少？</x:v>
      </x:c>
      <x:c r="E111" s="31" t="str">
        <x:v>有什么其他玩家，公司的市占率多少？排名是什么 (in terms of revenue) ? 最大的公司收入多少，公司自己收入多少</x:v>
      </x:c>
      <x:c r="F111" s="31" t="str">
        <x:v>Company, Industry &amp; Deals</x:v>
      </x:c>
      <x:c r="G111" s="30" t="str">
        <x:v>CL1249</x:v>
      </x:c>
      <x:c r="H111" s="32" t="n">
        <x:f>COUNTIF($G$5:$G$117,G111)</x:f>
        <x:v>1</x:v>
      </x:c>
      <x:c r="I111" s="30" t="str">
        <x:v>A14</x:v>
      </x:c>
      <x:c r="J111" s="31" t="str">
        <x:v>Tell me about the energy storage company and industry dynamic. | 为什么用碳酸锂？最近价钱如何？ | 现在行业表现好吗？有什么变化？</x:v>
      </x:c>
    </x:row>
    <x:row r="112" ht="32" customHeight="1">
      <x:c r="A112" s="30" t="str">
        <x:v>QB2925</x:v>
      </x:c>
      <x:c r="B112" s="30" t="str">
        <x:v>CDH</x:v>
      </x:c>
      <x:c r="C112" s="30" t="str">
        <x:v>PE / VC / Other</x:v>
      </x:c>
      <x:c r="D112" s="31" t="str">
        <x:v>Introduce the UBS deal and what you have done?</x:v>
      </x:c>
      <x:c r="E112" s="31" t="str">
        <x:v>Introduce the UBS deal and what you have done</x:v>
      </x:c>
      <x:c r="F112" s="31" t="str">
        <x:v>Company, Industry &amp; Deals</x:v>
      </x:c>
      <x:c r="G112" s="30" t="str">
        <x:v>CL0551</x:v>
      </x:c>
      <x:c r="H112" s="32" t="n">
        <x:f>COUNTIF($G$5:$G$117,G112)</x:f>
        <x:v>1</x:v>
      </x:c>
      <x:c r="I112" s="30" t="str">
        <x:v>A5</x:v>
      </x:c>
      <x:c r="J112" s="31" t="str">
        <x:v>1st round | 3 mins self intro and career goals and why buyside | Timeline and planning?</x:v>
      </x:c>
    </x:row>
    <x:row r="113" ht="48" customHeight="1">
      <x:c r="A113" s="30" t="str">
        <x:v>QB2926</x:v>
      </x:c>
      <x:c r="B113" s="30" t="str">
        <x:v>CDH</x:v>
      </x:c>
      <x:c r="C113" s="30" t="str">
        <x:v>PE / VC / Other</x:v>
      </x:c>
      <x:c r="D113" s="31" t="str">
        <x:v>Tell me about the industry</x:v>
      </x:c>
      <x:c r="E113" s="31" t="str">
        <x:v>Tell me about the industry</x:v>
      </x:c>
      <x:c r="F113" s="31" t="str">
        <x:v>Company, Industry &amp; Deals</x:v>
      </x:c>
      <x:c r="G113" s="30" t="str">
        <x:v>CL0742</x:v>
      </x:c>
      <x:c r="H113" s="32" t="n">
        <x:f>COUNTIF($G$5:$G$117,G113)</x:f>
        <x:v>1</x:v>
      </x:c>
      <x:c r="I113" s="30" t="str">
        <x:v>A6</x:v>
      </x:c>
      <x:c r="J113" s="31" t="str">
        <x:v>3 mins self intro and career goals and why buyside | Timeline and planning? | Introduce the UBS deal and what you have done?</x:v>
      </x:c>
    </x:row>
    <x:row r="114" ht="92" customHeight="1">
      <x:c r="A114" s="30" t="str">
        <x:v>QB2930</x:v>
      </x:c>
      <x:c r="B114" s="30" t="str">
        <x:v>CDH</x:v>
      </x:c>
      <x:c r="C114" s="30" t="str">
        <x:v>PE / VC / Other</x:v>
      </x:c>
      <x:c r="D114" s="31" t="str">
        <x:v>What the key competitive advantage of the company?</x:v>
      </x:c>
      <x:c r="E114" s="31" t="str">
        <x:v>What the key competitive advantage of the company</x:v>
      </x:c>
      <x:c r="F114" s="31" t="str">
        <x:v>Company, Industry &amp; Deals</x:v>
      </x:c>
      <x:c r="G114" s="30" t="str">
        <x:v>CL1032</x:v>
      </x:c>
      <x:c r="H114" s="32" t="n">
        <x:f>COUNTIF($G$5:$G$117,G114)</x:f>
        <x:v>1</x:v>
      </x:c>
      <x:c r="I114" s="30" t="str">
        <x:v>A10</x:v>
      </x:c>
      <x:c r="J114" s="31" t="str">
        <x:v>25bn market size, how do you get it? | How do you forecast revenue of the company? What is the revenue? | What is the company's market position in the industry? (he calculated if 25bn market size in 5 years, now around 10bn, company 1bn ...</x:v>
      </x:c>
    </x:row>
    <x:row r="115" ht="92" customHeight="1">
      <x:c r="A115" s="30" t="str">
        <x:v>QB2942</x:v>
      </x:c>
      <x:c r="B115" s="30" t="str">
        <x:v>HKEX</x:v>
      </x:c>
      <x:c r="C115" s="30" t="str">
        <x:v>PE / VC / Other</x:v>
      </x:c>
      <x:c r="D115" s="31" t="str">
        <x:v>How well do you know about HKEX and this department?</x:v>
      </x:c>
      <x:c r="E115" s="31" t="str">
        <x:v>How well do you know about HKEX and this department</x:v>
      </x:c>
      <x:c r="F115" s="31" t="str">
        <x:v>Company, Industry &amp; Deals</x:v>
      </x:c>
      <x:c r="G115" s="30" t="str">
        <x:v>CL0488</x:v>
      </x:c>
      <x:c r="H115" s="32" t="n">
        <x:f>COUNTIF($G$5:$G$117,G115)</x:f>
        <x:v>1</x:v>
      </x:c>
      <x:c r="I115" s="30" t="str">
        <x:v>A11</x:v>
      </x:c>
      <x:c r="J115" s="31" t="str">
        <x:v>Propose a strategy for HKEX, give a 1min presentation to illustrate your idea, what are the critical components in a thorough strategy (you may consider background information, macroeconomics… and don’t forget risks) | 2nd round (1 manag...</x:v>
      </x:c>
    </x:row>
    <x:row r="116" ht="68" customHeight="1">
      <x:c r="A116" s="30" t="str">
        <x:v>QB2944</x:v>
      </x:c>
      <x:c r="B116" s="30" t="str">
        <x:v>HKEX</x:v>
      </x:c>
      <x:c r="C116" s="30" t="str">
        <x:v>PE / VC / Other</x:v>
      </x:c>
      <x:c r="D116" s="31" t="str">
        <x:v>What would you recommend HKEX to do in the future (you may consider policies, fintech integration, Southeast Asian market etc.)</x:v>
      </x:c>
      <x:c r="E116" s="31" t="str">
        <x:v>What would you recommend HKEX to do in the future (you may consider policies, fintech integration, Southeast Asian market etc.)</x:v>
      </x:c>
      <x:c r="F116" s="31" t="str">
        <x:v>Company, Industry &amp; Deals</x:v>
      </x:c>
      <x:c r="G116" s="30" t="str">
        <x:v>CL1040</x:v>
      </x:c>
      <x:c r="H116" s="32" t="n">
        <x:f>COUNTIF($G$5:$G$117,G116)</x:f>
        <x:v>1</x:v>
      </x:c>
      <x:c r="I116" s="30" t="str">
        <x:v>A13</x:v>
      </x:c>
      <x:c r="J116" s="31" t="str">
        <x:v>One of the heads of group strategy is English, so be prepared for English accent | How well do you know about HKEX and this department? | What is the recent development of HKEX?</x:v>
      </x:c>
    </x:row>
    <x:row r="117" ht="118" customHeight="1">
      <x:c r="A117" s="30" t="str">
        <x:v>QB2946</x:v>
      </x:c>
      <x:c r="B117" s="30" t="str">
        <x:v>HKEX</x:v>
      </x:c>
      <x:c r="C117" s="30" t="str">
        <x:v>PE / VC / Other</x:v>
      </x:c>
      <x:c r="D117" s="31" t="str">
        <x:v>Tell me about a recent news event and your understanding of its impact on HKEX.</x:v>
      </x:c>
      <x:c r="E117" s="31" t="str">
        <x:v>Tell me about a recent news event and your understanding of its impact on HKEX</x:v>
      </x:c>
      <x:c r="F117" s="31" t="str">
        <x:v>Company, Industry &amp; Deals</x:v>
      </x:c>
      <x:c r="G117" s="30" t="str">
        <x:v>CL0726</x:v>
      </x:c>
      <x:c r="H117" s="32" t="n">
        <x:f>COUNTIF($G$5:$G$117,G117)</x:f>
        <x:v>1</x:v>
      </x:c>
      <x:c r="I117" s="30" t="str">
        <x:v>A15</x:v>
      </x:c>
      <x:c r="J117" s="31" t="str">
        <x:v>What is the recent development of HKEX? | What would you recommend HKEX to do in the future (you may consider policies, fintech integration, Southeast Asian market etc.) | What are the differences between HKEX, SSE, SZSE, NASDAQ, NYSE in...</x:v>
      </x:c>
    </x:row>
  </x:sheetData>
  <x:mergeCells>
    <x:mergeCell ref="A1:J1"/>
    <x:mergeCell ref="A2:J2"/>
  </x:mergeCells>
  <x:conditionalFormatting sqref="H5:H117">
    <x:cfRule type="cellIs" dxfId="18" priority="1" operator="greaterThan">
      <x:formula>1</x:formula>
    </x:cfRule>
  </x:conditionalFormatting>
  <x:pageMargins left="0.7" right="0.7" top="0.75" bottom="0.75" header="0.3" footer="0.3"/>
  <x:tableParts count="1">
    <x:tablePart xmlns:r="http://schemas.openxmlformats.org/officeDocument/2006/relationships" r:id="Rab99081d1afc4f86"/>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Investment Pitch</x:v>
      </x:c>
      <x:c r="B1" s="3"/>
      <x:c r="C1" s="3"/>
      <x:c r="D1" s="3"/>
      <x:c r="E1" s="3"/>
      <x:c r="F1" s="3"/>
      <x:c r="G1" s="3"/>
      <x:c r="H1" s="3"/>
      <x:c r="I1" s="3"/>
      <x:c r="J1" s="3"/>
    </x:row>
    <x:row r="2" ht="30" customHeight="1">
      <x:c r="A2" s="7" t="str">
        <x:v>Preparation list for Investment Pitch.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QB0242</x:v>
      </x:c>
      <x:c r="B5" s="30" t="str">
        <x:v>MS GCM</x:v>
      </x:c>
      <x:c r="C5" s="30" t="str">
        <x:v>IBD / GCM</x:v>
      </x:c>
      <x:c r="D5" s="31" t="str">
        <x:v>Pitch me a stock</x:v>
      </x:c>
      <x:c r="E5" s="31" t="str">
        <x:v>Pitch me a stock</x:v>
      </x:c>
      <x:c r="F5" s="31" t="str">
        <x:v>Investment Pitch</x:v>
      </x:c>
      <x:c r="G5" s="30" t="str">
        <x:v>CL0006</x:v>
      </x:c>
      <x:c r="H5" s="32" t="n">
        <x:f>COUNTIF($G$5:$G$25,G5)</x:f>
        <x:v>14</x:v>
      </x:c>
      <x:c r="I5" s="30" t="str">
        <x:v>A5</x:v>
      </x:c>
      <x:c r="J5" s="31" t="str">
        <x:v>First Round | Emily | Tell me about yourself</x:v>
      </x:c>
    </x:row>
    <x:row r="6" ht="32" customHeight="1">
      <x:c r="A6" s="30" t="str">
        <x:v>QB0317</x:v>
      </x:c>
      <x:c r="B6" s="30" t="str">
        <x:v>MS GCM</x:v>
      </x:c>
      <x:c r="C6" s="30" t="str">
        <x:v>IBD / GCM</x:v>
      </x:c>
      <x:c r="D6" s="31" t="str">
        <x:v>Pitch me a stock;</x:v>
      </x:c>
      <x:c r="E6" s="31" t="str">
        <x:v>Pitch me a stock</x:v>
      </x:c>
      <x:c r="F6" s="31" t="str">
        <x:v>Investment Pitch</x:v>
      </x:c>
      <x:c r="G6" s="30" t="str">
        <x:v>CL0006</x:v>
      </x:c>
      <x:c r="H6" s="32" t="n">
        <x:f>COUNTIF($G$5:$G$25,G6)</x:f>
        <x:v>14</x:v>
      </x:c>
      <x:c r="I6" s="30" t="str">
        <x:v>C70</x:v>
      </x:c>
      <x:c r="J6" s="31" t="str">
        <x:v>why GCM; | why banking; | why hk not Yunnan;</x:v>
      </x:c>
    </x:row>
    <x:row r="7" ht="48" customHeight="1">
      <x:c r="A7" s="30" t="str">
        <x:v>QB0377</x:v>
      </x:c>
      <x:c r="B7" s="30" t="str">
        <x:v>MS GCM</x:v>
      </x:c>
      <x:c r="C7" s="30" t="str">
        <x:v>IBD / GCM</x:v>
      </x:c>
      <x:c r="D7" s="31" t="str">
        <x:v>other sector you followed? pitch a stock in that sector (i wanna pitch one listed in mainland, she said No, can only pitch stock listed in hk)</x:v>
      </x:c>
      <x:c r="E7" s="31" t="str">
        <x:v>Pitch me a stock</x:v>
      </x:c>
      <x:c r="F7" s="31" t="str">
        <x:v>Investment Pitch</x:v>
      </x:c>
      <x:c r="G7" s="30" t="str">
        <x:v>CL0006</x:v>
      </x:c>
      <x:c r="H7" s="32" t="n">
        <x:f>COUNTIF($G$5:$G$25,G7)</x:f>
        <x:v>14</x:v>
      </x:c>
      <x:c r="I7" s="30" t="str">
        <x:v>C115</x:v>
      </x:c>
      <x:c r="J7" s="31" t="str">
        <x:v>Why GCM instead of other divisions? | Why not ER? | stock your team covered with the highest market cap ( and i pitched a stock)</x:v>
      </x:c>
    </x:row>
    <x:row r="8" ht="68" customHeight="1">
      <x:c r="A8" s="30" t="str">
        <x:v>QB0378</x:v>
      </x:c>
      <x:c r="B8" s="30" t="str">
        <x:v>MS GCM</x:v>
      </x:c>
      <x:c r="C8" s="30" t="str">
        <x:v>IBD / GCM</x:v>
      </x:c>
      <x:c r="D8" s="31" t="str">
        <x:v>grill on stock pitch (many follow-up questions)</x:v>
      </x:c>
      <x:c r="E8" s="31" t="str">
        <x:v>Pitch me a stock</x:v>
      </x:c>
      <x:c r="F8" s="31" t="str">
        <x:v>Investment Pitch</x:v>
      </x:c>
      <x:c r="G8" s="30" t="str">
        <x:v>CL0006</x:v>
      </x:c>
      <x:c r="H8" s="32" t="n">
        <x:f>COUNTIF($G$5:$G$25,G8)</x:f>
        <x:v>14</x:v>
      </x:c>
      <x:c r="I8" s="30" t="str">
        <x:v>C116</x:v>
      </x:c>
      <x:c r="J8" s="31" t="str">
        <x:v>Why not ER? | stock your team covered with the highest market cap ( and i pitched a stock) | other sector you followed? pitch a stock in that sector (i wanna pitch one listed in mainland, she said No, can only pitch stock listed in hk)</x:v>
      </x:c>
    </x:row>
    <x:row r="9" ht="48" customHeight="1">
      <x:c r="A9" s="30" t="str">
        <x:v>QB0390</x:v>
      </x:c>
      <x:c r="B9" s="30" t="str">
        <x:v>MS GCM</x:v>
      </x:c>
      <x:c r="C9" s="30" t="str">
        <x:v>IBD / GCM</x:v>
      </x:c>
      <x:c r="D9" s="31" t="str">
        <x:v>some other follow-up questions on my previous stock pitch</x:v>
      </x:c>
      <x:c r="E9" s="31" t="str">
        <x:v>Pitch me a stock</x:v>
      </x:c>
      <x:c r="F9" s="31" t="str">
        <x:v>Investment Pitch</x:v>
      </x:c>
      <x:c r="G9" s="30" t="str">
        <x:v>CL0006</x:v>
      </x:c>
      <x:c r="H9" s="32" t="n">
        <x:f>COUNTIF($G$5:$G$25,G9)</x:f>
        <x:v>14</x:v>
      </x:c>
      <x:c r="I9" s="30" t="str">
        <x:v>C122</x:v>
      </x:c>
      <x:c r="J9" s="31" t="str">
        <x:v>how to find comps | what multiples you used for valuation of this stcok | explain different multiples and their applications</x:v>
      </x:c>
    </x:row>
    <x:row r="10" ht="68" customHeight="1">
      <x:c r="A10" s="30" t="str">
        <x:v>QB0592</x:v>
      </x:c>
      <x:c r="B10" s="30" t="str">
        <x:v>Deutsche</x:v>
      </x:c>
      <x:c r="C10" s="30" t="str">
        <x:v>IBD / GCM</x:v>
      </x:c>
      <x:c r="D10" s="31" t="str">
        <x:v>Stock Pitch - What's the market cap of the stock? What's the rationale?</x:v>
      </x:c>
      <x:c r="E10" s="31" t="str">
        <x:v>Pitch me a stock</x:v>
      </x:c>
      <x:c r="F10" s="31" t="str">
        <x:v>Investment Pitch</x:v>
      </x:c>
      <x:c r="G10" s="30" t="str">
        <x:v>CL0006</x:v>
      </x:c>
      <x:c r="H10" s="32" t="n">
        <x:f>COUNTIF($G$5:$G$25,G10)</x:f>
        <x:v>14</x:v>
      </x:c>
      <x:c r="I10" s="30" t="str">
        <x:v>C9</x:v>
      </x:c>
      <x:c r="J10" s="31" t="str">
        <x:v>Why do IBD now given bad economy? (grilled for around 5 minutes with a lot of follow-ups) | What's your view on China, and in these times how can IBs survive? | (grilled for around 5 minutes with a lot of follow-ups)</x:v>
      </x:c>
    </x:row>
    <x:row r="11" ht="92" customHeight="1">
      <x:c r="A11" s="30" t="str">
        <x:v>QB0699</x:v>
      </x:c>
      <x:c r="B11" s="30" t="str">
        <x:v>Deutsche</x:v>
      </x:c>
      <x:c r="C11" s="30" t="str">
        <x:v>IBD / GCM</x:v>
      </x:c>
      <x:c r="D11" s="31" t="str">
        <x:v>3 Investment thesis for the logistic/freight forwarding business</x:v>
      </x:c>
      <x:c r="E11" s="31" t="str">
        <x:v>3 Investment thesis for the logistic/freight forwarding business</x:v>
      </x:c>
      <x:c r="F11" s="31" t="str">
        <x:v>Investment Pitch</x:v>
      </x:c>
      <x:c r="G11" s="30" t="str">
        <x:v>CL0074</x:v>
      </x:c>
      <x:c r="H11" s="32" t="n">
        <x:f>COUNTIF($G$5:$G$25,G11)</x:f>
        <x:v>1</x:v>
      </x:c>
      <x:c r="I11" s="30" t="str">
        <x:v>C68</x:v>
      </x:c>
      <x:c r="J11" s="31" t="str">
        <x:v>You are paying 50% cash and 50% debt for a house, the rental income can just offset the debt payment every month so your cash flow is zeroed, you sell the house five years later, is your IRR positive, negative or zero? | What you did at ...</x:v>
      </x:c>
    </x:row>
    <x:row r="12" ht="32" customHeight="1">
      <x:c r="A12" s="30" t="str">
        <x:v>QB0986</x:v>
      </x:c>
      <x:c r="B12" s="30" t="str">
        <x:v>Barclays</x:v>
      </x:c>
      <x:c r="C12" s="30" t="str">
        <x:v>IBD / GCM</x:v>
      </x:c>
      <x:c r="D12" s="31" t="str">
        <x:v>Outlook for the company, investment thesis, company overview</x:v>
      </x:c>
      <x:c r="E12" s="31" t="str">
        <x:v>Outlook for the company, investment thesis, company overview</x:v>
      </x:c>
      <x:c r="F12" s="31" t="str">
        <x:v>Investment Pitch</x:v>
      </x:c>
      <x:c r="G12" s="30" t="str">
        <x:v>CL0629</x:v>
      </x:c>
      <x:c r="H12" s="32" t="n">
        <x:f>COUNTIF($G$5:$G$25,G12)</x:f>
        <x:v>1</x:v>
      </x:c>
      <x:c r="I12" s="30" t="str">
        <x:v>G17</x:v>
      </x:c>
      <x:c r="J12" s="31" t="str">
        <x:v>Self intro | Why Barclays and why IBD | Pre-IPO deal, what you did</x:v>
      </x:c>
    </x:row>
    <x:row r="13" ht="32" customHeight="1">
      <x:c r="A13" s="30" t="str">
        <x:v>QB1986</x:v>
      </x:c>
      <x:c r="B13" s="30" t="str">
        <x:v>Greenhill</x:v>
      </x:c>
      <x:c r="C13" s="30" t="str">
        <x:v>IBD / GCM</x:v>
      </x:c>
      <x:c r="D13" s="31" t="str">
        <x:v>Pitch me a stock</x:v>
      </x:c>
      <x:c r="E13" s="31" t="str">
        <x:v>Pitch me a stock</x:v>
      </x:c>
      <x:c r="F13" s="31" t="str">
        <x:v>Investment Pitch</x:v>
      </x:c>
      <x:c r="G13" s="30" t="str">
        <x:v>CL0006</x:v>
      </x:c>
      <x:c r="H13" s="32" t="n">
        <x:f>COUNTIF($G$5:$G$25,G13)</x:f>
        <x:v>14</x:v>
      </x:c>
      <x:c r="I13" s="30" t="str">
        <x:v>A4</x:v>
      </x:c>
      <x:c r="J13" s="31" t="str">
        <x:v>2024 SA | First Round | Emily</x:v>
      </x:c>
    </x:row>
    <x:row r="14" ht="48" customHeight="1">
      <x:c r="A14" s="30" t="str">
        <x:v>QB2236</x:v>
      </x:c>
      <x:c r="B14" s="30" t="str">
        <x:v>GS PWM</x:v>
      </x:c>
      <x:c r="C14" s="30" t="str">
        <x:v>PWM / AM</x:v>
      </x:c>
      <x:c r="D14" s="31" t="str">
        <x:v>Pitch me a stock</x:v>
      </x:c>
      <x:c r="E14" s="31" t="str">
        <x:v>Pitch me a stock</x:v>
      </x:c>
      <x:c r="F14" s="31" t="str">
        <x:v>Investment Pitch</x:v>
      </x:c>
      <x:c r="G14" s="30" t="str">
        <x:v>CL0006</x:v>
      </x:c>
      <x:c r="H14" s="32" t="n">
        <x:f>COUNTIF($G$5:$G$25,G14)</x:f>
        <x:v>14</x:v>
      </x:c>
      <x:c r="I14" s="30" t="str">
        <x:v>A42</x:v>
      </x:c>
      <x:c r="J14" s="31" t="str">
        <x:v>详细讲讲你的PA Investment - follow-up: 做投资决定的主要参考依据？调仓的频率？ | What is the culture of GS? | If you could change one aspect of the GS, what will you do?</x:v>
      </x:c>
    </x:row>
    <x:row r="15" ht="48" customHeight="1">
      <x:c r="A15" s="30" t="str">
        <x:v>QB2407</x:v>
      </x:c>
      <x:c r="B15" s="30" t="str">
        <x:v>BlackRock</x:v>
      </x:c>
      <x:c r="C15" s="30" t="str">
        <x:v>PWM / AM</x:v>
      </x:c>
      <x:c r="D15" s="31" t="str">
        <x:v>pitch me a stock</x:v>
      </x:c>
      <x:c r="E15" s="31" t="str">
        <x:v>Pitch me a stock</x:v>
      </x:c>
      <x:c r="F15" s="31" t="str">
        <x:v>Investment Pitch</x:v>
      </x:c>
      <x:c r="G15" s="30" t="str">
        <x:v>CL0006</x:v>
      </x:c>
      <x:c r="H15" s="32" t="n">
        <x:f>COUNTIF($G$5:$G$25,G15)</x:f>
        <x:v>14</x:v>
      </x:c>
      <x:c r="I15" s="30" t="str">
        <x:v>A36</x:v>
      </x:c>
      <x:c r="J15" s="31" t="str">
        <x:v>tell me a time about when u took a risk without knowing the outcome | Round 1 (Interviewer 2) | introduce yourself</x:v>
      </x:c>
    </x:row>
    <x:row r="16" ht="48" customHeight="1">
      <x:c r="A16" s="30" t="str">
        <x:v>QB2540</x:v>
      </x:c>
      <x:c r="B16" s="30" t="str">
        <x:v>MS IED</x:v>
      </x:c>
      <x:c r="C16" s="30" t="str">
        <x:v>Sales &amp; Trading</x:v>
      </x:c>
      <x:c r="D16" s="31" t="str">
        <x:v>Pitch a stock for 10 mins (45 mins prep time + reading materials inclduing general house view + MS stock picks)</x:v>
      </x:c>
      <x:c r="E16" s="31" t="str">
        <x:v>Pitch me a stock</x:v>
      </x:c>
      <x:c r="F16" s="31" t="str">
        <x:v>Investment Pitch</x:v>
      </x:c>
      <x:c r="G16" s="30" t="str">
        <x:v>CL0006</x:v>
      </x:c>
      <x:c r="H16" s="32" t="n">
        <x:f>COUNTIF($G$5:$G$25,G16)</x:f>
        <x:v>14</x:v>
      </x:c>
      <x:c r="I16" s="30" t="str">
        <x:v>A3</x:v>
      </x:c>
      <x:c r="J16" s="31" t="str">
        <x:v>2025 SA/IP IED | Round 1 (Mike &amp; Micheal Wong)</x:v>
      </x:c>
    </x:row>
    <x:row r="17" ht="48" customHeight="1">
      <x:c r="A17" s="30" t="str">
        <x:v>QB2565</x:v>
      </x:c>
      <x:c r="B17" s="30" t="str">
        <x:v>MS IED</x:v>
      </x:c>
      <x:c r="C17" s="30" t="str">
        <x:v>Sales &amp; Trading</x:v>
      </x:c>
      <x:c r="D17" s="31" t="str">
        <x:v>Stock Pitch (45min prep + 10min pre + 5min Q&amp;A)</x:v>
      </x:c>
      <x:c r="E17" s="31" t="str">
        <x:v>Pitch me a stock</x:v>
      </x:c>
      <x:c r="F17" s="31" t="str">
        <x:v>Investment Pitch</x:v>
      </x:c>
      <x:c r="G17" s="30" t="str">
        <x:v>CL0006</x:v>
      </x:c>
      <x:c r="H17" s="32" t="n">
        <x:f>COUNTIF($G$5:$G$25,G17)</x:f>
        <x:v>14</x:v>
      </x:c>
      <x:c r="I17" s="30" t="str">
        <x:v>A17</x:v>
      </x:c>
      <x:c r="J17" s="31" t="str">
        <x:v>behavourial on what would u do if client is mad at u and boss is away from desk | Hazel | Round 1 (Riccardo - cross product sales)</x:v>
      </x:c>
    </x:row>
    <x:row r="18" ht="68" customHeight="1">
      <x:c r="A18" s="30" t="str">
        <x:v>QB2579</x:v>
      </x:c>
      <x:c r="B18" s="30" t="str">
        <x:v>MS IED</x:v>
      </x:c>
      <x:c r="C18" s="30" t="str">
        <x:v>Sales &amp; Trading</x:v>
      </x:c>
      <x:c r="D18" s="31" t="str">
        <x:v>Give me one investment idea</x:v>
      </x:c>
      <x:c r="E18" s="31" t="str">
        <x:v>Give me one investment idea</x:v>
      </x:c>
      <x:c r="F18" s="31" t="str">
        <x:v>Investment Pitch</x:v>
      </x:c>
      <x:c r="G18" s="30" t="str">
        <x:v>CL0349</x:v>
      </x:c>
      <x:c r="H18" s="32" t="n">
        <x:f>COUNTIF($G$5:$G$25,G18)</x:f>
        <x:v>1</x:v>
      </x:c>
      <x:c r="I18" s="30" t="str">
        <x:v>A20</x:v>
      </x:c>
      <x:c r="J18" s="31" t="str">
        <x:v>why pitch Ctrip but not Meituan since they're all China consumption sector | US election impact on the China's consumption sector | tell me what you know about the China policy pivot (detail such as size of the swap facility)</x:v>
      </x:c>
    </x:row>
    <x:row r="19" ht="32" customHeight="1">
      <x:c r="A19" s="30" t="str">
        <x:v>QB2591</x:v>
      </x:c>
      <x:c r="B19" s="30" t="str">
        <x:v>MS IED</x:v>
      </x:c>
      <x:c r="C19" s="30" t="str">
        <x:v>Sales &amp; Trading</x:v>
      </x:c>
      <x:c r="D19" s="31" t="str">
        <x:v>Stock Pitch (30min prep + 10min pre + 5min Q&amp;A)</x:v>
      </x:c>
      <x:c r="E19" s="31" t="str">
        <x:v>Pitch me a stock</x:v>
      </x:c>
      <x:c r="F19" s="31" t="str">
        <x:v>Investment Pitch</x:v>
      </x:c>
      <x:c r="G19" s="30" t="str">
        <x:v>CL0006</x:v>
      </x:c>
      <x:c r="H19" s="32" t="n">
        <x:f>COUNTIF($G$5:$G$25,G19)</x:f>
        <x:v>14</x:v>
      </x:c>
      <x:c r="I19" s="30" t="str">
        <x:v>A28</x:v>
      </x:c>
      <x:c r="J19" s="31" t="str">
        <x:v>2026 SA/IP IED | John | Round 1 (David - ? and ? - EQ Sales)</x:v>
      </x:c>
    </x:row>
    <x:row r="20" ht="68" customHeight="1">
      <x:c r="A20" s="30" t="str">
        <x:v>QB2594</x:v>
      </x:c>
      <x:c r="B20" s="30" t="str">
        <x:v>MS IED</x:v>
      </x:c>
      <x:c r="C20" s="30" t="str">
        <x:v>Sales &amp; Trading</x:v>
      </x:c>
      <x:c r="D20" s="31" t="str">
        <x:v>The stock you pitched just suffered a 5% price slump this morning. Any ideas on what's going on?</x:v>
      </x:c>
      <x:c r="E20" s="31" t="str">
        <x:v>The stock you pitched just suffered a 5% price slump this morning. Any ideas on what's going on</x:v>
      </x:c>
      <x:c r="F20" s="31" t="str">
        <x:v>Investment Pitch</x:v>
      </x:c>
      <x:c r="G20" s="30" t="str">
        <x:v>CL0783</x:v>
      </x:c>
      <x:c r="H20" s="32" t="n">
        <x:f>COUNTIF($G$5:$G$25,G20)</x:f>
        <x:v>1</x:v>
      </x:c>
      <x:c r="I20" s="30" t="str">
        <x:v>B30</x:v>
      </x:c>
      <x:c r="J20" s="31" t="str">
        <x:v>as portfolio manager what would u consider to do | what is the one thing u felt has not been priced in and investors should be most excited about | market beta questions &amp; what happens if economy is sluggish</x:v>
      </x:c>
    </x:row>
    <x:row r="21" ht="48" customHeight="1">
      <x:c r="A21" s="30" t="str">
        <x:v>QB2604</x:v>
      </x:c>
      <x:c r="B21" s="30" t="str">
        <x:v>MS IED</x:v>
      </x:c>
      <x:c r="C21" s="30" t="str">
        <x:v>Sales &amp; Trading</x:v>
      </x:c>
      <x:c r="D21" s="31" t="str">
        <x:v>Tell me about you PA account - what's the stock that you most want to buy? (essentially a stock pitch)</x:v>
      </x:c>
      <x:c r="E21" s="31" t="str">
        <x:v>Pitch me a stock</x:v>
      </x:c>
      <x:c r="F21" s="31" t="str">
        <x:v>Investment Pitch</x:v>
      </x:c>
      <x:c r="G21" s="30" t="str">
        <x:v>CL0006</x:v>
      </x:c>
      <x:c r="H21" s="32" t="n">
        <x:f>COUNTIF($G$5:$G$25,G21)</x:f>
        <x:v>14</x:v>
      </x:c>
      <x:c r="I21" s="30" t="str">
        <x:v>A43</x:v>
      </x:c>
      <x:c r="J21" s="31" t="str">
        <x:v>What's the stock price of MS today and what are some of the drivers of the stock recently? | Round 2 (Sharon Sham - ED, Ele Trading) | Walk me through you CV</x:v>
      </x:c>
    </x:row>
    <x:row r="22" ht="32" customHeight="1">
      <x:c r="A22" s="30" t="str">
        <x:v>QB2806</x:v>
      </x:c>
      <x:c r="B22" s="30" t="str">
        <x:v>Others (eg. PE, CB...)</x:v>
      </x:c>
      <x:c r="C22" s="30" t="str">
        <x:v>PE / VC / Other</x:v>
      </x:c>
      <x:c r="D22" s="31" t="str">
        <x:v>Recent stock pitch</x:v>
      </x:c>
      <x:c r="E22" s="31" t="str">
        <x:v>Pitch me a stock</x:v>
      </x:c>
      <x:c r="F22" s="31" t="str">
        <x:v>Investment Pitch</x:v>
      </x:c>
      <x:c r="G22" s="30" t="str">
        <x:v>CL0006</x:v>
      </x:c>
      <x:c r="H22" s="32" t="n">
        <x:f>COUNTIF($G$5:$G$25,G22)</x:f>
        <x:v>14</x:v>
      </x:c>
      <x:c r="I22" s="30" t="str">
        <x:v>E9</x:v>
      </x:c>
      <x:c r="J22" s="31" t="str">
        <x:v>Hobbies outside work &amp; school | Career plan | Questions for him</x:v>
      </x:c>
    </x:row>
    <x:row r="23" ht="32" customHeight="1">
      <x:c r="A23" s="30" t="str">
        <x:v>QB2836</x:v>
      </x:c>
      <x:c r="B23" s="30" t="str">
        <x:v>UBS AM</x:v>
      </x:c>
      <x:c r="C23" s="30" t="str">
        <x:v>PWM / AM</x:v>
      </x:c>
      <x:c r="D23" s="31" t="str">
        <x:v>Pitch me an investment idea</x:v>
      </x:c>
      <x:c r="E23" s="31" t="str">
        <x:v>Pitch me an investment idea</x:v>
      </x:c>
      <x:c r="F23" s="31" t="str">
        <x:v>Investment Pitch</x:v>
      </x:c>
      <x:c r="G23" s="30" t="str">
        <x:v>CL0635</x:v>
      </x:c>
      <x:c r="H23" s="32" t="n">
        <x:f>COUNTIF($G$5:$G$25,G23)</x:f>
        <x:v>1</x:v>
      </x:c>
      <x:c r="I23" s="30" t="str">
        <x:v>A17</x:v>
      </x:c>
      <x:c r="J23" s="31" t="str">
        <x:v>Technical | Self introduction | Why AM?</x:v>
      </x:c>
    </x:row>
    <x:row r="24" ht="32" customHeight="1">
      <x:c r="A24" s="30" t="str">
        <x:v>QB2982</x:v>
      </x:c>
      <x:c r="B24" s="30" t="str">
        <x:v>Mindworks Capital</x:v>
      </x:c>
      <x:c r="C24" s="30" t="str">
        <x:v>PE / VC / Other</x:v>
      </x:c>
      <x:c r="D24" s="31" t="str">
        <x:v>Pitch me a company</x:v>
      </x:c>
      <x:c r="E24" s="31" t="str">
        <x:v>Pitch me a company</x:v>
      </x:c>
      <x:c r="F24" s="31" t="str">
        <x:v>Investment Pitch</x:v>
      </x:c>
      <x:c r="G24" s="30" t="str">
        <x:v>CL0633</x:v>
      </x:c>
      <x:c r="H24" s="32" t="n">
        <x:f>COUNTIF($G$5:$G$25,G24)</x:f>
        <x:v>1</x:v>
      </x:c>
      <x:c r="I24" s="30" t="str">
        <x:v>C4</x:v>
      </x:c>
      <x:c r="J24" s="31" t="str">
        <x:v>Analyst interview</x:v>
      </x:c>
    </x:row>
    <x:row r="25" ht="68" customHeight="1">
      <x:c r="A25" s="30" t="str">
        <x:v>QB2986</x:v>
      </x:c>
      <x:c r="B25" s="30" t="str">
        <x:v>Mindworks Capital</x:v>
      </x:c>
      <x:c r="C25" s="30" t="str">
        <x:v>PE / VC / Other</x:v>
      </x:c>
      <x:c r="D25" s="31" t="str">
        <x:v>A super super long company pitch material for u to read, use 15 minutes to analyze this company, and calculate some unit economies and VC-focus accouting. Use 15 minutes to present your investment thesis.</x:v>
      </x:c>
      <x:c r="E25" s="31" t="str">
        <x:v>A super super long company pitch material for u to read, use 15 minutes to analyze this company, and calculate some unit economies and VC-focus accouting. Use 15 minutes to present your investment thesis</x:v>
      </x:c>
      <x:c r="F25" s="31" t="str">
        <x:v>Investment Pitch</x:v>
      </x:c>
      <x:c r="G25" s="30" t="str">
        <x:v>CL0092</x:v>
      </x:c>
      <x:c r="H25" s="32" t="n">
        <x:f>COUNTIF($G$5:$G$25,G25)</x:f>
        <x:v>1</x:v>
      </x:c>
      <x:c r="I25" s="30" t="str">
        <x:v>E5</x:v>
      </x:c>
      <x:c r="J25" s="31" t="str">
        <x:v>Really hard | Technical interview | Two super long market sizing questions, 5 minutes for thinking and calculation and then present it</x:v>
      </x:c>
    </x:row>
  </x:sheetData>
  <x:mergeCells>
    <x:mergeCell ref="A1:J1"/>
    <x:mergeCell ref="A2:J2"/>
  </x:mergeCells>
  <x:conditionalFormatting sqref="H5:H25">
    <x:cfRule type="cellIs" dxfId="19" priority="1" operator="greaterThan">
      <x:formula>1</x:formula>
    </x:cfRule>
  </x:conditionalFormatting>
  <x:pageMargins left="0.7" right="0.7" top="0.75" bottom="0.75" header="0.3" footer="0.3"/>
  <x:tableParts count="1">
    <x:tablePart xmlns:r="http://schemas.openxmlformats.org/officeDocument/2006/relationships" r:id="Rcd4a2d4f7c96479c"/>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Private Equity &amp; LBO</x:v>
      </x:c>
      <x:c r="B1" s="3"/>
      <x:c r="C1" s="3"/>
      <x:c r="D1" s="3"/>
      <x:c r="E1" s="3"/>
      <x:c r="F1" s="3"/>
      <x:c r="G1" s="3"/>
      <x:c r="H1" s="3"/>
      <x:c r="I1" s="3"/>
      <x:c r="J1" s="3"/>
    </x:row>
    <x:row r="2" ht="30" customHeight="1">
      <x:c r="A2" s="7" t="str">
        <x:v>Preparation list for Private Equity &amp; LBO.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48" customHeight="1">
      <x:c r="A5" s="30" t="str">
        <x:v>QB0060</x:v>
      </x:c>
      <x:c r="B5" s="30" t="str">
        <x:v>MS IBD</x:v>
      </x:c>
      <x:c r="C5" s="30" t="str">
        <x:v>IBD / GCM</x:v>
      </x:c>
      <x:c r="D5" s="31" t="str">
        <x:v>How do equity fund/buyout fund make money</x:v>
      </x:c>
      <x:c r="E5" s="31" t="str">
        <x:v>How do equity fund/buyout fund make money</x:v>
      </x:c>
      <x:c r="F5" s="31" t="str">
        <x:v>Private Equity &amp; LBO</x:v>
      </x:c>
      <x:c r="G5" s="30" t="str">
        <x:v>CL0394</x:v>
      </x:c>
      <x:c r="H5" s="32" t="n">
        <x:f>COUNTIF($G$5:$G$22,G5)</x:f>
        <x:v>1</x:v>
      </x:c>
      <x:c r="I5" s="30" t="str">
        <x:v>A25</x:v>
      </x:c>
      <x:c r="J5" s="31" t="str">
        <x:v>Are u native mainland Chinese | Why doing college in Hong Kong | difference between securities in mainland China and ibd in Hong Kong</x:v>
      </x:c>
    </x:row>
    <x:row r="6" ht="68" customHeight="1">
      <x:c r="A6" s="30" t="str">
        <x:v>QB0233</x:v>
      </x:c>
      <x:c r="B6" s="30" t="str">
        <x:v>MS IBD</x:v>
      </x:c>
      <x:c r="C6" s="30" t="str">
        <x:v>IBD / GCM</x:v>
      </x:c>
      <x:c r="D6" s="31" t="str">
        <x:v>Walk me through a LBO</x:v>
      </x:c>
      <x:c r="E6" s="31" t="str">
        <x:v>Walk me through a LBO</x:v>
      </x:c>
      <x:c r="F6" s="31" t="str">
        <x:v>Private Equity &amp; LBO</x:v>
      </x:c>
      <x:c r="G6" s="30" t="str">
        <x:v>CL0041</x:v>
      </x:c>
      <x:c r="H6" s="32" t="n">
        <x:f>COUNTIF($G$5:$G$22,G6)</x:f>
        <x:v>2</x:v>
      </x:c>
      <x:c r="I6" s="30" t="str">
        <x:v>A120</x:v>
      </x:c>
      <x:c r="J6" s="31" t="str">
        <x:v>Under what circumstances use EV/EBITDA instead of PE | How to value a firm with -ve CFs (also talked about replacement valuation) | PE 25x acquires PE 15x, accretive or dilutive? Any assumptions?</x:v>
      </x:c>
    </x:row>
    <x:row r="7" ht="68" customHeight="1">
      <x:c r="A7" s="30" t="str">
        <x:v>QB0234</x:v>
      </x:c>
      <x:c r="B7" s="30" t="str">
        <x:v>MS IBD</x:v>
      </x:c>
      <x:c r="C7" s="30" t="str">
        <x:v>IBD / GCM</x:v>
      </x:c>
      <x:c r="D7" s="31" t="str">
        <x:v>Ways to boost the return of LBO investment</x:v>
      </x:c>
      <x:c r="E7" s="31" t="str">
        <x:v>Ways to boost the return of LBO investment</x:v>
      </x:c>
      <x:c r="F7" s="31" t="str">
        <x:v>Private Equity &amp; LBO</x:v>
      </x:c>
      <x:c r="G7" s="30" t="str">
        <x:v>CL0856</x:v>
      </x:c>
      <x:c r="H7" s="32" t="n">
        <x:f>COUNTIF($G$5:$G$22,G7)</x:f>
        <x:v>1</x:v>
      </x:c>
      <x:c r="I7" s="30" t="str">
        <x:v>A121</x:v>
      </x:c>
      <x:c r="J7" s="31" t="str">
        <x:v>How to value a firm with -ve CFs (also talked about replacement valuation) | PE 25x acquires PE 15x, accretive or dilutive? Any assumptions? | Walk me through a LBO</x:v>
      </x:c>
    </x:row>
    <x:row r="8" ht="68" customHeight="1">
      <x:c r="A8" s="30" t="str">
        <x:v>QB0684</x:v>
      </x:c>
      <x:c r="B8" s="30" t="str">
        <x:v>Deutsche</x:v>
      </x:c>
      <x:c r="C8" s="30" t="str">
        <x:v>IBD / GCM</x:v>
      </x:c>
      <x:c r="D8" s="31" t="str">
        <x:v>whats the purpose of LBO</x:v>
      </x:c>
      <x:c r="E8" s="31" t="str">
        <x:v>Whats the purpose of LBO</x:v>
      </x:c>
      <x:c r="F8" s="31" t="str">
        <x:v>Private Equity &amp; LBO</x:v>
      </x:c>
      <x:c r="G8" s="30" t="str">
        <x:v>CL1075</x:v>
      </x:c>
      <x:c r="H8" s="32" t="n">
        <x:f>COUNTIF($G$5:$G$22,G8)</x:f>
        <x:v>1</x:v>
      </x:c>
      <x:c r="I8" s="30" t="str">
        <x:v>A58</x:v>
      </x:c>
      <x:c r="J8" s="31" t="str">
        <x:v>100 PP&amp;E sale, 50 book value, walk through 3 statements | 100 debt and 10% PIK interest, walk through 3 statements in y0 and y1 | valuation now: EV / FY+1 EBITDA, for 2030 exit multiple, which year’s EV should you use</x:v>
      </x:c>
    </x:row>
    <x:row r="9" ht="92" customHeight="1">
      <x:c r="A9" s="30" t="str">
        <x:v>QB0744</x:v>
      </x:c>
      <x:c r="B9" s="30" t="str">
        <x:v>Deutsche</x:v>
      </x:c>
      <x:c r="C9" s="30" t="str">
        <x:v>IBD / GCM</x:v>
      </x:c>
      <x:c r="D9" s="31" t="str">
        <x:v>If your are a financial sponsor, what's the answer?</x:v>
      </x:c>
      <x:c r="E9" s="31" t="str">
        <x:v>If your are a financial sponsor, what's the answer</x:v>
      </x:c>
      <x:c r="F9" s="31" t="str">
        <x:v>Private Equity &amp; LBO</x:v>
      </x:c>
      <x:c r="G9" s="30" t="str">
        <x:v>CL0534</x:v>
      </x:c>
      <x:c r="H9" s="32" t="n">
        <x:f>COUNTIF($G$5:$G$22,G9)</x:f>
        <x:v>1</x:v>
      </x:c>
      <x:c r="I9" s="30" t="str">
        <x:v>C95</x:v>
      </x:c>
      <x:c r="J9" s="31" t="str">
        <x:v>Sounds well-rehearsaled, tell me the real reason | We have a company with 50% boring and stable business, lower margin, another 50% faster growing consultancy based higher margin business, which business unit will you value with higher v...</x:v>
      </x:c>
    </x:row>
    <x:row r="10" ht="92" customHeight="1">
      <x:c r="A10" s="30" t="str">
        <x:v>QB0746</x:v>
      </x:c>
      <x:c r="B10" s="30" t="str">
        <x:v>Deutsche</x:v>
      </x:c>
      <x:c r="C10" s="30" t="str">
        <x:v>IBD / GCM</x:v>
      </x:c>
      <x:c r="D10" s="31" t="str">
        <x:v>In an LBO model, what item comes below EBITDA lines, why?</x:v>
      </x:c>
      <x:c r="E10" s="31" t="str">
        <x:v>In an LBO model, what item comes below EBITDA lines, why</x:v>
      </x:c>
      <x:c r="F10" s="31" t="str">
        <x:v>Private Equity &amp; LBO</x:v>
      </x:c>
      <x:c r="G10" s="30" t="str">
        <x:v>CL0536</x:v>
      </x:c>
      <x:c r="H10" s="32" t="n">
        <x:f>COUNTIF($G$5:$G$22,G10)</x:f>
        <x:v>1</x:v>
      </x:c>
      <x:c r="I10" s="30" t="str">
        <x:v>C96</x:v>
      </x:c>
      <x:c r="J10" s="31" t="str">
        <x:v>We have a company with 50% boring and stable business, lower margin, another 50% faster growing consultancy based higher margin business, which business unit will you value with higher value? | If you are a strategic buyer, what's the an...</x:v>
      </x:c>
    </x:row>
    <x:row r="11" ht="68" customHeight="1">
      <x:c r="A11" s="30" t="str">
        <x:v>QB0795</x:v>
      </x:c>
      <x:c r="B11" s="30" t="str">
        <x:v>Deutsche</x:v>
      </x:c>
      <x:c r="C11" s="30" t="str">
        <x:v>IBD / GCM</x:v>
      </x:c>
      <x:c r="D11" s="31" t="str">
        <x:v>walk me through lbo</x:v>
      </x:c>
      <x:c r="E11" s="31" t="str">
        <x:v>Walk me through lbo</x:v>
      </x:c>
      <x:c r="F11" s="31" t="str">
        <x:v>Private Equity &amp; LBO</x:v>
      </x:c>
      <x:c r="G11" s="30" t="str">
        <x:v>CL0041</x:v>
      </x:c>
      <x:c r="H11" s="32" t="n">
        <x:f>COUNTIF($G$5:$G$22,G11)</x:f>
        <x:v>2</x:v>
      </x:c>
      <x:c r="I11" s="30" t="str">
        <x:v>C128</x:v>
      </x:c>
      <x:c r="J11" s="31" t="str">
        <x:v>one very specific deal (investment thesis, valuation, comps) | you worked at secondary market before and why IBD? | can you accept the ibd hours after working at buyside?</x:v>
      </x:c>
    </x:row>
    <x:row r="12" ht="68" customHeight="1">
      <x:c r="A12" s="30" t="str">
        <x:v>QB0892</x:v>
      </x:c>
      <x:c r="B12" s="30" t="str">
        <x:v>Citi</x:v>
      </x:c>
      <x:c r="C12" s="30" t="str">
        <x:v>IBD / GCM</x:v>
      </x:c>
      <x:c r="D12" s="31" t="str">
        <x:v>given that you have the operating model already, ,and u dont need to do further assumptions, what steps would you take to convert this into an LBO model</x:v>
      </x:c>
      <x:c r="E12" s="31" t="str">
        <x:v>Given that you have the operating model already, ,and u dont need to do further assumptions, what steps would you take to convert this into an LBO model</x:v>
      </x:c>
      <x:c r="F12" s="31" t="str">
        <x:v>Private Equity &amp; LBO</x:v>
      </x:c>
      <x:c r="G12" s="30" t="str">
        <x:v>CL0353</x:v>
      </x:c>
      <x:c r="H12" s="32" t="n">
        <x:f>COUNTIF($G$5:$G$22,G12)</x:f>
        <x:v>1</x:v>
      </x:c>
      <x:c r="I12" s="30" t="str">
        <x:v>A31</x:v>
      </x:c>
      <x:c r="J12" s="31" t="str">
        <x:v>synergies during m&amp;a | followup: someone mentioned that cost synergy is easier to quantify, when ur doing synergies evaluation, how would you quantify | pros and cons of dcf, trading comps, precedent transactions, when do u prefer which</x:v>
      </x:c>
    </x:row>
    <x:row r="13" ht="48" customHeight="1">
      <x:c r="A13" s="30" t="str">
        <x:v>QB1188</x:v>
      </x:c>
      <x:c r="B13" s="30" t="str">
        <x:v>GS DCMECM</x:v>
      </x:c>
      <x:c r="C13" s="30" t="str">
        <x:v>IBD / GCM</x:v>
      </x:c>
      <x:c r="D13" s="31" t="str">
        <x:v>Recent LBO trend</x:v>
      </x:c>
      <x:c r="E13" s="31" t="str">
        <x:v>Recent LBO trend</x:v>
      </x:c>
      <x:c r="F13" s="31" t="str">
        <x:v>Private Equity &amp; LBO</x:v>
      </x:c>
      <x:c r="G13" s="30" t="str">
        <x:v>CL0659</x:v>
      </x:c>
      <x:c r="H13" s="32" t="n">
        <x:f>COUNTIF($G$5:$G$22,G13)</x:f>
        <x:v>1</x:v>
      </x:c>
      <x:c r="I13" s="30" t="str">
        <x:v>A22</x:v>
      </x:c>
      <x:c r="J13" s="31" t="str">
        <x:v>(she spoke a lot, super nice, so we alr ran out of time here lmao) | 3 Nelson Lo Head of Leveraged Loans | Self intro</x:v>
      </x:c>
    </x:row>
    <x:row r="14" ht="32" customHeight="1">
      <x:c r="A14" s="30" t="str">
        <x:v>QB1304</x:v>
      </x:c>
      <x:c r="B14" s="30" t="str">
        <x:v>Bofa IBD</x:v>
      </x:c>
      <x:c r="C14" s="30" t="str">
        <x:v>IBD / GCM</x:v>
      </x:c>
      <x:c r="D14" s="31" t="str">
        <x:v>How do you calculate the value of preferred shares</x:v>
      </x:c>
      <x:c r="E14" s="31" t="str">
        <x:v>How do you calculate the value of preferred shares</x:v>
      </x:c>
      <x:c r="F14" s="31" t="str">
        <x:v>Private Equity &amp; LBO</x:v>
      </x:c>
      <x:c r="G14" s="30" t="str">
        <x:v>CL0401</x:v>
      </x:c>
      <x:c r="H14" s="32" t="n">
        <x:f>COUNTIF($G$5:$G$22,G14)</x:f>
        <x:v>1</x:v>
      </x:c>
      <x:c r="I14" s="30" t="str">
        <x:v>A25</x:v>
      </x:c>
      <x:c r="J14" s="31" t="str">
        <x:v>Duties in Ody | Post-money valuation of the company | Enterprise value questions</x:v>
      </x:c>
    </x:row>
    <x:row r="15" ht="48" customHeight="1">
      <x:c r="A15" s="30" t="str">
        <x:v>QB1306</x:v>
      </x:c>
      <x:c r="B15" s="30" t="str">
        <x:v>Bofa IBD</x:v>
      </x:c>
      <x:c r="C15" s="30" t="str">
        <x:v>IBD / GCM</x:v>
      </x:c>
      <x:c r="D15" s="31" t="str">
        <x:v>Which one will produce more return: Preferred shares vs corporate bond, senior bond vs junior bond</x:v>
      </x:c>
      <x:c r="E15" s="31" t="str">
        <x:v>Which one will produce more return: Preferred shares vs corporate bond, senior bond vs junior bond</x:v>
      </x:c>
      <x:c r="F15" s="31" t="str">
        <x:v>Private Equity &amp; LBO</x:v>
      </x:c>
      <x:c r="G15" s="30" t="str">
        <x:v>CL1099</x:v>
      </x:c>
      <x:c r="H15" s="32" t="n">
        <x:f>COUNTIF($G$5:$G$22,G15)</x:f>
        <x:v>1</x:v>
      </x:c>
      <x:c r="I15" s="30" t="str">
        <x:v>A26</x:v>
      </x:c>
      <x:c r="J15" s="31" t="str">
        <x:v>Post-money valuation of the company | Enterprise value questions | How do you calculate the value of preferred shares</x:v>
      </x:c>
    </x:row>
    <x:row r="16" ht="48" customHeight="1">
      <x:c r="A16" s="30" t="str">
        <x:v>QB1559</x:v>
      </x:c>
      <x:c r="B16" s="30" t="str">
        <x:v>Moelis</x:v>
      </x:c>
      <x:c r="C16" s="30" t="str">
        <x:v>IBD / GCM</x:v>
      </x:c>
      <x:c r="D16" s="31" t="str">
        <x:v>Tell me about your CPS deal in UBS</x:v>
      </x:c>
      <x:c r="E16" s="31" t="str">
        <x:v>Discuss a recent deal completed by this firm</x:v>
      </x:c>
      <x:c r="F16" s="31" t="str">
        <x:v>Private Equity &amp; LBO</x:v>
      </x:c>
      <x:c r="G16" s="30" t="str">
        <x:v>CL0008</x:v>
      </x:c>
      <x:c r="H16" s="32" t="n">
        <x:f>COUNTIF($G$5:$G$22,G16)</x:f>
        <x:v>1</x:v>
      </x:c>
      <x:c r="I16" s="30" t="str">
        <x:v>A6</x:v>
      </x:c>
      <x:c r="J16" s="31" t="str">
        <x:v>Self intro | How did you do DCF for the energy storage company in ur ER internship? | How did you find the forecast numbers?</x:v>
      </x:c>
    </x:row>
    <x:row r="17" ht="68" customHeight="1">
      <x:c r="A17" s="30" t="str">
        <x:v>QB1633</x:v>
      </x:c>
      <x:c r="B17" s="30" t="str">
        <x:v>Jefferies</x:v>
      </x:c>
      <x:c r="C17" s="30" t="str">
        <x:v>IBD / GCM</x:v>
      </x:c>
      <x:c r="D17" s="31" t="str">
        <x:v>Do you know about LBO? In what situations do you use it and in what situations do you not use it?</x:v>
      </x:c>
      <x:c r="E17" s="31" t="str">
        <x:v>Do you know about LBO? In what situations do you use it and in what situations do you not use it</x:v>
      </x:c>
      <x:c r="F17" s="31" t="str">
        <x:v>Private Equity &amp; LBO</x:v>
      </x:c>
      <x:c r="G17" s="30" t="str">
        <x:v>CL0273</x:v>
      </x:c>
      <x:c r="H17" s="32" t="n">
        <x:f>COUNTIF($G$5:$G$22,G17)</x:f>
        <x:v>1</x:v>
      </x:c>
      <x:c r="I17" s="30" t="str">
        <x:v>C17</x:v>
      </x:c>
      <x:c r="J17" s="31" t="str">
        <x:v>l EV pitch – what’s the value chain? How are the valuation multiples? | How are the 3 FS linked together? | If depreciation is up by 10, how would it affect the 3 FS?</x:v>
      </x:c>
    </x:row>
    <x:row r="18" ht="32" customHeight="1">
      <x:c r="A18" s="30" t="str">
        <x:v>QB1695</x:v>
      </x:c>
      <x:c r="B18" s="30" t="str">
        <x:v>BNP Paribas</x:v>
      </x:c>
      <x:c r="C18" s="30" t="str">
        <x:v>IBD / GCM</x:v>
      </x:c>
      <x:c r="D18" s="31" t="str">
        <x:v>What do you know about LBO</x:v>
      </x:c>
      <x:c r="E18" s="31" t="str">
        <x:v>What do you know about LBO</x:v>
      </x:c>
      <x:c r="F18" s="31" t="str">
        <x:v>Private Equity &amp; LBO</x:v>
      </x:c>
      <x:c r="G18" s="30" t="str">
        <x:v>CL0922</x:v>
      </x:c>
      <x:c r="H18" s="32" t="n">
        <x:f>COUNTIF($G$5:$G$22,G18)</x:f>
        <x:v>1</x:v>
      </x:c>
      <x:c r="I18" s="30" t="str">
        <x:v>E7</x:v>
      </x:c>
      <x:c r="J18" s="31" t="str">
        <x:v>Third Interviewer | Leveraged Finance | Do you know any PE firms</x:v>
      </x:c>
    </x:row>
    <x:row r="19" ht="68" customHeight="1">
      <x:c r="A19" s="30" t="str">
        <x:v>QB1700</x:v>
      </x:c>
      <x:c r="B19" s="30" t="str">
        <x:v>BNP Paribas</x:v>
      </x:c>
      <x:c r="C19" s="30" t="str">
        <x:v>IBD / GCM</x:v>
      </x:c>
      <x:c r="D19" s="31" t="str">
        <x:v>If you're my intern and we want to decide whether we should lend money to KKR for LBO, what will you include in a 2-page memo for me to read suppose I don't know anything about the company</x:v>
      </x:c>
      <x:c r="E19" s="31" t="str">
        <x:v>If you're my intern and we want to decide whether we should lend money to KKR for LBO, what will you include in a 2-page memo for me to read suppose I don't know anything about the company</x:v>
      </x:c>
      <x:c r="F19" s="31" t="str">
        <x:v>Private Equity &amp; LBO</x:v>
      </x:c>
      <x:c r="G19" s="30" t="str">
        <x:v>CL0532</x:v>
      </x:c>
      <x:c r="H19" s="32" t="n">
        <x:f>COUNTIF($G$5:$G$22,G19)</x:f>
        <x:v>1</x:v>
      </x:c>
      <x:c r="I19" s="30" t="str">
        <x:v>E8</x:v>
      </x:c>
      <x:c r="J19" s="31" t="str">
        <x:v>Leveraged Finance | Do you know any PE firms | What do you know about LBO</x:v>
      </x:c>
    </x:row>
    <x:row r="20" ht="68" customHeight="1">
      <x:c r="A20" s="30" t="str">
        <x:v>QB1705</x:v>
      </x:c>
      <x:c r="B20" s="30" t="str">
        <x:v>BNP Paribas</x:v>
      </x:c>
      <x:c r="C20" s="30" t="str">
        <x:v>IBD / GCM</x:v>
      </x:c>
      <x:c r="D20" s="31" t="str">
        <x:v>Suppose the target company (that KKR wants to invest in) has 100 cashflow per year, how much can we lend to KKR for LBO</x:v>
      </x:c>
      <x:c r="E20" s="31" t="str">
        <x:v>Suppose the target company (that KKR wants to invest in) has 100 cashflow per year, how much can we lend to KKR for LBO</x:v>
      </x:c>
      <x:c r="F20" s="31" t="str">
        <x:v>Private Equity &amp; LBO</x:v>
      </x:c>
      <x:c r="G20" s="30" t="str">
        <x:v>CL0693</x:v>
      </x:c>
      <x:c r="H20" s="32" t="n">
        <x:f>COUNTIF($G$5:$G$22,G20)</x:f>
        <x:v>1</x:v>
      </x:c>
      <x:c r="I20" s="30" t="str">
        <x:v>E9</x:v>
      </x:c>
      <x:c r="J20" s="31" t="str">
        <x:v>Do you know any PE firms | What do you know about LBO | If you're my intern and we want to decide whether we should lend money to KKR for LBO, what will you include in a 2-page memo for me to read suppose I don't know anything about the ...</x:v>
      </x:c>
    </x:row>
    <x:row r="21" ht="32" customHeight="1">
      <x:c r="A21" s="30" t="str">
        <x:v>QB2881</x:v>
      </x:c>
      <x:c r="B21" s="30" t="str">
        <x:v>MSPEA</x:v>
      </x:c>
      <x:c r="C21" s="30" t="str">
        <x:v>PE / VC / Other</x:v>
      </x:c>
      <x:c r="D21" s="31" t="str">
        <x:v>What are the differences in primary markets investment compared to secondary markets?</x:v>
      </x:c>
      <x:c r="E21" s="31" t="str">
        <x:v>What are the differences in primary markets investment compared to secondary markets</x:v>
      </x:c>
      <x:c r="F21" s="31" t="str">
        <x:v>Private Equity &amp; LBO</x:v>
      </x:c>
      <x:c r="G21" s="30" t="str">
        <x:v>CL0879</x:v>
      </x:c>
      <x:c r="H21" s="32" t="n">
        <x:f>COUNTIF($G$5:$G$22,G21)</x:f>
        <x:v>1</x:v>
      </x:c>
      <x:c r="I21" s="30" t="str">
        <x:v>B4</x:v>
      </x:c>
      <x:c r="J21" s="31" t="str">
        <x:v>Final round | Why are you interested in primary markets compared to secondary markets</x:v>
      </x:c>
    </x:row>
    <x:row r="22" ht="48" customHeight="1">
      <x:c r="A22" s="30" t="str">
        <x:v>QB2920</x:v>
      </x:c>
      <x:c r="B22" s="30" t="str">
        <x:v>IDG Capital</x:v>
      </x:c>
      <x:c r="C22" s="30" t="str">
        <x:v>PE / VC / Other</x:v>
      </x:c>
      <x:c r="D22" s="31" t="str">
        <x:v>Source and use table for LBO and M&amp;A</x:v>
      </x:c>
      <x:c r="E22" s="31" t="str">
        <x:v>Source and use table for LBO and M&amp;A</x:v>
      </x:c>
      <x:c r="F22" s="31" t="str">
        <x:v>Private Equity &amp; LBO</x:v>
      </x:c>
      <x:c r="G22" s="30" t="str">
        <x:v>CL0690</x:v>
      </x:c>
      <x:c r="H22" s="32" t="n">
        <x:f>COUNTIF($G$5:$G$22,G22)</x:f>
        <x:v>1</x:v>
      </x:c>
      <x:c r="I22" s="30" t="str">
        <x:v>A4</x:v>
      </x:c>
      <x:c r="J22" s="31" t="str">
        <x:v>2025 offcycle (Emily) | 100 sales, impact on 3 statement | Use which year multiple for exit multiple</x:v>
      </x:c>
    </x:row>
  </x:sheetData>
  <x:mergeCells>
    <x:mergeCell ref="A1:J1"/>
    <x:mergeCell ref="A2:J2"/>
  </x:mergeCells>
  <x:conditionalFormatting sqref="H5:H22">
    <x:cfRule type="cellIs" dxfId="20" priority="1" operator="greaterThan">
      <x:formula>1</x:formula>
    </x:cfRule>
  </x:conditionalFormatting>
  <x:pageMargins left="0.7" right="0.7" top="0.75" bottom="0.75" header="0.3" footer="0.3"/>
  <x:tableParts count="1">
    <x:tablePart xmlns:r="http://schemas.openxmlformats.org/officeDocument/2006/relationships" r:id="R4507604d06e84b93"/>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Sales &amp; Trading</x:v>
      </x:c>
      <x:c r="B1" s="3"/>
      <x:c r="C1" s="3"/>
      <x:c r="D1" s="3"/>
      <x:c r="E1" s="3"/>
      <x:c r="F1" s="3"/>
      <x:c r="G1" s="3"/>
      <x:c r="H1" s="3"/>
      <x:c r="I1" s="3"/>
      <x:c r="J1" s="3"/>
    </x:row>
    <x:row r="2" ht="30" customHeight="1">
      <x:c r="A2" s="7" t="str">
        <x:v>Preparation list for Sales &amp; Trading.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QB0394</x:v>
      </x:c>
      <x:c r="B5" s="30" t="str">
        <x:v>MS GCM</x:v>
      </x:c>
      <x:c r="C5" s="30" t="str">
        <x:v>IBD / GCM</x:v>
      </x:c>
      <x:c r="D5" s="31" t="str">
        <x:v>Dick Lee, MD and APAC Head of Corporate Equity Derivatives</x:v>
      </x:c>
      <x:c r="E5" s="31" t="str">
        <x:v>Dick Lee, MD and APAC Head of Corporate Equity Derivatives</x:v>
      </x:c>
      <x:c r="F5" s="31" t="str">
        <x:v>Sales &amp; Trading</x:v>
      </x:c>
      <x:c r="G5" s="30" t="str">
        <x:v>CL0234</x:v>
      </x:c>
      <x:c r="H5" s="32" t="n">
        <x:f>COUNTIF($G$5:$G$12,G5)</x:f>
        <x:v>1</x:v>
      </x:c>
      <x:c r="I5" s="30" t="str">
        <x:v>A125</x:v>
      </x:c>
      <x:c r="J5" s="31" t="str">
        <x:v>Tell me about a deal done by MS | Why GCM? | 反问</x:v>
      </x:c>
    </x:row>
    <x:row r="6" ht="92" customHeight="1">
      <x:c r="A6" s="30" t="str">
        <x:v>QB1541</x:v>
      </x:c>
      <x:c r="B6" s="30" t="str">
        <x:v>Grant Samuel</x:v>
      </x:c>
      <x:c r="C6" s="30" t="str">
        <x:v>IBD / GCM</x:v>
      </x:c>
      <x:c r="D6" s="31" t="str">
        <x:v>&gt; in real life, earnout model, divide into phase to unlock, add put option, get liquidity much easier</x:v>
      </x:c>
      <x:c r="E6" s="31" t="str">
        <x:v>&gt; in real life, earnout model, divide into phase to unlock, add put option, get liquidity much easier</x:v>
      </x:c>
      <x:c r="F6" s="31" t="str">
        <x:v>Sales &amp; Trading</x:v>
      </x:c>
      <x:c r="G6" s="30" t="str">
        <x:v>CL0062</x:v>
      </x:c>
      <x:c r="H6" s="32" t="n">
        <x:f>COUNTIF($G$5:$G$12,G6)</x:f>
        <x:v>1</x:v>
      </x:c>
      <x:c r="I6" s="30" t="str">
        <x:v>A16</x:v>
      </x:c>
      <x:c r="J6" s="31" t="str">
        <x:v>Companies have diff stages, what does growth stage mean | If ur company is in early stage, what do u think about cost of debt or equity | e.g. advising on buy side, seller asks for crazy valuation, what is the counter thing, anything u c...</x:v>
      </x:c>
    </x:row>
    <x:row r="7" ht="48" customHeight="1">
      <x:c r="A7" s="30" t="str">
        <x:v>QB1971</x:v>
      </x:c>
      <x:c r="B7" s="30" t="str">
        <x:v>Lazard</x:v>
      </x:c>
      <x:c r="C7" s="30" t="str">
        <x:v>IBD / GCM</x:v>
      </x:c>
      <x:c r="D7" s="31" t="str">
        <x:v>trading cops - manufacturing company, find peers, what data source to find p/s</x:v>
      </x:c>
      <x:c r="E7" s="31" t="str">
        <x:v>Trading cops - manufacturing company, find peers, what data source to find p/s</x:v>
      </x:c>
      <x:c r="F7" s="31" t="str">
        <x:v>Sales &amp; Trading</x:v>
      </x:c>
      <x:c r="G7" s="30" t="str">
        <x:v>CL0800</x:v>
      </x:c>
      <x:c r="H7" s="32" t="n">
        <x:f>COUNTIF($G$5:$G$12,G7)</x:f>
        <x:v>1</x:v>
      </x:c>
      <x:c r="I7" s="30" t="str">
        <x:v>A72</x:v>
      </x:c>
      <x:c r="J7" s="31" t="str">
        <x:v>Transaction comps - key priorities? | Any sanity check after comps? | 一般如果要做company profile 比如說事工業製造行業企業 profile要包括什麼</x:v>
      </x:c>
    </x:row>
    <x:row r="8" ht="48" customHeight="1">
      <x:c r="A8" s="30" t="str">
        <x:v>QB2621</x:v>
      </x:c>
      <x:c r="B8" s="30" t="str">
        <x:v>Barclays GM</x:v>
      </x:c>
      <x:c r="C8" s="30" t="str">
        <x:v>Sales &amp; Trading</x:v>
      </x:c>
      <x:c r="D8" s="31" t="str">
        <x:v>Do you the difference between High Touch, Low Touch, and PT (Portfolio Trading)?</x:v>
      </x:c>
      <x:c r="E8" s="31" t="str">
        <x:v>Do you the difference between High Touch, Low Touch, and PT (Portfolio Trading)</x:v>
      </x:c>
      <x:c r="F8" s="31" t="str">
        <x:v>Sales &amp; Trading</x:v>
      </x:c>
      <x:c r="G8" s="30" t="str">
        <x:v>CL0291</x:v>
      </x:c>
      <x:c r="H8" s="32" t="n">
        <x:f>COUNTIF($G$5:$G$12,G8)</x:f>
        <x:v>1</x:v>
      </x:c>
      <x:c r="I8" s="30" t="str">
        <x:v>A11</x:v>
      </x:c>
      <x:c r="J8" s="31" t="str">
        <x:v>Where are you currently based? (and then we chatted a lot on Milan very casually) | Why Trading roles? | How do u usually keep updated with the market?</x:v>
      </x:c>
    </x:row>
    <x:row r="9" ht="48" customHeight="1">
      <x:c r="A9" s="30" t="str">
        <x:v>QB2622</x:v>
      </x:c>
      <x:c r="B9" s="30" t="str">
        <x:v>Barclays GM</x:v>
      </x:c>
      <x:c r="C9" s="30" t="str">
        <x:v>Sales &amp; Trading</x:v>
      </x:c>
      <x:c r="D9" s="31" t="str">
        <x:v>Previously you did lots of sales and research roles, any idea about trading roles?</x:v>
      </x:c>
      <x:c r="E9" s="31" t="str">
        <x:v>Previously you did lots of sales and research roles, any idea about trading roles</x:v>
      </x:c>
      <x:c r="F9" s="31" t="str">
        <x:v>Sales &amp; Trading</x:v>
      </x:c>
      <x:c r="G9" s="30" t="str">
        <x:v>CL0651</x:v>
      </x:c>
      <x:c r="H9" s="32" t="n">
        <x:f>COUNTIF($G$5:$G$12,G9)</x:f>
        <x:v>1</x:v>
      </x:c>
      <x:c r="I9" s="30" t="str">
        <x:v>A12</x:v>
      </x:c>
      <x:c r="J9" s="31" t="str">
        <x:v>Why Trading roles? | How do u usually keep updated with the market? | Do you the difference between High Touch, Low Touch, and PT (Portfolio Trading)?</x:v>
      </x:c>
    </x:row>
    <x:row r="10" ht="68" customHeight="1">
      <x:c r="A10" s="30" t="str">
        <x:v>QB2624</x:v>
      </x:c>
      <x:c r="B10" s="30" t="str">
        <x:v>Barclays GM</x:v>
      </x:c>
      <x:c r="C10" s="30" t="str">
        <x:v>Sales &amp; Trading</x:v>
      </x:c>
      <x:c r="D10" s="31" t="str">
        <x:v>#remark: they only looks for trading role within the Cash EQ Team</x:v>
      </x:c>
      <x:c r="E10" s="31" t="str">
        <x:v>#remark: they only looks for trading role within the Cash EQ Team</x:v>
      </x:c>
      <x:c r="F10" s="31" t="str">
        <x:v>Sales &amp; Trading</x:v>
      </x:c>
      <x:c r="G10" s="30" t="str">
        <x:v>CL0061</x:v>
      </x:c>
      <x:c r="H10" s="32" t="n">
        <x:f>COUNTIF($G$5:$G$12,G10)</x:f>
        <x:v>1</x:v>
      </x:c>
      <x:c r="I10" s="30" t="str">
        <x:v>A15</x:v>
      </x:c>
      <x:c r="J10" s="31" t="str">
        <x:v>Do you the difference between High Touch, Low Touch, and PT (Portfolio Trading)? | Previously you did lots of sales and research roles, any idea about trading roles? | 反问</x:v>
      </x:c>
    </x:row>
    <x:row r="11" ht="48" customHeight="1">
      <x:c r="A11" s="30" t="str">
        <x:v>QB2653</x:v>
      </x:c>
      <x:c r="B11" s="30" t="str">
        <x:v>BofA (GM)</x:v>
      </x:c>
      <x:c r="C11" s="30" t="str">
        <x:v>Sales &amp; Trading</x:v>
      </x:c>
      <x:c r="D11" s="31" t="str">
        <x:v>Any trading ideas now? Any market/asset class/single stock.</x:v>
      </x:c>
      <x:c r="E11" s="31" t="str">
        <x:v>Any trading ideas now? Any market/asset class/single stock</x:v>
      </x:c>
      <x:c r="F11" s="31" t="str">
        <x:v>Sales &amp; Trading</x:v>
      </x:c>
      <x:c r="G11" s="30" t="str">
        <x:v>CL0127</x:v>
      </x:c>
      <x:c r="H11" s="32" t="n">
        <x:f>COUNTIF($G$5:$G$12,G11)</x:f>
        <x:v>1</x:v>
      </x:c>
      <x:c r="I11" s="30" t="str">
        <x:v>A32</x:v>
      </x:c>
      <x:c r="J11" s="31" t="str">
        <x:v>27 with Gordon Lai – Director, Equities Sales | self-intro | Do you have your own investment account?</x:v>
      </x:c>
    </x:row>
    <x:row r="12" ht="48" customHeight="1">
      <x:c r="A12" s="30" t="str">
        <x:v>QB2667</x:v>
      </x:c>
      <x:c r="B12" s="30" t="str">
        <x:v>BofA (GM)</x:v>
      </x:c>
      <x:c r="C12" s="30" t="str">
        <x:v>Sales &amp; Trading</x:v>
      </x:c>
      <x:c r="D12" s="31" t="str">
        <x:v>Any trading ideas about the market now?</x:v>
      </x:c>
      <x:c r="E12" s="31" t="str">
        <x:v>Any trading ideas about the market now</x:v>
      </x:c>
      <x:c r="F12" s="31" t="str">
        <x:v>Sales &amp; Trading</x:v>
      </x:c>
      <x:c r="G12" s="30" t="str">
        <x:v>CL0126</x:v>
      </x:c>
      <x:c r="H12" s="32" t="n">
        <x:f>COUNTIF($G$5:$G$12,G12)</x:f>
        <x:v>1</x:v>
      </x:c>
      <x:c r="I12" s="30" t="str">
        <x:v>A47</x:v>
      </x:c>
      <x:c r="J12" s="31" t="str">
        <x:v>Do you follow the market? | What's the S&amp;P500 closing price yesterday? | Do you have your own investment account?</x:v>
      </x:c>
    </x:row>
  </x:sheetData>
  <x:mergeCells>
    <x:mergeCell ref="A1:J1"/>
    <x:mergeCell ref="A2:J2"/>
  </x:mergeCells>
  <x:conditionalFormatting sqref="H5:H12">
    <x:cfRule type="cellIs" dxfId="21" priority="1" operator="greaterThan">
      <x:formula>1</x:formula>
    </x:cfRule>
  </x:conditionalFormatting>
  <x:pageMargins left="0.7" right="0.7" top="0.75" bottom="0.75" header="0.3" footer="0.3"/>
  <x:tableParts count="1">
    <x:tablePart xmlns:r="http://schemas.openxmlformats.org/officeDocument/2006/relationships" r:id="R2cc13e5c33c84906"/>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Wealth &amp; Asset Management</x:v>
      </x:c>
      <x:c r="B1" s="3"/>
      <x:c r="C1" s="3"/>
      <x:c r="D1" s="3"/>
      <x:c r="E1" s="3"/>
      <x:c r="F1" s="3"/>
      <x:c r="G1" s="3"/>
      <x:c r="H1" s="3"/>
      <x:c r="I1" s="3"/>
      <x:c r="J1" s="3"/>
    </x:row>
    <x:row r="2" ht="30" customHeight="1">
      <x:c r="A2" s="7" t="str">
        <x:v>Preparation list for Wealth &amp; Asset Management.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68" customHeight="1">
      <x:c r="A5" s="30" t="str">
        <x:v>QB0649</x:v>
      </x:c>
      <x:c r="B5" s="30" t="str">
        <x:v>Deutsche</x:v>
      </x:c>
      <x:c r="C5" s="30" t="str">
        <x:v>IBD / GCM</x:v>
      </x:c>
      <x:c r="D5" s="31" t="str">
        <x:v>Whay you did for the portfolio level analysis for the fund investing project?</x:v>
      </x:c>
      <x:c r="E5" s="31" t="str">
        <x:v>Whay you did for the portfolio level analysis for the fund investing project</x:v>
      </x:c>
      <x:c r="F5" s="31" t="str">
        <x:v>Wealth &amp; Asset Management</x:v>
      </x:c>
      <x:c r="G5" s="30" t="str">
        <x:v>CL1078</x:v>
      </x:c>
      <x:c r="H5" s="32" t="n">
        <x:f>COUNTIF($G$5:$G$12,G5)</x:f>
        <x:v>1</x:v>
      </x:c>
      <x:c r="I5" s="30" t="str">
        <x:v>C39</x:v>
      </x:c>
      <x:c r="J5" s="31" t="str">
        <x:v>Why IBD | How many summer interns in BLK? | What I did at blackrock, deal background about the buyout of the indian IT services, EBITDA margin level and compared to industry average</x:v>
      </x:c>
    </x:row>
    <x:row r="6" ht="48" customHeight="1">
      <x:c r="A6" s="30" t="str">
        <x:v>QB2239</x:v>
      </x:c>
      <x:c r="B6" s="30" t="str">
        <x:v>GS PWM</x:v>
      </x:c>
      <x:c r="C6" s="30" t="str">
        <x:v>PWM / AM</x:v>
      </x:c>
      <x:c r="D6" s="31" t="str">
        <x:v>What's the difference (typically) between the 1st Gen Wealthy people and the 2nd Gen?</x:v>
      </x:c>
      <x:c r="E6" s="31" t="str">
        <x:v>What's the difference (typically) between the 1st Gen Wealthy people and the 2nd Gen</x:v>
      </x:c>
      <x:c r="F6" s="31" t="str">
        <x:v>Wealth &amp; Asset Management</x:v>
      </x:c>
      <x:c r="G6" s="30" t="str">
        <x:v>CL1051</x:v>
      </x:c>
      <x:c r="H6" s="32" t="n">
        <x:f>COUNTIF($G$5:$G$12,G6)</x:f>
        <x:v>1</x:v>
      </x:c>
      <x:c r="I6" s="30" t="str">
        <x:v>A45</x:v>
      </x:c>
      <x:c r="J6" s="31" t="str">
        <x:v>Pitch me a stock | Any recent news that you're recently following | Technical: 什么样的产品是带有杠杆的？</x:v>
      </x:c>
    </x:row>
    <x:row r="7" ht="32" customHeight="1">
      <x:c r="A7" s="30" t="str">
        <x:v>QB2291</x:v>
      </x:c>
      <x:c r="B7" s="30" t="str">
        <x:v>JPM AM</x:v>
      </x:c>
      <x:c r="C7" s="30" t="str">
        <x:v>PWM / AM</x:v>
      </x:c>
      <x:c r="D7" s="31" t="str">
        <x:v>How do u see the AM landscape? Digitalization?</x:v>
      </x:c>
      <x:c r="E7" s="31" t="str">
        <x:v>How do u see the AM landscape? Digitalization</x:v>
      </x:c>
      <x:c r="F7" s="31" t="str">
        <x:v>Wealth &amp; Asset Management</x:v>
      </x:c>
      <x:c r="G7" s="30" t="str">
        <x:v>CL0396</x:v>
      </x:c>
      <x:c r="H7" s="32" t="n">
        <x:f>COUNTIF($G$5:$G$12,G7)</x:f>
        <x:v>1</x:v>
      </x:c>
      <x:c r="I7" s="30" t="str">
        <x:v>A6</x:v>
      </x:c>
      <x:c r="J7" s="31" t="str">
        <x:v>More like networking: | why AM? | plan for studies?</x:v>
      </x:c>
    </x:row>
    <x:row r="8" ht="32" customHeight="1">
      <x:c r="A8" s="30" t="str">
        <x:v>QB2346</x:v>
      </x:c>
      <x:c r="B8" s="30" t="str">
        <x:v>Citi PB</x:v>
      </x:c>
      <x:c r="C8" s="30" t="str">
        <x:v>PWM / AM</x:v>
      </x:c>
      <x:c r="D8" s="31" t="str">
        <x:v>2nd part: Market (give a news, asking the impact on PB Clients)</x:v>
      </x:c>
      <x:c r="E8" s="31" t="str">
        <x:v>2nd part: Market (give a news, asking the impact on PB Clients)</x:v>
      </x:c>
      <x:c r="F8" s="31" t="str">
        <x:v>Wealth &amp; Asset Management</x:v>
      </x:c>
      <x:c r="G8" s="30" t="str">
        <x:v>CL0072</x:v>
      </x:c>
      <x:c r="H8" s="32" t="n">
        <x:f>COUNTIF($G$5:$G$12,G8)</x:f>
        <x:v>1</x:v>
      </x:c>
      <x:c r="I8" s="30" t="str">
        <x:v>A3</x:v>
      </x:c>
      <x:c r="J8" s="31" t="str">
        <x:v>First round a case study with 2 parts | 1st part: Business sense (asset allocation)</x:v>
      </x:c>
    </x:row>
    <x:row r="9" ht="48" customHeight="1">
      <x:c r="A9" s="30" t="str">
        <x:v>QB2351</x:v>
      </x:c>
      <x:c r="B9" s="30" t="str">
        <x:v>Citi PB</x:v>
      </x:c>
      <x:c r="C9" s="30" t="str">
        <x:v>PWM / AM</x:v>
      </x:c>
      <x:c r="D9" s="31" t="str">
        <x:v>What's the usual purporse of Leverage in a portfolio?</x:v>
      </x:c>
      <x:c r="E9" s="31" t="str">
        <x:v>What's the usual purporse of Leverage in a portfolio</x:v>
      </x:c>
      <x:c r="F9" s="31" t="str">
        <x:v>Wealth &amp; Asset Management</x:v>
      </x:c>
      <x:c r="G9" s="30" t="str">
        <x:v>CL1060</x:v>
      </x:c>
      <x:c r="H9" s="32" t="n">
        <x:f>COUNTIF($G$5:$G$12,G9)</x:f>
        <x:v>1</x:v>
      </x:c>
      <x:c r="I9" s="30" t="str">
        <x:v>A9</x:v>
      </x:c>
      <x:c r="J9" s="31" t="str">
        <x:v>How do you see the conglomerates sector? | which sectors are undervalued right now? | Understanding towards Credit Lending</x:v>
      </x:c>
    </x:row>
    <x:row r="10" ht="48" customHeight="1">
      <x:c r="A10" s="30" t="str">
        <x:v>QB2365</x:v>
      </x:c>
      <x:c r="B10" s="30" t="str">
        <x:v>HSBC PB</x:v>
      </x:c>
      <x:c r="C10" s="30" t="str">
        <x:v>PWM / AM</x:v>
      </x:c>
      <x:c r="D10" s="31" t="str">
        <x:v>It's also recommended to prepare for PB client demand trends, situational questions, and some investment assessment technical knowledge.</x:v>
      </x:c>
      <x:c r="E10" s="31" t="str">
        <x:v>It's also recommended to prepare for PB client demand trends, situational questions, and some investment assessment technical knowledge</x:v>
      </x:c>
      <x:c r="F10" s="31" t="str">
        <x:v>Wealth &amp; Asset Management</x:v>
      </x:c>
      <x:c r="G10" s="30" t="str">
        <x:v>CL0565</x:v>
      </x:c>
      <x:c r="H10" s="32" t="n">
        <x:f>COUNTIF($G$5:$G$12,G10)</x:f>
        <x:v>1</x:v>
      </x:c>
      <x:c r="I10" s="30" t="str">
        <x:v>A14</x:v>
      </x:c>
      <x:c r="J10" s="31" t="str">
        <x:v>未来职业发展 | 如何进入过去的某个实习公司（我的是Bain） | 在Bain做了啥</x:v>
      </x:c>
    </x:row>
    <x:row r="11" ht="48" customHeight="1">
      <x:c r="A11" s="30" t="str">
        <x:v>QB2396</x:v>
      </x:c>
      <x:c r="B11" s="30" t="str">
        <x:v>BlackRock</x:v>
      </x:c>
      <x:c r="C11" s="30" t="str">
        <x:v>PWM / AM</x:v>
      </x:c>
      <x:c r="D11" s="31" t="str">
        <x:v>3rd and 4th interviewer (two from private bank distribution)</x:v>
      </x:c>
      <x:c r="E11" s="31" t="str">
        <x:v>3rd and 4th interviewer (two from private bank distribution)</x:v>
      </x:c>
      <x:c r="F11" s="31" t="str">
        <x:v>Wealth &amp; Asset Management</x:v>
      </x:c>
      <x:c r="G11" s="30" t="str">
        <x:v>CL0079</x:v>
      </x:c>
      <x:c r="H11" s="32" t="n">
        <x:f>COUNTIF($G$5:$G$12,G11)</x:f>
        <x:v>1</x:v>
      </x:c>
      <x:c r="I11" s="30" t="str">
        <x:v>C21</x:v>
      </x:c>
      <x:c r="J11" s="31" t="str">
        <x:v>a teamwork experience | any questions for me? | also asked whether i had a preference on institutional or pb</x:v>
      </x:c>
    </x:row>
    <x:row r="12" ht="32" customHeight="1">
      <x:c r="A12" s="30" t="str">
        <x:v>QB2773</x:v>
      </x:c>
      <x:c r="B12" s="30" t="str">
        <x:v>UBS(GM Off cycle)</x:v>
      </x:c>
      <x:c r="C12" s="30" t="str">
        <x:v>Sales &amp; Trading</x:v>
      </x:c>
      <x:c r="D12" s="31" t="str">
        <x:v>What risk metrics are most important when managing a portfolio</x:v>
      </x:c>
      <x:c r="E12" s="31" t="str">
        <x:v>What risk metrics are most important when managing a portfolio</x:v>
      </x:c>
      <x:c r="F12" s="31" t="str">
        <x:v>Wealth &amp; Asset Management</x:v>
      </x:c>
      <x:c r="G12" s="30" t="str">
        <x:v>CL1026</x:v>
      </x:c>
      <x:c r="H12" s="32" t="n">
        <x:f>COUNTIF($G$5:$G$12,G12)</x:f>
        <x:v>1</x:v>
      </x:c>
      <x:c r="I12" s="30" t="str">
        <x:v>A28</x:v>
      </x:c>
      <x:c r="J12" s="31" t="str">
        <x:v>Self intro | CV grill | Mechanism of hedging and delta one</x:v>
      </x:c>
    </x:row>
  </x:sheetData>
  <x:mergeCells>
    <x:mergeCell ref="A1:J1"/>
    <x:mergeCell ref="A2:J2"/>
  </x:mergeCells>
  <x:conditionalFormatting sqref="H5:H12">
    <x:cfRule type="cellIs" dxfId="22" priority="1" operator="greaterThan">
      <x:formula>1</x:formula>
    </x:cfRule>
  </x:conditionalFormatting>
  <x:pageMargins left="0.7" right="0.7" top="0.75" bottom="0.75" header="0.3" footer="0.3"/>
  <x:tableParts count="1">
    <x:tablePart xmlns:r="http://schemas.openxmlformats.org/officeDocument/2006/relationships" r:id="R65674e190d6b4463"/>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Consulting &amp; Case</x:v>
      </x:c>
      <x:c r="B1" s="3"/>
      <x:c r="C1" s="3"/>
      <x:c r="D1" s="3"/>
      <x:c r="E1" s="3"/>
      <x:c r="F1" s="3"/>
      <x:c r="G1" s="3"/>
      <x:c r="H1" s="3"/>
      <x:c r="I1" s="3"/>
      <x:c r="J1" s="3"/>
    </x:row>
    <x:row r="2" ht="30" customHeight="1">
      <x:c r="A2" s="7" t="str">
        <x:v>Preparation list for Consulting &amp; Case.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92" customHeight="1">
      <x:c r="A5" s="30" t="str">
        <x:v>QB0811</x:v>
      </x:c>
      <x:c r="B5" s="30" t="str">
        <x:v>Deutsche</x:v>
      </x:c>
      <x:c r="C5" s="30" t="str">
        <x:v>IBD / GCM</x:v>
      </x:c>
      <x:c r="D5" s="31" t="str">
        <x:v>Brain teaser - no one from our batch answered it right, she gave very little time to think</x:v>
      </x:c>
      <x:c r="E5" s="31" t="str">
        <x:v>Brain teaser - no one from our batch answered it right, she gave very little time to think</x:v>
      </x:c>
      <x:c r="F5" s="31" t="str">
        <x:v>Consulting &amp; Case</x:v>
      </x:c>
      <x:c r="G5" s="30" t="str">
        <x:v>CL0166</x:v>
      </x:c>
      <x:c r="H5" s="32" t="n">
        <x:f>COUNTIF($G$5:$G$31,G5)</x:f>
        <x:v>1</x:v>
      </x:c>
      <x:c r="I5" s="30" t="str">
        <x:v>C139</x:v>
      </x:c>
      <x:c r="J5" s="31" t="str">
        <x:v>Walk me through your resume | Cases related questions - Revenue build up, multiples used (I mentioned the multiple used in power sector is unique) - lots of follow ups | Tell me about the robotics team (Sorry I mentioned that again when ...</x:v>
      </x:c>
    </x:row>
    <x:row r="6" ht="48" customHeight="1">
      <x:c r="A6" s="30" t="str">
        <x:v>QB1823</x:v>
      </x:c>
      <x:c r="B6" s="30" t="str">
        <x:v>HSBC</x:v>
      </x:c>
      <x:c r="C6" s="30" t="str">
        <x:v>IBD / GCM</x:v>
      </x:c>
      <x:c r="D6" s="31" t="str">
        <x:v>Brain teaser: 100 balls, 50 black and 50 white, how would you put them into two baskets (in any way u want) to maximize the probability to get a black ball</x:v>
      </x:c>
      <x:c r="E6" s="31" t="str">
        <x:v>Brain teaser: 100 balls, 50 black and 50 white, how would you put them into two baskets (in any way u want) to maximize the probability to get a black ball</x:v>
      </x:c>
      <x:c r="F6" s="31" t="str">
        <x:v>Consulting &amp; Case</x:v>
      </x:c>
      <x:c r="G6" s="30" t="str">
        <x:v>CL0169</x:v>
      </x:c>
      <x:c r="H6" s="32" t="n">
        <x:f>COUNTIF($G$5:$G$31,G6)</x:f>
        <x:v>1</x:v>
      </x:c>
      <x:c r="I6" s="30" t="str">
        <x:v>E9</x:v>
      </x:c>
      <x:c r="J6" s="31" t="str">
        <x:v>How to pronounce your name | Is your name an English name | Chit Chat (like what's ur favorite subject)</x:v>
      </x:c>
    </x:row>
    <x:row r="7" ht="68" customHeight="1">
      <x:c r="A7" s="30" t="str">
        <x:v>QB1826</x:v>
      </x:c>
      <x:c r="B7" s="30" t="str">
        <x:v>HSBC</x:v>
      </x:c>
      <x:c r="C7" s="30" t="str">
        <x:v>IBD / GCM</x:v>
      </x:c>
      <x:c r="D7" s="31" t="str">
        <x:v>Brain teaser: 3 boxes with fruits inside, 1 labelled as banana, 1 strawberries, 1 mixed, three are all incorrectly labelled, u can only draw once, how do you do so you can identify which box contains what</x:v>
      </x:c>
      <x:c r="E7" s="31" t="str">
        <x:v>Brain teaser: 3 boxes with fruits inside, 1 labelled as banana, 1 strawberries, 1 mixed, three are all incorrectly labelled, u can only draw once, how do you do so you can identify which box contains what</x:v>
      </x:c>
      <x:c r="F7" s="31" t="str">
        <x:v>Consulting &amp; Case</x:v>
      </x:c>
      <x:c r="G7" s="30" t="str">
        <x:v>CL0171</x:v>
      </x:c>
      <x:c r="H7" s="32" t="n">
        <x:f>COUNTIF($G$5:$G$31,G7)</x:f>
        <x:v>1</x:v>
      </x:c>
      <x:c r="I7" s="30" t="str">
        <x:v>E10</x:v>
      </x:c>
      <x:c r="J7" s="31" t="str">
        <x:v>Is your name an English name | Chit Chat (like what's ur favorite subject) | Brain teaser: 100 balls, 50 black and 50 white, how would you put them into two baskets (in any way u want) to maximize the probability to get a black ball</x:v>
      </x:c>
    </x:row>
    <x:row r="8" ht="32" customHeight="1">
      <x:c r="A8" s="30" t="str">
        <x:v>QB2199</x:v>
      </x:c>
      <x:c r="B8" s="30" t="str">
        <x:v>GS PWM</x:v>
      </x:c>
      <x:c r="C8" s="30" t="str">
        <x:v>PWM / AM</x:v>
      </x:c>
      <x:c r="D8" s="31" t="str">
        <x:v>Brain Teaser : How many coffee shops in Central</x:v>
      </x:c>
      <x:c r="E8" s="31" t="str">
        <x:v>Brain Teaser : How many coffee shops in Central</x:v>
      </x:c>
      <x:c r="F8" s="31" t="str">
        <x:v>Consulting &amp; Case</x:v>
      </x:c>
      <x:c r="G8" s="30" t="str">
        <x:v>CL0167</x:v>
      </x:c>
      <x:c r="H8" s="32" t="n">
        <x:f>COUNTIF($G$5:$G$31,G8)</x:f>
        <x:v>1</x:v>
      </x:c>
      <x:c r="I8" s="30" t="str">
        <x:v>A13</x:v>
      </x:c>
      <x:c r="J8" s="31" t="str">
        <x:v>Ribo-SPD | Normal Behavioral Q | Market Asset Allocation Q</x:v>
      </x:c>
    </x:row>
    <x:row r="9" ht="32" customHeight="1">
      <x:c r="A9" s="30" t="str">
        <x:v>QB2232</x:v>
      </x:c>
      <x:c r="B9" s="30" t="str">
        <x:v>GS PWM</x:v>
      </x:c>
      <x:c r="C9" s="30" t="str">
        <x:v>PWM / AM</x:v>
      </x:c>
      <x:c r="D9" s="31" t="str">
        <x:v>Market Sizing: Estimate the annual revenue of GS PWM in APAC</x:v>
      </x:c>
      <x:c r="E9" s="31" t="str">
        <x:v>Market Sizing: Estimate the annual revenue of GS PWM in APAC</x:v>
      </x:c>
      <x:c r="F9" s="31" t="str">
        <x:v>Consulting &amp; Case</x:v>
      </x:c>
      <x:c r="G9" s="30" t="str">
        <x:v>CL0603</x:v>
      </x:c>
      <x:c r="H9" s="32" t="n">
        <x:f>COUNTIF($G$5:$G$31,G9)</x:f>
        <x:v>1</x:v>
      </x:c>
      <x:c r="I9" s="30" t="str">
        <x:v>A38</x:v>
      </x:c>
      <x:c r="J9" s="31" t="str">
        <x:v>如果不做金融，你觉得你现在会在做什么 | 可以简单讲讲你的家庭BG吗 | 可以讲讲你生活中遇到的困难吗？不要学习/工作上的</x:v>
      </x:c>
    </x:row>
    <x:row r="10" ht="32" customHeight="1">
      <x:c r="A10" s="30" t="str">
        <x:v>QB2430</x:v>
      </x:c>
      <x:c r="B10" s="30" t="str">
        <x:v>Mckinsey</x:v>
      </x:c>
      <x:c r="C10" s="30" t="str">
        <x:v>Consulting</x:v>
      </x:c>
      <x:c r="D10" s="31" t="str">
        <x:v>Tell me about yourself</x:v>
      </x:c>
      <x:c r="E10" s="31" t="str">
        <x:v>Tell me about yourself / walk me through your resume</x:v>
      </x:c>
      <x:c r="F10" s="31" t="str">
        <x:v>Consulting &amp; Case</x:v>
      </x:c>
      <x:c r="G10" s="30" t="str">
        <x:v>CL0001</x:v>
      </x:c>
      <x:c r="H10" s="32" t="n">
        <x:f>COUNTIF($G$5:$G$31,G10)</x:f>
        <x:v>6</x:v>
      </x:c>
      <x:c r="I10" s="30" t="str">
        <x:v>A4</x:v>
      </x:c>
      <x:c r="J10" s="31" t="str">
        <x:v>2024 SA | Regan | Mckinsey hr screening interview</x:v>
      </x:c>
    </x:row>
    <x:row r="11" ht="32" customHeight="1">
      <x:c r="A11" s="30" t="str">
        <x:v>QB2440</x:v>
      </x:c>
      <x:c r="B11" s="30" t="str">
        <x:v>Mckinsey</x:v>
      </x:c>
      <x:c r="C11" s="30" t="str">
        <x:v>Consulting</x:v>
      </x:c>
      <x:c r="D11" s="31" t="str">
        <x:v>MS return, summer?</x:v>
      </x:c>
      <x:c r="E11" s="31" t="str">
        <x:v>MS return, summer</x:v>
      </x:c>
      <x:c r="F11" s="31" t="str">
        <x:v>Consulting &amp; Case</x:v>
      </x:c>
      <x:c r="G11" s="30" t="str">
        <x:v>CL0611</x:v>
      </x:c>
      <x:c r="H11" s="32" t="n">
        <x:f>COUNTIF($G$5:$G$31,G11)</x:f>
        <x:v>1</x:v>
      </x:c>
      <x:c r="I11" s="30" t="str">
        <x:v>A17</x:v>
      </x:c>
      <x:c r="J11" s="31" t="str">
        <x:v>Pretalk 10.16 - Amy Weng / HR | Introduction | PEI: Opposing opinions</x:v>
      </x:c>
    </x:row>
    <x:row r="12" ht="32" customHeight="1">
      <x:c r="A12" s="30" t="str">
        <x:v>QB2449</x:v>
      </x:c>
      <x:c r="B12" s="30" t="str">
        <x:v>Mckinsey</x:v>
      </x:c>
      <x:c r="C12" s="30" t="str">
        <x:v>Consulting</x:v>
      </x:c>
      <x:c r="D12" s="31" t="str">
        <x:v>自我介绍</x:v>
      </x:c>
      <x:c r="E12" s="31" t="str">
        <x:v>Tell me about yourself / walk me through your resume</x:v>
      </x:c>
      <x:c r="F12" s="31" t="str">
        <x:v>Consulting &amp; Case</x:v>
      </x:c>
      <x:c r="G12" s="30" t="str">
        <x:v>CL0001</x:v>
      </x:c>
      <x:c r="H12" s="32" t="n">
        <x:f>COUNTIF($G$5:$G$31,G12)</x:f>
        <x:v>6</x:v>
      </x:c>
      <x:c r="I12" s="30" t="str">
        <x:v>B25</x:v>
      </x:c>
      <x:c r="J12" s="31" t="str">
        <x:v>R1 11.1 - Jane Haolu Zhang / EM</x:v>
      </x:c>
    </x:row>
    <x:row r="13" ht="32" customHeight="1">
      <x:c r="A13" s="30" t="str">
        <x:v>QB2454</x:v>
      </x:c>
      <x:c r="B13" s="30" t="str">
        <x:v>Mckinsey</x:v>
      </x:c>
      <x:c r="C13" s="30" t="str">
        <x:v>Consulting</x:v>
      </x:c>
      <x:c r="D13" s="31" t="str">
        <x:v>Case - Media, family owned company - sell / pass to next gen?</x:v>
      </x:c>
      <x:c r="E13" s="31" t="str">
        <x:v>Case - Media, family owned company - sell / pass to next gen</x:v>
      </x:c>
      <x:c r="F13" s="31" t="str">
        <x:v>Consulting &amp; Case</x:v>
      </x:c>
      <x:c r="G13" s="30" t="str">
        <x:v>CL0192</x:v>
      </x:c>
      <x:c r="H13" s="32" t="n">
        <x:f>COUNTIF($G$5:$G$31,G13)</x:f>
        <x:v>1</x:v>
      </x:c>
      <x:c r="I13" s="30" t="str">
        <x:v>A28</x:v>
      </x:c>
      <x:c r="J13" s="31" t="str">
        <x:v>PEI | Connection | Follow-up: Why challenging</x:v>
      </x:c>
    </x:row>
    <x:row r="14" ht="32" customHeight="1">
      <x:c r="A14" s="30" t="str">
        <x:v>QB2457</x:v>
      </x:c>
      <x:c r="B14" s="30" t="str">
        <x:v>Mckinsey</x:v>
      </x:c>
      <x:c r="C14" s="30" t="str">
        <x:v>Consulting</x:v>
      </x:c>
      <x:c r="D14" s="31" t="str">
        <x:v>What formula you used</x:v>
      </x:c>
      <x:c r="E14" s="31" t="str">
        <x:v>What formula you used</x:v>
      </x:c>
      <x:c r="F14" s="31" t="str">
        <x:v>Consulting &amp; Case</x:v>
      </x:c>
      <x:c r="G14" s="30" t="str">
        <x:v>CL0947</x:v>
      </x:c>
      <x:c r="H14" s="32" t="n">
        <x:f>COUNTIF($G$5:$G$31,G14)</x:f>
        <x:v>1</x:v>
      </x:c>
      <x:c r="I14" s="30" t="str">
        <x:v>B29</x:v>
      </x:c>
      <x:c r="J14" s="31" t="str">
        <x:v>PEI | Growth | Followup:</x:v>
      </x:c>
    </x:row>
    <x:row r="15" ht="32" customHeight="1">
      <x:c r="A15" s="30" t="str">
        <x:v>QB2458</x:v>
      </x:c>
      <x:c r="B15" s="30" t="str">
        <x:v>Mckinsey</x:v>
      </x:c>
      <x:c r="C15" s="30" t="str">
        <x:v>Consulting</x:v>
      </x:c>
      <x:c r="D15" s="31" t="str">
        <x:v>Did anyone else involved in this task? What did they do</x:v>
      </x:c>
      <x:c r="E15" s="31" t="str">
        <x:v>Did anyone else involved in this task? What did they do</x:v>
      </x:c>
      <x:c r="F15" s="31" t="str">
        <x:v>Consulting &amp; Case</x:v>
      </x:c>
      <x:c r="G15" s="30" t="str">
        <x:v>CL0235</x:v>
      </x:c>
      <x:c r="H15" s="32" t="n">
        <x:f>COUNTIF($G$5:$G$31,G15)</x:f>
        <x:v>1</x:v>
      </x:c>
      <x:c r="I15" s="30" t="str">
        <x:v>B30</x:v>
      </x:c>
      <x:c r="J15" s="31" t="str">
        <x:v>Growth | Followup: | What formula you used</x:v>
      </x:c>
    </x:row>
    <x:row r="16" ht="48" customHeight="1">
      <x:c r="A16" s="30" t="str">
        <x:v>QB2459</x:v>
      </x:c>
      <x:c r="B16" s="30" t="str">
        <x:v>Mckinsey</x:v>
      </x:c>
      <x:c r="C16" s="30" t="str">
        <x:v>Consulting</x:v>
      </x:c>
      <x:c r="D16" s="31" t="str">
        <x:v>Case - Sports wearing brand (like Lululemon) - switch products to ESG related?</x:v>
      </x:c>
      <x:c r="E16" s="31" t="str">
        <x:v>Case - Sports wearing brand (like Lululemon) - switch products to ESG related</x:v>
      </x:c>
      <x:c r="F16" s="31" t="str">
        <x:v>Consulting &amp; Case</x:v>
      </x:c>
      <x:c r="G16" s="30" t="str">
        <x:v>CL0193</x:v>
      </x:c>
      <x:c r="H16" s="32" t="n">
        <x:f>COUNTIF($G$5:$G$31,G16)</x:f>
        <x:v>1</x:v>
      </x:c>
      <x:c r="I16" s="30" t="str">
        <x:v>B31</x:v>
      </x:c>
      <x:c r="J16" s="31" t="str">
        <x:v>Followup: | What formula you used | Did anyone else involved in this task? What did they do</x:v>
      </x:c>
    </x:row>
    <x:row r="17" ht="68" customHeight="1">
      <x:c r="A17" s="30" t="str">
        <x:v>QB2463</x:v>
      </x:c>
      <x:c r="B17" s="30" t="str">
        <x:v>Mckinsey</x:v>
      </x:c>
      <x:c r="C17" s="30" t="str">
        <x:v>Consulting</x:v>
      </x:c>
      <x:c r="D17" s="31" t="str">
        <x:v>自我介绍</x:v>
      </x:c>
      <x:c r="E17" s="31" t="str">
        <x:v>Tell me about yourself / walk me through your resume</x:v>
      </x:c>
      <x:c r="F17" s="31" t="str">
        <x:v>Consulting &amp; Case</x:v>
      </x:c>
      <x:c r="G17" s="30" t="str">
        <x:v>CL0001</x:v>
      </x:c>
      <x:c r="H17" s="32" t="n">
        <x:f>COUNTIF($G$5:$G$31,G17)</x:f>
        <x:v>6</x:v>
      </x:c>
      <x:c r="I17" s="30" t="str">
        <x:v>A36</x:v>
      </x:c>
      <x:c r="J17" s="31" t="str">
        <x:v>Case - Media, family owned company - sell / pass to next gen? | 反问 （中文） | Final Round 11.5 - Minyu Xiao / AP (He's crazy... serious + no facial expressions + grill deeply to CV)</x:v>
      </x:c>
    </x:row>
    <x:row r="18" ht="48" customHeight="1">
      <x:c r="A18" s="30" t="str">
        <x:v>QB2464</x:v>
      </x:c>
      <x:c r="B18" s="30" t="str">
        <x:v>Mckinsey</x:v>
      </x:c>
      <x:c r="C18" s="30" t="str">
        <x:v>Consulting</x:v>
      </x:c>
      <x:c r="D18" s="31" t="str">
        <x:v>自我介绍</x:v>
      </x:c>
      <x:c r="E18" s="31" t="str">
        <x:v>Tell me about yourself / walk me through your resume</x:v>
      </x:c>
      <x:c r="F18" s="31" t="str">
        <x:v>Consulting &amp; Case</x:v>
      </x:c>
      <x:c r="G18" s="30" t="str">
        <x:v>CL0001</x:v>
      </x:c>
      <x:c r="H18" s="32" t="n">
        <x:f>COUNTIF($G$5:$G$31,G18)</x:f>
        <x:v>6</x:v>
      </x:c>
      <x:c r="I18" s="30" t="str">
        <x:v>B36</x:v>
      </x:c>
      <x:c r="J18" s="31" t="str">
        <x:v>Case - Sports wearing brand (like Lululemon) - switch products to ESG related? | 反问 （中文） | Final Round 11.7 - Jia Zhou / Par</x:v>
      </x:c>
    </x:row>
    <x:row r="19" ht="32" customHeight="1">
      <x:c r="A19" s="30" t="str">
        <x:v>QB2472</x:v>
      </x:c>
      <x:c r="B19" s="30" t="str">
        <x:v>Mckinsey</x:v>
      </x:c>
      <x:c r="C19" s="30" t="str">
        <x:v>Consulting</x:v>
      </x:c>
      <x:c r="D19" s="31" t="str">
        <x:v>为什么转consulting</x:v>
      </x:c>
      <x:c r="E19" s="31" t="str">
        <x:v>为什么转consulting</x:v>
      </x:c>
      <x:c r="F19" s="31" t="str">
        <x:v>Consulting &amp; Case</x:v>
      </x:c>
      <x:c r="G19" s="30" t="str">
        <x:v>CL1224</x:v>
      </x:c>
      <x:c r="H19" s="32" t="n">
        <x:f>COUNTIF($G$5:$G$31,G19)</x:f>
        <x:v>1</x:v>
      </x:c>
      <x:c r="I19" s="30" t="str">
        <x:v>B40</x:v>
      </x:c>
      <x:c r="J19" s="31" t="str">
        <x:v>在MS做了Chagee的IPO，怎么看Chagee这个公司 | Chagee和蜜雪二选一，你作为投资者会投哪个 | 认为蜜雪的competitive advantage是什么</x:v>
      </x:c>
    </x:row>
    <x:row r="20" ht="32" customHeight="1">
      <x:c r="A20" s="30" t="str">
        <x:v>QB2479</x:v>
      </x:c>
      <x:c r="B20" s="30" t="str">
        <x:v>Mckinsey</x:v>
      </x:c>
      <x:c r="C20" s="30" t="str">
        <x:v>Consulting</x:v>
      </x:c>
      <x:c r="D20" s="31" t="str">
        <x:v>What's the score scale of the English exam in Yunnan provice</x:v>
      </x:c>
      <x:c r="E20" s="31" t="str">
        <x:v>What's the score scale of the English exam in Yunnan provice</x:v>
      </x:c>
      <x:c r="F20" s="31" t="str">
        <x:v>Consulting &amp; Case</x:v>
      </x:c>
      <x:c r="G20" s="30" t="str">
        <x:v>CL1057</x:v>
      </x:c>
      <x:c r="H20" s="32" t="n">
        <x:f>COUNTIF($G$5:$G$31,G20)</x:f>
        <x:v>1</x:v>
      </x:c>
      <x:c r="I20" s="30" t="str">
        <x:v>A44</x:v>
      </x:c>
      <x:c r="J20" s="31" t="str">
        <x:v>Leadership | Followup: | Why challenging</x:v>
      </x:c>
    </x:row>
    <x:row r="21" ht="48" customHeight="1">
      <x:c r="A21" s="30" t="str">
        <x:v>QB2480</x:v>
      </x:c>
      <x:c r="B21" s="30" t="str">
        <x:v>Mckinsey</x:v>
      </x:c>
      <x:c r="C21" s="30" t="str">
        <x:v>Consulting</x:v>
      </x:c>
      <x:c r="D21" s="31" t="str">
        <x:v>Case - breakfast bar / snack mixes / beverage company, successfully opened online shopping trial for selected goods, should expand online and by how much?</x:v>
      </x:c>
      <x:c r="E21" s="31" t="str">
        <x:v>Case - breakfast bar / snack mixes / beverage company, successfully opened online shopping trial for selected goods, should expand online and by how much</x:v>
      </x:c>
      <x:c r="F21" s="31" t="str">
        <x:v>Consulting &amp; Case</x:v>
      </x:c>
      <x:c r="G21" s="30" t="str">
        <x:v>CL0191</x:v>
      </x:c>
      <x:c r="H21" s="32" t="n">
        <x:f>COUNTIF($G$5:$G$31,G21)</x:f>
        <x:v>1</x:v>
      </x:c>
      <x:c r="I21" s="30" t="str">
        <x:v>B44</x:v>
      </x:c>
      <x:c r="J21" s="31" t="str">
        <x:v>PEI | Drive (明确要MS实习里经历过的事情) | no follow-up, 说了一半就喊停了</x:v>
      </x:c>
    </x:row>
    <x:row r="22" ht="68" customHeight="1">
      <x:c r="A22" s="30" t="str">
        <x:v>QB2482</x:v>
      </x:c>
      <x:c r="B22" s="30" t="str">
        <x:v>Mckinsey</x:v>
      </x:c>
      <x:c r="C22" s="30" t="str">
        <x:v>Consulting</x:v>
      </x:c>
      <x:c r="D22" s="31" t="str">
        <x:v>Q1 By how much the company need to expand the production, what factors to consider</x:v>
      </x:c>
      <x:c r="E22" s="31" t="str">
        <x:v>Q1 By how much the company need to expand the production, what factors to consider</x:v>
      </x:c>
      <x:c r="F22" s="31" t="str">
        <x:v>Consulting &amp; Case</x:v>
      </x:c>
      <x:c r="G22" s="30" t="str">
        <x:v>CL0657</x:v>
      </x:c>
      <x:c r="H22" s="32" t="n">
        <x:f>COUNTIF($G$5:$G$31,G22)</x:f>
        <x:v>1</x:v>
      </x:c>
      <x:c r="I22" s="30" t="str">
        <x:v>B45</x:v>
      </x:c>
      <x:c r="J22" s="31" t="str">
        <x:v>Drive (明确要MS实习里经历过的事情) | no follow-up, 说了一半就喊停了 | Case - breakfast bar / snack mixes / beverage company, successfully opened online shopping trial for selected goods, should expand online and by how much?</x:v>
      </x:c>
    </x:row>
    <x:row r="23" ht="48" customHeight="1">
      <x:c r="A23" s="30" t="str">
        <x:v>QB2502</x:v>
      </x:c>
      <x:c r="B23" s="30" t="str">
        <x:v>BCG</x:v>
      </x:c>
      <x:c r="C23" s="30" t="str">
        <x:v>Consulting</x:v>
      </x:c>
      <x:c r="D23" s="31" t="str">
        <x:v>Market entry and market sizing case question of an OEM manufacturer</x:v>
      </x:c>
      <x:c r="E23" s="31" t="str">
        <x:v>Market entry and market sizing case question of an OEM manufacturer</x:v>
      </x:c>
      <x:c r="F23" s="31" t="str">
        <x:v>Consulting &amp; Case</x:v>
      </x:c>
      <x:c r="G23" s="30" t="str">
        <x:v>CL0600</x:v>
      </x:c>
      <x:c r="H23" s="32" t="n">
        <x:f>COUNTIF($G$5:$G$31,G23)</x:f>
        <x:v>1</x:v>
      </x:c>
      <x:c r="I23" s="30" t="str">
        <x:v>A6</x:v>
      </x:c>
      <x:c r="J23" s="31" t="str">
        <x:v>Self intro | Tell me a time where you added added the most value/learnt the most? 2-3 takeaways/add value points | Follow-up regarding that</x:v>
      </x:c>
    </x:row>
    <x:row r="24" ht="32" customHeight="1">
      <x:c r="A24" s="30" t="str">
        <x:v>QB2510</x:v>
      </x:c>
      <x:c r="B24" s="30" t="str">
        <x:v>BCG</x:v>
      </x:c>
      <x:c r="C24" s="30" t="str">
        <x:v>Consulting</x:v>
      </x:c>
      <x:c r="D24" s="31" t="str">
        <x:v>自我介绍</x:v>
      </x:c>
      <x:c r="E24" s="31" t="str">
        <x:v>Tell me about yourself / walk me through your resume</x:v>
      </x:c>
      <x:c r="F24" s="31" t="str">
        <x:v>Consulting &amp; Case</x:v>
      </x:c>
      <x:c r="G24" s="30" t="str">
        <x:v>CL0001</x:v>
      </x:c>
      <x:c r="H24" s="32" t="n">
        <x:f>COUNTIF($G$5:$G$31,G24)</x:f>
        <x:v>6</x:v>
      </x:c>
      <x:c r="I24" s="30" t="str">
        <x:v>A16</x:v>
      </x:c>
      <x:c r="J24" s="31" t="str">
        <x:v>challenging situation + solve | 音响企业销售额下滑 | R2 11/14 Brian Lam</x:v>
      </x:c>
    </x:row>
    <x:row r="25" ht="32" customHeight="1">
      <x:c r="A25" s="30" t="str">
        <x:v>QB2511</x:v>
      </x:c>
      <x:c r="B25" s="30" t="str">
        <x:v>BCG</x:v>
      </x:c>
      <x:c r="C25" s="30" t="str">
        <x:v>Consulting</x:v>
      </x:c>
      <x:c r="D25" s="31" t="str">
        <x:v>为什么做咨询</x:v>
      </x:c>
      <x:c r="E25" s="31" t="str">
        <x:v>为什么做咨询</x:v>
      </x:c>
      <x:c r="F25" s="31" t="str">
        <x:v>Consulting &amp; Case</x:v>
      </x:c>
      <x:c r="G25" s="30" t="str">
        <x:v>CL1222</x:v>
      </x:c>
      <x:c r="H25" s="32" t="n">
        <x:f>COUNTIF($G$5:$G$31,G25)</x:f>
        <x:v>1</x:v>
      </x:c>
      <x:c r="I25" s="30" t="str">
        <x:v>A17</x:v>
      </x:c>
      <x:c r="J25" s="31" t="str">
        <x:v>音响企业销售额下滑 | R2 11/14 Brian Lam | 自我介绍</x:v>
      </x:c>
    </x:row>
    <x:row r="26" ht="32" customHeight="1">
      <x:c r="A26" s="30" t="str">
        <x:v>QB2519</x:v>
      </x:c>
      <x:c r="B26" s="30" t="str">
        <x:v>Bain &amp; Company</x:v>
      </x:c>
      <x:c r="C26" s="30" t="str">
        <x:v>Consulting</x:v>
      </x:c>
      <x:c r="D26" s="31" t="str">
        <x:v>自我介绍</x:v>
      </x:c>
      <x:c r="E26" s="31" t="str">
        <x:v>Tell me about yourself / walk me through your resume</x:v>
      </x:c>
      <x:c r="F26" s="31" t="str">
        <x:v>Consulting &amp; Case</x:v>
      </x:c>
      <x:c r="G26" s="30" t="str">
        <x:v>CL0001</x:v>
      </x:c>
      <x:c r="H26" s="32" t="n">
        <x:f>COUNTIF($G$5:$G$31,G26)</x:f>
        <x:v>6</x:v>
      </x:c>
      <x:c r="I26" s="30" t="str">
        <x:v>A3</x:v>
      </x:c>
      <x:c r="J26" s="31" t="str">
        <x:v>PTA 2025 November | Jim</x:v>
      </x:c>
    </x:row>
    <x:row r="27" ht="32" customHeight="1">
      <x:c r="A27" s="30" t="str">
        <x:v>QB2520</x:v>
      </x:c>
      <x:c r="B27" s="30" t="str">
        <x:v>Bain &amp; Company</x:v>
      </x:c>
      <x:c r="C27" s="30" t="str">
        <x:v>Consulting</x:v>
      </x:c>
      <x:c r="D27" s="31" t="str">
        <x:v>讲一下最近一段实习经历</x:v>
      </x:c>
      <x:c r="E27" s="31" t="str">
        <x:v>讲一下最近一段实习经历</x:v>
      </x:c>
      <x:c r="F27" s="31" t="str">
        <x:v>Consulting &amp; Case</x:v>
      </x:c>
      <x:c r="G27" s="30" t="str">
        <x:v>CL1254</x:v>
      </x:c>
      <x:c r="H27" s="32" t="n">
        <x:f>COUNTIF($G$5:$G$31,G27)</x:f>
        <x:v>1</x:v>
      </x:c>
      <x:c r="I27" s="30" t="str">
        <x:v>A4</x:v>
      </x:c>
      <x:c r="J27" s="31" t="str">
        <x:v>PTA 2025 November | Jim | 自我介绍</x:v>
      </x:c>
    </x:row>
    <x:row r="28" ht="48" customHeight="1">
      <x:c r="A28" s="30" t="str">
        <x:v>QB2742</x:v>
      </x:c>
      <x:c r="B28" s="30" t="str">
        <x:v>HSBC (GM)</x:v>
      </x:c>
      <x:c r="C28" s="30" t="str">
        <x:v>Sales &amp; Trading</x:v>
      </x:c>
      <x:c r="D28" s="31" t="str">
        <x:v>brain teaser: if u have 10*10*10 cube made up of 1*1*1 small cubes, and u paint the whole thing red how many small cubes are painted red</x:v>
      </x:c>
      <x:c r="E28" s="31" t="str">
        <x:v>Brain teaser: if u have 10*10*10 cube made up of 1*1*1 small cubes, and u paint the whole thing red how many small cubes are painted red</x:v>
      </x:c>
      <x:c r="F28" s="31" t="str">
        <x:v>Consulting &amp; Case</x:v>
      </x:c>
      <x:c r="G28" s="30" t="str">
        <x:v>CL0173</x:v>
      </x:c>
      <x:c r="H28" s="32" t="n">
        <x:f>COUNTIF($G$5:$G$31,G28)</x:f>
        <x:v>1</x:v>
      </x:c>
      <x:c r="I28" s="30" t="str">
        <x:v>A34</x:v>
      </x:c>
      <x:c r="J28" s="31" t="str">
        <x:v>why HSBC | discuss about how to optimize efficiency in an organization | use of AI in a bank</x:v>
      </x:c>
    </x:row>
    <x:row r="29" ht="48" customHeight="1">
      <x:c r="A29" s="30" t="str">
        <x:v>QB2927</x:v>
      </x:c>
      <x:c r="B29" s="30" t="str">
        <x:v>CDH</x:v>
      </x:c>
      <x:c r="C29" s="30" t="str">
        <x:v>PE / VC / Other</x:v>
      </x:c>
      <x:c r="D29" s="31" t="str">
        <x:v>25bn market size, how do you get it?</x:v>
      </x:c>
      <x:c r="E29" s="31" t="str">
        <x:v>25bn market size, how do you get it</x:v>
      </x:c>
      <x:c r="F29" s="31" t="str">
        <x:v>Consulting &amp; Case</x:v>
      </x:c>
      <x:c r="G29" s="30" t="str">
        <x:v>CL0071</x:v>
      </x:c>
      <x:c r="H29" s="32" t="n">
        <x:f>COUNTIF($G$5:$G$31,G29)</x:f>
        <x:v>1</x:v>
      </x:c>
      <x:c r="I29" s="30" t="str">
        <x:v>A7</x:v>
      </x:c>
      <x:c r="J29" s="31" t="str">
        <x:v>Timeline and planning? | Introduce the UBS deal and what you have done? | Tell me about the industry</x:v>
      </x:c>
    </x:row>
    <x:row r="30" ht="48" customHeight="1">
      <x:c r="A30" s="30" t="str">
        <x:v>QB2983</x:v>
      </x:c>
      <x:c r="B30" s="30" t="str">
        <x:v>Mindworks Capital</x:v>
      </x:c>
      <x:c r="C30" s="30" t="str">
        <x:v>PE / VC / Other</x:v>
      </x:c>
      <x:c r="D30" s="31" t="str">
        <x:v>Two super long market sizing questions, 5 minutes for thinking and calculation and then present it</x:v>
      </x:c>
      <x:c r="E30" s="31" t="str">
        <x:v>Two super long market sizing questions, 5 minutes for thinking and calculation and then present it</x:v>
      </x:c>
      <x:c r="F30" s="31" t="str">
        <x:v>Consulting &amp; Case</x:v>
      </x:c>
      <x:c r="G30" s="30" t="str">
        <x:v>CL0806</x:v>
      </x:c>
      <x:c r="H30" s="32" t="n">
        <x:f>COUNTIF($G$5:$G$31,G30)</x:f>
        <x:v>1</x:v>
      </x:c>
      <x:c r="I30" s="30" t="str">
        <x:v>E4</x:v>
      </x:c>
      <x:c r="J30" s="31" t="str">
        <x:v>Really hard | Technical interview</x:v>
      </x:c>
    </x:row>
    <x:row r="31" ht="32" customHeight="1">
      <x:c r="A31" s="30" t="str">
        <x:v>QB2985</x:v>
      </x:c>
      <x:c r="B31" s="30" t="str">
        <x:v>Mindworks Capital</x:v>
      </x:c>
      <x:c r="C31" s="30" t="str">
        <x:v>PE / VC / Other</x:v>
      </x:c>
      <x:c r="D31" s="31" t="str">
        <x:v>some basic market sizing questions</x:v>
      </x:c>
      <x:c r="E31" s="31" t="str">
        <x:v>Some basic market sizing questions</x:v>
      </x:c>
      <x:c r="F31" s="31" t="str">
        <x:v>Consulting &amp; Case</x:v>
      </x:c>
      <x:c r="G31" s="30" t="str">
        <x:v>CL0688</x:v>
      </x:c>
      <x:c r="H31" s="32" t="n">
        <x:f>COUNTIF($G$5:$G$31,G31)</x:f>
        <x:v>1</x:v>
      </x:c>
      <x:c r="I31" s="30" t="str">
        <x:v>C5</x:v>
      </x:c>
      <x:c r="J31" s="31" t="str">
        <x:v>Analyst interview | Pitch me a company</x:v>
      </x:c>
    </x:row>
  </x:sheetData>
  <x:mergeCells>
    <x:mergeCell ref="A1:J1"/>
    <x:mergeCell ref="A2:J2"/>
  </x:mergeCells>
  <x:conditionalFormatting sqref="H5:H31">
    <x:cfRule type="cellIs" dxfId="23" priority="1" operator="greaterThan">
      <x:formula>1</x:formula>
    </x:cfRule>
  </x:conditionalFormatting>
  <x:pageMargins left="0.7" right="0.7" top="0.75" bottom="0.75" header="0.3" footer="0.3"/>
  <x:tableParts count="1">
    <x:tablePart xmlns:r="http://schemas.openxmlformats.org/officeDocument/2006/relationships" r:id="Rc2c37299f5ac4ade"/>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Other Technical</x:v>
      </x:c>
      <x:c r="B1" s="3"/>
      <x:c r="C1" s="3"/>
      <x:c r="D1" s="3"/>
      <x:c r="E1" s="3"/>
      <x:c r="F1" s="3"/>
      <x:c r="G1" s="3"/>
      <x:c r="H1" s="3"/>
      <x:c r="I1" s="3"/>
      <x:c r="J1" s="3"/>
    </x:row>
    <x:row r="2" ht="30" customHeight="1">
      <x:c r="A2" s="7" t="str">
        <x:v>Preparation list for Other Technical.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48" customHeight="1">
      <x:c r="A5" s="30" t="str">
        <x:v>QB0056</x:v>
      </x:c>
      <x:c r="B5" s="30" t="str">
        <x:v>MS IBD</x:v>
      </x:c>
      <x:c r="C5" s="30" t="str">
        <x:v>IBD / GCM</x:v>
      </x:c>
      <x:c r="D5" s="31" t="str">
        <x:v>Did you do any financial modelling before</x:v>
      </x:c>
      <x:c r="E5" s="31" t="str">
        <x:v>Did you do any financial modelling before</x:v>
      </x:c>
      <x:c r="F5" s="31" t="str">
        <x:v>Other Technical</x:v>
      </x:c>
      <x:c r="G5" s="30" t="str">
        <x:v>CL0238</x:v>
      </x:c>
      <x:c r="H5" s="32" t="n">
        <x:f>COUNTIF($G$5:$G$27,G5)</x:f>
        <x:v>1</x:v>
      </x:c>
      <x:c r="I5" s="30" t="str">
        <x:v>E24</x:v>
      </x:c>
      <x:c r="J5" s="31" t="str">
        <x:v>Self introduction/ walk me through your resume | Why sell-side but not buy-side | Why investment banking but not consulting</x:v>
      </x:c>
    </x:row>
    <x:row r="6" ht="68" customHeight="1">
      <x:c r="A6" s="30" t="str">
        <x:v>QB0228</x:v>
      </x:c>
      <x:c r="B6" s="30" t="str">
        <x:v>MS IBD</x:v>
      </x:c>
      <x:c r="C6" s="30" t="str">
        <x:v>IBD / GCM</x:v>
      </x:c>
      <x:c r="D6" s="31" t="str">
        <x:v>Calculate EBITDA for a Chinese firm</x:v>
      </x:c>
      <x:c r="E6" s="31" t="str">
        <x:v>Calculate EBITDA for a Chinese firm</x:v>
      </x:c>
      <x:c r="F6" s="31" t="str">
        <x:v>Other Technical</x:v>
      </x:c>
      <x:c r="G6" s="30" t="str">
        <x:v>CL0181</x:v>
      </x:c>
      <x:c r="H6" s="32" t="n">
        <x:f>COUNTIF($G$5:$G$27,G6)</x:f>
        <x:v>1</x:v>
      </x:c>
      <x:c r="I6" s="30" t="str">
        <x:v>A115</x:v>
      </x:c>
      <x:c r="J6" s="31" t="str">
        <x:v>Walk through the 3 financial statements | How will capital raise affect 3 statements, follow-ups | Raise new debt in 2025, impacts on BS and IS this year and next year</x:v>
      </x:c>
    </x:row>
    <x:row r="7" ht="32" customHeight="1">
      <x:c r="A7" s="30" t="str">
        <x:v>QB0319</x:v>
      </x:c>
      <x:c r="B7" s="30" t="str">
        <x:v>MS GCM</x:v>
      </x:c>
      <x:c r="C7" s="30" t="str">
        <x:v>IBD / GCM</x:v>
      </x:c>
      <x:c r="D7" s="31" t="str">
        <x:v>what's the technical skills that make you stand out;</x:v>
      </x:c>
      <x:c r="E7" s="31" t="str">
        <x:v>What's the technical skills that make you stand out</x:v>
      </x:c>
      <x:c r="F7" s="31" t="str">
        <x:v>Other Technical</x:v>
      </x:c>
      <x:c r="G7" s="30" t="str">
        <x:v>CL1059</x:v>
      </x:c>
      <x:c r="H7" s="32" t="n">
        <x:f>COUNTIF($G$5:$G$27,G7)</x:f>
        <x:v>1</x:v>
      </x:c>
      <x:c r="I7" s="30" t="str">
        <x:v>C72</x:v>
      </x:c>
      <x:c r="J7" s="31" t="str">
        <x:v>why hk not Yunnan; | Pitch me a stock; | Some comparable comps;</x:v>
      </x:c>
    </x:row>
    <x:row r="8" ht="68" customHeight="1">
      <x:c r="A8" s="30" t="str">
        <x:v>QB0498</x:v>
      </x:c>
      <x:c r="B8" s="30" t="str">
        <x:v>UBS IBD</x:v>
      </x:c>
      <x:c r="C8" s="30" t="str">
        <x:v>IBD / GCM</x:v>
      </x:c>
      <x:c r="D8" s="31" t="str">
        <x:v>Calculate the EV/EBITDA by using target price</x:v>
      </x:c>
      <x:c r="E8" s="31" t="str">
        <x:v>Calculate the EV/EBITDA by using target price</x:v>
      </x:c>
      <x:c r="F8" s="31" t="str">
        <x:v>Other Technical</x:v>
      </x:c>
      <x:c r="G8" s="30" t="str">
        <x:v>CL0182</x:v>
      </x:c>
      <x:c r="H8" s="32" t="n">
        <x:f>COUNTIF($G$5:$G$27,G8)</x:f>
        <x:v>1</x:v>
      </x:c>
      <x:c r="I8" s="30" t="str">
        <x:v>D28</x:v>
      </x:c>
      <x:c r="J8" s="31" t="str">
        <x:v>(I fucked up really badly so he is just asking wtf r u doing lol and guiding me to solve it) | Why do you think the company is undervalued | How would you value the company</x:v>
      </x:c>
    </x:row>
    <x:row r="9" ht="68" customHeight="1">
      <x:c r="A9" s="30" t="str">
        <x:v>QB0633</x:v>
      </x:c>
      <x:c r="B9" s="30" t="str">
        <x:v>Deutsche</x:v>
      </x:c>
      <x:c r="C9" s="30" t="str">
        <x:v>IBD / GCM</x:v>
      </x:c>
      <x:c r="D9" s="31" t="str">
        <x:v>PPT person or Excel person?</x:v>
      </x:c>
      <x:c r="E9" s="31" t="str">
        <x:v>PPT person or Excel person</x:v>
      </x:c>
      <x:c r="F9" s="31" t="str">
        <x:v>Other Technical</x:v>
      </x:c>
      <x:c r="G9" s="30" t="str">
        <x:v>CL0644</x:v>
      </x:c>
      <x:c r="H9" s="32" t="n">
        <x:f>COUNTIF($G$5:$G$27,G9)</x:f>
        <x:v>1</x:v>
      </x:c>
      <x:c r="I9" s="30" t="str">
        <x:v>C30</x:v>
      </x:c>
      <x:c r="J9" s="31" t="str">
        <x:v>你有特別想進的組嗎？ | 雖然你想進M&amp;A，但我覺得妳會適合hk coverage team，你會願意嗎？(i said yes and also asked for permission to show my knowledge in hk ipo deal of DB since when she asked me m&amp;a i said a european deal...) | 你覺得你的缺點是什麼？</x:v>
      </x:c>
    </x:row>
    <x:row r="10" ht="48" customHeight="1">
      <x:c r="A10" s="30" t="str">
        <x:v>QB0654</x:v>
      </x:c>
      <x:c r="B10" s="30" t="str">
        <x:v>Deutsche</x:v>
      </x:c>
      <x:c r="C10" s="30" t="str">
        <x:v>IBD / GCM</x:v>
      </x:c>
      <x:c r="D10" s="31" t="str">
        <x:v>whats the formulas for unlever and relever</x:v>
      </x:c>
      <x:c r="E10" s="31" t="str">
        <x:v>Whats the formulas for unlever and relever</x:v>
      </x:c>
      <x:c r="F10" s="31" t="str">
        <x:v>Other Technical</x:v>
      </x:c>
      <x:c r="G10" s="30" t="str">
        <x:v>CL1073</x:v>
      </x:c>
      <x:c r="H10" s="32" t="n">
        <x:f>COUNTIF($G$5:$G$27,G10)</x:f>
        <x:v>1</x:v>
      </x:c>
      <x:c r="I10" s="30" t="str">
        <x:v>A42</x:v>
      </x:c>
      <x:c r="J10" s="31" t="str">
        <x:v>how to arrive WACC for a company in china consumer industry | optimal wacc | how do you find beta beside public comps</x:v>
      </x:c>
    </x:row>
    <x:row r="11" ht="48" customHeight="1">
      <x:c r="A11" s="30" t="str">
        <x:v>QB0848</x:v>
      </x:c>
      <x:c r="B11" s="30" t="str">
        <x:v>Deutsche</x:v>
      </x:c>
      <x:c r="C11" s="30" t="str">
        <x:v>IBD / GCM</x:v>
      </x:c>
      <x:c r="D11" s="31" t="str">
        <x:v>Did you build a model for it</x:v>
      </x:c>
      <x:c r="E11" s="31" t="str">
        <x:v>Did you build a model for it</x:v>
      </x:c>
      <x:c r="F11" s="31" t="str">
        <x:v>Other Technical</x:v>
      </x:c>
      <x:c r="G11" s="30" t="str">
        <x:v>CL0237</x:v>
      </x:c>
      <x:c r="H11" s="32" t="n">
        <x:f>COUNTIF($G$5:$G$27,G11)</x:f>
        <x:v>1</x:v>
      </x:c>
      <x:c r="I11" s="30" t="str">
        <x:v>C162</x:v>
      </x:c>
      <x:c r="J11" s="31" t="str">
        <x:v>Tell me concisely what’s the transaction background and structure | Which jurisdiction does this LOE follows? | Tell me a investment highlight in CIM</x:v>
      </x:c>
    </x:row>
    <x:row r="12" ht="92" customHeight="1">
      <x:c r="A12" s="30" t="str">
        <x:v>QB0974</x:v>
      </x:c>
      <x:c r="B12" s="30" t="str">
        <x:v>Barclays</x:v>
      </x:c>
      <x:c r="C12" s="30" t="str">
        <x:v>IBD / GCM</x:v>
      </x:c>
      <x:c r="D12" s="31" t="str">
        <x:v>If you don’t work in investment banking or finance in the long term, what would you work in?</x:v>
      </x:c>
      <x:c r="E12" s="31" t="str">
        <x:v>If you don’t work in investment banking or finance in the long term, what would you work in</x:v>
      </x:c>
      <x:c r="F12" s="31" t="str">
        <x:v>Other Technical</x:v>
      </x:c>
      <x:c r="G12" s="30" t="str">
        <x:v>CL0530</x:v>
      </x:c>
      <x:c r="H12" s="32" t="n">
        <x:f>COUNTIF($G$5:$G$27,G12)</x:f>
        <x:v>1</x:v>
      </x:c>
      <x:c r="I12" s="30" t="str">
        <x:v>A13</x:v>
      </x:c>
      <x:c r="J12" s="31" t="str">
        <x:v>For my most favourite internship, walk through deal, ask about equity-linked notes and whether it is closed | Technical: Growth Perpetuity method, if 0 growth rate, 10% WACC, 100CF, what is terminal value? | How do you enhance personal g...</x:v>
      </x:c>
    </x:row>
    <x:row r="13" ht="68" customHeight="1">
      <x:c r="A13" s="30" t="str">
        <x:v>QB1064</x:v>
      </x:c>
      <x:c r="B13" s="30" t="str">
        <x:v>Barclays</x:v>
      </x:c>
      <x:c r="C13" s="30" t="str">
        <x:v>IBD / GCM</x:v>
      </x:c>
      <x:c r="D13" s="31" t="str">
        <x:v>How did you contribute to the financial model?</x:v>
      </x:c>
      <x:c r="E13" s="31" t="str">
        <x:v>How did you contribute to the financial model</x:v>
      </x:c>
      <x:c r="F13" s="31" t="str">
        <x:v>Other Technical</x:v>
      </x:c>
      <x:c r="G13" s="30" t="str">
        <x:v>CL0379</x:v>
      </x:c>
      <x:c r="H13" s="32" t="n">
        <x:f>COUNTIF($G$5:$G$27,G13)</x:f>
        <x:v>1</x:v>
      </x:c>
      <x:c r="I13" s="30" t="str">
        <x:v>A51</x:v>
      </x:c>
      <x:c r="J13" s="31" t="str">
        <x:v>Why Barclays? | What did you learn from past intern experience? What do you think you will be doing if admitted to the program? | Tell me about a time you encounter difficulty?</x:v>
      </x:c>
    </x:row>
    <x:row r="14" ht="32" customHeight="1">
      <x:c r="A14" s="30" t="str">
        <x:v>QB1199</x:v>
      </x:c>
      <x:c r="B14" s="30" t="str">
        <x:v>GS DCMECM</x:v>
      </x:c>
      <x:c r="C14" s="30" t="str">
        <x:v>IBD / GCM</x:v>
      </x:c>
      <x:c r="D14" s="31" t="str">
        <x:v>How did I get into finance</x:v>
      </x:c>
      <x:c r="E14" s="31" t="str">
        <x:v>How did I get into finance</x:v>
      </x:c>
      <x:c r="F14" s="31" t="str">
        <x:v>Other Technical</x:v>
      </x:c>
      <x:c r="G14" s="30" t="str">
        <x:v>CL0375</x:v>
      </x:c>
      <x:c r="H14" s="32" t="n">
        <x:f>COUNTIF($G$5:$G$27,G14)</x:f>
        <x:v>1</x:v>
      </x:c>
      <x:c r="I14" s="30" t="str">
        <x:v>B28</x:v>
      </x:c>
      <x:c r="J14" s="31" t="str">
        <x:v>3 Jason ECM ED | Self intro | Did I choose ECM as my first preference</x:v>
      </x:c>
    </x:row>
    <x:row r="15" ht="92" customHeight="1">
      <x:c r="A15" s="30" t="str">
        <x:v>QB1260</x:v>
      </x:c>
      <x:c r="B15" s="30" t="str">
        <x:v>Bofa IBD</x:v>
      </x:c>
      <x:c r="C15" s="30" t="str">
        <x:v>IBD / GCM</x:v>
      </x:c>
      <x:c r="D15" s="31" t="str">
        <x:v>If I sent you a model done by others and there are a lot of errors, probably because of circular referencing, where would you start checking and how would you make amendments for it?</x:v>
      </x:c>
      <x:c r="E15" s="31" t="str">
        <x:v>If I sent you a model done by others and there are a lot of errors, probably because of circular referencing, where would you start checking and how would you make amendments for it</x:v>
      </x:c>
      <x:c r="F15" s="31" t="str">
        <x:v>Other Technical</x:v>
      </x:c>
      <x:c r="G15" s="30" t="str">
        <x:v>CL0515</x:v>
      </x:c>
      <x:c r="H15" s="32" t="n">
        <x:f>COUNTIF($G$5:$G$27,G15)</x:f>
        <x:v>1</x:v>
      </x:c>
      <x:c r="I15" s="30" t="str">
        <x:v>G6</x:v>
      </x:c>
      <x:c r="J15" s="31" t="str">
        <x:v>(general feeling: He probably doens't like me because I ask dumb questions but not personal ones he seems to want to be more chill......) | Told me to talk for 5 mins on: short term and long term career goal, what are my major strengths ...</x:v>
      </x:c>
    </x:row>
    <x:row r="16" ht="32" customHeight="1">
      <x:c r="A16" s="30" t="str">
        <x:v>QB1454</x:v>
      </x:c>
      <x:c r="B16" s="30" t="str">
        <x:v>Bofa GCM</x:v>
      </x:c>
      <x:c r="C16" s="30" t="str">
        <x:v>IBD / GCM</x:v>
      </x:c>
      <x:c r="D16" s="31" t="str">
        <x:v>怎麼用excel vba的？</x:v>
      </x:c>
      <x:c r="E16" s="31" t="str">
        <x:v>怎麼用excel vba的</x:v>
      </x:c>
      <x:c r="F16" s="31" t="str">
        <x:v>Other Technical</x:v>
      </x:c>
      <x:c r="G16" s="30" t="str">
        <x:v>CL1243</x:v>
      </x:c>
      <x:c r="H16" s="32" t="n">
        <x:f>COUNTIF($G$5:$G$27,G16)</x:f>
        <x:v>1</x:v>
      </x:c>
      <x:c r="I16" s="30" t="str">
        <x:v>A11</x:v>
      </x:c>
      <x:c r="J16" s="31" t="str">
        <x:v>你ER的實習會看oil&amp;gas嗎？聊聊你對oil的看法吧 | 聊聊你對能源市場的看法吧 | 說說credit profile怎麼做</x:v>
      </x:c>
    </x:row>
    <x:row r="17" ht="48" customHeight="1">
      <x:c r="A17" s="30" t="str">
        <x:v>QB1619</x:v>
      </x:c>
      <x:c r="B17" s="30" t="str">
        <x:v>Jefferies</x:v>
      </x:c>
      <x:c r="C17" s="30" t="str">
        <x:v>IBD / GCM</x:v>
      </x:c>
      <x:c r="D17" s="31" t="str">
        <x:v>l Did you do any modelling?</x:v>
      </x:c>
      <x:c r="E17" s="31" t="str">
        <x:v>L Did you do any modelling</x:v>
      </x:c>
      <x:c r="F17" s="31" t="str">
        <x:v>Other Technical</x:v>
      </x:c>
      <x:c r="G17" s="30" t="str">
        <x:v>CL0572</x:v>
      </x:c>
      <x:c r="H17" s="32" t="n">
        <x:f>COUNTIF($G$5:$G$27,G17)</x:f>
        <x:v>1</x:v>
      </x:c>
      <x:c r="I17" s="30" t="str">
        <x:v>C10</x:v>
      </x:c>
      <x:c r="J17" s="31" t="str">
        <x:v>Why Jefferies? | M&amp;A deal involving an Indian pharma company acquiring a French counterpart | l What did you do in the deal?</x:v>
      </x:c>
    </x:row>
    <x:row r="18" ht="48" customHeight="1">
      <x:c r="A18" s="30" t="str">
        <x:v>QB1707</x:v>
      </x:c>
      <x:c r="B18" s="30" t="str">
        <x:v>BNP Paribas</x:v>
      </x:c>
      <x:c r="C18" s="30" t="str">
        <x:v>IBD / GCM</x:v>
      </x:c>
      <x:c r="D18" s="31" t="str">
        <x:v>an excel file and other equity research reports are given, as well as Weilong's annual reports</x:v>
      </x:c>
      <x:c r="E18" s="31" t="str">
        <x:v>An excel file and other equity research reports are given, as well as Weilong's annual reports</x:v>
      </x:c>
      <x:c r="F18" s="31" t="str">
        <x:v>Other Technical</x:v>
      </x:c>
      <x:c r="G18" s="30" t="str">
        <x:v>CL0110</x:v>
      </x:c>
      <x:c r="H18" s="32" t="n">
        <x:f>COUNTIF($G$5:$G$27,G18)</x:f>
        <x:v>1</x:v>
      </x:c>
      <x:c r="I18" s="30" t="str">
        <x:v>I9</x:v>
      </x:c>
      <x:c r="J18" s="31" t="str">
        <x:v>prioritisation of tasks in workplace | Case Study | 2-page pitch deck for Weilong</x:v>
      </x:c>
    </x:row>
    <x:row r="19" ht="68" customHeight="1">
      <x:c r="A19" s="30" t="str">
        <x:v>QB1880</x:v>
      </x:c>
      <x:c r="B19" s="30" t="str">
        <x:v>HSBC</x:v>
      </x:c>
      <x:c r="C19" s="30" t="str">
        <x:v>IBD / GCM</x:v>
      </x:c>
      <x:c r="D19" s="31" t="str">
        <x:v>do you think it's possible that people can give excellent result on all the given tasks? why?</x:v>
      </x:c>
      <x:c r="E19" s="31" t="str">
        <x:v>Do you think it's possible that people can give excellent result on all the given tasks? why</x:v>
      </x:c>
      <x:c r="F19" s="31" t="str">
        <x:v>Other Technical</x:v>
      </x:c>
      <x:c r="G19" s="30" t="str">
        <x:v>CL0296</x:v>
      </x:c>
      <x:c r="H19" s="32" t="n">
        <x:f>COUNTIF($G$5:$G$27,G19)</x:f>
        <x:v>1</x:v>
      </x:c>
      <x:c r="I19" s="30" t="str">
        <x:v>A37</x:v>
      </x:c>
      <x:c r="J19" s="31" t="str">
        <x:v>what did ibd do and why ibd; | a story of extracurricular activity that shows skills that you think will fit for ibd; | a story of how you get inputs (advice) from other people;</x:v>
      </x:c>
    </x:row>
    <x:row r="20" ht="68" customHeight="1">
      <x:c r="A20" s="30" t="str">
        <x:v>QB1925</x:v>
      </x:c>
      <x:c r="B20" s="30" t="str">
        <x:v>Lazard</x:v>
      </x:c>
      <x:c r="C20" s="30" t="str">
        <x:v>IBD / GCM</x:v>
      </x:c>
      <x:c r="D20" s="31" t="str">
        <x:v>About biz model: so only installation? Do they manufacture these products themselves? Do they build factory?</x:v>
      </x:c>
      <x:c r="E20" s="31" t="str">
        <x:v>About biz model: so only installation? Do they manufacture these products themselves? Do they build factory</x:v>
      </x:c>
      <x:c r="F20" s="31" t="str">
        <x:v>Other Technical</x:v>
      </x:c>
      <x:c r="G20" s="30" t="str">
        <x:v>CL0095</x:v>
      </x:c>
      <x:c r="H20" s="32" t="n">
        <x:f>COUNTIF($G$5:$G$27,G20)</x:f>
        <x:v>1</x:v>
      </x:c>
      <x:c r="I20" s="30" t="str">
        <x:v>A23</x:v>
      </x:c>
      <x:c r="J20" s="31" t="str">
        <x:v>Walk me through the stock pitch in Daiwa. Company and valuation, business model | What multiples you used for comps? EV/MW makes sense? | DCF revenue stream breakdown?</x:v>
      </x:c>
    </x:row>
    <x:row r="21" ht="68" customHeight="1">
      <x:c r="A21" s="30" t="str">
        <x:v>QB2228</x:v>
      </x:c>
      <x:c r="B21" s="30" t="str">
        <x:v>GS PWM</x:v>
      </x:c>
      <x:c r="C21" s="30" t="str">
        <x:v>PWM / AM</x:v>
      </x:c>
      <x:c r="D21" s="31" t="str">
        <x:v>谁是你的role model?</x:v>
      </x:c>
      <x:c r="E21" s="31" t="str">
        <x:v>谁是你的role model</x:v>
      </x:c>
      <x:c r="F21" s="31" t="str">
        <x:v>Other Technical</x:v>
      </x:c>
      <x:c r="G21" s="30" t="str">
        <x:v>CL1256</x:v>
      </x:c>
      <x:c r="H21" s="32" t="n">
        <x:f>COUNTIF($G$5:$G$27,G21)</x:f>
        <x:v>1</x:v>
      </x:c>
      <x:c r="I21" s="30" t="str">
        <x:v>A34</x:v>
      </x:c>
      <x:c r="J21" s="31" t="str">
        <x:v>All of the interviewers are front line sales (pwm advisors) | All of the rounds begin with a quick self intro | Cannot recall all of the Qs but list some of them below:</x:v>
      </x:c>
    </x:row>
    <x:row r="22" ht="48" customHeight="1">
      <x:c r="A22" s="30" t="str">
        <x:v>QB2238</x:v>
      </x:c>
      <x:c r="B22" s="30" t="str">
        <x:v>GS PWM</x:v>
      </x:c>
      <x:c r="C22" s="30" t="str">
        <x:v>PWM / AM</x:v>
      </x:c>
      <x:c r="D22" s="31" t="str">
        <x:v>Technical: 什么样的产品是带有杠杆的？</x:v>
      </x:c>
      <x:c r="E22" s="31" t="str">
        <x:v>Technical: 什么样的产品是带有杠杆的</x:v>
      </x:c>
      <x:c r="F22" s="31" t="str">
        <x:v>Other Technical</x:v>
      </x:c>
      <x:c r="G22" s="30" t="str">
        <x:v>CL0701</x:v>
      </x:c>
      <x:c r="H22" s="32" t="n">
        <x:f>COUNTIF($G$5:$G$27,G22)</x:f>
        <x:v>1</x:v>
      </x:c>
      <x:c r="I22" s="30" t="str">
        <x:v>A44</x:v>
      </x:c>
      <x:c r="J22" s="31" t="str">
        <x:v>If you could change one aspect of the GS, what will you do? | Pitch me a stock | Any recent news that you're recently following</x:v>
      </x:c>
    </x:row>
    <x:row r="23" ht="92" customHeight="1">
      <x:c r="A23" s="30" t="str">
        <x:v>QB2336</x:v>
      </x:c>
      <x:c r="B23" s="30" t="str">
        <x:v>JPM AM</x:v>
      </x:c>
      <x:c r="C23" s="30" t="str">
        <x:v>PWM / AM</x:v>
      </x:c>
      <x:c r="D23" s="31" t="str">
        <x:v>Math question: 类似If a frog jumps half the distance to a pond with each leap, how many jumps would it need to reach the water?</x:v>
      </x:c>
      <x:c r="E23" s="31" t="str">
        <x:v>Math question: 类似If a frog jumps half the distance to a pond with each leap, how many jumps would it need to reach the water</x:v>
      </x:c>
      <x:c r="F23" s="31" t="str">
        <x:v>Other Technical</x:v>
      </x:c>
      <x:c r="G23" s="30" t="str">
        <x:v>CL0605</x:v>
      </x:c>
      <x:c r="H23" s="32" t="n">
        <x:f>COUNTIF($G$5:$G$27,G23)</x:f>
        <x:v>1</x:v>
      </x:c>
      <x:c r="I23" s="30" t="str">
        <x:v>G37</x:v>
      </x:c>
      <x:c r="J23" s="31" t="str">
        <x:v>If you're walking into the meeting room for the clients but you suddenly realized a big mistake about the numbers, what will you do? | Give me an example that you find you could have done better afterwards. | What's your understanding ab...</x:v>
      </x:c>
    </x:row>
    <x:row r="24" ht="48" customHeight="1">
      <x:c r="A24" s="30" t="str">
        <x:v>QB2587</x:v>
      </x:c>
      <x:c r="B24" s="30" t="str">
        <x:v>MS IED</x:v>
      </x:c>
      <x:c r="C24" s="30" t="str">
        <x:v>Sales &amp; Trading</x:v>
      </x:c>
      <x:c r="D24" s="31" t="str">
        <x:v>are you good at math &amp; coding</x:v>
      </x:c>
      <x:c r="E24" s="31" t="str">
        <x:v>Are you good at math &amp; coding</x:v>
      </x:c>
      <x:c r="F24" s="31" t="str">
        <x:v>Other Technical</x:v>
      </x:c>
      <x:c r="G24" s="30" t="str">
        <x:v>CL0136</x:v>
      </x:c>
      <x:c r="H24" s="32" t="n">
        <x:f>COUNTIF($G$5:$G$27,G24)</x:f>
        <x:v>1</x:v>
      </x:c>
      <x:c r="I24" s="30" t="str">
        <x:v>N22</x:v>
      </x:c>
      <x:c r="J24" s="31" t="str">
        <x:v>One market headline ur following | what do you think are your adv and disadv | preference within IED (sales, trading, or structuring)</x:v>
      </x:c>
    </x:row>
    <x:row r="25" ht="68" customHeight="1">
      <x:c r="A25" s="30" t="str">
        <x:v>QB2635</x:v>
      </x:c>
      <x:c r="B25" s="30" t="str">
        <x:v>BofA (GM)</x:v>
      </x:c>
      <x:c r="C25" s="30" t="str">
        <x:v>Sales &amp; Trading</x:v>
      </x:c>
      <x:c r="D25" s="31" t="str">
        <x:v>Tell me more about your self (besides the finance side), like hobbies?</x:v>
      </x:c>
      <x:c r="E25" s="31" t="str">
        <x:v>What are your interests outside work and school?</x:v>
      </x:c>
      <x:c r="F25" s="31" t="str">
        <x:v>Other Technical</x:v>
      </x:c>
      <x:c r="G25" s="30" t="str">
        <x:v>CL0014</x:v>
      </x:c>
      <x:c r="H25" s="32" t="n">
        <x:f>COUNTIF($G$5:$G$27,G25)</x:f>
        <x:v>1</x:v>
      </x:c>
      <x:c r="I25" s="30" t="str">
        <x:v>A11</x:v>
      </x:c>
      <x:c r="J25" s="31" t="str">
        <x:v>Then if I let you choose the three rotational desk, what would you choose? Why? (I said mostly sales-related) | What do you think the sales role are doing? | Then why do you believe you can become a successful sales in BofA?</x:v>
      </x:c>
    </x:row>
    <x:row r="26" ht="32" customHeight="1">
      <x:c r="A26" s="30" t="str">
        <x:v>QB2884</x:v>
      </x:c>
      <x:c r="B26" s="30" t="str">
        <x:v>MSPEA</x:v>
      </x:c>
      <x:c r="C26" s="30" t="str">
        <x:v>PE / VC / Other</x:v>
      </x:c>
      <x:c r="D26" s="31" t="str">
        <x:v>How to calculate EBITDA from top down?</x:v>
      </x:c>
      <x:c r="E26" s="31" t="str">
        <x:v>How to calculate EBITDA from top down</x:v>
      </x:c>
      <x:c r="F26" s="31" t="str">
        <x:v>Other Technical</x:v>
      </x:c>
      <x:c r="G26" s="30" t="str">
        <x:v>CL0463</x:v>
      </x:c>
      <x:c r="H26" s="32" t="n">
        <x:f>COUNTIF($G$5:$G$27,G26)</x:f>
        <x:v>1</x:v>
      </x:c>
      <x:c r="I26" s="30" t="str">
        <x:v>A6</x:v>
      </x:c>
      <x:c r="J26" s="31" t="str">
        <x:v>self introduction | From here all Chinese | EV/EBITDA vs EV/sales 分别？</x:v>
      </x:c>
    </x:row>
    <x:row r="27" ht="68" customHeight="1">
      <x:c r="A27" s="30" t="str">
        <x:v>QB2915</x:v>
      </x:c>
      <x:c r="B27" s="30" t="str">
        <x:v>Warburg Pincus</x:v>
      </x:c>
      <x:c r="C27" s="30" t="str">
        <x:v>PE / VC / Other</x:v>
      </x:c>
      <x:c r="D27" s="31" t="str">
        <x:v>What kind of technical skills you think you lack in UBS?</x:v>
      </x:c>
      <x:c r="E27" s="31" t="str">
        <x:v>What kind of technical skills you think you lack in UBS</x:v>
      </x:c>
      <x:c r="F27" s="31" t="str">
        <x:v>Other Technical</x:v>
      </x:c>
      <x:c r="G27" s="30" t="str">
        <x:v>CL1008</x:v>
      </x:c>
      <x:c r="H27" s="32" t="n">
        <x:f>COUNTIF($G$5:$G$27,G27)</x:f>
        <x:v>1</x:v>
      </x:c>
      <x:c r="I27" s="30" t="str">
        <x:v>A6</x:v>
      </x:c>
      <x:c r="J27" s="31" t="str">
        <x:v>What were people's background of intern batch mates in UBS? | Describe responsibilities of the FIG deal, investment highlights, valuation multiples | Is there anything you think you have done well in UBS but not recognized?</x:v>
      </x:c>
    </x:row>
  </x:sheetData>
  <x:mergeCells>
    <x:mergeCell ref="A1:J1"/>
    <x:mergeCell ref="A2:J2"/>
  </x:mergeCells>
  <x:conditionalFormatting sqref="H5:H27">
    <x:cfRule type="cellIs" dxfId="24" priority="1" operator="greaterThan">
      <x:formula>1</x:formula>
    </x:cfRule>
  </x:conditionalFormatting>
  <x:pageMargins left="0.7" right="0.7" top="0.75" bottom="0.75" header="0.3" footer="0.3"/>
  <x:tableParts count="1">
    <x:tablePart xmlns:r="http://schemas.openxmlformats.org/officeDocument/2006/relationships" r:id="R8a40c0b403ac493b"/>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Other Question</x:v>
      </x:c>
      <x:c r="B1" s="3"/>
      <x:c r="C1" s="3"/>
      <x:c r="D1" s="3"/>
      <x:c r="E1" s="3"/>
      <x:c r="F1" s="3"/>
      <x:c r="G1" s="3"/>
      <x:c r="H1" s="3"/>
      <x:c r="I1" s="3"/>
      <x:c r="J1" s="3"/>
    </x:row>
    <x:row r="2" ht="30" customHeight="1">
      <x:c r="A2" s="7" t="str">
        <x:v>Preparation list for Other Question. Original wording and source trace remain visible.</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48" customHeight="1">
      <x:c r="A5" s="30" t="str">
        <x:v>QB0026</x:v>
      </x:c>
      <x:c r="B5" s="30" t="str">
        <x:v>MS IBD</x:v>
      </x:c>
      <x:c r="C5" s="30" t="str">
        <x:v>IBD / GCM</x:v>
      </x:c>
      <x:c r="D5" s="31" t="str">
        <x:v>Would you rather receive 10 thousand upfront today, or 100 dollars per year for the rest of your life</x:v>
      </x:c>
      <x:c r="E5" s="31" t="str">
        <x:v>Would you rather receive 10 thousand upfront today, or 100 dollars per year for the rest of your life</x:v>
      </x:c>
      <x:c r="F5" s="31" t="str">
        <x:v>Other Question</x:v>
      </x:c>
      <x:c r="G5" s="30" t="str">
        <x:v>CL1196</x:v>
      </x:c>
      <x:c r="H5" s="32" t="n">
        <x:f>COUNTIF($G$5:$G$323,G5)</x:f>
        <x:v>1</x:v>
      </x:c>
      <x:c r="I5" s="30" t="str">
        <x:v>A14</x:v>
      </x:c>
      <x:c r="J5" s="31" t="str">
        <x:v>Beta | PP&amp;E increase by 10 thousand, 3 statement | After 4 years, no residual value, straight-line depreciation for 10 years, tax rate 40%, 3 statement</x:v>
      </x:c>
    </x:row>
    <x:row r="6" ht="32" customHeight="1">
      <x:c r="A6" s="30" t="str">
        <x:v>QB0046</x:v>
      </x:c>
      <x:c r="B6" s="30" t="str">
        <x:v>MS IBD</x:v>
      </x:c>
      <x:c r="C6" s="30" t="str">
        <x:v>IBD / GCM</x:v>
      </x:c>
      <x:c r="D6" s="31" t="str">
        <x:v>Did you have return? What's the return rate? (but she was nice about it)</x:v>
      </x:c>
      <x:c r="E6" s="31" t="str">
        <x:v>Did you have return? What's the return rate? (but she was nice about it)</x:v>
      </x:c>
      <x:c r="F6" s="31" t="str">
        <x:v>Other Question</x:v>
      </x:c>
      <x:c r="G6" s="30" t="str">
        <x:v>CL0246</x:v>
      </x:c>
      <x:c r="H6" s="32" t="n">
        <x:f>COUNTIF($G$5:$G$323,G6)</x:f>
        <x:v>1</x:v>
      </x:c>
      <x:c r="I6" s="30" t="str">
        <x:v>G22</x:v>
      </x:c>
      <x:c r="J6" s="31" t="str">
        <x:v>1st round Emily 4/10 (Kelly Liu, Asso from TMT) | Self Intro</x:v>
      </x:c>
    </x:row>
    <x:row r="7" ht="48" customHeight="1">
      <x:c r="A7" s="30" t="str">
        <x:v>QB0065</x:v>
      </x:c>
      <x:c r="B7" s="30" t="str">
        <x:v>MS IBD</x:v>
      </x:c>
      <x:c r="C7" s="30" t="str">
        <x:v>IBD / GCM</x:v>
      </x:c>
      <x:c r="D7" s="31" t="str">
        <x:v>Did you do credit anlysis?</x:v>
      </x:c>
      <x:c r="E7" s="31" t="str">
        <x:v>Did you do credit anlysis</x:v>
      </x:c>
      <x:c r="F7" s="31" t="str">
        <x:v>Other Question</x:v>
      </x:c>
      <x:c r="G7" s="30" t="str">
        <x:v>CL0240</x:v>
      </x:c>
      <x:c r="H7" s="32" t="n">
        <x:f>COUNTIF($G$5:$G$323,G7)</x:f>
        <x:v>1</x:v>
      </x:c>
      <x:c r="I7" s="30" t="str">
        <x:v>H25</x:v>
      </x:c>
      <x:c r="J7" s="31" t="str">
        <x:v>What is client financing solutions, DCM? | Do you like financing / capital markets? | Tell me about one project you worked on in Nomura</x:v>
      </x:c>
    </x:row>
    <x:row r="8" ht="48" customHeight="1">
      <x:c r="A8" s="30" t="str">
        <x:v>QB0088</x:v>
      </x:c>
      <x:c r="B8" s="30" t="str">
        <x:v>MS IBD</x:v>
      </x:c>
      <x:c r="C8" s="30" t="str">
        <x:v>IBD / GCM</x:v>
      </x:c>
      <x:c r="D8" s="31" t="str">
        <x:v>What are the differences of a day-to-day of working in IBD and ER? Which one do you like more?</x:v>
      </x:c>
      <x:c r="E8" s="31" t="str">
        <x:v>What are the differences of a day-to-day of working in IBD and ER? Which one do you like more</x:v>
      </x:c>
      <x:c r="F8" s="31" t="str">
        <x:v>Other Question</x:v>
      </x:c>
      <x:c r="G8" s="30" t="str">
        <x:v>CL0880</x:v>
      </x:c>
      <x:c r="H8" s="32" t="n">
        <x:f>COUNTIF($G$5:$G$323,G8)</x:f>
        <x:v>1</x:v>
      </x:c>
      <x:c r="I8" s="30" t="str">
        <x:v>G29</x:v>
      </x:c>
      <x:c r="J8" s="31" t="str">
        <x:v>You also worked on trading comps in ur 2nd deal, how do you choose the peers ? | 100 CAPEX, impact on 3 statement | 10 D&amp;A, impact on 3 statement, 40% Tax rate</x:v>
      </x:c>
    </x:row>
    <x:row r="9" ht="48" customHeight="1">
      <x:c r="A9" s="30" t="str">
        <x:v>QB0109</x:v>
      </x:c>
      <x:c r="B9" s="30" t="str">
        <x:v>MS IBD</x:v>
      </x:c>
      <x:c r="C9" s="30" t="str">
        <x:v>IBD / GCM</x:v>
      </x:c>
      <x:c r="D9" s="31" t="str">
        <x:v>Did you get return from Nomura? What's the return rate?</x:v>
      </x:c>
      <x:c r="E9" s="31" t="str">
        <x:v>Did you get return from Nomura? What's the return rate</x:v>
      </x:c>
      <x:c r="F9" s="31" t="str">
        <x:v>Other Question</x:v>
      </x:c>
      <x:c r="G9" s="30" t="str">
        <x:v>CL0245</x:v>
      </x:c>
      <x:c r="H9" s="32" t="n">
        <x:f>COUNTIF($G$5:$G$323,G9)</x:f>
        <x:v>1</x:v>
      </x:c>
      <x:c r="I9" s="30" t="str">
        <x:v>H33</x:v>
      </x:c>
      <x:c r="J9" s="31" t="str">
        <x:v>100 CAPEX, impact on 3 statement | 10 D&amp;A, impact on 3 statement, 40% Tax rate | PE vs Banking</x:v>
      </x:c>
    </x:row>
    <x:row r="10" ht="48" customHeight="1">
      <x:c r="A10" s="30" t="str">
        <x:v>QB0117</x:v>
      </x:c>
      <x:c r="B10" s="30" t="str">
        <x:v>MS IBD</x:v>
      </x:c>
      <x:c r="C10" s="30" t="str">
        <x:v>IBD / GCM</x:v>
      </x:c>
      <x:c r="D10" s="31" t="str">
        <x:v>Tell me about a time u explain a complex stuff to others</x:v>
      </x:c>
      <x:c r="E10" s="31" t="str">
        <x:v>Tell me about a time u explain a complex stuff to others</x:v>
      </x:c>
      <x:c r="F10" s="31" t="str">
        <x:v>Other Question</x:v>
      </x:c>
      <x:c r="G10" s="30" t="str">
        <x:v>CL0730</x:v>
      </x:c>
      <x:c r="H10" s="32" t="n">
        <x:f>COUNTIF($G$5:$G$323,G10)</x:f>
        <x:v>1</x:v>
      </x:c>
      <x:c r="I10" s="30" t="str">
        <x:v>A36</x:v>
      </x:c>
      <x:c r="J10" s="31" t="str">
        <x:v>you have experiece in healthcare and Auto, which you prefer to work in | Tell me some deals MS did | Which deal you are interested in and walk me through</x:v>
      </x:c>
    </x:row>
    <x:row r="11" ht="92" customHeight="1">
      <x:c r="A11" s="30" t="str">
        <x:v>QB0150</x:v>
      </x:c>
      <x:c r="B11" s="30" t="str">
        <x:v>MS IBD</x:v>
      </x:c>
      <x:c r="C11" s="30" t="str">
        <x:v>IBD / GCM</x:v>
      </x:c>
      <x:c r="D11" s="31" t="str">
        <x:v>Who i talked to in MS before, who was my first round interviewer</x:v>
      </x:c>
      <x:c r="E11" s="31" t="str">
        <x:v>Who i talked to in MS before, who was my first round interviewer</x:v>
      </x:c>
      <x:c r="F11" s="31" t="str">
        <x:v>Other Question</x:v>
      </x:c>
      <x:c r="G11" s="30" t="str">
        <x:v>CL1107</x:v>
      </x:c>
      <x:c r="H11" s="32" t="n">
        <x:f>COUNTIF($G$5:$G$323,G11)</x:f>
        <x:v>1</x:v>
      </x:c>
      <x:c r="I11" s="30" t="str">
        <x:v>A61</x:v>
      </x:c>
      <x:c r="J11" s="31" t="str">
        <x:v>Real Estate MD | Talked for 5 mins about his background (e.g. he used to do law and then switched with MBA) | ⁠Asked me to introduce myself - walk through resume, why IBD, why me, why MS, anything you know about MS recent deals using 5 m...</x:v>
      </x:c>
    </x:row>
    <x:row r="12" ht="48" customHeight="1">
      <x:c r="A12" s="30" t="str">
        <x:v>QB0165</x:v>
      </x:c>
      <x:c r="B12" s="30" t="str">
        <x:v>MS IBD</x:v>
      </x:c>
      <x:c r="C12" s="30" t="str">
        <x:v>IBD / GCM</x:v>
      </x:c>
      <x:c r="D12" s="31" t="str">
        <x:v>What's a time you faced conflicing interest and how did you manage it</x:v>
      </x:c>
      <x:c r="E12" s="31" t="str">
        <x:v>What's a time you faced conflicing interest and how did you manage it</x:v>
      </x:c>
      <x:c r="F12" s="31" t="str">
        <x:v>Other Question</x:v>
      </x:c>
      <x:c r="G12" s="30" t="str">
        <x:v>CL1043</x:v>
      </x:c>
      <x:c r="H12" s="32" t="n">
        <x:f>COUNTIF($G$5:$G$323,G12)</x:f>
        <x:v>1</x:v>
      </x:c>
      <x:c r="I12" s="30" t="str">
        <x:v>C68</x:v>
      </x:c>
      <x:c r="J12" s="31" t="str">
        <x:v>Recent news that affect banking, esp HK and China | What MS deals do I know | What's a time you faced challenges and how did you manage it</x:v>
      </x:c>
    </x:row>
    <x:row r="13" ht="48" customHeight="1">
      <x:c r="A13" s="30" t="str">
        <x:v>QB0185</x:v>
      </x:c>
      <x:c r="B13" s="30" t="str">
        <x:v>MS IBD</x:v>
      </x:c>
      <x:c r="C13" s="30" t="str">
        <x:v>IBD / GCM</x:v>
      </x:c>
      <x:c r="D13" s="31" t="str">
        <x:v>What I did at SFC - as a regulator, how do they work with investment banks?</x:v>
      </x:c>
      <x:c r="E13" s="31" t="str">
        <x:v>What I did at SFC - as a regulator, how do they work with investment banks</x:v>
      </x:c>
      <x:c r="F13" s="31" t="str">
        <x:v>Other Question</x:v>
      </x:c>
      <x:c r="G13" s="30" t="str">
        <x:v>CL0953</x:v>
      </x:c>
      <x:c r="H13" s="32" t="n">
        <x:f>COUNTIF($G$5:$G$323,G13)</x:f>
        <x:v>1</x:v>
      </x:c>
      <x:c r="I13" s="30" t="str">
        <x:v>A79</x:v>
      </x:c>
      <x:c r="J13" s="31" t="str">
        <x:v>Around 7 minutes of conversation afterwards on her M&amp;A experience and I said I also wanna do M&amp;A and she asked why and stuff | Tech Director | Self Intro</x:v>
      </x:c>
    </x:row>
    <x:row r="14" ht="68" customHeight="1">
      <x:c r="A14" s="30" t="str">
        <x:v>QB0189</x:v>
      </x:c>
      <x:c r="B14" s="30" t="str">
        <x:v>MS IBD</x:v>
      </x:c>
      <x:c r="C14" s="30" t="str">
        <x:v>IBD / GCM</x:v>
      </x:c>
      <x:c r="D14" s="31" t="str">
        <x:v>What I did at Bain</x:v>
      </x:c>
      <x:c r="E14" s="31" t="str">
        <x:v>What I did at Bain</x:v>
      </x:c>
      <x:c r="F14" s="31" t="str">
        <x:v>Other Question</x:v>
      </x:c>
      <x:c r="G14" s="30" t="str">
        <x:v>CL0951</x:v>
      </x:c>
      <x:c r="H14" s="32" t="n">
        <x:f>COUNTIF($G$5:$G$323,G14)</x:f>
        <x:v>1</x:v>
      </x:c>
      <x:c r="I14" s="30" t="str">
        <x:v>A81</x:v>
      </x:c>
      <x:c r="J14" s="31" t="str">
        <x:v>Self Intro | What I did at SFC - as a regulator, how do they work with investment banks? | Since you worked at PwC, what is your view on their future given recent Ministry of Finance report</x:v>
      </x:c>
    </x:row>
    <x:row r="15" ht="48" customHeight="1">
      <x:c r="A15" s="30" t="str">
        <x:v>QB0196</x:v>
      </x:c>
      <x:c r="B15" s="30" t="str">
        <x:v>MS IBD</x:v>
      </x:c>
      <x:c r="C15" s="30" t="str">
        <x:v>IBD / GCM</x:v>
      </x:c>
      <x:c r="D15" s="31" t="str">
        <x:v>Will you use 5y or other terms rate</x:v>
      </x:c>
      <x:c r="E15" s="31" t="str">
        <x:v>Will you use 5y or other terms rate</x:v>
      </x:c>
      <x:c r="F15" s="31" t="str">
        <x:v>Other Question</x:v>
      </x:c>
      <x:c r="G15" s="30" t="str">
        <x:v>CL1184</x:v>
      </x:c>
      <x:c r="H15" s="32" t="n">
        <x:f>COUNTIF($G$5:$G$323,G15)</x:f>
        <x:v>1</x:v>
      </x:c>
      <x:c r="I15" s="30" t="str">
        <x:v>C84</x:v>
      </x:c>
      <x:c r="J15" s="31" t="str">
        <x:v>Which method gives you highest valuation and why? | What is discount rate | What do you use for risk-free rate</x:v>
      </x:c>
    </x:row>
    <x:row r="16" ht="48" customHeight="1">
      <x:c r="A16" s="30" t="str">
        <x:v>QB0214</x:v>
      </x:c>
      <x:c r="B16" s="30" t="str">
        <x:v>MS IBD</x:v>
      </x:c>
      <x:c r="C16" s="30" t="str">
        <x:v>IBD / GCM</x:v>
      </x:c>
      <x:c r="D16" s="31" t="str">
        <x:v>What industries am I interested in</x:v>
      </x:c>
      <x:c r="E16" s="31" t="str">
        <x:v>What industries am I interested in</x:v>
      </x:c>
      <x:c r="F16" s="31" t="str">
        <x:v>Other Question</x:v>
      </x:c>
      <x:c r="G16" s="30" t="str">
        <x:v>CL0958</x:v>
      </x:c>
      <x:c r="H16" s="32" t="n">
        <x:f>COUNTIF($G$5:$G$323,G16)</x:f>
        <x:v>1</x:v>
      </x:c>
      <x:c r="I16" s="30" t="str">
        <x:v>C103</x:v>
      </x:c>
      <x:c r="J16" s="31" t="str">
        <x:v>How does debt affect WACC | Why HK, why MS, how do you see the market down the road | Any team preference, why?</x:v>
      </x:c>
    </x:row>
    <x:row r="17" ht="68" customHeight="1">
      <x:c r="A17" s="30" t="str">
        <x:v>QB0230</x:v>
      </x:c>
      <x:c r="B17" s="30" t="str">
        <x:v>MS IBD</x:v>
      </x:c>
      <x:c r="C17" s="30" t="str">
        <x:v>IBD / GCM</x:v>
      </x:c>
      <x:c r="D17" s="31" t="str">
        <x:v>Under what circumstances use EV/EBITDA instead of PE</x:v>
      </x:c>
      <x:c r="E17" s="31" t="str">
        <x:v>Under what circumstances use EV/EBITDA instead of PE</x:v>
      </x:c>
      <x:c r="F17" s="31" t="str">
        <x:v>Other Question</x:v>
      </x:c>
      <x:c r="G17" s="30" t="str">
        <x:v>CL0808</x:v>
      </x:c>
      <x:c r="H17" s="32" t="n">
        <x:f>COUNTIF($G$5:$G$323,G17)</x:f>
        <x:v>1</x:v>
      </x:c>
      <x:c r="I17" s="30" t="str">
        <x:v>A117</x:v>
      </x:c>
      <x:c r="J17" s="31" t="str">
        <x:v>Raise new debt in 2025, impacts on BS and IS this year and next year | Calculate EBITDA for a Chinese firm | Explain minority interest, do minority shareholders also share your revenue (only NI sharing)</x:v>
      </x:c>
    </x:row>
    <x:row r="18" ht="32" customHeight="1">
      <x:c r="A18" s="30" t="str">
        <x:v>QB0241</x:v>
      </x:c>
      <x:c r="B18" s="30" t="str">
        <x:v>MS GCM</x:v>
      </x:c>
      <x:c r="C18" s="30" t="str">
        <x:v>IBD / GCM</x:v>
      </x:c>
      <x:c r="D18" s="31" t="str">
        <x:v>Tell me about yourself</x:v>
      </x:c>
      <x:c r="E18" s="31" t="str">
        <x:v>Tell me about yourself / walk me through your resume</x:v>
      </x:c>
      <x:c r="F18" s="31" t="str">
        <x:v>Other Question</x:v>
      </x:c>
      <x:c r="G18" s="30" t="str">
        <x:v>CL0001</x:v>
      </x:c>
      <x:c r="H18" s="32" t="n">
        <x:f>COUNTIF($G$5:$G$323,G18)</x:f>
        <x:v>7</x:v>
      </x:c>
      <x:c r="I18" s="30" t="str">
        <x:v>A4</x:v>
      </x:c>
      <x:c r="J18" s="31" t="str">
        <x:v>2024 SA | First Round | Emily</x:v>
      </x:c>
    </x:row>
    <x:row r="19" ht="48" customHeight="1">
      <x:c r="A19" s="30" t="str">
        <x:v>QB0253</x:v>
      </x:c>
      <x:c r="B19" s="30" t="str">
        <x:v>MS GCM</x:v>
      </x:c>
      <x:c r="C19" s="30" t="str">
        <x:v>IBD / GCM</x:v>
      </x:c>
      <x:c r="D19" s="31" t="str">
        <x:v>Markets outlook?</x:v>
      </x:c>
      <x:c r="E19" s="31" t="str">
        <x:v>Markets outlook</x:v>
      </x:c>
      <x:c r="F19" s="31" t="str">
        <x:v>Other Question</x:v>
      </x:c>
      <x:c r="G19" s="30" t="str">
        <x:v>CL0604</x:v>
      </x:c>
      <x:c r="H19" s="32" t="n">
        <x:f>COUNTIF($G$5:$G$323,G19)</x:f>
        <x:v>1</x:v>
      </x:c>
      <x:c r="I19" s="30" t="str">
        <x:v>C10</x:v>
      </x:c>
      <x:c r="J19" s="31" t="str">
        <x:v>Tell me about a deal done by MS | Which team do you prefer | Tell me a story in your fencing experience</x:v>
      </x:c>
    </x:row>
    <x:row r="20" ht="68" customHeight="1">
      <x:c r="A20" s="30" t="str">
        <x:v>QB0276</x:v>
      </x:c>
      <x:c r="B20" s="30" t="str">
        <x:v>MS GCM</x:v>
      </x:c>
      <x:c r="C20" s="30" t="str">
        <x:v>IBD / GCM</x:v>
      </x:c>
      <x:c r="D20" s="31" t="str">
        <x:v>If you are the investment bank, what factors would you look other than the above</x:v>
      </x:c>
      <x:c r="E20" s="31" t="str">
        <x:v>If you are the investment bank, what factors would you look other than the above</x:v>
      </x:c>
      <x:c r="F20" s="31" t="str">
        <x:v>Other Question</x:v>
      </x:c>
      <x:c r="G20" s="30" t="str">
        <x:v>CL0528</x:v>
      </x:c>
      <x:c r="H20" s="32" t="n">
        <x:f>COUNTIF($G$5:$G$323,G20)</x:f>
        <x:v>1</x:v>
      </x:c>
      <x:c r="I20" s="30" t="str">
        <x:v>C35</x:v>
      </x:c>
      <x:c r="J20" s="31" t="str">
        <x:v>How would you advise an energy storage company to raise capital, debt or equity | How would you advise an EV company to raise capital, debt or equity | If you are Tencent CEO, what factors would you look into to decide raise debt or equity</x:v>
      </x:c>
    </x:row>
    <x:row r="21" ht="48" customHeight="1">
      <x:c r="A21" s="30" t="str">
        <x:v>QB0294</x:v>
      </x:c>
      <x:c r="B21" s="30" t="str">
        <x:v>MS GCM</x:v>
      </x:c>
      <x:c r="C21" s="30" t="str">
        <x:v>IBD / GCM</x:v>
      </x:c>
      <x:c r="D21" s="31" t="str">
        <x:v>what your perspectives in short-run &amp; long-run</x:v>
      </x:c>
      <x:c r="E21" s="31" t="str">
        <x:v>What your perspectives in short-run &amp; long-run</x:v>
      </x:c>
      <x:c r="F21" s="31" t="str">
        <x:v>Other Question</x:v>
      </x:c>
      <x:c r="G21" s="30" t="str">
        <x:v>CL1042</x:v>
      </x:c>
      <x:c r="H21" s="32" t="n">
        <x:f>COUNTIF($G$5:$G$323,G21)</x:f>
        <x:v>1</x:v>
      </x:c>
      <x:c r="I21" s="30" t="str">
        <x:v>C47</x:v>
      </x:c>
      <x:c r="J21" s="31" t="str">
        <x:v>what do GCM do | what traits do you think a GCM banker should have | you mention market skills, could you please share some news about Chinese markets?</x:v>
      </x:c>
    </x:row>
    <x:row r="22" ht="32" customHeight="1">
      <x:c r="A22" s="30" t="str">
        <x:v>QB0300</x:v>
      </x:c>
      <x:c r="B22" s="30" t="str">
        <x:v>MS GCM</x:v>
      </x:c>
      <x:c r="C22" s="30" t="str">
        <x:v>IBD / GCM</x:v>
      </x:c>
      <x:c r="D22" s="31" t="str">
        <x:v>Hobbies</x:v>
      </x:c>
      <x:c r="E22" s="31" t="str">
        <x:v>What are your interests outside work and school?</x:v>
      </x:c>
      <x:c r="F22" s="31" t="str">
        <x:v>Other Question</x:v>
      </x:c>
      <x:c r="G22" s="30" t="str">
        <x:v>CL0014</x:v>
      </x:c>
      <x:c r="H22" s="32" t="n">
        <x:f>COUNTIF($G$5:$G$323,G22)</x:f>
        <x:v>6</x:v>
      </x:c>
      <x:c r="I22" s="30" t="str">
        <x:v>A51</x:v>
      </x:c>
      <x:c r="J22" s="31" t="str">
        <x:v>MS core values | MS deals | Equity vs Debt (from both company and investor's perspectives)</x:v>
      </x:c>
    </x:row>
    <x:row r="23" ht="48" customHeight="1">
      <x:c r="A23" s="30" t="str">
        <x:v>QB0351</x:v>
      </x:c>
      <x:c r="B23" s="30" t="str">
        <x:v>MS GCM</x:v>
      </x:c>
      <x:c r="C23" s="30" t="str">
        <x:v>IBD / GCM</x:v>
      </x:c>
      <x:c r="D23" s="31" t="str">
        <x:v>Preference for team?</x:v>
      </x:c>
      <x:c r="E23" s="31" t="str">
        <x:v>Preference for team</x:v>
      </x:c>
      <x:c r="F23" s="31" t="str">
        <x:v>Other Question</x:v>
      </x:c>
      <x:c r="G23" s="30" t="str">
        <x:v>CL0647</x:v>
      </x:c>
      <x:c r="H23" s="32" t="n">
        <x:f>COUNTIF($G$5:$G$323,G23)</x:f>
        <x:v>1</x:v>
      </x:c>
      <x:c r="I23" s="30" t="str">
        <x:v>C98</x:v>
      </x:c>
      <x:c r="J23" s="31" t="str">
        <x:v>Self intro | why GCM instead of IBD/PE | Tell me about the product teams under GCM. Their functions?</x:v>
      </x:c>
    </x:row>
    <x:row r="24" ht="32" customHeight="1">
      <x:c r="A24" s="30" t="str">
        <x:v>QB0366</x:v>
      </x:c>
      <x:c r="B24" s="30" t="str">
        <x:v>MS GCM</x:v>
      </x:c>
      <x:c r="C24" s="30" t="str">
        <x:v>IBD / GCM</x:v>
      </x:c>
      <x:c r="D24" s="31" t="str">
        <x:v>Danny Lam, HR? COO?</x:v>
      </x:c>
      <x:c r="E24" s="31" t="str">
        <x:v>Danny Lam, HR? COO</x:v>
      </x:c>
      <x:c r="F24" s="31" t="str">
        <x:v>Other Question</x:v>
      </x:c>
      <x:c r="G24" s="30" t="str">
        <x:v>CL0218</x:v>
      </x:c>
      <x:c r="H24" s="32" t="n">
        <x:f>COUNTIF($G$5:$G$323,G24)</x:f>
        <x:v>1</x:v>
      </x:c>
      <x:c r="I24" s="30" t="str">
        <x:v>A110</x:v>
      </x:c>
      <x:c r="J24" s="31" t="str">
        <x:v>反问 | Super Day | John</x:v>
      </x:c>
    </x:row>
    <x:row r="25" ht="68" customHeight="1">
      <x:c r="A25" s="30" t="str">
        <x:v>QB0408</x:v>
      </x:c>
      <x:c r="B25" s="30" t="str">
        <x:v>MS GCM</x:v>
      </x:c>
      <x:c r="C25" s="30" t="str">
        <x:v>IBD / GCM</x:v>
      </x:c>
      <x:c r="D25" s="31" t="str">
        <x:v>what are other stocks in that value chain? pitch one (with follow-up questions)</x:v>
      </x:c>
      <x:c r="E25" s="31" t="str">
        <x:v>What are other stocks in that value chain? pitch one (with follow-up questions)</x:v>
      </x:c>
      <x:c r="F25" s="31" t="str">
        <x:v>Other Question</x:v>
      </x:c>
      <x:c r="G25" s="30" t="str">
        <x:v>CL0865</x:v>
      </x:c>
      <x:c r="H25" s="32" t="n">
        <x:f>COUNTIF($G$5:$G$323,G25)</x:f>
        <x:v>1</x:v>
      </x:c>
      <x:c r="I25" s="30" t="str">
        <x:v>C133</x:v>
      </x:c>
      <x:c r="J25" s="31" t="str">
        <x:v>multitasking experience | leadership style + what's my leadership style in the case study earlier | pitch a thematic in my previous internship (with follow-up questions)</x:v>
      </x:c>
    </x:row>
    <x:row r="26" ht="92" customHeight="1">
      <x:c r="A26" s="30" t="str">
        <x:v>QB0411</x:v>
      </x:c>
      <x:c r="B26" s="30" t="str">
        <x:v>MS GCM</x:v>
      </x:c>
      <x:c r="C26" s="30" t="str">
        <x:v>IBD / GCM</x:v>
      </x:c>
      <x:c r="D26" s="31" t="str">
        <x:v>Now investors raise their pricing, but the issuers' expectations are still high, how would you convince the issuers?</x:v>
      </x:c>
      <x:c r="E26" s="31" t="str">
        <x:v>Now investors raise their pricing, but the issuers' expectations are still high, how would you convince the issuers</x:v>
      </x:c>
      <x:c r="F26" s="31" t="str">
        <x:v>Other Question</x:v>
      </x:c>
      <x:c r="G26" s="30" t="str">
        <x:v>CL0622</x:v>
      </x:c>
      <x:c r="H26" s="32" t="n">
        <x:f>COUNTIF($G$5:$G$323,G26)</x:f>
        <x:v>1</x:v>
      </x:c>
      <x:c r="I26" s="30" t="str">
        <x:v>C136</x:v>
      </x:c>
      <x:c r="J26" s="31" t="str">
        <x:v>what are other stocks in that value chain? pitch one (with follow-up questions) | how to find comps | The stock I pitched wants to do an IPO. However, investors are only willing to pay a price much lower than what the issuer expects. How...</x:v>
      </x:c>
    </x:row>
    <x:row r="27" ht="68" customHeight="1">
      <x:c r="A27" s="30" t="str">
        <x:v>QB0418</x:v>
      </x:c>
      <x:c r="B27" s="30" t="str">
        <x:v>MS GCM</x:v>
      </x:c>
      <x:c r="C27" s="30" t="str">
        <x:v>IBD / GCM</x:v>
      </x:c>
      <x:c r="D27" s="31" t="str">
        <x:v>tell me about your understanding of debt and equity (after i gave my opinions, he asked me to use one sentence to summarise)</x:v>
      </x:c>
      <x:c r="E27" s="31" t="str">
        <x:v>How should a company choose between debt and equity financing?</x:v>
      </x:c>
      <x:c r="F27" s="31" t="str">
        <x:v>Other Question</x:v>
      </x:c>
      <x:c r="G27" s="30" t="str">
        <x:v>CL0005</x:v>
      </x:c>
      <x:c r="H27" s="32" t="n">
        <x:f>COUNTIF($G$5:$G$323,G27)</x:f>
        <x:v>2</x:v>
      </x:c>
      <x:c r="I27" s="30" t="str">
        <x:v>C144</x:v>
      </x:c>
      <x:c r="J27" s="31" t="str">
        <x:v>Financial modelling with follow up questions | how do you assess the performance of a company | you mentioned many ratios, explain them one by one and the formula for the ratios</x:v>
      </x:c>
    </x:row>
    <x:row r="28" ht="32" customHeight="1">
      <x:c r="A28" s="30" t="str">
        <x:v>QB0434</x:v>
      </x:c>
      <x:c r="B28" s="30" t="str">
        <x:v>UBS IBD</x:v>
      </x:c>
      <x:c r="C28" s="30" t="str">
        <x:v>IBD / GCM</x:v>
      </x:c>
      <x:c r="D28" s="31" t="str">
        <x:v>How's your holiday</x:v>
      </x:c>
      <x:c r="E28" s="31" t="str">
        <x:v>How's your holiday</x:v>
      </x:c>
      <x:c r="F28" s="31" t="str">
        <x:v>Other Question</x:v>
      </x:c>
      <x:c r="G28" s="30" t="str">
        <x:v>CL0503</x:v>
      </x:c>
      <x:c r="H28" s="32" t="n">
        <x:f>COUNTIF($G$5:$G$323,G28)</x:f>
        <x:v>1</x:v>
      </x:c>
      <x:c r="I28" s="30" t="str">
        <x:v>K3</x:v>
      </x:c>
      <x:c r="J28" s="31" t="str">
        <x:v>28 Phone Interview (Beata) with Flora Lin</x:v>
      </x:c>
    </x:row>
    <x:row r="29" ht="48" customHeight="1">
      <x:c r="A29" s="30" t="str">
        <x:v>QB0456</x:v>
      </x:c>
      <x:c r="B29" s="30" t="str">
        <x:v>UBS IBD</x:v>
      </x:c>
      <x:c r="C29" s="30" t="str">
        <x:v>IBD / GCM</x:v>
      </x:c>
      <x:c r="D29" s="31" t="str">
        <x:v>Shouldn't you use interest expense / debt?</x:v>
      </x:c>
      <x:c r="E29" s="31" t="str">
        <x:v>Shouldn't you use interest expense / debt</x:v>
      </x:c>
      <x:c r="F29" s="31" t="str">
        <x:v>Other Question</x:v>
      </x:c>
      <x:c r="G29" s="30" t="str">
        <x:v>CL0677</x:v>
      </x:c>
      <x:c r="H29" s="32" t="n">
        <x:f>COUNTIF($G$5:$G$323,G29)</x:f>
        <x:v>1</x:v>
      </x:c>
      <x:c r="I29" s="30" t="str">
        <x:v>D9</x:v>
      </x:c>
      <x:c r="J29" s="31" t="str">
        <x:v>How do you do you find comparable companies | How do find the WACC? | How do you find cost of debt?</x:v>
      </x:c>
    </x:row>
    <x:row r="30" ht="68" customHeight="1">
      <x:c r="A30" s="30" t="str">
        <x:v>QB0469</x:v>
      </x:c>
      <x:c r="B30" s="30" t="str">
        <x:v>UBS IBD</x:v>
      </x:c>
      <x:c r="C30" s="30" t="str">
        <x:v>IBD / GCM</x:v>
      </x:c>
      <x:c r="D30" s="31" t="str">
        <x:v>What skills do you think are applicable to IBD</x:v>
      </x:c>
      <x:c r="E30" s="31" t="str">
        <x:v>What skills do you think are applicable to IBD</x:v>
      </x:c>
      <x:c r="F30" s="31" t="str">
        <x:v>Other Question</x:v>
      </x:c>
      <x:c r="G30" s="30" t="str">
        <x:v>CL1029</x:v>
      </x:c>
      <x:c r="H30" s="32" t="n">
        <x:f>COUNTIF($G$5:$G$323,G30)</x:f>
        <x:v>1</x:v>
      </x:c>
      <x:c r="I30" s="30" t="str">
        <x:v>K13</x:v>
      </x:c>
      <x:c r="J30" s="31" t="str">
        <x:v>What did you do in HKUIBC | You have done two case comps but seems like that you were interested in marketing why | (i said sthsth and also said the skills were transferrable)</x:v>
      </x:c>
    </x:row>
    <x:row r="31" ht="68" customHeight="1">
      <x:c r="A31" s="30" t="str">
        <x:v>QB0470</x:v>
      </x:c>
      <x:c r="B31" s="30" t="str">
        <x:v>UBS IBD</x:v>
      </x:c>
      <x:c r="C31" s="30" t="str">
        <x:v>IBD / GCM</x:v>
      </x:c>
      <x:c r="D31" s="31" t="str">
        <x:v>Tell me a time you worked with a team</x:v>
      </x:c>
      <x:c r="E31" s="31" t="str">
        <x:v>Tell me a time you worked with a team</x:v>
      </x:c>
      <x:c r="F31" s="31" t="str">
        <x:v>Other Question</x:v>
      </x:c>
      <x:c r="G31" s="30" t="str">
        <x:v>CL0719</x:v>
      </x:c>
      <x:c r="H31" s="32" t="n">
        <x:f>COUNTIF($G$5:$G$323,G31)</x:f>
        <x:v>1</x:v>
      </x:c>
      <x:c r="I31" s="30" t="str">
        <x:v>A14</x:v>
      </x:c>
      <x:c r="J31" s="31" t="str">
        <x:v>Walk me through industry in electroplating equipment and what you did in stock pitch and investment thesis | How did you do revenue and cost breakdown for it? | Most fun experience in Epee fencing</x:v>
      </x:c>
    </x:row>
    <x:row r="32" ht="48" customHeight="1">
      <x:c r="A32" s="30" t="str">
        <x:v>QB0471</x:v>
      </x:c>
      <x:c r="B32" s="30" t="str">
        <x:v>UBS IBD</x:v>
      </x:c>
      <x:c r="C32" s="30" t="str">
        <x:v>IBD / GCM</x:v>
      </x:c>
      <x:c r="D32" s="31" t="str">
        <x:v>Tell me a time you made a sustainable decision?</x:v>
      </x:c>
      <x:c r="E32" s="31" t="str">
        <x:v>Tell me a time you made a sustainable decision</x:v>
      </x:c>
      <x:c r="F32" s="31" t="str">
        <x:v>Other Question</x:v>
      </x:c>
      <x:c r="G32" s="30" t="str">
        <x:v>CL0717</x:v>
      </x:c>
      <x:c r="H32" s="32" t="n">
        <x:f>COUNTIF($G$5:$G$323,G32)</x:f>
        <x:v>1</x:v>
      </x:c>
      <x:c r="I32" s="30" t="str">
        <x:v>D14</x:v>
      </x:c>
      <x:c r="J32" s="31" t="str">
        <x:v>Accounting question: Revenue 100, impact on 3 statement, make your own assumptuons | Behavioural | Self Intro</x:v>
      </x:c>
    </x:row>
    <x:row r="33" ht="48" customHeight="1">
      <x:c r="A33" s="30" t="str">
        <x:v>QB0485</x:v>
      </x:c>
      <x:c r="B33" s="30" t="str">
        <x:v>UBS IBD</x:v>
      </x:c>
      <x:c r="C33" s="30" t="str">
        <x:v>IBD / GCM</x:v>
      </x:c>
      <x:c r="D33" s="31" t="str">
        <x:v>How many years did you project it</x:v>
      </x:c>
      <x:c r="E33" s="31" t="str">
        <x:v>How many years did you project it</x:v>
      </x:c>
      <x:c r="F33" s="31" t="str">
        <x:v>Other Question</x:v>
      </x:c>
      <x:c r="G33" s="30" t="str">
        <x:v>CL0457</x:v>
      </x:c>
      <x:c r="H33" s="32" t="n">
        <x:f>COUNTIF($G$5:$G$323,G33)</x:f>
        <x:v>1</x:v>
      </x:c>
      <x:c r="I33" s="30" t="str">
        <x:v>A21</x:v>
      </x:c>
      <x:c r="J33" s="31" t="str">
        <x:v>Walk me through ur CV | How did you do company comparable analysis for the companies you looked at | Walk me through the DCF for the biotech company u looked at</x:v>
      </x:c>
    </x:row>
    <x:row r="34" ht="68" customHeight="1">
      <x:c r="A34" s="30" t="str">
        <x:v>QB0487</x:v>
      </x:c>
      <x:c r="B34" s="30" t="str">
        <x:v>UBS IBD</x:v>
      </x:c>
      <x:c r="C34" s="30" t="str">
        <x:v>IBD / GCM</x:v>
      </x:c>
      <x:c r="D34" s="31" t="str">
        <x:v>Tell me about a recent piece of news in Chinese</x:v>
      </x:c>
      <x:c r="E34" s="31" t="str">
        <x:v>Tell me about a recent piece of news in Chinese</x:v>
      </x:c>
      <x:c r="F34" s="31" t="str">
        <x:v>Other Question</x:v>
      </x:c>
      <x:c r="G34" s="30" t="str">
        <x:v>CL0727</x:v>
      </x:c>
      <x:c r="H34" s="32" t="n">
        <x:f>COUNTIF($G$5:$G$323,G34)</x:f>
        <x:v>1</x:v>
      </x:c>
      <x:c r="I34" s="30" t="str">
        <x:v>A22</x:v>
      </x:c>
      <x:c r="J34" s="31" t="str">
        <x:v>How did you do company comparable analysis for the companies you looked at | Walk me through the DCF for the biotech company u looked at | How many years did you project it</x:v>
      </x:c>
    </x:row>
    <x:row r="35" ht="68" customHeight="1">
      <x:c r="A35" s="30" t="str">
        <x:v>QB0488</x:v>
      </x:c>
      <x:c r="B35" s="30" t="str">
        <x:v>UBS IBD</x:v>
      </x:c>
      <x:c r="C35" s="30" t="str">
        <x:v>IBD / GCM</x:v>
      </x:c>
      <x:c r="D35" s="31" t="str">
        <x:v>What if there are like 4 MDs reaching out to you, what would you do?</x:v>
      </x:c>
      <x:c r="E35" s="31" t="str">
        <x:v>What if there are like 4 MDs reaching out to you, what would you do</x:v>
      </x:c>
      <x:c r="F35" s="31" t="str">
        <x:v>Other Question</x:v>
      </x:c>
      <x:c r="G35" s="30" t="str">
        <x:v>CL0956</x:v>
      </x:c>
      <x:c r="H35" s="32" t="n">
        <x:f>COUNTIF($G$5:$G$323,G35)</x:f>
        <x:v>1</x:v>
      </x:c>
      <x:c r="I35" s="30" t="str">
        <x:v>D22</x:v>
      </x:c>
      <x:c r="J35" s="31" t="str">
        <x:v>Gold innovative award for BOCHK, what is the comp about | Tell me a time you created an innovative approach to solve a problem | Tell me a time you had to to face conflciting and high pressure deadline? How do you deal with it?</x:v>
      </x:c>
    </x:row>
    <x:row r="36" ht="48" customHeight="1">
      <x:c r="A36" s="30" t="str">
        <x:v>QB0499</x:v>
      </x:c>
      <x:c r="B36" s="30" t="str">
        <x:v>UBS IBD</x:v>
      </x:c>
      <x:c r="C36" s="30" t="str">
        <x:v>IBD / GCM</x:v>
      </x:c>
      <x:c r="D36" s="31" t="str">
        <x:v>How do you find the FCF of 2022E</x:v>
      </x:c>
      <x:c r="E36" s="31" t="str">
        <x:v>How do you find the FCF of 2022E</x:v>
      </x:c>
      <x:c r="F36" s="31" t="str">
        <x:v>Other Question</x:v>
      </x:c>
      <x:c r="G36" s="30" t="str">
        <x:v>CL0412</x:v>
      </x:c>
      <x:c r="H36" s="32" t="n">
        <x:f>COUNTIF($G$5:$G$323,G36)</x:f>
        <x:v>1</x:v>
      </x:c>
      <x:c r="I36" s="30" t="str">
        <x:v>D29</x:v>
      </x:c>
      <x:c r="J36" s="31" t="str">
        <x:v>Why do you think the company is undervalued | How would you value the company | Calculate the EV/EBITDA by using target price</x:v>
      </x:c>
    </x:row>
    <x:row r="37" ht="68" customHeight="1">
      <x:c r="A37" s="30" t="str">
        <x:v>QB0516</x:v>
      </x:c>
      <x:c r="B37" s="30" t="str">
        <x:v>UBS IBD</x:v>
      </x:c>
      <x:c r="C37" s="30" t="str">
        <x:v>IBD / GCM</x:v>
      </x:c>
      <x:c r="D37" s="31" t="str">
        <x:v>What new policies did China just implement? (rate cuts, lower rrr etc)</x:v>
      </x:c>
      <x:c r="E37" s="31" t="str">
        <x:v>What new policies did China just implement? (rate cuts, lower rrr etc)</x:v>
      </x:c>
      <x:c r="F37" s="31" t="str">
        <x:v>Other Question</x:v>
      </x:c>
      <x:c r="G37" s="30" t="str">
        <x:v>CL1021</x:v>
      </x:c>
      <x:c r="H37" s="32" t="n">
        <x:f>COUNTIF($G$5:$G$323,G37)</x:f>
        <x:v>1</x:v>
      </x:c>
      <x:c r="I37" s="30" t="str">
        <x:v>A47</x:v>
      </x:c>
      <x:c r="J37" s="31" t="str">
        <x:v>I don't have the case with me as I did it in person but it was about xiabuxiabu (hotpot) being privatised by a PE firm and do basic valuation to see if the offer price was reasonable | Commercial (idk she just said her name is Catherine ...</x:v>
      </x:c>
    </x:row>
    <x:row r="38" ht="92" customHeight="1">
      <x:c r="A38" s="30" t="str">
        <x:v>QB0539</x:v>
      </x:c>
      <x:c r="B38" s="30" t="str">
        <x:v>UBS IBD</x:v>
      </x:c>
      <x:c r="C38" s="30" t="str">
        <x:v>IBD / GCM</x:v>
      </x:c>
      <x:c r="D38" s="31" t="str">
        <x:v>How would you compare the outlook of starting your career in investment banking v.s. PE/VC?</x:v>
      </x:c>
      <x:c r="E38" s="31" t="str">
        <x:v>How would you compare the outlook of starting your career in investment banking v.s. PE/VC</x:v>
      </x:c>
      <x:c r="F38" s="31" t="str">
        <x:v>Other Question</x:v>
      </x:c>
      <x:c r="G38" s="30" t="str">
        <x:v>CL0495</x:v>
      </x:c>
      <x:c r="H38" s="32" t="n">
        <x:f>COUNTIF($G$5:$G$323,G38)</x:f>
        <x:v>1</x:v>
      </x:c>
      <x:c r="I38" s="30" t="str">
        <x:v>A72</x:v>
      </x:c>
      <x:c r="J38" s="31" t="str">
        <x:v>Discuss how the US tariffs announcements and the overall erratic policy will impact its role in the global economy and monetary system in the medium or long term. | What do you think is the key move of investment banks to stay relevant a...</x:v>
      </x:c>
    </x:row>
    <x:row r="39" ht="32" customHeight="1">
      <x:c r="A39" s="30" t="str">
        <x:v>QB0582</x:v>
      </x:c>
      <x:c r="B39" s="30" t="str">
        <x:v>Deutsche</x:v>
      </x:c>
      <x:c r="C39" s="30" t="str">
        <x:v>IBD / GCM</x:v>
      </x:c>
      <x:c r="D39" s="31" t="str">
        <x:v>What do you do in HKUIBC? Any mentors from DB?</x:v>
      </x:c>
      <x:c r="E39" s="31" t="str">
        <x:v>What do you do in HKUIBC? Any mentors from DB</x:v>
      </x:c>
      <x:c r="F39" s="31" t="str">
        <x:v>Other Question</x:v>
      </x:c>
      <x:c r="G39" s="30" t="str">
        <x:v>CL0914</x:v>
      </x:c>
      <x:c r="H39" s="32" t="n">
        <x:f>COUNTIF($G$5:$G$323,G39)</x:f>
        <x:v>1</x:v>
      </x:c>
      <x:c r="I39" s="30" t="str">
        <x:v>C6</x:v>
      </x:c>
      <x:c r="J39" s="31" t="str">
        <x:v>Celia (Asso from Strategic Equity) | Self Intro</x:v>
      </x:c>
    </x:row>
    <x:row r="40" ht="48" customHeight="1">
      <x:c r="A40" s="30" t="str">
        <x:v>QB0588</x:v>
      </x:c>
      <x:c r="B40" s="30" t="str">
        <x:v>Deutsche</x:v>
      </x:c>
      <x:c r="C40" s="30" t="str">
        <x:v>IBD / GCM</x:v>
      </x:c>
      <x:c r="D40" s="31" t="str">
        <x:v>What's your view on China, and in these times how can IBs survive?</x:v>
      </x:c>
      <x:c r="E40" s="31" t="str">
        <x:v>What's your view on China, and in these times how can IBs survive</x:v>
      </x:c>
      <x:c r="F40" s="31" t="str">
        <x:v>Other Question</x:v>
      </x:c>
      <x:c r="G40" s="30" t="str">
        <x:v>CL1069</x:v>
      </x:c>
      <x:c r="H40" s="32" t="n">
        <x:f>COUNTIF($G$5:$G$323,G40)</x:f>
        <x:v>1</x:v>
      </x:c>
      <x:c r="I40" s="30" t="str">
        <x:v>C8#1</x:v>
      </x:c>
      <x:c r="J40" s="31" t="str">
        <x:v>Self Intro | What do you do in HKUIBC? Any mentors from DB? | Why do IBD now given bad economy? (grilled for around 5 minutes with a lot of follow-ups)</x:v>
      </x:c>
    </x:row>
    <x:row r="41" ht="32" customHeight="1">
      <x:c r="A41" s="30" t="str">
        <x:v>QB0607</x:v>
      </x:c>
      <x:c r="B41" s="30" t="str">
        <x:v>Deutsche</x:v>
      </x:c>
      <x:c r="C41" s="30" t="str">
        <x:v>IBD / GCM</x:v>
      </x:c>
      <x:c r="D41" s="31" t="str">
        <x:v>Before we start, what's something you want me to know about you?</x:v>
      </x:c>
      <x:c r="E41" s="31" t="str">
        <x:v>Before we start, what's something you want me to know about you</x:v>
      </x:c>
      <x:c r="F41" s="31" t="str">
        <x:v>Other Question</x:v>
      </x:c>
      <x:c r="G41" s="30" t="str">
        <x:v>CL0157</x:v>
      </x:c>
      <x:c r="H41" s="32" t="n">
        <x:f>COUNTIF($G$5:$G$323,G41)</x:f>
        <x:v>1</x:v>
      </x:c>
      <x:c r="I41" s="30" t="str">
        <x:v>A21</x:v>
      </x:c>
      <x:c r="J41" s="31" t="str">
        <x:v>SPD | Germaine 22/9 | Andy Chau (Director from Strategic Equity)</x:v>
      </x:c>
    </x:row>
    <x:row r="42" ht="32" customHeight="1">
      <x:c r="A42" s="30" t="str">
        <x:v>QB0628</x:v>
      </x:c>
      <x:c r="B42" s="30" t="str">
        <x:v>Deutsche</x:v>
      </x:c>
      <x:c r="C42" s="30" t="str">
        <x:v>IBD / GCM</x:v>
      </x:c>
      <x:c r="D42" s="31" t="str">
        <x:v>DB有很多客戶是內地的國企，他們有自己不同的工作風格和文化，你覺得身為香港人，你會願意做嗎？還是你比較prefer跟more sophisticated的客戶交流?</x:v>
      </x:c>
      <x:c r="E42" s="31" t="str">
        <x:v>DB有很多客戶是內地的國企，他們有自己不同的工作風格和文化，你覺得身為香港人，你會願意做嗎？還是你比較prefer跟more sophisticated的客戶交流</x:v>
      </x:c>
      <x:c r="F42" s="31" t="str">
        <x:v>Other Question</x:v>
      </x:c>
      <x:c r="G42" s="30" t="str">
        <x:v>CL0219</x:v>
      </x:c>
      <x:c r="H42" s="32" t="n">
        <x:f>COUNTIF($G$5:$G$323,G42)</x:f>
        <x:v>1</x:v>
      </x:c>
      <x:c r="I42" s="30" t="str">
        <x:v>C26</x:v>
      </x:c>
      <x:c r="J42" s="31" t="str">
        <x:v>Valuation Multiples of the Deal and how to get | 如果你要為這家公司做DCF，怎麼做 | DB的一個M&amp;A Deal</x:v>
      </x:c>
    </x:row>
    <x:row r="43" ht="48" customHeight="1">
      <x:c r="A43" s="30" t="str">
        <x:v>QB0630</x:v>
      </x:c>
      <x:c r="B43" s="30" t="str">
        <x:v>Deutsche</x:v>
      </x:c>
      <x:c r="C43" s="30" t="str">
        <x:v>IBD / GCM</x:v>
      </x:c>
      <x:c r="D43" s="31" t="str">
        <x:v>你有特別想進的組嗎？</x:v>
      </x:c>
      <x:c r="E43" s="31" t="str">
        <x:v>你有特別想進的組嗎</x:v>
      </x:c>
      <x:c r="F43" s="31" t="str">
        <x:v>Other Question</x:v>
      </x:c>
      <x:c r="G43" s="30" t="str">
        <x:v>CL1229</x:v>
      </x:c>
      <x:c r="H43" s="32" t="n">
        <x:f>COUNTIF($G$5:$G$323,G43)</x:f>
        <x:v>1</x:v>
      </x:c>
      <x:c r="I43" s="30" t="str">
        <x:v>C27</x:v>
      </x:c>
      <x:c r="J43" s="31" t="str">
        <x:v>如果你要為這家公司做DCF，怎麼做 | DB的一個M&amp;A Deal | DB有很多客戶是內地的國企，他們有自己不同的工作風格和文化，你覺得身為香港人，你會願意做嗎？還是你比較prefer跟more sophisticated的客戶交流?</x:v>
      </x:c>
    </x:row>
    <x:row r="44" ht="92" customHeight="1">
      <x:c r="A44" s="30" t="str">
        <x:v>QB0632</x:v>
      </x:c>
      <x:c r="B44" s="30" t="str">
        <x:v>Deutsche</x:v>
      </x:c>
      <x:c r="C44" s="30" t="str">
        <x:v>IBD / GCM</x:v>
      </x:c>
      <x:c r="D44" s="31" t="str">
        <x:v>你覺得你的缺點是什麼？</x:v>
      </x:c>
      <x:c r="E44" s="31" t="str">
        <x:v>你覺得你的缺點是什麼</x:v>
      </x:c>
      <x:c r="F44" s="31" t="str">
        <x:v>Other Question</x:v>
      </x:c>
      <x:c r="G44" s="30" t="str">
        <x:v>CL1231</x:v>
      </x:c>
      <x:c r="H44" s="32" t="n">
        <x:f>COUNTIF($G$5:$G$323,G44)</x:f>
        <x:v>1</x:v>
      </x:c>
      <x:c r="I44" s="30" t="str">
        <x:v>C29</x:v>
      </x:c>
      <x:c r="J44" s="31" t="str">
        <x:v>DB有很多客戶是內地的國企，他們有自己不同的工作風格和文化，你覺得身為香港人，你會願意做嗎？還是你比較prefer跟more sophisticated的客戶交流? | 你有特別想進的組嗎？ | 雖然你想進M&amp;A，但我覺得妳會適合hk coverage team，你會願意嗎？(i said yes and also asked for permission to show my knowledge in hk ipo deal of DB since when she ...</x:v>
      </x:c>
    </x:row>
    <x:row r="45" ht="48" customHeight="1">
      <x:c r="A45" s="30" t="str">
        <x:v>QB0644</x:v>
      </x:c>
      <x:c r="B45" s="30" t="str">
        <x:v>Deutsche</x:v>
      </x:c>
      <x:c r="C45" s="30" t="str">
        <x:v>IBD / GCM</x:v>
      </x:c>
      <x:c r="D45" s="31" t="str">
        <x:v>return?</x:v>
      </x:c>
      <x:c r="E45" s="31" t="str">
        <x:v>Return</x:v>
      </x:c>
      <x:c r="F45" s="31" t="str">
        <x:v>Other Question</x:v>
      </x:c>
      <x:c r="G45" s="30" t="str">
        <x:v>CL0019</x:v>
      </x:c>
      <x:c r="H45" s="32" t="n">
        <x:f>COUNTIF($G$5:$G$323,G45)</x:f>
        <x:v>4</x:v>
      </x:c>
      <x:c r="I45" s="30" t="str">
        <x:v>A37</x:v>
      </x:c>
      <x:c r="J45" s="31" t="str">
        <x:v>1 (she’s on zoom and didnt open cam…) | self intro in 30s | preference on capital market or coverage?</x:v>
      </x:c>
    </x:row>
    <x:row r="46" ht="32" customHeight="1">
      <x:c r="A46" s="30" t="str">
        <x:v>QB0645</x:v>
      </x:c>
      <x:c r="B46" s="30" t="str">
        <x:v>Deutsche</x:v>
      </x:c>
      <x:c r="C46" s="30" t="str">
        <x:v>IBD / GCM</x:v>
      </x:c>
      <x:c r="D46" s="31" t="str">
        <x:v>How many summer interns in BLK?</x:v>
      </x:c>
      <x:c r="E46" s="31" t="str">
        <x:v>How many summer interns in BLK</x:v>
      </x:c>
      <x:c r="F46" s="31" t="str">
        <x:v>Other Question</x:v>
      </x:c>
      <x:c r="G46" s="30" t="str">
        <x:v>CL0456</x:v>
      </x:c>
      <x:c r="H46" s="32" t="n">
        <x:f>COUNTIF($G$5:$G$323,G46)</x:f>
        <x:v>1</x:v>
      </x:c>
      <x:c r="I46" s="30" t="str">
        <x:v>C37</x:v>
      </x:c>
      <x:c r="J46" s="31" t="str">
        <x:v>1 DCM | Self intro | Why IBD</x:v>
      </x:c>
    </x:row>
    <x:row r="47" ht="68" customHeight="1">
      <x:c r="A47" s="30" t="str">
        <x:v>QB0655</x:v>
      </x:c>
      <x:c r="B47" s="30" t="str">
        <x:v>Deutsche</x:v>
      </x:c>
      <x:c r="C47" s="30" t="str">
        <x:v>IBD / GCM</x:v>
      </x:c>
      <x:c r="D47" s="31" t="str">
        <x:v>How do you like about HK?</x:v>
      </x:c>
      <x:c r="E47" s="31" t="str">
        <x:v>How do you like about HK</x:v>
      </x:c>
      <x:c r="F47" s="31" t="str">
        <x:v>Other Question</x:v>
      </x:c>
      <x:c r="G47" s="30" t="str">
        <x:v>CL0417</x:v>
      </x:c>
      <x:c r="H47" s="32" t="n">
        <x:f>COUNTIF($G$5:$G$323,G47)</x:f>
        <x:v>1</x:v>
      </x:c>
      <x:c r="I47" s="30" t="str">
        <x:v>C42</x:v>
      </x:c>
      <x:c r="J47" s="31" t="str">
        <x:v>Whay you did for the portfolio level analysis for the fund investing project? | How is the IRR for those funds | How to forecast the growth of the SEA logistic company, P&amp;L breakdown</x:v>
      </x:c>
    </x:row>
    <x:row r="48" ht="48" customHeight="1">
      <x:c r="A48" s="30" t="str">
        <x:v>QB0657</x:v>
      </x:c>
      <x:c r="B48" s="30" t="str">
        <x:v>Deutsche</x:v>
      </x:c>
      <x:c r="C48" s="30" t="str">
        <x:v>IBD / GCM</x:v>
      </x:c>
      <x:c r="D48" s="31" t="str">
        <x:v>Do you know anyone from DB and learned from them?</x:v>
      </x:c>
      <x:c r="E48" s="31" t="str">
        <x:v>Do you know anyone from DB and learned from them</x:v>
      </x:c>
      <x:c r="F48" s="31" t="str">
        <x:v>Other Question</x:v>
      </x:c>
      <x:c r="G48" s="30" t="str">
        <x:v>CL0276</x:v>
      </x:c>
      <x:c r="H48" s="32" t="n">
        <x:f>COUNTIF($G$5:$G$323,G48)</x:f>
        <x:v>1</x:v>
      </x:c>
      <x:c r="I48" s="30" t="str">
        <x:v>C43</x:v>
      </x:c>
      <x:c r="J48" s="31" t="str">
        <x:v>How is the IRR for those funds | How to forecast the growth of the SEA logistic company, P&amp;L breakdown | How do you like about HK?</x:v>
      </x:c>
    </x:row>
    <x:row r="49" ht="32" customHeight="1">
      <x:c r="A49" s="30" t="str">
        <x:v>QB0662</x:v>
      </x:c>
      <x:c r="B49" s="30" t="str">
        <x:v>Deutsche</x:v>
      </x:c>
      <x:c r="C49" s="30" t="str">
        <x:v>IBD / GCM</x:v>
      </x:c>
      <x:c r="D49" s="31" t="str">
        <x:v>return?</x:v>
      </x:c>
      <x:c r="E49" s="31" t="str">
        <x:v>Return</x:v>
      </x:c>
      <x:c r="F49" s="31" t="str">
        <x:v>Other Question</x:v>
      </x:c>
      <x:c r="G49" s="30" t="str">
        <x:v>CL0019</x:v>
      </x:c>
      <x:c r="H49" s="32" t="n">
        <x:f>COUNTIF($G$5:$G$323,G49)</x:f>
        <x:v>4</x:v>
      </x:c>
      <x:c r="I49" s="30" t="str">
        <x:v>A47</x:v>
      </x:c>
      <x:c r="J49" s="31" t="str">
        <x:v>how to find beta for a private company | 2 M&amp;A and DIG | self intro</x:v>
      </x:c>
    </x:row>
    <x:row r="50" ht="92" customHeight="1">
      <x:c r="A50" s="30" t="str">
        <x:v>QB0698</x:v>
      </x:c>
      <x:c r="B50" s="30" t="str">
        <x:v>Deutsche</x:v>
      </x:c>
      <x:c r="C50" s="30" t="str">
        <x:v>IBD / GCM</x:v>
      </x:c>
      <x:c r="D50" s="31" t="str">
        <x:v>Tell me move about the logistic market, did you identify any trends or market dynamics?</x:v>
      </x:c>
      <x:c r="E50" s="31" t="str">
        <x:v>Tell me move about the logistic market, did you identify any trends or market dynamics</x:v>
      </x:c>
      <x:c r="F50" s="31" t="str">
        <x:v>Other Question</x:v>
      </x:c>
      <x:c r="G50" s="30" t="str">
        <x:v>CL0771</x:v>
      </x:c>
      <x:c r="H50" s="32" t="n">
        <x:f>COUNTIF($G$5:$G$323,G50)</x:f>
        <x:v>1</x:v>
      </x:c>
      <x:c r="I50" s="30" t="str">
        <x:v>C67</x:v>
      </x:c>
      <x:c r="J50" s="31" t="str">
        <x:v>You have an IRR of 12%, bank is offering you Mezzaine of 13% PIK interest, will you take it? | You are paying 50% cash and 50% debt for a house, the rental income can just offset the debt payment every month so your cash flow is zeroed, ...</x:v>
      </x:c>
    </x:row>
    <x:row r="51" ht="32" customHeight="1">
      <x:c r="A51" s="30" t="str">
        <x:v>QB0707</x:v>
      </x:c>
      <x:c r="B51" s="30" t="str">
        <x:v>Deutsche</x:v>
      </x:c>
      <x:c r="C51" s="30" t="str">
        <x:v>IBD / GCM</x:v>
      </x:c>
      <x:c r="D51" s="31" t="str">
        <x:v>自我介绍</x:v>
      </x:c>
      <x:c r="E51" s="31" t="str">
        <x:v>Tell me about yourself / walk me through your resume</x:v>
      </x:c>
      <x:c r="F51" s="31" t="str">
        <x:v>Other Question</x:v>
      </x:c>
      <x:c r="G51" s="30" t="str">
        <x:v>CL0001</x:v>
      </x:c>
      <x:c r="H51" s="32" t="n">
        <x:f>COUNTIF($G$5:$G$323,G51)</x:f>
        <x:v>7</x:v>
      </x:c>
      <x:c r="I51" s="30" t="str">
        <x:v>A75</x:v>
      </x:c>
      <x:c r="J51" s="31" t="str">
        <x:v>Jasmine 6/10 | 1 Industrial Wayne | 全程普通话，非常chill</x:v>
      </x:c>
    </x:row>
    <x:row r="52" ht="32" customHeight="1">
      <x:c r="A52" s="30" t="str">
        <x:v>QB0715</x:v>
      </x:c>
      <x:c r="B52" s="30" t="str">
        <x:v>Deutsche</x:v>
      </x:c>
      <x:c r="C52" s="30" t="str">
        <x:v>IBD / GCM</x:v>
      </x:c>
      <x:c r="D52" s="31" t="str">
        <x:v>Return？</x:v>
      </x:c>
      <x:c r="E52" s="31" t="str">
        <x:v>Return</x:v>
      </x:c>
      <x:c r="F52" s="31" t="str">
        <x:v>Other Question</x:v>
      </x:c>
      <x:c r="G52" s="30" t="str">
        <x:v>CL0019</x:v>
      </x:c>
      <x:c r="H52" s="32" t="n">
        <x:f>COUNTIF($G$5:$G$323,G52)</x:f>
        <x:v>4</x:v>
      </x:c>
      <x:c r="I52" s="30" t="str">
        <x:v>A79</x:v>
      </x:c>
      <x:c r="J52" s="31" t="str">
        <x:v>跟我讲一个之前项目里做的研究，描述行业规模增速，利润率，竞争格局，商业模式etc | 有哪些可比公司 | Why DB</x:v>
      </x:c>
    </x:row>
    <x:row r="53" ht="48" customHeight="1">
      <x:c r="A53" s="30" t="str">
        <x:v>QB0731</x:v>
      </x:c>
      <x:c r="B53" s="30" t="str">
        <x:v>Deutsche</x:v>
      </x:c>
      <x:c r="C53" s="30" t="str">
        <x:v>IBD / GCM</x:v>
      </x:c>
      <x:c r="D53" s="31" t="str">
        <x:v>Any hobbies?</x:v>
      </x:c>
      <x:c r="E53" s="31" t="str">
        <x:v>What are your interests outside work and school?</x:v>
      </x:c>
      <x:c r="F53" s="31" t="str">
        <x:v>Other Question</x:v>
      </x:c>
      <x:c r="G53" s="30" t="str">
        <x:v>CL0014</x:v>
      </x:c>
      <x:c r="H53" s="32" t="n">
        <x:f>COUNTIF($G$5:$G$323,G53)</x:f>
        <x:v>6</x:v>
      </x:c>
      <x:c r="I53" s="30" t="str">
        <x:v>A88</x:v>
      </x:c>
      <x:c r="J53" s="31" t="str">
        <x:v>Walk me through one project you did that involved valuation | What multiple did you use | Have you ever failed?</x:v>
      </x:c>
    </x:row>
    <x:row r="54" ht="32" customHeight="1">
      <x:c r="A54" s="30" t="str">
        <x:v>QB0732</x:v>
      </x:c>
      <x:c r="B54" s="30" t="str">
        <x:v>Deutsche</x:v>
      </x:c>
      <x:c r="C54" s="30" t="str">
        <x:v>IBD / GCM</x:v>
      </x:c>
      <x:c r="D54" s="31" t="str">
        <x:v>Do you only like organising or leading, not like participating?</x:v>
      </x:c>
      <x:c r="E54" s="31" t="str">
        <x:v>Do you only like organising or leading, not like participating</x:v>
      </x:c>
      <x:c r="F54" s="31" t="str">
        <x:v>Other Question</x:v>
      </x:c>
      <x:c r="G54" s="30" t="str">
        <x:v>CL0285</x:v>
      </x:c>
      <x:c r="H54" s="32" t="n">
        <x:f>COUNTIF($G$5:$G$323,G54)</x:f>
        <x:v>1</x:v>
      </x:c>
      <x:c r="I54" s="30" t="str">
        <x:v>A89</x:v>
      </x:c>
      <x:c r="J54" s="31" t="str">
        <x:v>What multiple did you use | Have you ever failed? | Any hobbies?</x:v>
      </x:c>
    </x:row>
    <x:row r="55" ht="48" customHeight="1">
      <x:c r="A55" s="30" t="str">
        <x:v>QB0734</x:v>
      </x:c>
      <x:c r="B55" s="30" t="str">
        <x:v>Deutsche</x:v>
      </x:c>
      <x:c r="C55" s="30" t="str">
        <x:v>IBD / GCM</x:v>
      </x:c>
      <x:c r="D55" s="31" t="str">
        <x:v>Do you like clubbing? You seem quiet (LMAO...)</x:v>
      </x:c>
      <x:c r="E55" s="31" t="str">
        <x:v>Do you like clubbing? You seem quiet (LMAO...)</x:v>
      </x:c>
      <x:c r="F55" s="31" t="str">
        <x:v>Other Question</x:v>
      </x:c>
      <x:c r="G55" s="30" t="str">
        <x:v>CL0282</x:v>
      </x:c>
      <x:c r="H55" s="32" t="n">
        <x:f>COUNTIF($G$5:$G$323,G55)</x:f>
        <x:v>1</x:v>
      </x:c>
      <x:c r="I55" s="30" t="str">
        <x:v>A90</x:v>
      </x:c>
      <x:c r="J55" s="31" t="str">
        <x:v>Have you ever failed? | Any hobbies? | Do you only like organising or leading, not like participating?</x:v>
      </x:c>
    </x:row>
    <x:row r="56" ht="48" customHeight="1">
      <x:c r="A56" s="30" t="str">
        <x:v>QB0747</x:v>
      </x:c>
      <x:c r="B56" s="30" t="str">
        <x:v>Deutsche</x:v>
      </x:c>
      <x:c r="C56" s="30" t="str">
        <x:v>IBD / GCM</x:v>
      </x:c>
      <x:c r="D56" s="31" t="str">
        <x:v>Return?</x:v>
      </x:c>
      <x:c r="E56" s="31" t="str">
        <x:v>Return</x:v>
      </x:c>
      <x:c r="F56" s="31" t="str">
        <x:v>Other Question</x:v>
      </x:c>
      <x:c r="G56" s="30" t="str">
        <x:v>CL0019</x:v>
      </x:c>
      <x:c r="H56" s="32" t="n">
        <x:f>COUNTIF($G$5:$G$323,G56)</x:f>
        <x:v>4</x:v>
      </x:c>
      <x:c r="I56" s="30" t="str">
        <x:v>A97</x:v>
      </x:c>
      <x:c r="J56" s="31" t="str">
        <x:v>Self Intro | Why IBD and why DB | What do you think will be the quality required for IBD roles, any story to support you have this quality?</x:v>
      </x:c>
    </x:row>
    <x:row r="57" ht="48" customHeight="1">
      <x:c r="A57" s="30" t="str">
        <x:v>QB0751</x:v>
      </x:c>
      <x:c r="B57" s="30" t="str">
        <x:v>Deutsche</x:v>
      </x:c>
      <x:c r="C57" s="30" t="str">
        <x:v>IBD / GCM</x:v>
      </x:c>
      <x:c r="D57" s="31" t="str">
        <x:v>自我介绍</x:v>
      </x:c>
      <x:c r="E57" s="31" t="str">
        <x:v>Tell me about yourself / walk me through your resume</x:v>
      </x:c>
      <x:c r="F57" s="31" t="str">
        <x:v>Other Question</x:v>
      </x:c>
      <x:c r="G57" s="30" t="str">
        <x:v>CL0001</x:v>
      </x:c>
      <x:c r="H57" s="32" t="n">
        <x:f>COUNTIF($G$5:$G$323,G57)</x:f>
        <x:v>7</x:v>
      </x:c>
      <x:c r="I57" s="30" t="str">
        <x:v>C99</x:v>
      </x:c>
      <x:c r="J57" s="31" t="str">
        <x:v>If your are a financial sponsor, what's the answer? | In an LBO model, what item comes below EBITDA lines, why? | 4 Industrial Wayne</x:v>
      </x:c>
    </x:row>
    <x:row r="58" ht="32" customHeight="1">
      <x:c r="A58" s="30" t="str">
        <x:v>QB0752</x:v>
      </x:c>
      <x:c r="B58" s="30" t="str">
        <x:v>Deutsche</x:v>
      </x:c>
      <x:c r="C58" s="30" t="str">
        <x:v>IBD / GCM</x:v>
      </x:c>
      <x:c r="D58" s="31" t="str">
        <x:v>为什么不做投资做投行</x:v>
      </x:c>
      <x:c r="E58" s="31" t="str">
        <x:v>为什么不做投资做投行</x:v>
      </x:c>
      <x:c r="F58" s="31" t="str">
        <x:v>Other Question</x:v>
      </x:c>
      <x:c r="G58" s="30" t="str">
        <x:v>CL1220</x:v>
      </x:c>
      <x:c r="H58" s="32" t="n">
        <x:f>COUNTIF($G$5:$G$323,G58)</x:f>
        <x:v>1</x:v>
      </x:c>
      <x:c r="I58" s="30" t="str">
        <x:v>C100</x:v>
      </x:c>
      <x:c r="J58" s="31" t="str">
        <x:v>In an LBO model, what item comes below EBITDA lines, why? | 4 Industrial Wayne | 自我介绍</x:v>
      </x:c>
    </x:row>
    <x:row r="59" ht="32" customHeight="1">
      <x:c r="A59" s="30" t="str">
        <x:v>QB0756</x:v>
      </x:c>
      <x:c r="B59" s="30" t="str">
        <x:v>Deutsche</x:v>
      </x:c>
      <x:c r="C59" s="30" t="str">
        <x:v>IBD / GCM</x:v>
      </x:c>
      <x:c r="D59" s="31" t="str">
        <x:v>怎么给这个印度IT公司做估值的，算便宜吗？EV和EBITDA是多少</x:v>
      </x:c>
      <x:c r="E59" s="31" t="str">
        <x:v>怎么给这个印度IT公司做估值的，算便宜吗？EV和EBITDA是多少</x:v>
      </x:c>
      <x:c r="F59" s="31" t="str">
        <x:v>Other Question</x:v>
      </x:c>
      <x:c r="G59" s="30" t="str">
        <x:v>CL1242</x:v>
      </x:c>
      <x:c r="H59" s="32" t="n">
        <x:f>COUNTIF($G$5:$G$323,G59)</x:f>
        <x:v>1</x:v>
      </x:c>
      <x:c r="I59" s="30" t="str">
        <x:v>C102</x:v>
      </x:c>
      <x:c r="J59" s="31" t="str">
        <x:v>自我介绍 | 为什么不做投资做投行 | 跟我讲一个之前项目里做的研究，描述行业规模增速，利润率，竞争格局，商业模式etc</x:v>
      </x:c>
    </x:row>
    <x:row r="60" ht="32" customHeight="1">
      <x:c r="A60" s="30" t="str">
        <x:v>QB0758</x:v>
      </x:c>
      <x:c r="B60" s="30" t="str">
        <x:v>Deutsche</x:v>
      </x:c>
      <x:c r="C60" s="30" t="str">
        <x:v>IBD / GCM</x:v>
      </x:c>
      <x:c r="D60" s="31" t="str">
        <x:v>为什么会有“印度溢价”？</x:v>
      </x:c>
      <x:c r="E60" s="31" t="str">
        <x:v>为什么会有“印度溢价”</x:v>
      </x:c>
      <x:c r="F60" s="31" t="str">
        <x:v>Other Question</x:v>
      </x:c>
      <x:c r="G60" s="30" t="str">
        <x:v>CL1221</x:v>
      </x:c>
      <x:c r="H60" s="32" t="n">
        <x:f>COUNTIF($G$5:$G$323,G60)</x:f>
        <x:v>1</x:v>
      </x:c>
      <x:c r="I60" s="30" t="str">
        <x:v>C103</x:v>
      </x:c>
      <x:c r="J60" s="31" t="str">
        <x:v>为什么不做投资做投行 | 跟我讲一个之前项目里做的研究，描述行业规模增速，利润率，竞争格局，商业模式etc | 怎么给这个印度IT公司做估值的，算便宜吗？EV和EBITDA是多少</x:v>
      </x:c>
    </x:row>
    <x:row r="61" ht="48" customHeight="1">
      <x:c r="A61" s="30" t="str">
        <x:v>QB0775</x:v>
      </x:c>
      <x:c r="B61" s="30" t="str">
        <x:v>Deutsche</x:v>
      </x:c>
      <x:c r="C61" s="30" t="str">
        <x:v>IBD / GCM</x:v>
      </x:c>
      <x:c r="D61" s="31" t="str">
        <x:v>pro-forma EV/EBITDA, PE change</x:v>
      </x:c>
      <x:c r="E61" s="31" t="str">
        <x:v>Pro-forma EV/EBITDA, PE change</x:v>
      </x:c>
      <x:c r="F61" s="31" t="str">
        <x:v>Other Question</x:v>
      </x:c>
      <x:c r="G61" s="30" t="str">
        <x:v>CL0652</x:v>
      </x:c>
      <x:c r="H61" s="32" t="n">
        <x:f>COUNTIF($G$5:$G$323,G61)</x:f>
        <x:v>1</x:v>
      </x:c>
      <x:c r="I61" s="30" t="str">
        <x:v>C115</x:v>
      </x:c>
      <x:c r="J61" s="31" t="str">
        <x:v>Kangli (Diverse Industry Team, Asso) | (After self-intro all in Mandarin) | Case I did in my internship (EBITDA, Revenue breakdown, post-valuation...)</x:v>
      </x:c>
    </x:row>
    <x:row r="62" ht="68" customHeight="1">
      <x:c r="A62" s="30" t="str">
        <x:v>QB0827</x:v>
      </x:c>
      <x:c r="B62" s="30" t="str">
        <x:v>Deutsche</x:v>
      </x:c>
      <x:c r="C62" s="30" t="str">
        <x:v>IBD / GCM</x:v>
      </x:c>
      <x:c r="D62" s="31" t="str">
        <x:v>What do you know about DB / O&amp;A</x:v>
      </x:c>
      <x:c r="E62" s="31" t="str">
        <x:v>What do you know about DB / O&amp;A</x:v>
      </x:c>
      <x:c r="F62" s="31" t="str">
        <x:v>Other Question</x:v>
      </x:c>
      <x:c r="G62" s="30" t="str">
        <x:v>CL0920</x:v>
      </x:c>
      <x:c r="H62" s="32" t="n">
        <x:f>COUNTIF($G$5:$G$323,G62)</x:f>
        <x:v>1</x:v>
      </x:c>
      <x:c r="I62" s="30" t="str">
        <x:v>A151</x:v>
      </x:c>
      <x:c r="J62" s="31" t="str">
        <x:v>Self introduction | You in Lazard right now? I didn’t see it on your CV, when does it lasts | Quickly went through my CV and asked some small clarification questions</x:v>
      </x:c>
    </x:row>
    <x:row r="63" ht="32" customHeight="1">
      <x:c r="A63" s="30" t="str">
        <x:v>QB0834</x:v>
      </x:c>
      <x:c r="B63" s="30" t="str">
        <x:v>Deutsche</x:v>
      </x:c>
      <x:c r="C63" s="30" t="str">
        <x:v>IBD / GCM</x:v>
      </x:c>
      <x:c r="D63" s="31" t="str">
        <x:v>Did you take into account of A/H share premium</x:v>
      </x:c>
      <x:c r="E63" s="31" t="str">
        <x:v>Did you take into account of A/H share premium</x:v>
      </x:c>
      <x:c r="F63" s="31" t="str">
        <x:v>Other Question</x:v>
      </x:c>
      <x:c r="G63" s="30" t="str">
        <x:v>CL0250</x:v>
      </x:c>
      <x:c r="H63" s="32" t="n">
        <x:f>COUNTIF($G$5:$G$323,G63)</x:f>
        <x:v>1</x:v>
      </x:c>
      <x:c r="I63" s="30" t="str">
        <x:v>C154</x:v>
      </x:c>
      <x:c r="J63" s="31" t="str">
        <x:v>Project 1 | Tell me about this deal | What are the comps used (name some)</x:v>
      </x:c>
    </x:row>
    <x:row r="64" ht="48" customHeight="1">
      <x:c r="A64" s="30" t="str">
        <x:v>QB0845</x:v>
      </x:c>
      <x:c r="B64" s="30" t="str">
        <x:v>Deutsche</x:v>
      </x:c>
      <x:c r="C64" s="30" t="str">
        <x:v>IBD / GCM</x:v>
      </x:c>
      <x:c r="D64" s="31" t="str">
        <x:v>Which jurisdiction does this LOE follows?</x:v>
      </x:c>
      <x:c r="E64" s="31" t="str">
        <x:v>Which jurisdiction does this LOE follows</x:v>
      </x:c>
      <x:c r="F64" s="31" t="str">
        <x:v>Other Question</x:v>
      </x:c>
      <x:c r="G64" s="30" t="str">
        <x:v>CL1096</x:v>
      </x:c>
      <x:c r="H64" s="32" t="n">
        <x:f>COUNTIF($G$5:$G$323,G64)</x:f>
        <x:v>1</x:v>
      </x:c>
      <x:c r="I64" s="30" t="str">
        <x:v>C160</x:v>
      </x:c>
      <x:c r="J64" s="31" t="str">
        <x:v>Project 2 | What exactly did you do in this deal, what’s the responsibilities | Tell me concisely what’s the transaction background and structure</x:v>
      </x:c>
    </x:row>
    <x:row r="65" ht="68" customHeight="1">
      <x:c r="A65" s="30" t="str">
        <x:v>QB0847</x:v>
      </x:c>
      <x:c r="B65" s="30" t="str">
        <x:v>Deutsche</x:v>
      </x:c>
      <x:c r="C65" s="30" t="str">
        <x:v>IBD / GCM</x:v>
      </x:c>
      <x:c r="D65" s="31" t="str">
        <x:v>Tell me a investment highlight in CIM</x:v>
      </x:c>
      <x:c r="E65" s="31" t="str">
        <x:v>Tell me a investment highlight in CIM</x:v>
      </x:c>
      <x:c r="F65" s="31" t="str">
        <x:v>Other Question</x:v>
      </x:c>
      <x:c r="G65" s="30" t="str">
        <x:v>CL0704</x:v>
      </x:c>
      <x:c r="H65" s="32" t="n">
        <x:f>COUNTIF($G$5:$G$323,G65)</x:f>
        <x:v>1</x:v>
      </x:c>
      <x:c r="I65" s="30" t="str">
        <x:v>C161</x:v>
      </x:c>
      <x:c r="J65" s="31" t="str">
        <x:v>What exactly did you do in this deal, what’s the responsibilities | Tell me concisely what’s the transaction background and structure | Which jurisdiction does this LOE follows?</x:v>
      </x:c>
    </x:row>
    <x:row r="66" ht="48" customHeight="1">
      <x:c r="A66" s="30" t="str">
        <x:v>QB0853</x:v>
      </x:c>
      <x:c r="B66" s="30" t="str">
        <x:v>Deutsche</x:v>
      </x:c>
      <x:c r="C66" s="30" t="str">
        <x:v>IBD / GCM</x:v>
      </x:c>
      <x:c r="D66" s="31" t="str">
        <x:v>What did you look at for this pitching (it was an industrial pitch)</x:v>
      </x:c>
      <x:c r="E66" s="31" t="str">
        <x:v>What did you look at for this pitching (it was an industrial pitch)</x:v>
      </x:c>
      <x:c r="F66" s="31" t="str">
        <x:v>Other Question</x:v>
      </x:c>
      <x:c r="G66" s="30" t="str">
        <x:v>CL0909</x:v>
      </x:c>
      <x:c r="H66" s="32" t="n">
        <x:f>COUNTIF($G$5:$G$323,G66)</x:f>
        <x:v>1</x:v>
      </x:c>
      <x:c r="I66" s="30" t="str">
        <x:v>C169</x:v>
      </x:c>
      <x:c r="J66" s="31" t="str">
        <x:v>This “Photovatics” means solar right? (I use this word in my CV) | What is the valuation of this target? | Project 4</x:v>
      </x:c>
    </x:row>
    <x:row r="67" ht="48" customHeight="1">
      <x:c r="A67" s="30" t="str">
        <x:v>QB0854</x:v>
      </x:c>
      <x:c r="B67" s="30" t="str">
        <x:v>Deutsche</x:v>
      </x:c>
      <x:c r="C67" s="30" t="str">
        <x:v>IBD / GCM</x:v>
      </x:c>
      <x:c r="D67" s="31" t="str">
        <x:v>I said mining EPC - Which mineral?</x:v>
      </x:c>
      <x:c r="E67" s="31" t="str">
        <x:v>I said mining EPC - Which mineral</x:v>
      </x:c>
      <x:c r="F67" s="31" t="str">
        <x:v>Other Question</x:v>
      </x:c>
      <x:c r="G67" s="30" t="str">
        <x:v>CL0506</x:v>
      </x:c>
      <x:c r="H67" s="32" t="n">
        <x:f>COUNTIF($G$5:$G$323,G67)</x:f>
        <x:v>1</x:v>
      </x:c>
      <x:c r="I67" s="30" t="str">
        <x:v>C170</x:v>
      </x:c>
      <x:c r="J67" s="31" t="str">
        <x:v>What is the valuation of this target? | Project 4 | What did you look at for this pitching (it was an industrial pitch)</x:v>
      </x:c>
    </x:row>
    <x:row r="68" ht="48" customHeight="1">
      <x:c r="A68" s="30" t="str">
        <x:v>QB0899</x:v>
      </x:c>
      <x:c r="B68" s="30" t="str">
        <x:v>Citi</x:v>
      </x:c>
      <x:c r="C68" s="30" t="str">
        <x:v>IBD / GCM</x:v>
      </x:c>
      <x:c r="D68" s="31" t="str">
        <x:v>How does the amortizing loan work and how does bullet repayment affect the total interest costs?</x:v>
      </x:c>
      <x:c r="E68" s="31" t="str">
        <x:v>How does the amortizing loan work and how does bullet repayment affect the total interest costs</x:v>
      </x:c>
      <x:c r="F68" s="31" t="str">
        <x:v>Other Question</x:v>
      </x:c>
      <x:c r="G68" s="30" t="str">
        <x:v>CL0434</x:v>
      </x:c>
      <x:c r="H68" s="32" t="n">
        <x:f>COUNTIF($G$5:$G$323,G68)</x:f>
        <x:v>1</x:v>
      </x:c>
      <x:c r="I68" s="30" t="str">
        <x:v>A41</x:v>
      </x:c>
      <x:c r="J68" s="31" t="str">
        <x:v>Beata | What financial ratios will you take a look when you take a look at the leverage of a company? | l Solvency and liquidity ratios</x:v>
      </x:c>
    </x:row>
    <x:row r="69" ht="68" customHeight="1">
      <x:c r="A69" s="30" t="str">
        <x:v>QB0900</x:v>
      </x:c>
      <x:c r="B69" s="30" t="str">
        <x:v>Citi</x:v>
      </x:c>
      <x:c r="C69" s="30" t="str">
        <x:v>IBD / GCM</x:v>
      </x:c>
      <x:c r="D69" s="31" t="str">
        <x:v>Affiliate vs subsidiary and how are they reflected differently on FS?</x:v>
      </x:c>
      <x:c r="E69" s="31" t="str">
        <x:v>Affiliate vs subsidiary and how are they reflected differently on FS</x:v>
      </x:c>
      <x:c r="F69" s="31" t="str">
        <x:v>Other Question</x:v>
      </x:c>
      <x:c r="G69" s="30" t="str">
        <x:v>CL0103</x:v>
      </x:c>
      <x:c r="H69" s="32" t="n">
        <x:f>COUNTIF($G$5:$G$323,G69)</x:f>
        <x:v>1</x:v>
      </x:c>
      <x:c r="I69" s="30" t="str">
        <x:v>A43</x:v>
      </x:c>
      <x:c r="J69" s="31" t="str">
        <x:v>What financial ratios will you take a look when you take a look at the leverage of a company? | l Solvency and liquidity ratios | How does the amortizing loan work and how does bullet repayment affect the total interest costs?</x:v>
      </x:c>
    </x:row>
    <x:row r="70" ht="68" customHeight="1">
      <x:c r="A70" s="30" t="str">
        <x:v>QB0901</x:v>
      </x:c>
      <x:c r="B70" s="30" t="str">
        <x:v>Citi</x:v>
      </x:c>
      <x:c r="C70" s="30" t="str">
        <x:v>IBD / GCM</x:v>
      </x:c>
      <x:c r="D70" s="31" t="str">
        <x:v>Difference between liquidity and solvency?</x:v>
      </x:c>
      <x:c r="E70" s="31" t="str">
        <x:v>Difference between liquidity and solvency</x:v>
      </x:c>
      <x:c r="F70" s="31" t="str">
        <x:v>Other Question</x:v>
      </x:c>
      <x:c r="G70" s="30" t="str">
        <x:v>CL0254</x:v>
      </x:c>
      <x:c r="H70" s="32" t="n">
        <x:f>COUNTIF($G$5:$G$323,G70)</x:f>
        <x:v>1</x:v>
      </x:c>
      <x:c r="I70" s="30" t="str">
        <x:v>A45</x:v>
      </x:c>
      <x:c r="J70" s="31" t="str">
        <x:v>l Solvency and liquidity ratios | How does the amortizing loan work and how does bullet repayment affect the total interest costs? | Affiliate vs subsidiary and how are they reflected differently on FS?</x:v>
      </x:c>
    </x:row>
    <x:row r="71" ht="68" customHeight="1">
      <x:c r="A71" s="30" t="str">
        <x:v>QB0903</x:v>
      </x:c>
      <x:c r="B71" s="30" t="str">
        <x:v>Citi</x:v>
      </x:c>
      <x:c r="C71" s="30" t="str">
        <x:v>IBD / GCM</x:v>
      </x:c>
      <x:c r="D71" s="31" t="str">
        <x:v>Factors to consider when extending a loan to clients?</x:v>
      </x:c>
      <x:c r="E71" s="31" t="str">
        <x:v>Factors to consider when extending a loan to clients</x:v>
      </x:c>
      <x:c r="F71" s="31" t="str">
        <x:v>Other Question</x:v>
      </x:c>
      <x:c r="G71" s="30" t="str">
        <x:v>CL0323</x:v>
      </x:c>
      <x:c r="H71" s="32" t="n">
        <x:f>COUNTIF($G$5:$G$323,G71)</x:f>
        <x:v>1</x:v>
      </x:c>
      <x:c r="I71" s="30" t="str">
        <x:v>A49</x:v>
      </x:c>
      <x:c r="J71" s="31" t="str">
        <x:v>Affiliate vs subsidiary and how are they reflected differently on FS? | Difference between liquidity and solvency? | Key diff between cash balance and free cash flow?</x:v>
      </x:c>
    </x:row>
    <x:row r="72" ht="32" customHeight="1">
      <x:c r="A72" s="30" t="str">
        <x:v>QB0943</x:v>
      </x:c>
      <x:c r="B72" s="30" t="str">
        <x:v>Barclays</x:v>
      </x:c>
      <x:c r="C72" s="30" t="str">
        <x:v>IBD / GCM</x:v>
      </x:c>
      <x:c r="D72" s="31" t="str">
        <x:v>Tell me about yourself</x:v>
      </x:c>
      <x:c r="E72" s="31" t="str">
        <x:v>Tell me about yourself / walk me through your resume</x:v>
      </x:c>
      <x:c r="F72" s="31" t="str">
        <x:v>Other Question</x:v>
      </x:c>
      <x:c r="G72" s="30" t="str">
        <x:v>CL0001</x:v>
      </x:c>
      <x:c r="H72" s="32" t="n">
        <x:f>COUNTIF($G$5:$G$323,G72)</x:f>
        <x:v>7</x:v>
      </x:c>
      <x:c r="I72" s="30" t="str">
        <x:v>C5</x:v>
      </x:c>
      <x:c r="J72" s="31" t="str">
        <x:v>2nd round | Emily 1st round | Her self intro</x:v>
      </x:c>
    </x:row>
    <x:row r="73" ht="32" customHeight="1">
      <x:c r="A73" s="30" t="str">
        <x:v>QB0946</x:v>
      </x:c>
      <x:c r="B73" s="30" t="str">
        <x:v>Barclays</x:v>
      </x:c>
      <x:c r="C73" s="30" t="str">
        <x:v>IBD / GCM</x:v>
      </x:c>
      <x:c r="D73" s="31" t="str">
        <x:v>How do you manage risks?</x:v>
      </x:c>
      <x:c r="E73" s="31" t="str">
        <x:v>How do you manage risks</x:v>
      </x:c>
      <x:c r="F73" s="31" t="str">
        <x:v>Other Question</x:v>
      </x:c>
      <x:c r="G73" s="30" t="str">
        <x:v>CL0418</x:v>
      </x:c>
      <x:c r="H73" s="32" t="n">
        <x:f>COUNTIF($G$5:$G$323,G73)</x:f>
        <x:v>1</x:v>
      </x:c>
      <x:c r="I73" s="30" t="str">
        <x:v>A6</x:v>
      </x:c>
      <x:c r="J73" s="31" t="str">
        <x:v>Emily 1st round | Self intro: walk me through your experiences | Why IBD and why Barclays</x:v>
      </x:c>
    </x:row>
    <x:row r="74" ht="68" customHeight="1">
      <x:c r="A74" s="30" t="str">
        <x:v>QB0955</x:v>
      </x:c>
      <x:c r="B74" s="30" t="str">
        <x:v>Barclays</x:v>
      </x:c>
      <x:c r="C74" s="30" t="str">
        <x:v>IBD / GCM</x:v>
      </x:c>
      <x:c r="D74" s="31" t="str">
        <x:v>Tell me more about ESG and what’s your view on it?</x:v>
      </x:c>
      <x:c r="E74" s="31" t="str">
        <x:v>Tell me more about ESG and what’s your view on it</x:v>
      </x:c>
      <x:c r="F74" s="31" t="str">
        <x:v>Other Question</x:v>
      </x:c>
      <x:c r="G74" s="30" t="str">
        <x:v>CL0764</x:v>
      </x:c>
      <x:c r="H74" s="32" t="n">
        <x:f>COUNTIF($G$5:$G$323,G74)</x:f>
        <x:v>1</x:v>
      </x:c>
      <x:c r="I74" s="30" t="str">
        <x:v>C8</x:v>
      </x:c>
      <x:c r="J74" s="31" t="str">
        <x:v>Tell me about yourself | Tell me more about your case competition experience, what is your role in that case competition and in a team setting? | How did you do valuation for the target company</x:v>
      </x:c>
    </x:row>
    <x:row r="75" ht="68" customHeight="1">
      <x:c r="A75" s="30" t="str">
        <x:v>QB0963</x:v>
      </x:c>
      <x:c r="B75" s="30" t="str">
        <x:v>Barclays</x:v>
      </x:c>
      <x:c r="C75" s="30" t="str">
        <x:v>IBD / GCM</x:v>
      </x:c>
      <x:c r="D75" s="31" t="str">
        <x:v>Tell me ESG in the investing perspective</x:v>
      </x:c>
      <x:c r="E75" s="31" t="str">
        <x:v>Tell me ESG in the investing perspective</x:v>
      </x:c>
      <x:c r="F75" s="31" t="str">
        <x:v>Other Question</x:v>
      </x:c>
      <x:c r="G75" s="30" t="str">
        <x:v>CL0761</x:v>
      </x:c>
      <x:c r="H75" s="32" t="n">
        <x:f>COUNTIF($G$5:$G$323,G75)</x:f>
        <x:v>1</x:v>
      </x:c>
      <x:c r="I75" s="30" t="str">
        <x:v>C10</x:v>
      </x:c>
      <x:c r="J75" s="31" t="str">
        <x:v>How did you do valuation for the target company | Tell me more about ESG and what’s your view on it? | Tell me more about S and G since it is not really viewed upon a lot by others</x:v>
      </x:c>
    </x:row>
    <x:row r="76" ht="48" customHeight="1">
      <x:c r="A76" s="30" t="str">
        <x:v>QB0968</x:v>
      </x:c>
      <x:c r="B76" s="30" t="str">
        <x:v>Barclays</x:v>
      </x:c>
      <x:c r="C76" s="30" t="str">
        <x:v>IBD / GCM</x:v>
      </x:c>
      <x:c r="D76" s="31" t="str">
        <x:v>did you interact with clients at KPMG (in chinese)</x:v>
      </x:c>
      <x:c r="E76" s="31" t="str">
        <x:v>Did you interact with clients at KPMG (in chinese)</x:v>
      </x:c>
      <x:c r="F76" s="31" t="str">
        <x:v>Other Question</x:v>
      </x:c>
      <x:c r="G76" s="30" t="str">
        <x:v>CL0247</x:v>
      </x:c>
      <x:c r="H76" s="32" t="n">
        <x:f>COUNTIF($G$5:$G$323,G76)</x:f>
        <x:v>1</x:v>
      </x:c>
      <x:c r="I76" s="30" t="str">
        <x:v>E11</x:v>
      </x:c>
      <x:c r="J76" s="31" t="str">
        <x:v>what did you learn in ur ECM internship | how can we provide value to both investors and the client when issuing convertible bonds | what did you do at KPMG</x:v>
      </x:c>
    </x:row>
    <x:row r="77" ht="32" customHeight="1">
      <x:c r="A77" s="30" t="str">
        <x:v>QB0985</x:v>
      </x:c>
      <x:c r="B77" s="30" t="str">
        <x:v>Barclays</x:v>
      </x:c>
      <x:c r="C77" s="30" t="str">
        <x:v>IBD / GCM</x:v>
      </x:c>
      <x:c r="D77" s="31" t="str">
        <x:v>Tell me about your self</x:v>
      </x:c>
      <x:c r="E77" s="31" t="str">
        <x:v>Tell me about your self</x:v>
      </x:c>
      <x:c r="F77" s="31" t="str">
        <x:v>Other Question</x:v>
      </x:c>
      <x:c r="G77" s="30" t="str">
        <x:v>CL0755</x:v>
      </x:c>
      <x:c r="H77" s="32" t="n">
        <x:f>COUNTIF($G$5:$G$323,G77)</x:f>
        <x:v>1</x:v>
      </x:c>
      <x:c r="I77" s="30" t="str">
        <x:v>C17</x:v>
      </x:c>
      <x:c r="J77" s="31" t="str">
        <x:v>1 question | Regan | Barclays R2 - Alice Sun</x:v>
      </x:c>
    </x:row>
    <x:row r="78" ht="48" customHeight="1">
      <x:c r="A78" s="30" t="str">
        <x:v>QB0990</x:v>
      </x:c>
      <x:c r="B78" s="30" t="str">
        <x:v>Barclays</x:v>
      </x:c>
      <x:c r="C78" s="30" t="str">
        <x:v>IBD / GCM</x:v>
      </x:c>
      <x:c r="D78" s="31" t="str">
        <x:v>Give me short introduction of yourself.</x:v>
      </x:c>
      <x:c r="E78" s="31" t="str">
        <x:v>Give me short introduction of yourself</x:v>
      </x:c>
      <x:c r="F78" s="31" t="str">
        <x:v>Other Question</x:v>
      </x:c>
      <x:c r="G78" s="30" t="str">
        <x:v>CL0350</x:v>
      </x:c>
      <x:c r="H78" s="32" t="n">
        <x:f>COUNTIF($G$5:$G$323,G78)</x:f>
        <x:v>1</x:v>
      </x:c>
      <x:c r="I78" s="30" t="str">
        <x:v>A19</x:v>
      </x:c>
      <x:c r="J78" s="31" t="str">
        <x:v>If you don’t work in investment banking or finance in the long term, what would you work in? | Regan | Interviewer: Johnny Li</x:v>
      </x:c>
    </x:row>
    <x:row r="79" ht="68" customHeight="1">
      <x:c r="A79" s="30" t="str">
        <x:v>QB0996</x:v>
      </x:c>
      <x:c r="B79" s="30" t="str">
        <x:v>Barclays</x:v>
      </x:c>
      <x:c r="C79" s="30" t="str">
        <x:v>IBD / GCM</x:v>
      </x:c>
      <x:c r="D79" s="31" t="str">
        <x:v>What do you do in your free time apart from fencing</x:v>
      </x:c>
      <x:c r="E79" s="31" t="str">
        <x:v>What do you do in your free time apart from fencing</x:v>
      </x:c>
      <x:c r="F79" s="31" t="str">
        <x:v>Other Question</x:v>
      </x:c>
      <x:c r="G79" s="30" t="str">
        <x:v>CL0917</x:v>
      </x:c>
      <x:c r="H79" s="32" t="n">
        <x:f>COUNTIF($G$5:$G$323,G79)</x:f>
        <x:v>1</x:v>
      </x:c>
      <x:c r="I79" s="30" t="str">
        <x:v>G20</x:v>
      </x:c>
      <x:c r="J79" s="31" t="str">
        <x:v>Outlook for the company, investment thesis, company overview | What is the biggest challenge you've faced | Tell me about your leadership or teamwork in a case competition experience</x:v>
      </x:c>
    </x:row>
    <x:row r="80" ht="48" customHeight="1">
      <x:c r="A80" s="30" t="str">
        <x:v>QB0997</x:v>
      </x:c>
      <x:c r="B80" s="30" t="str">
        <x:v>Barclays</x:v>
      </x:c>
      <x:c r="C80" s="30" t="str">
        <x:v>IBD / GCM</x:v>
      </x:c>
      <x:c r="D80" s="31" t="str">
        <x:v>What coverage are you interested in working on at Barclays?</x:v>
      </x:c>
      <x:c r="E80" s="31" t="str">
        <x:v>What coverage are you interested in working on at Barclays</x:v>
      </x:c>
      <x:c r="F80" s="31" t="str">
        <x:v>Other Question</x:v>
      </x:c>
      <x:c r="G80" s="30" t="str">
        <x:v>CL0892</x:v>
      </x:c>
      <x:c r="H80" s="32" t="n">
        <x:f>COUNTIF($G$5:$G$323,G80)</x:f>
        <x:v>1</x:v>
      </x:c>
      <x:c r="I80" s="30" t="str">
        <x:v>A21</x:v>
      </x:c>
      <x:c r="J80" s="31" t="str">
        <x:v>Interviewer: Johnny Li | Give me short introduction of yourself. | Why do you think your previous exp will help you at Barclays?</x:v>
      </x:c>
    </x:row>
    <x:row r="81" ht="68" customHeight="1">
      <x:c r="A81" s="30" t="str">
        <x:v>QB1004</x:v>
      </x:c>
      <x:c r="B81" s="30" t="str">
        <x:v>Barclays</x:v>
      </x:c>
      <x:c r="C81" s="30" t="str">
        <x:v>IBD / GCM</x:v>
      </x:c>
      <x:c r="D81" s="31" t="str">
        <x:v>What group / coverage if Barclays? Why?</x:v>
      </x:c>
      <x:c r="E81" s="31" t="str">
        <x:v>What group / coverage if Barclays? Why</x:v>
      </x:c>
      <x:c r="F81" s="31" t="str">
        <x:v>Other Question</x:v>
      </x:c>
      <x:c r="G81" s="30" t="str">
        <x:v>CL0948</x:v>
      </x:c>
      <x:c r="H81" s="32" t="n">
        <x:f>COUNTIF($G$5:$G$323,G81)</x:f>
        <x:v>1</x:v>
      </x:c>
      <x:c r="I81" s="30" t="str">
        <x:v>C23</x:v>
      </x:c>
      <x:c r="J81" s="31" t="str">
        <x:v>Tell me about your self | Why start your career in Hong Kong and not US/EU? | Walk me through your most recent case comp. Team dynamic? Role? Valuation? - deep dive</x:v>
      </x:c>
    </x:row>
    <x:row r="82" ht="68" customHeight="1">
      <x:c r="A82" s="30" t="str">
        <x:v>QB1010</x:v>
      </x:c>
      <x:c r="B82" s="30" t="str">
        <x:v>Barclays</x:v>
      </x:c>
      <x:c r="C82" s="30" t="str">
        <x:v>IBD / GCM</x:v>
      </x:c>
      <x:c r="D82" s="31" t="str">
        <x:v>What would you do if you weren’t in investment banking?</x:v>
      </x:c>
      <x:c r="E82" s="31" t="str">
        <x:v>What would you do if you weren’t in investment banking</x:v>
      </x:c>
      <x:c r="F82" s="31" t="str">
        <x:v>Other Question</x:v>
      </x:c>
      <x:c r="G82" s="30" t="str">
        <x:v>CL1038</x:v>
      </x:c>
      <x:c r="H82" s="32" t="n">
        <x:f>COUNTIF($G$5:$G$323,G82)</x:f>
        <x:v>1</x:v>
      </x:c>
      <x:c r="I82" s="30" t="str">
        <x:v>A25</x:v>
      </x:c>
      <x:c r="J82" s="31" t="str">
        <x:v>Tell me about a deal you worked on. | Tell me more about the healthcare industry. | (I walked him through the DCF as well bc he wasn’t asking any technical questions…)</x:v>
      </x:c>
    </x:row>
    <x:row r="83" ht="68" customHeight="1">
      <x:c r="A83" s="30" t="str">
        <x:v>QB1013</x:v>
      </x:c>
      <x:c r="B83" s="30" t="str">
        <x:v>Barclays</x:v>
      </x:c>
      <x:c r="C83" s="30" t="str">
        <x:v>IBD / GCM</x:v>
      </x:c>
      <x:c r="D83" s="31" t="str">
        <x:v>How would you value a piece of art?</x:v>
      </x:c>
      <x:c r="E83" s="31" t="str">
        <x:v>How would you value a piece of art</x:v>
      </x:c>
      <x:c r="F83" s="31" t="str">
        <x:v>Other Question</x:v>
      </x:c>
      <x:c r="G83" s="30" t="str">
        <x:v>CL0499</x:v>
      </x:c>
      <x:c r="H83" s="32" t="n">
        <x:f>COUNTIF($G$5:$G$323,G83)</x:f>
        <x:v>1</x:v>
      </x:c>
      <x:c r="I83" s="30" t="str">
        <x:v>A26</x:v>
      </x:c>
      <x:c r="J83" s="31" t="str">
        <x:v>Tell me more about the healthcare industry. | (I walked him through the DCF as well bc he wasn’t asking any technical questions…) | What would you do if you weren’t in investment banking?</x:v>
      </x:c>
    </x:row>
    <x:row r="84" ht="32" customHeight="1">
      <x:c r="A84" s="30" t="str">
        <x:v>QB1025</x:v>
      </x:c>
      <x:c r="B84" s="30" t="str">
        <x:v>Barclays</x:v>
      </x:c>
      <x:c r="C84" s="30" t="str">
        <x:v>IBD / GCM</x:v>
      </x:c>
      <x:c r="D84" s="31" t="str">
        <x:v>What’s special about PUI?</x:v>
      </x:c>
      <x:c r="E84" s="31" t="str">
        <x:v>What’s special about PUI</x:v>
      </x:c>
      <x:c r="F84" s="31" t="str">
        <x:v>Other Question</x:v>
      </x:c>
      <x:c r="G84" s="30" t="str">
        <x:v>CL1047</x:v>
      </x:c>
      <x:c r="H84" s="32" t="n">
        <x:f>COUNTIF($G$5:$G$323,G84)</x:f>
        <x:v>1</x:v>
      </x:c>
      <x:c r="I84" s="30" t="str">
        <x:v>G30</x:v>
      </x:c>
      <x:c r="J84" s="31" t="str">
        <x:v>(Conversational forgot) | Stefanie | Self intro</x:v>
      </x:c>
    </x:row>
    <x:row r="85" ht="32" customHeight="1">
      <x:c r="A85" s="30" t="str">
        <x:v>QB1059</x:v>
      </x:c>
      <x:c r="B85" s="30" t="str">
        <x:v>Barclays</x:v>
      </x:c>
      <x:c r="C85" s="30" t="str">
        <x:v>IBD / GCM</x:v>
      </x:c>
      <x:c r="D85" s="31" t="str">
        <x:v>What investment or project did you do at Alibaba?</x:v>
      </x:c>
      <x:c r="E85" s="31" t="str">
        <x:v>What investment or project did you do at Alibaba</x:v>
      </x:c>
      <x:c r="F85" s="31" t="str">
        <x:v>Other Question</x:v>
      </x:c>
      <x:c r="G85" s="30" t="str">
        <x:v>CL0959</x:v>
      </x:c>
      <x:c r="H85" s="32" t="n">
        <x:f>COUNTIF($G$5:$G$323,G85)</x:f>
        <x:v>1</x:v>
      </x:c>
      <x:c r="I85" s="30" t="str">
        <x:v>C48</x:v>
      </x:c>
      <x:c r="J85" s="31" t="str">
        <x:v>1 question | Jimmy 2nd Interview (Interviewer: Brett Ma) | Self Intro</x:v>
      </x:c>
    </x:row>
    <x:row r="86" ht="48" customHeight="1">
      <x:c r="A86" s="30" t="str">
        <x:v>QB1061</x:v>
      </x:c>
      <x:c r="B86" s="30" t="str">
        <x:v>Barclays</x:v>
      </x:c>
      <x:c r="C86" s="30" t="str">
        <x:v>IBD / GCM</x:v>
      </x:c>
      <x:c r="D86" s="31" t="str">
        <x:v>How did you quantitativly contribute to the project?</x:v>
      </x:c>
      <x:c r="E86" s="31" t="str">
        <x:v>How did you quantitativly contribute to the project</x:v>
      </x:c>
      <x:c r="F86" s="31" t="str">
        <x:v>Other Question</x:v>
      </x:c>
      <x:c r="G86" s="30" t="str">
        <x:v>CL0392</x:v>
      </x:c>
      <x:c r="H86" s="32" t="n">
        <x:f>COUNTIF($G$5:$G$323,G86)</x:f>
        <x:v>1</x:v>
      </x:c>
      <x:c r="I86" s="30" t="str">
        <x:v>C49</x:v>
      </x:c>
      <x:c r="J86" s="31" t="str">
        <x:v>Jimmy 2nd Interview (Interviewer: Brett Ma) | Self Intro | What investment or project did you do at Alibaba?</x:v>
      </x:c>
    </x:row>
    <x:row r="87" ht="32" customHeight="1">
      <x:c r="A87" s="30" t="str">
        <x:v>QB1071</x:v>
      </x:c>
      <x:c r="B87" s="30" t="str">
        <x:v>Barclays</x:v>
      </x:c>
      <x:c r="C87" s="30" t="str">
        <x:v>IBD / GCM</x:v>
      </x:c>
      <x:c r="D87" s="31" t="str">
        <x:v>What do you know about Barclays?</x:v>
      </x:c>
      <x:c r="E87" s="31" t="str">
        <x:v>What do you know about Barclays</x:v>
      </x:c>
      <x:c r="F87" s="31" t="str">
        <x:v>Other Question</x:v>
      </x:c>
      <x:c r="G87" s="30" t="str">
        <x:v>CL0919</x:v>
      </x:c>
      <x:c r="H87" s="32" t="n">
        <x:f>COUNTIF($G$5:$G$323,G87)</x:f>
        <x:v>1</x:v>
      </x:c>
      <x:c r="I87" s="30" t="str">
        <x:v>C55</x:v>
      </x:c>
      <x:c r="J87" s="31" t="str">
        <x:v>Can we use NTM multiple? | What is the synergy of this acquisition? | Why IBD?</x:v>
      </x:c>
    </x:row>
    <x:row r="88" ht="32" customHeight="1">
      <x:c r="A88" s="30" t="str">
        <x:v>QB1082</x:v>
      </x:c>
      <x:c r="B88" s="30" t="str">
        <x:v>Barclays</x:v>
      </x:c>
      <x:c r="C88" s="30" t="str">
        <x:v>IBD / GCM</x:v>
      </x:c>
      <x:c r="D88" s="31" t="str">
        <x:v>what financial due dilligence did you do</x:v>
      </x:c>
      <x:c r="E88" s="31" t="str">
        <x:v>What financial due dilligence did you do</x:v>
      </x:c>
      <x:c r="F88" s="31" t="str">
        <x:v>Other Question</x:v>
      </x:c>
      <x:c r="G88" s="30" t="str">
        <x:v>CL0944</x:v>
      </x:c>
      <x:c r="H88" s="32" t="n">
        <x:f>COUNTIF($G$5:$G$323,G88)</x:f>
        <x:v>1</x:v>
      </x:c>
      <x:c r="I88" s="30" t="str">
        <x:v>C62</x:v>
      </x:c>
      <x:c r="J88" s="31" t="str">
        <x:v>2nd interviewer xuanning fang | self intro | tell me more about china esport industry</x:v>
      </x:c>
    </x:row>
    <x:row r="89" ht="68" customHeight="1">
      <x:c r="A89" s="30" t="str">
        <x:v>QB1100</x:v>
      </x:c>
      <x:c r="B89" s="30" t="str">
        <x:v>Barclays</x:v>
      </x:c>
      <x:c r="C89" s="30" t="str">
        <x:v>IBD / GCM</x:v>
      </x:c>
      <x:c r="D89" s="31" t="str">
        <x:v>any recent market trends that catch your attention</x:v>
      </x:c>
      <x:c r="E89" s="31" t="str">
        <x:v>Any recent market trends that catch your attention</x:v>
      </x:c>
      <x:c r="F89" s="31" t="str">
        <x:v>Other Question</x:v>
      </x:c>
      <x:c r="G89" s="30" t="str">
        <x:v>CL0121</x:v>
      </x:c>
      <x:c r="H89" s="32" t="n">
        <x:f>COUNTIF($G$5:$G$323,G89)</x:f>
        <x:v>1</x:v>
      </x:c>
      <x:c r="I89" s="30" t="str">
        <x:v>A72</x:v>
      </x:c>
      <x:c r="J89" s="31" t="str">
        <x:v>buy 100 pp&amp;e using 50 debt and 50 equity, 3 statements changes | after 1 yr, what are the changes, make any assumptions yourself | if a car company and a pe firm are buying a company that makes wheel, which one can pay higher</x:v>
      </x:c>
    </x:row>
    <x:row r="90" ht="48" customHeight="1">
      <x:c r="A90" s="30" t="str">
        <x:v>QB1108</x:v>
      </x:c>
      <x:c r="B90" s="30" t="str">
        <x:v>Barclays</x:v>
      </x:c>
      <x:c r="C90" s="30" t="str">
        <x:v>IBD / GCM</x:v>
      </x:c>
      <x:c r="D90" s="31" t="str">
        <x:v>自我介绍（说自己的教育背景，以前在哪里生活，为什么来香港上学）；</x:v>
      </x:c>
      <x:c r="E90" s="31" t="str">
        <x:v>Tell me about yourself / walk me through your resume</x:v>
      </x:c>
      <x:c r="F90" s="31" t="str">
        <x:v>Other Question</x:v>
      </x:c>
      <x:c r="G90" s="30" t="str">
        <x:v>CL0001</x:v>
      </x:c>
      <x:c r="H90" s="32" t="n">
        <x:f>COUNTIF($G$5:$G$323,G90)</x:f>
        <x:v>7</x:v>
      </x:c>
      <x:c r="I90" s="30" t="str">
        <x:v>C78</x:v>
      </x:c>
      <x:c r="J90" s="31" t="str">
        <x:v>一個工作上需要改善的地方 | Barclays IBD Phone interview Kari 10.10 *2 | interview1：全中文，Ryan Wu, senior asso，GCM-levered finance</x:v>
      </x:c>
    </x:row>
    <x:row r="91" ht="32" customHeight="1">
      <x:c r="A91" s="30" t="str">
        <x:v>QB1160</x:v>
      </x:c>
      <x:c r="B91" s="30" t="str">
        <x:v>GS DCMECM</x:v>
      </x:c>
      <x:c r="C91" s="30" t="str">
        <x:v>IBD / GCM</x:v>
      </x:c>
      <x:c r="D91" s="31" t="str">
        <x:v>What extra efforts I made for IBD</x:v>
      </x:c>
      <x:c r="E91" s="31" t="str">
        <x:v>What extra efforts I made for IBD</x:v>
      </x:c>
      <x:c r="F91" s="31" t="str">
        <x:v>Other Question</x:v>
      </x:c>
      <x:c r="G91" s="30" t="str">
        <x:v>CL0943</x:v>
      </x:c>
      <x:c r="H91" s="32" t="n">
        <x:f>COUNTIF($G$5:$G$323,G91)</x:f>
        <x:v>1</x:v>
      </x:c>
      <x:c r="I91" s="30" t="str">
        <x:v>B6</x:v>
      </x:c>
      <x:c r="J91" s="31" t="str">
        <x:v>1 Phyllis Wang Equity Syndicate Head | Self Intro | Elevator Pitch</x:v>
      </x:c>
    </x:row>
    <x:row r="92" ht="68" customHeight="1">
      <x:c r="A92" s="30" t="str">
        <x:v>QB1174</x:v>
      </x:c>
      <x:c r="B92" s="30" t="str">
        <x:v>GS DCMECM</x:v>
      </x:c>
      <x:c r="C92" s="30" t="str">
        <x:v>IBD / GCM</x:v>
      </x:c>
      <x:c r="D92" s="31" t="str">
        <x:v>Would lendor look at upside case</x:v>
      </x:c>
      <x:c r="E92" s="31" t="str">
        <x:v>Would lendor look at upside case</x:v>
      </x:c>
      <x:c r="F92" s="31" t="str">
        <x:v>Other Question</x:v>
      </x:c>
      <x:c r="G92" s="30" t="str">
        <x:v>CL1192</x:v>
      </x:c>
      <x:c r="H92" s="32" t="n">
        <x:f>COUNTIF($G$5:$G$323,G92)</x:f>
        <x:v>1</x:v>
      </x:c>
      <x:c r="I92" s="30" t="str">
        <x:v>A14</x:v>
      </x:c>
      <x:c r="J92" s="31" t="str">
        <x:v>Asked back what kind of skill sets / characters are required for DCM, compared to my previous internships // compare the Debt market with PEVCIBD | 2 Martina Piccolo Sponsors / Loan | Self intro, why GS, why DCM</x:v>
      </x:c>
    </x:row>
    <x:row r="93" ht="48" customHeight="1">
      <x:c r="A93" s="30" t="str">
        <x:v>QB1175</x:v>
      </x:c>
      <x:c r="B93" s="30" t="str">
        <x:v>GS DCMECM</x:v>
      </x:c>
      <x:c r="C93" s="30" t="str">
        <x:v>IBD / GCM</x:v>
      </x:c>
      <x:c r="D93" s="31" t="str">
        <x:v>Hobbies</x:v>
      </x:c>
      <x:c r="E93" s="31" t="str">
        <x:v>What are your interests outside work and school?</x:v>
      </x:c>
      <x:c r="F93" s="31" t="str">
        <x:v>Other Question</x:v>
      </x:c>
      <x:c r="G93" s="30" t="str">
        <x:v>CL0014</x:v>
      </x:c>
      <x:c r="H93" s="32" t="n">
        <x:f>COUNTIF($G$5:$G$323,G93)</x:f>
        <x:v>6</x:v>
      </x:c>
      <x:c r="I93" s="30" t="str">
        <x:v>B14</x:v>
      </x:c>
      <x:c r="J93" s="31" t="str">
        <x:v>Investment / trading idea regarding the upcoming US election | Feedback from Nomura | Any area of improvement</x:v>
      </x:c>
    </x:row>
    <x:row r="94" ht="32" customHeight="1">
      <x:c r="A94" s="30" t="str">
        <x:v>QB1179</x:v>
      </x:c>
      <x:c r="B94" s="30" t="str">
        <x:v>GS DCMECM</x:v>
      </x:c>
      <x:c r="C94" s="30" t="str">
        <x:v>IBD / GCM</x:v>
      </x:c>
      <x:c r="D94" s="31" t="str">
        <x:v>What makes me a good player</x:v>
      </x:c>
      <x:c r="E94" s="31" t="str">
        <x:v>What makes me a good player</x:v>
      </x:c>
      <x:c r="F94" s="31" t="str">
        <x:v>Other Question</x:v>
      </x:c>
      <x:c r="G94" s="30" t="str">
        <x:v>CL1012</x:v>
      </x:c>
      <x:c r="H94" s="32" t="n">
        <x:f>COUNTIF($G$5:$G$323,G94)</x:f>
        <x:v>1</x:v>
      </x:c>
      <x:c r="I94" s="30" t="str">
        <x:v>B16</x:v>
      </x:c>
      <x:c r="J94" s="31" t="str">
        <x:v>Any area of improvement | Hobbies | My position in football and hockey</x:v>
      </x:c>
    </x:row>
    <x:row r="95" ht="68" customHeight="1">
      <x:c r="A95" s="30" t="str">
        <x:v>QB1180</x:v>
      </x:c>
      <x:c r="B95" s="30" t="str">
        <x:v>GS DCMECM</x:v>
      </x:c>
      <x:c r="C95" s="30" t="str">
        <x:v>IBD / GCM</x:v>
      </x:c>
      <x:c r="D95" s="31" t="str">
        <x:v>If you are reaching out to a sponsor, asking for specific data to analyse their debt servicing ability, what are the most important data you need to ask for</x:v>
      </x:c>
      <x:c r="E95" s="31" t="str">
        <x:v>If you are reaching out to a sponsor, asking for specific data to analyse their debt servicing ability, what are the most important data you need to ask for</x:v>
      </x:c>
      <x:c r="F95" s="31" t="str">
        <x:v>Other Question</x:v>
      </x:c>
      <x:c r="G95" s="30" t="str">
        <x:v>CL0527</x:v>
      </x:c>
      <x:c r="H95" s="32" t="n">
        <x:f>COUNTIF($G$5:$G$323,G95)</x:f>
        <x:v>1</x:v>
      </x:c>
      <x:c r="I95" s="30" t="str">
        <x:v>A17</x:v>
      </x:c>
      <x:c r="J95" s="31" t="str">
        <x:v>Would lendor look at upside case | For a consumer packaging company, what are some mertics for credit analysis | If the market is going really bad, for example, a covid lockdown - what operational information would you look at to assess ...</x:v>
      </x:c>
    </x:row>
    <x:row r="96" ht="48" customHeight="1">
      <x:c r="A96" s="30" t="str">
        <x:v>QB1207</x:v>
      </x:c>
      <x:c r="B96" s="30" t="str">
        <x:v>GS DCMECM</x:v>
      </x:c>
      <x:c r="C96" s="30" t="str">
        <x:v>IBD / GCM</x:v>
      </x:c>
      <x:c r="D96" s="31" t="str">
        <x:v>How good are you with numbers</x:v>
      </x:c>
      <x:c r="E96" s="31" t="str">
        <x:v>How good are you with numbers</x:v>
      </x:c>
      <x:c r="F96" s="31" t="str">
        <x:v>Other Question</x:v>
      </x:c>
      <x:c r="G96" s="30" t="str">
        <x:v>CL0439</x:v>
      </x:c>
      <x:c r="H96" s="32" t="n">
        <x:f>COUNTIF($G$5:$G$323,G96)</x:f>
        <x:v>1</x:v>
      </x:c>
      <x:c r="I96" s="30" t="str">
        <x:v>B32</x:v>
      </x:c>
      <x:c r="J96" s="31" t="str">
        <x:v>If I am given a classics IBD position, will I go | Nomura deal walk thorugh | Trading comps valuation walk through</x:v>
      </x:c>
    </x:row>
    <x:row r="97" ht="32" customHeight="1">
      <x:c r="A97" s="30" t="str">
        <x:v>QB1219</x:v>
      </x:c>
      <x:c r="B97" s="30" t="str">
        <x:v>GS DCMECM</x:v>
      </x:c>
      <x:c r="C97" s="30" t="str">
        <x:v>IBD / GCM</x:v>
      </x:c>
      <x:c r="D97" s="31" t="str">
        <x:v>Where do I see myself in 3-5 years</x:v>
      </x:c>
      <x:c r="E97" s="31" t="str">
        <x:v>Where do you see yourself in 3-5 years?</x:v>
      </x:c>
      <x:c r="F97" s="31" t="str">
        <x:v>Other Question</x:v>
      </x:c>
      <x:c r="G97" s="30" t="str">
        <x:v>CL1087</x:v>
      </x:c>
      <x:c r="H97" s="32" t="n">
        <x:f>COUNTIF($G$5:$G$323,G97)</x:f>
        <x:v>1</x:v>
      </x:c>
      <x:c r="I97" s="30" t="str">
        <x:v>B39</x:v>
      </x:c>
      <x:c r="J97" s="31" t="str">
        <x:v>10 Additional Rounds | 4 Henry Yu Shanghai | Self Intro</x:v>
      </x:c>
    </x:row>
    <x:row r="98" ht="32" customHeight="1">
      <x:c r="A98" s="30" t="str">
        <x:v>QB1233</x:v>
      </x:c>
      <x:c r="B98" s="30" t="str">
        <x:v>GS DCMECM</x:v>
      </x:c>
      <x:c r="C98" s="30" t="str">
        <x:v>IBD / GCM</x:v>
      </x:c>
      <x:c r="D98" s="31" t="str">
        <x:v>I do Law as well?</x:v>
      </x:c>
      <x:c r="E98" s="31" t="str">
        <x:v>I do Law as well</x:v>
      </x:c>
      <x:c r="F98" s="31" t="str">
        <x:v>Other Question</x:v>
      </x:c>
      <x:c r="G98" s="30" t="str">
        <x:v>CL0504</x:v>
      </x:c>
      <x:c r="H98" s="32" t="n">
        <x:f>COUNTIF($G$5:$G$323,G98)</x:f>
        <x:v>1</x:v>
      </x:c>
      <x:c r="I98" s="30" t="str">
        <x:v>B49</x:v>
      </x:c>
      <x:c r="J98" s="31" t="str">
        <x:v>Questions for him | 5 Allison | Self Intro</x:v>
      </x:c>
    </x:row>
    <x:row r="99" ht="48" customHeight="1">
      <x:c r="A99" s="30" t="str">
        <x:v>QB1236</x:v>
      </x:c>
      <x:c r="B99" s="30" t="str">
        <x:v>GS DCMECM</x:v>
      </x:c>
      <x:c r="C99" s="30" t="str">
        <x:v>IBD / GCM</x:v>
      </x:c>
      <x:c r="D99" s="31" t="str">
        <x:v>Walk through a project at Nomura</x:v>
      </x:c>
      <x:c r="E99" s="31" t="str">
        <x:v>Walk through a project at Nomura</x:v>
      </x:c>
      <x:c r="F99" s="31" t="str">
        <x:v>Other Question</x:v>
      </x:c>
      <x:c r="G99" s="30" t="str">
        <x:v>CL0846</x:v>
      </x:c>
      <x:c r="H99" s="32" t="n">
        <x:f>COUNTIF($G$5:$G$323,G99)</x:f>
        <x:v>1</x:v>
      </x:c>
      <x:c r="I99" s="30" t="str">
        <x:v>B52</x:v>
      </x:c>
      <x:c r="J99" s="31" t="str">
        <x:v>I do Law as well? | My personality and communication style | Feedback got at Nomura, any area of improvement</x:v>
      </x:c>
    </x:row>
    <x:row r="100" ht="48" customHeight="1">
      <x:c r="A100" s="30" t="str">
        <x:v>QB1239</x:v>
      </x:c>
      <x:c r="B100" s="30" t="str">
        <x:v>GS DCMECM</x:v>
      </x:c>
      <x:c r="C100" s="30" t="str">
        <x:v>IBD / GCM</x:v>
      </x:c>
      <x:c r="D100" s="31" t="str">
        <x:v>Walk through the case com</x:v>
      </x:c>
      <x:c r="E100" s="31" t="str">
        <x:v>Walk through the case com</x:v>
      </x:c>
      <x:c r="F100" s="31" t="str">
        <x:v>Other Question</x:v>
      </x:c>
      <x:c r="G100" s="30" t="str">
        <x:v>CL0852</x:v>
      </x:c>
      <x:c r="H100" s="32" t="n">
        <x:f>COUNTIF($G$5:$G$323,G100)</x:f>
        <x:v>1</x:v>
      </x:c>
      <x:c r="I100" s="30" t="str">
        <x:v>B55</x:v>
      </x:c>
      <x:c r="J100" s="31" t="str">
        <x:v>Walk through a project at Nomura | What is CGPA, my GPA for finance and Law | Skills I got in previous internships that can help me with this position</x:v>
      </x:c>
    </x:row>
    <x:row r="101" ht="32" customHeight="1">
      <x:c r="A101" s="30" t="str">
        <x:v>QB1254</x:v>
      </x:c>
      <x:c r="B101" s="30" t="str">
        <x:v>Bofa IBD</x:v>
      </x:c>
      <x:c r="C101" s="30" t="str">
        <x:v>IBD / GCM</x:v>
      </x:c>
      <x:c r="D101" s="31" t="str">
        <x:v>Tell me about yourself</x:v>
      </x:c>
      <x:c r="E101" s="31" t="str">
        <x:v>Tell me about yourself / walk me through your resume</x:v>
      </x:c>
      <x:c r="F101" s="31" t="str">
        <x:v>Other Question</x:v>
      </x:c>
      <x:c r="G101" s="30" t="str">
        <x:v>CL0001</x:v>
      </x:c>
      <x:c r="H101" s="32" t="n">
        <x:f>COUNTIF($G$5:$G$323,G101)</x:f>
        <x:v>7</x:v>
      </x:c>
      <x:c r="I101" s="30" t="str">
        <x:v>C5</x:v>
      </x:c>
      <x:c r="J101" s="31" t="str">
        <x:v>1st Round Regan | 12 April Yu</x:v>
      </x:c>
    </x:row>
    <x:row r="102" ht="92" customHeight="1">
      <x:c r="A102" s="30" t="str">
        <x:v>QB1267</x:v>
      </x:c>
      <x:c r="B102" s="30" t="str">
        <x:v>Bofa IBD</x:v>
      </x:c>
      <x:c r="C102" s="30" t="str">
        <x:v>IBD / GCM</x:v>
      </x:c>
      <x:c r="D102" s="31" t="str">
        <x:v>5for bain, any research in tmt? (yes), tell me about the semiconductor</x:v>
      </x:c>
      <x:c r="E102" s="31" t="str">
        <x:v>5for bain, any research in tmt? (yes), tell me about the semiconductor</x:v>
      </x:c>
      <x:c r="F102" s="31" t="str">
        <x:v>Other Question</x:v>
      </x:c>
      <x:c r="G102" s="30" t="str">
        <x:v>CL0082</x:v>
      </x:c>
      <x:c r="H102" s="32" t="n">
        <x:f>COUNTIF($G$5:$G$323,G102)</x:f>
        <x:v>1</x:v>
      </x:c>
      <x:c r="I102" s="30" t="str">
        <x:v>E8</x:v>
      </x:c>
      <x:c r="J102" s="31" t="str">
        <x:v>2why ibd considering your bg in pe consulting and dcm? | 3any preference sector for choosing to work? (i said industrials) | 4any experience in electronic vehicles(get exposed to some, but could share another rragrding different industry...</x:v>
      </x:c>
    </x:row>
    <x:row r="103" ht="68" customHeight="1">
      <x:c r="A103" s="30" t="str">
        <x:v>QB1280</x:v>
      </x:c>
      <x:c r="B103" s="30" t="str">
        <x:v>Bofa IBD</x:v>
      </x:c>
      <x:c r="C103" s="30" t="str">
        <x:v>IBD / GCM</x:v>
      </x:c>
      <x:c r="D103" s="31" t="str">
        <x:v>What’s deferred expense</x:v>
      </x:c>
      <x:c r="E103" s="31" t="str">
        <x:v>What’s deferred expense</x:v>
      </x:c>
      <x:c r="F103" s="31" t="str">
        <x:v>Other Question</x:v>
      </x:c>
      <x:c r="G103" s="30" t="str">
        <x:v>CL1044</x:v>
      </x:c>
      <x:c r="H103" s="32" t="n">
        <x:f>COUNTIF($G$5:$G$323,G103)</x:f>
        <x:v>1</x:v>
      </x:c>
      <x:c r="I103" s="30" t="str">
        <x:v>A12</x:v>
      </x:c>
      <x:c r="J103" s="31" t="str">
        <x:v>How do you account for cash in net working capital? | Would you include long term debt in net working capital and why? | How do you account for equity investment in net working capital?</x:v>
      </x:c>
    </x:row>
    <x:row r="104" ht="48" customHeight="1">
      <x:c r="A104" s="30" t="str">
        <x:v>QB1290</x:v>
      </x:c>
      <x:c r="B104" s="30" t="str">
        <x:v>Bofa IBD</x:v>
      </x:c>
      <x:c r="C104" s="30" t="str">
        <x:v>IBD / GCM</x:v>
      </x:c>
      <x:c r="D104" s="31" t="str">
        <x:v>After 1 year, what happens? Feel free to ask assumption (Tax: 20%)</x:v>
      </x:c>
      <x:c r="E104" s="31" t="str">
        <x:v>After 1 year, what happens? Feel free to ask assumption (Tax: 20%)</x:v>
      </x:c>
      <x:c r="F104" s="31" t="str">
        <x:v>Other Question</x:v>
      </x:c>
      <x:c r="G104" s="30" t="str">
        <x:v>CL0104</x:v>
      </x:c>
      <x:c r="H104" s="32" t="n">
        <x:f>COUNTIF($G$5:$G$323,G104)</x:f>
        <x:v>1</x:v>
      </x:c>
      <x:c r="I104" s="30" t="str">
        <x:v>A17</x:v>
      </x:c>
      <x:c r="J104" s="31" t="str">
        <x:v>Formula of enterprise value | If we borrow money from a bank for 100, how will it affect Enterprise value? | Subscription model for 1 year, $100m, 3 statement</x:v>
      </x:c>
    </x:row>
    <x:row r="105" ht="68" customHeight="1">
      <x:c r="A105" s="30" t="str">
        <x:v>QB1296</x:v>
      </x:c>
      <x:c r="B105" s="30" t="str">
        <x:v>Bofa IBD</x:v>
      </x:c>
      <x:c r="C105" s="30" t="str">
        <x:v>IBD / GCM</x:v>
      </x:c>
      <x:c r="D105" s="31" t="str">
        <x:v>What if you projected it for longer</x:v>
      </x:c>
      <x:c r="E105" s="31" t="str">
        <x:v>What if you projected it for longer</x:v>
      </x:c>
      <x:c r="F105" s="31" t="str">
        <x:v>Other Question</x:v>
      </x:c>
      <x:c r="G105" s="30" t="str">
        <x:v>CL0957</x:v>
      </x:c>
      <x:c r="H105" s="32" t="n">
        <x:f>COUNTIF($G$5:$G$323,G105)</x:f>
        <x:v>1</x:v>
      </x:c>
      <x:c r="I105" s="30" t="str">
        <x:v>C20</x:v>
      </x:c>
      <x:c r="J105" s="31" t="str">
        <x:v>Why bofa | For WACC, if company was in a net cash position, how does this affect and how do you find the acc | Would you use dcf for loss making company, how else would you value it</x:v>
      </x:c>
    </x:row>
    <x:row r="106" ht="68" customHeight="1">
      <x:c r="A106" s="30" t="str">
        <x:v>QB1310</x:v>
      </x:c>
      <x:c r="B106" s="30" t="str">
        <x:v>Bofa IBD</x:v>
      </x:c>
      <x:c r="C106" s="30" t="str">
        <x:v>IBD / GCM</x:v>
      </x:c>
      <x:c r="D106" s="31" t="str">
        <x:v>Financial instrument taken stock at end of 2022, now 31st Jan 2023, use which value?</x:v>
      </x:c>
      <x:c r="E106" s="31" t="str">
        <x:v>Financial instrument taken stock at end of 2022, now 31st Jan 2023, use which value</x:v>
      </x:c>
      <x:c r="F106" s="31" t="str">
        <x:v>Other Question</x:v>
      </x:c>
      <x:c r="G106" s="30" t="str">
        <x:v>CL0324</x:v>
      </x:c>
      <x:c r="H106" s="32" t="n">
        <x:f>COUNTIF($G$5:$G$323,G106)</x:f>
        <x:v>1</x:v>
      </x:c>
      <x:c r="I106" s="30" t="str">
        <x:v>A28</x:v>
      </x:c>
      <x:c r="J106" s="31" t="str">
        <x:v>How do you calculate the value of preferred shares | Which one will produce more return: Preferred shares vs corporate bond, senior bond vs junior bond | Enterprise value: how to account for cash, long term investment, short term financi...</x:v>
      </x:c>
    </x:row>
    <x:row r="107" ht="68" customHeight="1">
      <x:c r="A107" s="30" t="str">
        <x:v>QB1368</x:v>
      </x:c>
      <x:c r="B107" s="30" t="str">
        <x:v>Bofa IBD</x:v>
      </x:c>
      <x:c r="C107" s="30" t="str">
        <x:v>IBD / GCM</x:v>
      </x:c>
      <x:c r="D107" s="31" t="str">
        <x:v>Any account to be created and why?</x:v>
      </x:c>
      <x:c r="E107" s="31" t="str">
        <x:v>Any account to be created and why</x:v>
      </x:c>
      <x:c r="F107" s="31" t="str">
        <x:v>Other Question</x:v>
      </x:c>
      <x:c r="G107" s="30" t="str">
        <x:v>CL0111</x:v>
      </x:c>
      <x:c r="H107" s="32" t="n">
        <x:f>COUNTIF($G$5:$G$323,G107)</x:f>
        <x:v>1</x:v>
      </x:c>
      <x:c r="I107" s="30" t="str">
        <x:v>A79</x:v>
      </x:c>
      <x:c r="J107" s="31" t="str">
        <x:v>Why use EV/EBITDA | Why do you think it is a resonable price? | Two companies A has $100 Asset, $60 Liability, $40 Equity, B has $60 Asset, $40 Liability, $20 Equity, A acquires 50% equity in B for $30 and gains control, what is the chan...</x:v>
      </x:c>
    </x:row>
    <x:row r="108" ht="48" customHeight="1">
      <x:c r="A108" s="30" t="str">
        <x:v>QB1369</x:v>
      </x:c>
      <x:c r="B108" s="30" t="str">
        <x:v>Bofa IBD</x:v>
      </x:c>
      <x:c r="C108" s="30" t="str">
        <x:v>IBD / GCM</x:v>
      </x:c>
      <x:c r="D108" s="31" t="str">
        <x:v>Walk me through impact of dividend and NI of A if A holds 30% of B. How about if A holds 80% of B? (Only qualitative walk through)</x:v>
      </x:c>
      <x:c r="E108" s="31" t="str">
        <x:v>Walk me through impact of dividend and NI of A if A holds 30% of B. How about if A holds 80% of B? (Only qualitative walk through)</x:v>
      </x:c>
      <x:c r="F108" s="31" t="str">
        <x:v>Other Question</x:v>
      </x:c>
      <x:c r="G108" s="30" t="str">
        <x:v>CL0832</x:v>
      </x:c>
      <x:c r="H108" s="32" t="n">
        <x:f>COUNTIF($G$5:$G$323,G108)</x:f>
        <x:v>1</x:v>
      </x:c>
      <x:c r="I108" s="30" t="str">
        <x:v>C79</x:v>
      </x:c>
      <x:c r="J108" s="31" t="str">
        <x:v>UBS walk me through a deal you worked on (Oil vessel) | How is the orderbook being calculated? (Drilled for 2 times) | More follow up questions</x:v>
      </x:c>
    </x:row>
    <x:row r="109" ht="118" customHeight="1">
      <x:c r="A109" s="30" t="str">
        <x:v>QB1389</x:v>
      </x:c>
      <x:c r="B109" s="30" t="str">
        <x:v>Bofa IBD</x:v>
      </x:c>
      <x:c r="C109" s="30" t="str">
        <x:v>IBD / GCM</x:v>
      </x:c>
      <x:c r="D109" s="31" t="str">
        <x:v>How many interns in BlackRock, how many teams, divide by asset classes?</x:v>
      </x:c>
      <x:c r="E109" s="31" t="str">
        <x:v>How many interns in BlackRock, how many teams, divide by asset classes</x:v>
      </x:c>
      <x:c r="F109" s="31" t="str">
        <x:v>Other Question</x:v>
      </x:c>
      <x:c r="G109" s="30" t="str">
        <x:v>CL0455</x:v>
      </x:c>
      <x:c r="H109" s="32" t="n">
        <x:f>COUNTIF($G$5:$G$323,G109)</x:f>
        <x:v>1</x:v>
      </x:c>
      <x:c r="I109" s="30" t="str">
        <x:v>A92</x:v>
      </x:c>
      <x:c r="J109" s="31" t="str">
        <x:v>A company has two shareholders, A and B with 50% equity each, and $500 debt with $150 EBITDA. A financial sponsor is buying the company at 10x EV/EBITDA. A cashed out while B has 20% rollover Equity. The sponsor is structuring the deal w...</x:v>
      </x:c>
    </x:row>
    <x:row r="110" ht="48" customHeight="1">
      <x:c r="A110" s="30" t="str">
        <x:v>QB1406</x:v>
      </x:c>
      <x:c r="B110" s="30" t="str">
        <x:v>Bofa IBD</x:v>
      </x:c>
      <x:c r="C110" s="30" t="str">
        <x:v>IBD / GCM</x:v>
      </x:c>
      <x:c r="D110" s="31" t="str">
        <x:v>Landscape of China express delivery market?</x:v>
      </x:c>
      <x:c r="E110" s="31" t="str">
        <x:v>Landscape of China express delivery market</x:v>
      </x:c>
      <x:c r="F110" s="31" t="str">
        <x:v>Other Question</x:v>
      </x:c>
      <x:c r="G110" s="30" t="str">
        <x:v>CL0590</x:v>
      </x:c>
      <x:c r="H110" s="32" t="n">
        <x:f>COUNTIF($G$5:$G$323,G110)</x:f>
        <x:v>1</x:v>
      </x:c>
      <x:c r="I110" s="30" t="str">
        <x:v>A101</x:v>
      </x:c>
      <x:c r="J110" s="31" t="str">
        <x:v>What is the risk? Policy wide? | Any DCF work? | What is the gross margin for the China freight forwarding company?</x:v>
      </x:c>
    </x:row>
    <x:row r="111" ht="48" customHeight="1">
      <x:c r="A111" s="30" t="str">
        <x:v>QB1408</x:v>
      </x:c>
      <x:c r="B111" s="30" t="str">
        <x:v>Bofa IBD</x:v>
      </x:c>
      <x:c r="C111" s="30" t="str">
        <x:v>IBD / GCM</x:v>
      </x:c>
      <x:c r="D111" s="31" t="str">
        <x:v>Landscape of SEA logistic market?</x:v>
      </x:c>
      <x:c r="E111" s="31" t="str">
        <x:v>Landscape of SEA logistic market</x:v>
      </x:c>
      <x:c r="F111" s="31" t="str">
        <x:v>Other Question</x:v>
      </x:c>
      <x:c r="G111" s="30" t="str">
        <x:v>CL0591</x:v>
      </x:c>
      <x:c r="H111" s="32" t="n">
        <x:f>COUNTIF($G$5:$G$323,G111)</x:f>
        <x:v>1</x:v>
      </x:c>
      <x:c r="I111" s="30" t="str">
        <x:v>A102</x:v>
      </x:c>
      <x:c r="J111" s="31" t="str">
        <x:v>Any DCF work? | What is the gross margin for the China freight forwarding company? | Landscape of China express delivery market?</x:v>
      </x:c>
    </x:row>
    <x:row r="112" ht="48" customHeight="1">
      <x:c r="A112" s="30" t="str">
        <x:v>QB1410</x:v>
      </x:c>
      <x:c r="B112" s="30" t="str">
        <x:v>Bofa IBD</x:v>
      </x:c>
      <x:c r="C112" s="30" t="str">
        <x:v>IBD / GCM</x:v>
      </x:c>
      <x:c r="D112" s="31" t="str">
        <x:v>What do you do at spare time?</x:v>
      </x:c>
      <x:c r="E112" s="31" t="str">
        <x:v>What do you do at spare time</x:v>
      </x:c>
      <x:c r="F112" s="31" t="str">
        <x:v>Other Question</x:v>
      </x:c>
      <x:c r="G112" s="30" t="str">
        <x:v>CL0913</x:v>
      </x:c>
      <x:c r="H112" s="32" t="n">
        <x:f>COUNTIF($G$5:$G$323,G112)</x:f>
        <x:v>1</x:v>
      </x:c>
      <x:c r="I112" s="30" t="str">
        <x:v>A103</x:v>
      </x:c>
      <x:c r="J112" s="31" t="str">
        <x:v>What is the gross margin for the China freight forwarding company? | Landscape of China express delivery market? | Landscape of SEA logistic market?</x:v>
      </x:c>
    </x:row>
    <x:row r="113" ht="32" customHeight="1">
      <x:c r="A113" s="30" t="str">
        <x:v>QB1427</x:v>
      </x:c>
      <x:c r="B113" s="30" t="str">
        <x:v>Bofa GCM</x:v>
      </x:c>
      <x:c r="C113" s="30" t="str">
        <x:v>IBD / GCM</x:v>
      </x:c>
      <x:c r="D113" s="31" t="str">
        <x:v>what do you do in NB? (didnt go deep)</x:v>
      </x:c>
      <x:c r="E113" s="31" t="str">
        <x:v>What do you do in NB? (didnt go deep)</x:v>
      </x:c>
      <x:c r="F113" s="31" t="str">
        <x:v>Other Question</x:v>
      </x:c>
      <x:c r="G113" s="30" t="str">
        <x:v>CL0916</x:v>
      </x:c>
      <x:c r="H113" s="32" t="n">
        <x:f>COUNTIF($G$5:$G$323,G113)</x:f>
        <x:v>1</x:v>
      </x:c>
      <x:c r="I113" s="30" t="str">
        <x:v>B4</x:v>
      </x:c>
      <x:c r="J113" s="31" t="str">
        <x:v>ECM Asso | Self-intro</x:v>
      </x:c>
    </x:row>
    <x:row r="114" ht="48" customHeight="1">
      <x:c r="A114" s="30" t="str">
        <x:v>QB1442</x:v>
      </x:c>
      <x:c r="B114" s="30" t="str">
        <x:v>Bofa GCM</x:v>
      </x:c>
      <x:c r="C114" s="30" t="str">
        <x:v>IBD / GCM</x:v>
      </x:c>
      <x:c r="D114" s="31" t="str">
        <x:v>你ER的實習會看oil&amp;gas嗎？聊聊你對oil的看法吧</x:v>
      </x:c>
      <x:c r="E114" s="31" t="str">
        <x:v>你ER的實習會看oil&amp;gas嗎？聊聊你對oil的看法吧</x:v>
      </x:c>
      <x:c r="F114" s="31" t="str">
        <x:v>Other Question</x:v>
      </x:c>
      <x:c r="G114" s="30" t="str">
        <x:v>CL1226</x:v>
      </x:c>
      <x:c r="H114" s="32" t="n">
        <x:f>COUNTIF($G$5:$G$323,G114)</x:f>
        <x:v>1</x:v>
      </x:c>
      <x:c r="I114" s="30" t="str">
        <x:v>A8</x:v>
      </x:c>
      <x:c r="J114" s="31" t="str">
        <x:v>Walk thru deal by Bofa (I talked about IPO deal) | Follow-up: how abt debt offering? | CV question: Sellside vs Buyside, Primary vs Secondary</x:v>
      </x:c>
    </x:row>
    <x:row r="115" ht="48" customHeight="1">
      <x:c r="A115" s="30" t="str">
        <x:v>QB1475</x:v>
      </x:c>
      <x:c r="B115" s="30" t="str">
        <x:v>JPM</x:v>
      </x:c>
      <x:c r="C115" s="30" t="str">
        <x:v>IBD / GCM</x:v>
      </x:c>
      <x:c r="D115" s="31" t="str">
        <x:v>how did i valuate for AIBC case com</x:v>
      </x:c>
      <x:c r="E115" s="31" t="str">
        <x:v>How did i valuate for AIBC case com</x:v>
      </x:c>
      <x:c r="F115" s="31" t="str">
        <x:v>Other Question</x:v>
      </x:c>
      <x:c r="G115" s="30" t="str">
        <x:v>CL0376</x:v>
      </x:c>
      <x:c r="H115" s="32" t="n">
        <x:f>COUNTIF($G$5:$G$323,G115)</x:f>
        <x:v>1</x:v>
      </x:c>
      <x:c r="I115" s="30" t="str">
        <x:v>A5</x:v>
      </x:c>
      <x:c r="J115" s="31" t="str">
        <x:v>23 Jasmine 1st round (Victoria Cai) | resume based | self intro (she said 5 mins walk thru?? )</x:v>
      </x:c>
    </x:row>
    <x:row r="116" ht="32" customHeight="1">
      <x:c r="A116" s="30" t="str">
        <x:v>QB1478</x:v>
      </x:c>
      <x:c r="B116" s="30" t="str">
        <x:v>JPM</x:v>
      </x:c>
      <x:c r="C116" s="30" t="str">
        <x:v>IBD / GCM</x:v>
      </x:c>
      <x:c r="D116" s="31" t="str">
        <x:v>What news am I following (i said esports on hanzhou asian game)</x:v>
      </x:c>
      <x:c r="E116" s="31" t="str">
        <x:v>What news am I following (i said esports on hanzhou asian game)</x:v>
      </x:c>
      <x:c r="F116" s="31" t="str">
        <x:v>Other Question</x:v>
      </x:c>
      <x:c r="G116" s="30" t="str">
        <x:v>CL1022</x:v>
      </x:c>
      <x:c r="H116" s="32" t="n">
        <x:f>COUNTIF($G$5:$G$323,G116)</x:f>
        <x:v>1</x:v>
      </x:c>
      <x:c r="I116" s="30" t="str">
        <x:v>C6</x:v>
      </x:c>
      <x:c r="J116" s="31" t="str">
        <x:v>JPM spd Jasmine | Raymond Lau -ipo | self intro</x:v>
      </x:c>
    </x:row>
    <x:row r="117" ht="68" customHeight="1">
      <x:c r="A117" s="30" t="str">
        <x:v>QB1479</x:v>
      </x:c>
      <x:c r="B117" s="30" t="str">
        <x:v>JPM</x:v>
      </x:c>
      <x:c r="C117" s="30" t="str">
        <x:v>IBD / GCM</x:v>
      </x:c>
      <x:c r="D117" s="31" t="str">
        <x:v>tell me about your work in odysseus</x:v>
      </x:c>
      <x:c r="E117" s="31" t="str">
        <x:v>Tell me about your work in odysseus</x:v>
      </x:c>
      <x:c r="F117" s="31" t="str">
        <x:v>Other Question</x:v>
      </x:c>
      <x:c r="G117" s="30" t="str">
        <x:v>CL0758</x:v>
      </x:c>
      <x:c r="H117" s="32" t="n">
        <x:f>COUNTIF($G$5:$G$323,G117)</x:f>
        <x:v>1</x:v>
      </x:c>
      <x:c r="I117" s="30" t="str">
        <x:v>A7</x:v>
      </x:c>
      <x:c r="J117" s="31" t="str">
        <x:v>self intro (she said 5 mins walk thru?? ) | how did i valuate for AIBC case com | any special considerations shen acquiring a hk-listed company (i bs about premium, she said shes looking into the more practical legal regulations for take...</x:v>
      </x:c>
    </x:row>
    <x:row r="118" ht="48" customHeight="1">
      <x:c r="A118" s="30" t="str">
        <x:v>QB1480</x:v>
      </x:c>
      <x:c r="B118" s="30" t="str">
        <x:v>JPM</x:v>
      </x:c>
      <x:c r="C118" s="30" t="str">
        <x:v>IBD / GCM</x:v>
      </x:c>
      <x:c r="D118" s="31" t="str">
        <x:v>what did i do in the esports project</x:v>
      </x:c>
      <x:c r="E118" s="31" t="str">
        <x:v>What did i do in the esports project</x:v>
      </x:c>
      <x:c r="F118" s="31" t="str">
        <x:v>Other Question</x:v>
      </x:c>
      <x:c r="G118" s="30" t="str">
        <x:v>CL0893</x:v>
      </x:c>
      <x:c r="H118" s="32" t="n">
        <x:f>COUNTIF($G$5:$G$323,G118)</x:f>
        <x:v>1</x:v>
      </x:c>
      <x:c r="I118" s="30" t="str">
        <x:v>C7</x:v>
      </x:c>
      <x:c r="J118" s="31" t="str">
        <x:v>Raymond Lau -ipo | self intro | What news am I following (i said esports on hanzhou asian game)</x:v>
      </x:c>
    </x:row>
    <x:row r="119" ht="48" customHeight="1">
      <x:c r="A119" s="30" t="str">
        <x:v>QB1482</x:v>
      </x:c>
      <x:c r="B119" s="30" t="str">
        <x:v>JPM</x:v>
      </x:c>
      <x:c r="C119" s="30" t="str">
        <x:v>IBD / GCM</x:v>
      </x:c>
      <x:c r="D119" s="31" t="str">
        <x:v>Do you watch any games, favorite character in LOL (i said idk and he said i should know…)</x:v>
      </x:c>
      <x:c r="E119" s="31" t="str">
        <x:v>Do you watch any games, favorite character in LOL (i said idk and he said i should know…)</x:v>
      </x:c>
      <x:c r="F119" s="31" t="str">
        <x:v>Other Question</x:v>
      </x:c>
      <x:c r="G119" s="30" t="str">
        <x:v>CL0301</x:v>
      </x:c>
      <x:c r="H119" s="32" t="n">
        <x:f>COUNTIF($G$5:$G$323,G119)</x:f>
        <x:v>1</x:v>
      </x:c>
      <x:c r="I119" s="30" t="str">
        <x:v>C8</x:v>
      </x:c>
      <x:c r="J119" s="31" t="str">
        <x:v>self intro | What news am I following (i said esports on hanzhou asian game) | what did i do in the esports project</x:v>
      </x:c>
    </x:row>
    <x:row r="120" ht="68" customHeight="1">
      <x:c r="A120" s="30" t="str">
        <x:v>QB1485</x:v>
      </x:c>
      <x:c r="B120" s="30" t="str">
        <x:v>JPM</x:v>
      </x:c>
      <x:c r="C120" s="30" t="str">
        <x:v>IBD / GCM</x:v>
      </x:c>
      <x:c r="D120" s="31" t="str">
        <x:v>how would i do differently now</x:v>
      </x:c>
      <x:c r="E120" s="31" t="str">
        <x:v>How would i do differently now</x:v>
      </x:c>
      <x:c r="F120" s="31" t="str">
        <x:v>Other Question</x:v>
      </x:c>
      <x:c r="G120" s="30" t="str">
        <x:v>CL0491</x:v>
      </x:c>
      <x:c r="H120" s="32" t="n">
        <x:f>COUNTIF($G$5:$G$323,G120)</x:f>
        <x:v>1</x:v>
      </x:c>
      <x:c r="I120" s="30" t="str">
        <x:v>C10</x:v>
      </x:c>
      <x:c r="J120" s="31" t="str">
        <x:v>what did i do in the esports project | Do you watch any games, favorite character in LOL (i said idk and he said i should know…) | a time when i face conflict in a team</x:v>
      </x:c>
    </x:row>
    <x:row r="121" ht="68" customHeight="1">
      <x:c r="A121" s="30" t="str">
        <x:v>QB1486</x:v>
      </x:c>
      <x:c r="B121" s="30" t="str">
        <x:v>JPM</x:v>
      </x:c>
      <x:c r="C121" s="30" t="str">
        <x:v>IBD / GCM</x:v>
      </x:c>
      <x:c r="D121" s="31" t="str">
        <x:v>how am i enjoying football</x:v>
      </x:c>
      <x:c r="E121" s="31" t="str">
        <x:v>How am i enjoying football</x:v>
      </x:c>
      <x:c r="F121" s="31" t="str">
        <x:v>Other Question</x:v>
      </x:c>
      <x:c r="G121" s="30" t="str">
        <x:v>CL0372</x:v>
      </x:c>
      <x:c r="H121" s="32" t="n">
        <x:f>COUNTIF($G$5:$G$323,G121)</x:f>
        <x:v>1</x:v>
      </x:c>
      <x:c r="I121" s="30" t="str">
        <x:v>C11</x:v>
      </x:c>
      <x:c r="J121" s="31" t="str">
        <x:v>Do you watch any games, favorite character in LOL (i said idk and he said i should know…) | a time when i face conflict in a team | how would i do differently now</x:v>
      </x:c>
    </x:row>
    <x:row r="122" ht="48" customHeight="1">
      <x:c r="A122" s="30" t="str">
        <x:v>QB1488</x:v>
      </x:c>
      <x:c r="B122" s="30" t="str">
        <x:v>JPM</x:v>
      </x:c>
      <x:c r="C122" s="30" t="str">
        <x:v>IBD / GCM</x:v>
      </x:c>
      <x:c r="D122" s="31" t="str">
        <x:v>which position do i play</x:v>
      </x:c>
      <x:c r="E122" s="31" t="str">
        <x:v>Which position do i play</x:v>
      </x:c>
      <x:c r="F122" s="31" t="str">
        <x:v>Other Question</x:v>
      </x:c>
      <x:c r="G122" s="30" t="str">
        <x:v>CL1100</x:v>
      </x:c>
      <x:c r="H122" s="32" t="n">
        <x:f>COUNTIF($G$5:$G$323,G122)</x:f>
        <x:v>1</x:v>
      </x:c>
      <x:c r="I122" s="30" t="str">
        <x:v>C12</x:v>
      </x:c>
      <x:c r="J122" s="31" t="str">
        <x:v>a time when i face conflict in a team | how would i do differently now | how am i enjoying football</x:v>
      </x:c>
    </x:row>
    <x:row r="123" ht="92" customHeight="1">
      <x:c r="A123" s="30" t="str">
        <x:v>QB1510</x:v>
      </x:c>
      <x:c r="B123" s="30" t="str">
        <x:v>JPM</x:v>
      </x:c>
      <x:c r="C123" s="30" t="str">
        <x:v>IBD / GCM</x:v>
      </x:c>
      <x:c r="D123" s="31" t="str">
        <x:v>are you born and raised in hk</x:v>
      </x:c>
      <x:c r="E123" s="31" t="str">
        <x:v>Are you born and raised in hk</x:v>
      </x:c>
      <x:c r="F123" s="31" t="str">
        <x:v>Other Question</x:v>
      </x:c>
      <x:c r="G123" s="30" t="str">
        <x:v>CL0133</x:v>
      </x:c>
      <x:c r="H123" s="32" t="n">
        <x:f>COUNTIF($G$5:$G$323,G123)</x:f>
        <x:v>1</x:v>
      </x:c>
      <x:c r="I123" s="30" t="str">
        <x:v>C27</x:v>
      </x:c>
      <x:c r="J123" s="31" t="str">
        <x:v>(i said cuz my past internships more related, and then he started telling me about why ecm is good for 10 minutes :o……….. and no more questions…….. and i asked some cliche questions and he gave wonderful insights for the next 10 minutes…...</x:v>
      </x:c>
    </x:row>
    <x:row r="124" ht="32" customHeight="1">
      <x:c r="A124" s="30" t="str">
        <x:v>QB1512</x:v>
      </x:c>
      <x:c r="B124" s="30" t="str">
        <x:v>JPM</x:v>
      </x:c>
      <x:c r="C124" s="30" t="str">
        <x:v>IBD / GCM</x:v>
      </x:c>
      <x:c r="D124" s="31" t="str">
        <x:v>tell me about a time where you are in a group setting, and acted as a significant role</x:v>
      </x:c>
      <x:c r="E124" s="31" t="str">
        <x:v>Tell me about a time where you are in a group setting, and acted as a significant role</x:v>
      </x:c>
      <x:c r="F124" s="31" t="str">
        <x:v>Other Question</x:v>
      </x:c>
      <x:c r="G124" s="30" t="str">
        <x:v>CL0732</x:v>
      </x:c>
      <x:c r="H124" s="32" t="n">
        <x:f>COUNTIF($G$5:$G$323,G124)</x:f>
        <x:v>1</x:v>
      </x:c>
      <x:c r="I124" s="30" t="str">
        <x:v>C29</x:v>
      </x:c>
      <x:c r="J124" s="31" t="str">
        <x:v>self intro | are you born and raised in hk | 為什麼想做投行 （普通話）</x:v>
      </x:c>
    </x:row>
    <x:row r="125" ht="48" customHeight="1">
      <x:c r="A125" s="30" t="str">
        <x:v>QB1513</x:v>
      </x:c>
      <x:c r="B125" s="30" t="str">
        <x:v>JPM</x:v>
      </x:c>
      <x:c r="C125" s="30" t="str">
        <x:v>IBD / GCM</x:v>
      </x:c>
      <x:c r="D125" s="31" t="str">
        <x:v>tell me about the tech startup you worked in</x:v>
      </x:c>
      <x:c r="E125" s="31" t="str">
        <x:v>Tell me about the tech startup you worked in</x:v>
      </x:c>
      <x:c r="F125" s="31" t="str">
        <x:v>Other Question</x:v>
      </x:c>
      <x:c r="G125" s="30" t="str">
        <x:v>CL0747</x:v>
      </x:c>
      <x:c r="H125" s="32" t="n">
        <x:f>COUNTIF($G$5:$G$323,G125)</x:f>
        <x:v>1</x:v>
      </x:c>
      <x:c r="I125" s="30" t="str">
        <x:v>C30</x:v>
      </x:c>
      <x:c r="J125" s="31" t="str">
        <x:v>are you born and raised in hk | 為什麼想做投行 （普通話） | tell me about a time where you are in a group setting, and acted as a significant role</x:v>
      </x:c>
    </x:row>
    <x:row r="126" ht="48" customHeight="1">
      <x:c r="A126" s="30" t="str">
        <x:v>QB1514</x:v>
      </x:c>
      <x:c r="B126" s="30" t="str">
        <x:v>JPM</x:v>
      </x:c>
      <x:c r="C126" s="30" t="str">
        <x:v>IBD / GCM</x:v>
      </x:c>
      <x:c r="D126" s="31" t="str">
        <x:v>how to do credit analysis</x:v>
      </x:c>
      <x:c r="E126" s="31" t="str">
        <x:v>How to do credit analysis</x:v>
      </x:c>
      <x:c r="F126" s="31" t="str">
        <x:v>Other Question</x:v>
      </x:c>
      <x:c r="G126" s="30" t="str">
        <x:v>CL0464</x:v>
      </x:c>
      <x:c r="H126" s="32" t="n">
        <x:f>COUNTIF($G$5:$G$323,G126)</x:f>
        <x:v>1</x:v>
      </x:c>
      <x:c r="I126" s="30" t="str">
        <x:v>C31</x:v>
      </x:c>
      <x:c r="J126" s="31" t="str">
        <x:v>為什麼想做投行 （普通話） | tell me about a time where you are in a group setting, and acted as a significant role | tell me about the tech startup you worked in</x:v>
      </x:c>
    </x:row>
    <x:row r="127" ht="48" customHeight="1">
      <x:c r="A127" s="30" t="str">
        <x:v>QB1532</x:v>
      </x:c>
      <x:c r="B127" s="30" t="str">
        <x:v>Grant Samuel</x:v>
      </x:c>
      <x:c r="C127" s="30" t="str">
        <x:v>IBD / GCM</x:v>
      </x:c>
      <x:c r="D127" s="31" t="str">
        <x:v>Scenarios with higher ev/ebitda, e.g. 900x?</x:v>
      </x:c>
      <x:c r="E127" s="31" t="str">
        <x:v>Scenarios with higher ev/ebitda, e.g. 900x</x:v>
      </x:c>
      <x:c r="F127" s="31" t="str">
        <x:v>Other Question</x:v>
      </x:c>
      <x:c r="G127" s="30" t="str">
        <x:v>CL0668</x:v>
      </x:c>
      <x:c r="H127" s="32" t="n">
        <x:f>COUNTIF($G$5:$G$323,G127)</x:f>
        <x:v>1</x:v>
      </x:c>
      <x:c r="I127" s="30" t="str">
        <x:v>A7</x:v>
      </x:c>
      <x:c r="J127" s="31" t="str">
        <x:v>Anthony So: Analyst (TMT) | What did you do in BNP? | For trading comps, what's the difference between EV/EBITDA, P/E, and EV/Sales</x:v>
      </x:c>
    </x:row>
    <x:row r="128" ht="68" customHeight="1">
      <x:c r="A128" s="30" t="str">
        <x:v>QB1534</x:v>
      </x:c>
      <x:c r="B128" s="30" t="str">
        <x:v>Grant Samuel</x:v>
      </x:c>
      <x:c r="C128" s="30" t="str">
        <x:v>IBD / GCM</x:v>
      </x:c>
      <x:c r="D128" s="31" t="str">
        <x:v>Walk me thru impact on 3 FS, acquiring pp&amp;e at the start of the year, you can make your own assumptions</x:v>
      </x:c>
      <x:c r="E128" s="31" t="str">
        <x:v>Walk me thru impact on 3 FS, acquiring pp&amp;e at the start of the year, you can make your own assumptions</x:v>
      </x:c>
      <x:c r="F128" s="31" t="str">
        <x:v>Other Question</x:v>
      </x:c>
      <x:c r="G128" s="30" t="str">
        <x:v>CL0844</x:v>
      </x:c>
      <x:c r="H128" s="32" t="n">
        <x:f>COUNTIF($G$5:$G$323,G128)</x:f>
        <x:v>1</x:v>
      </x:c>
      <x:c r="I128" s="30" t="str">
        <x:v>A9</x:v>
      </x:c>
      <x:c r="J128" s="31" t="str">
        <x:v>For trading comps, what's the difference between EV/EBITDA, P/E, and EV/Sales | Scenarios with higher ev/ebitda, e.g. 900x? | &gt; may be different stages, e.g., turning into profitability</x:v>
      </x:c>
    </x:row>
    <x:row r="129" ht="68" customHeight="1">
      <x:c r="A129" s="30" t="str">
        <x:v>QB1544</x:v>
      </x:c>
      <x:c r="B129" s="30" t="str">
        <x:v>Grant Samuel</x:v>
      </x:c>
      <x:c r="C129" s="30" t="str">
        <x:v>IBD / GCM</x:v>
      </x:c>
      <x:c r="D129" s="31" t="str">
        <x:v>How do you value mining assets</x:v>
      </x:c>
      <x:c r="E129" s="31" t="str">
        <x:v>How do you value mining assets</x:v>
      </x:c>
      <x:c r="F129" s="31" t="str">
        <x:v>Other Question</x:v>
      </x:c>
      <x:c r="G129" s="30" t="str">
        <x:v>CL0429</x:v>
      </x:c>
      <x:c r="H129" s="32" t="n">
        <x:f>COUNTIF($G$5:$G$323,G129)</x:f>
        <x:v>1</x:v>
      </x:c>
      <x:c r="I129" s="30" t="str">
        <x:v>A20</x:v>
      </x:c>
      <x:c r="J129" s="31" t="str">
        <x:v>&gt; in real life, earnout model, divide into phase to unlock, add put option, get liquidity much easier | Tina Zhang: Analyst (metal and mining) | Did you get any feedback from Lazard? Why didn't you get in?</x:v>
      </x:c>
    </x:row>
    <x:row r="130" ht="32" customHeight="1">
      <x:c r="A130" s="30" t="str">
        <x:v>QB1550</x:v>
      </x:c>
      <x:c r="B130" s="30" t="str">
        <x:v>Grant Samuel</x:v>
      </x:c>
      <x:c r="C130" s="30" t="str">
        <x:v>IBD / GCM</x:v>
      </x:c>
      <x:c r="D130" s="31" t="str">
        <x:v>What's your MBTI</x:v>
      </x:c>
      <x:c r="E130" s="31" t="str">
        <x:v>What's your MBTI</x:v>
      </x:c>
      <x:c r="F130" s="31" t="str">
        <x:v>Other Question</x:v>
      </x:c>
      <x:c r="G130" s="30" t="str">
        <x:v>CL1065</x:v>
      </x:c>
      <x:c r="H130" s="32" t="n">
        <x:f>COUNTIF($G$5:$G$323,G130)</x:f>
        <x:v>1</x:v>
      </x:c>
      <x:c r="I130" s="30" t="str">
        <x:v>A26</x:v>
      </x:c>
      <x:c r="J130" s="31" t="str">
        <x:v>Reserves vs Resources | TV in mining DCF | Mining valuation multiples</x:v>
      </x:c>
    </x:row>
    <x:row r="131" ht="32" customHeight="1">
      <x:c r="A131" s="30" t="str">
        <x:v>QB1551</x:v>
      </x:c>
      <x:c r="B131" s="30" t="str">
        <x:v>Grant Samuel</x:v>
      </x:c>
      <x:c r="C131" s="30" t="str">
        <x:v>IBD / GCM</x:v>
      </x:c>
      <x:c r="D131" s="31" t="str">
        <x:v>How much time did you spend on studying mining?</x:v>
      </x:c>
      <x:c r="E131" s="31" t="str">
        <x:v>How much time did you spend on studying mining</x:v>
      </x:c>
      <x:c r="F131" s="31" t="str">
        <x:v>Other Question</x:v>
      </x:c>
      <x:c r="G131" s="30" t="str">
        <x:v>CL0459</x:v>
      </x:c>
      <x:c r="H131" s="32" t="n">
        <x:f>COUNTIF($G$5:$G$323,G131)</x:f>
        <x:v>1</x:v>
      </x:c>
      <x:c r="I131" s="30" t="str">
        <x:v>A27</x:v>
      </x:c>
      <x:c r="J131" s="31" t="str">
        <x:v>TV in mining DCF | Mining valuation multiples | What's your MBTI</x:v>
      </x:c>
    </x:row>
    <x:row r="132" ht="48" customHeight="1">
      <x:c r="A132" s="30" t="str">
        <x:v>QB1558</x:v>
      </x:c>
      <x:c r="B132" s="30" t="str">
        <x:v>Moelis</x:v>
      </x:c>
      <x:c r="C132" s="30" t="str">
        <x:v>IBD / GCM</x:v>
      </x:c>
      <x:c r="D132" s="31" t="str">
        <x:v>How did you find the forecast numbers?</x:v>
      </x:c>
      <x:c r="E132" s="31" t="str">
        <x:v>How did you find the forecast numbers</x:v>
      </x:c>
      <x:c r="F132" s="31" t="str">
        <x:v>Other Question</x:v>
      </x:c>
      <x:c r="G132" s="30" t="str">
        <x:v>CL0388</x:v>
      </x:c>
      <x:c r="H132" s="32" t="n">
        <x:f>COUNTIF($G$5:$G$323,G132)</x:f>
        <x:v>1</x:v>
      </x:c>
      <x:c r="I132" s="30" t="str">
        <x:v>A5</x:v>
      </x:c>
      <x:c r="J132" s="31" t="str">
        <x:v>1st interviewer Asso Chelsea | Self intro | How did you do DCF for the energy storage company in ur ER internship?</x:v>
      </x:c>
    </x:row>
    <x:row r="133" ht="68" customHeight="1">
      <x:c r="A133" s="30" t="str">
        <x:v>QB1567</x:v>
      </x:c>
      <x:c r="B133" s="30" t="str">
        <x:v>Moelis</x:v>
      </x:c>
      <x:c r="C133" s="30" t="str">
        <x:v>IBD / GCM</x:v>
      </x:c>
      <x:c r="D133" s="31" t="str">
        <x:v>CAPEX $100 to buy PPE?</x:v>
      </x:c>
      <x:c r="E133" s="31" t="str">
        <x:v>CAPEX $100 to buy PPE</x:v>
      </x:c>
      <x:c r="F133" s="31" t="str">
        <x:v>Other Question</x:v>
      </x:c>
      <x:c r="G133" s="30" t="str">
        <x:v>CL0190</x:v>
      </x:c>
      <x:c r="H133" s="32" t="n">
        <x:f>COUNTIF($G$5:$G$323,G133)</x:f>
        <x:v>1</x:v>
      </x:c>
      <x:c r="I133" s="30" t="str">
        <x:v>A14</x:v>
      </x:c>
      <x:c r="J133" s="31" t="str">
        <x:v>Factory $100, selling at $80, 25% TR | Cash flow $100 every year, 10% discount rate, how much would u pay to buy it? | If the company's operations are in China, but listed in US, what Rf do you use?</x:v>
      </x:c>
    </x:row>
    <x:row r="134" ht="48" customHeight="1">
      <x:c r="A134" s="30" t="str">
        <x:v>QB1589</x:v>
      </x:c>
      <x:c r="B134" s="30" t="str">
        <x:v>Moelis</x:v>
      </x:c>
      <x:c r="C134" s="30" t="str">
        <x:v>IBD / GCM</x:v>
      </x:c>
      <x:c r="D134" s="31" t="str">
        <x:v>What do you think about the FI?</x:v>
      </x:c>
      <x:c r="E134" s="31" t="str">
        <x:v>What do you think about the FI</x:v>
      </x:c>
      <x:c r="F134" s="31" t="str">
        <x:v>Other Question</x:v>
      </x:c>
      <x:c r="G134" s="30" t="str">
        <x:v>CL0925</x:v>
      </x:c>
      <x:c r="H134" s="32" t="n">
        <x:f>COUNTIF($G$5:$G$323,G134)</x:f>
        <x:v>1</x:v>
      </x:c>
      <x:c r="I134" s="30" t="str">
        <x:v>A45</x:v>
      </x:c>
      <x:c r="J134" s="31" t="str">
        <x:v>l EV pitch | i. What did you do? Also walked through some industry trends | ii. Trading comps</x:v>
      </x:c>
    </x:row>
    <x:row r="135" ht="68" customHeight="1">
      <x:c r="A135" s="30" t="str">
        <x:v>QB1591</x:v>
      </x:c>
      <x:c r="B135" s="30" t="str">
        <x:v>Moelis</x:v>
      </x:c>
      <x:c r="C135" s="30" t="str">
        <x:v>IBD / GCM</x:v>
      </x:c>
      <x:c r="D135" s="31" t="str">
        <x:v>i. What do you think are the drivers?</x:v>
      </x:c>
      <x:c r="E135" s="31" t="str">
        <x:v>I. What do you think are the drivers</x:v>
      </x:c>
      <x:c r="F135" s="31" t="str">
        <x:v>Other Question</x:v>
      </x:c>
      <x:c r="G135" s="30" t="str">
        <x:v>CL0509</x:v>
      </x:c>
      <x:c r="H135" s="32" t="n">
        <x:f>COUNTIF($G$5:$G$323,G135)</x:f>
        <x:v>1</x:v>
      </x:c>
      <x:c r="I135" s="30" t="str">
        <x:v>A49</x:v>
      </x:c>
      <x:c r="J135" s="31" t="str">
        <x:v>ii. Trading comps | What do you think about the FI? | l Shared a pitch on a Cambodia-based insurance company -&gt; was surprised that Cambodia has a huge potential in insurance market due to its under penetration rate</x:v>
      </x:c>
    </x:row>
    <x:row r="136" ht="68" customHeight="1">
      <x:c r="A136" s="30" t="str">
        <x:v>QB1596</x:v>
      </x:c>
      <x:c r="B136" s="30" t="str">
        <x:v>Moelis</x:v>
      </x:c>
      <x:c r="C136" s="30" t="str">
        <x:v>IBD / GCM</x:v>
      </x:c>
      <x:c r="D136" s="31" t="str">
        <x:v>l Did you go through SPA?</x:v>
      </x:c>
      <x:c r="E136" s="31" t="str">
        <x:v>L Did you go through SPA</x:v>
      </x:c>
      <x:c r="F136" s="31" t="str">
        <x:v>Other Question</x:v>
      </x:c>
      <x:c r="G136" s="30" t="str">
        <x:v>CL0573</x:v>
      </x:c>
      <x:c r="H136" s="32" t="n">
        <x:f>COUNTIF($G$5:$G$323,G136)</x:f>
        <x:v>1</x:v>
      </x:c>
      <x:c r="I136" s="30" t="str">
        <x:v>A59</x:v>
      </x:c>
      <x:c r="J136" s="31" t="str">
        <x:v>l How did you find WACC? (IDK WHY BUT I JUST REALISED THAT I ANSWERED IN THE WAY OF CALCULATING CAPM KMS so in the end he asked if the company has debt, I said yes, he said oh since I heard that you mentioned about cost of equity) | l DC...</x:v>
      </x:c>
    </x:row>
    <x:row r="137" ht="118" customHeight="1">
      <x:c r="A137" s="30" t="str">
        <x:v>QB1600</x:v>
      </x:c>
      <x:c r="B137" s="30" t="str">
        <x:v>Moelis</x:v>
      </x:c>
      <x:c r="C137" s="30" t="str">
        <x:v>IBD / GCM</x:v>
      </x:c>
      <x:c r="D137" s="31" t="str">
        <x:v>l You mentioned that you will be more aggressive, would you be more aggressive in the sales price projection or the volume projection?</x:v>
      </x:c>
      <x:c r="E137" s="31" t="str">
        <x:v>L You mentioned that you will be more aggressive, would you be more aggressive in the sales price projection or the volume projection</x:v>
      </x:c>
      <x:c r="F137" s="31" t="str">
        <x:v>Other Question</x:v>
      </x:c>
      <x:c r="G137" s="30" t="str">
        <x:v>CL0589</x:v>
      </x:c>
      <x:c r="H137" s="32" t="n">
        <x:f>COUNTIF($G$5:$G$323,G137)</x:f>
        <x:v>1</x:v>
      </x:c>
      <x:c r="I137" s="30" t="str">
        <x:v>A67</x:v>
      </x:c>
      <x:c r="J137" s="31" t="str">
        <x:v>i. I said I only arrived at the LOI stage when I left, he asked if I participated in drafting LOI, I said no but my boss showed me how it looked like | What’s your favorite sector and what’s your least favorite sector at BNP Paribas? | I...</x:v>
      </x:c>
    </x:row>
    <x:row r="138" ht="118" customHeight="1">
      <x:c r="A138" s="30" t="str">
        <x:v>QB1602</x:v>
      </x:c>
      <x:c r="B138" s="30" t="str">
        <x:v>Moelis</x:v>
      </x:c>
      <x:c r="C138" s="30" t="str">
        <x:v>IBD / GCM</x:v>
      </x:c>
      <x:c r="D138" s="31" t="str">
        <x:v>l Given this situation, how would you negotiate in the SPA?</x:v>
      </x:c>
      <x:c r="E138" s="31" t="str">
        <x:v>L Given this situation, how would you negotiate in the SPA</x:v>
      </x:c>
      <x:c r="F138" s="31" t="str">
        <x:v>Other Question</x:v>
      </x:c>
      <x:c r="G138" s="30" t="str">
        <x:v>CL0576</x:v>
      </x:c>
      <x:c r="H138" s="32" t="n">
        <x:f>COUNTIF($G$5:$G$323,G138)</x:f>
        <x:v>1</x:v>
      </x:c>
      <x:c r="I138" s="30" t="str">
        <x:v>A71</x:v>
      </x:c>
      <x:c r="J138" s="31" t="str">
        <x:v>If there’s an energy company and you’re working on a sell side model, you have the ASP, sales volume, utilization rates, PPA, what inputs will you put into the model? Would you be more aggressive or less aggressive? | l You mentioned tha...</x:v>
      </x:c>
    </x:row>
    <x:row r="139" ht="32" customHeight="1">
      <x:c r="A139" s="30" t="str">
        <x:v>QB1606</x:v>
      </x:c>
      <x:c r="B139" s="30" t="str">
        <x:v>Jefferies</x:v>
      </x:c>
      <x:c r="C139" s="30" t="str">
        <x:v>IBD / GCM</x:v>
      </x:c>
      <x:c r="D139" s="31" t="str">
        <x:v>1st Interviewer: Jim Chen, Private Capital Advisory</x:v>
      </x:c>
      <x:c r="E139" s="31" t="str">
        <x:v>1st Interviewer: Jim Chen, Private Capital Advisory</x:v>
      </x:c>
      <x:c r="F139" s="31" t="str">
        <x:v>Other Question</x:v>
      </x:c>
      <x:c r="G139" s="30" t="str">
        <x:v>CL0068</x:v>
      </x:c>
      <x:c r="H139" s="32" t="n">
        <x:f>COUNTIF($G$5:$G$323,G139)</x:f>
        <x:v>1</x:v>
      </x:c>
      <x:c r="I139" s="30" t="str">
        <x:v>A4</x:v>
      </x:c>
      <x:c r="J139" s="31" t="str">
        <x:v>2025 SA | IBD First Round | Beata</x:v>
      </x:c>
    </x:row>
    <x:row r="140" ht="32" customHeight="1">
      <x:c r="A140" s="30" t="str">
        <x:v>QB1610</x:v>
      </x:c>
      <x:c r="B140" s="30" t="str">
        <x:v>Jefferies</x:v>
      </x:c>
      <x:c r="C140" s="30" t="str">
        <x:v>IBD / GCM</x:v>
      </x:c>
      <x:c r="D140" s="31" t="str">
        <x:v>How do you see yourself in 3 to 5 years?</x:v>
      </x:c>
      <x:c r="E140" s="31" t="str">
        <x:v>How do you see yourself in 3 to 5 years</x:v>
      </x:c>
      <x:c r="F140" s="31" t="str">
        <x:v>Other Question</x:v>
      </x:c>
      <x:c r="G140" s="30" t="str">
        <x:v>CL0423</x:v>
      </x:c>
      <x:c r="H140" s="32" t="n">
        <x:f>COUNTIF($G$5:$G$323,G140)</x:f>
        <x:v>1</x:v>
      </x:c>
      <x:c r="I140" s="30" t="str">
        <x:v>A6</x:v>
      </x:c>
      <x:c r="J140" s="31" t="str">
        <x:v>Beata | 1st Interviewer: Jim Chen, Private Capital Advisory | Walk me through your resume</x:v>
      </x:c>
    </x:row>
    <x:row r="141" ht="32" customHeight="1">
      <x:c r="A141" s="30" t="str">
        <x:v>QB1614</x:v>
      </x:c>
      <x:c r="B141" s="30" t="str">
        <x:v>Jefferies</x:v>
      </x:c>
      <x:c r="C141" s="30" t="str">
        <x:v>IBD / GCM</x:v>
      </x:c>
      <x:c r="D141" s="31" t="str">
        <x:v>l If you are given only two statements, which two will you choose?</x:v>
      </x:c>
      <x:c r="E141" s="31" t="str">
        <x:v>L If you are given only two statements, which two will you choose</x:v>
      </x:c>
      <x:c r="F141" s="31" t="str">
        <x:v>Other Question</x:v>
      </x:c>
      <x:c r="G141" s="30" t="str">
        <x:v>CL0578</x:v>
      </x:c>
      <x:c r="H141" s="32" t="n">
        <x:f>COUNTIF($G$5:$G$323,G141)</x:f>
        <x:v>1</x:v>
      </x:c>
      <x:c r="I141" s="30" t="str">
        <x:v>A8</x:v>
      </x:c>
      <x:c r="J141" s="31" t="str">
        <x:v>Walk me through your resume | How do you see yourself in 3 to 5 years? | Technicals</x:v>
      </x:c>
    </x:row>
    <x:row r="142" ht="48" customHeight="1">
      <x:c r="A142" s="30" t="str">
        <x:v>QB1616</x:v>
      </x:c>
      <x:c r="B142" s="30" t="str">
        <x:v>Jefferies</x:v>
      </x:c>
      <x:c r="C142" s="30" t="str">
        <x:v>IBD / GCM</x:v>
      </x:c>
      <x:c r="D142" s="31" t="str">
        <x:v>l If you are only given one statement, which statement will you look at?</x:v>
      </x:c>
      <x:c r="E142" s="31" t="str">
        <x:v>L If you are only given one statement, which statement will you look at</x:v>
      </x:c>
      <x:c r="F142" s="31" t="str">
        <x:v>Other Question</x:v>
      </x:c>
      <x:c r="G142" s="30" t="str">
        <x:v>CL0579</x:v>
      </x:c>
      <x:c r="H142" s="32" t="n">
        <x:f>COUNTIF($G$5:$G$323,G142)</x:f>
        <x:v>1</x:v>
      </x:c>
      <x:c r="I142" s="30" t="str">
        <x:v>A9</x:v>
      </x:c>
      <x:c r="J142" s="31" t="str">
        <x:v>How do you see yourself in 3 to 5 years? | Technicals | l If you are given only two statements, which two will you choose?</x:v>
      </x:c>
    </x:row>
    <x:row r="143" ht="48" customHeight="1">
      <x:c r="A143" s="30" t="str">
        <x:v>QB1621</x:v>
      </x:c>
      <x:c r="B143" s="30" t="str">
        <x:v>Jefferies</x:v>
      </x:c>
      <x:c r="C143" s="30" t="str">
        <x:v>IBD / GCM</x:v>
      </x:c>
      <x:c r="D143" s="31" t="str">
        <x:v>Tell me a transaction that you were deeply involved</x:v>
      </x:c>
      <x:c r="E143" s="31" t="str">
        <x:v>Tell me a transaction that you were deeply involved</x:v>
      </x:c>
      <x:c r="F143" s="31" t="str">
        <x:v>Other Question</x:v>
      </x:c>
      <x:c r="G143" s="30" t="str">
        <x:v>CL0720</x:v>
      </x:c>
      <x:c r="H143" s="32" t="n">
        <x:f>COUNTIF($G$5:$G$323,G143)</x:f>
        <x:v>1</x:v>
      </x:c>
      <x:c r="I143" s="30" t="str">
        <x:v>C11</x:v>
      </x:c>
      <x:c r="J143" s="31" t="str">
        <x:v>M&amp;A deal involving an Indian pharma company acquiring a French counterpart | l What did you do in the deal? | l Did you do any modelling?</x:v>
      </x:c>
    </x:row>
    <x:row r="144" ht="68" customHeight="1">
      <x:c r="A144" s="30" t="str">
        <x:v>QB1629</x:v>
      </x:c>
      <x:c r="B144" s="30" t="str">
        <x:v>Jefferies</x:v>
      </x:c>
      <x:c r="C144" s="30" t="str">
        <x:v>IBD / GCM</x:v>
      </x:c>
      <x:c r="D144" s="31" t="str">
        <x:v>How are the 3 FS linked together?</x:v>
      </x:c>
      <x:c r="E144" s="31" t="str">
        <x:v>How are the 3 FS linked together</x:v>
      </x:c>
      <x:c r="F144" s="31" t="str">
        <x:v>Other Question</x:v>
      </x:c>
      <x:c r="G144" s="30" t="str">
        <x:v>CL0373</x:v>
      </x:c>
      <x:c r="H144" s="32" t="n">
        <x:f>COUNTIF($G$5:$G$323,G144)</x:f>
        <x:v>1</x:v>
      </x:c>
      <x:c r="I144" s="30" t="str">
        <x:v>C15</x:v>
      </x:c>
      <x:c r="J144" s="31" t="str">
        <x:v>l (I said a pitch) What did you do (+ explanation)? | l For trading comps, did you do the adjustments? (She said probably Jefferies has different standards) | l EV pitch – what’s the value chain? How are the valuation multiples?</x:v>
      </x:c>
    </x:row>
    <x:row r="145" ht="92" customHeight="1">
      <x:c r="A145" s="30" t="str">
        <x:v>QB1634</x:v>
      </x:c>
      <x:c r="B145" s="30" t="str">
        <x:v>Jefferies</x:v>
      </x:c>
      <x:c r="C145" s="30" t="str">
        <x:v>IBD / GCM</x:v>
      </x:c>
      <x:c r="D145" s="31" t="str">
        <x:v>You worked at BNP and ING Bank, what do you think about the hours of banking? How do you find them different from Jefferies?</x:v>
      </x:c>
      <x:c r="E145" s="31" t="str">
        <x:v>You worked at BNP and ING Bank, what do you think about the hours of banking? How do you find them different from Jefferies</x:v>
      </x:c>
      <x:c r="F145" s="31" t="str">
        <x:v>Other Question</x:v>
      </x:c>
      <x:c r="G145" s="30" t="str">
        <x:v>CL1210</x:v>
      </x:c>
      <x:c r="H145" s="32" t="n">
        <x:f>COUNTIF($G$5:$G$323,G145)</x:f>
        <x:v>1</x:v>
      </x:c>
      <x:c r="I145" s="30" t="str">
        <x:v>A18</x:v>
      </x:c>
      <x:c r="J145" s="31" t="str">
        <x:v>Trading comps – what are some common multiples used? Why would two companies with same growth profile have different multiples? | Precedent transactions – what are the pros and cons? | l Why would a company issue debt over equity? Why wo...</x:v>
      </x:c>
    </x:row>
    <x:row r="146" ht="92" customHeight="1">
      <x:c r="A146" s="30" t="str">
        <x:v>QB1636</x:v>
      </x:c>
      <x:c r="B146" s="30" t="str">
        <x:v>Jefferies</x:v>
      </x:c>
      <x:c r="C146" s="30" t="str">
        <x:v>IBD / GCM</x:v>
      </x:c>
      <x:c r="D146" s="31" t="str">
        <x:v>How do you find the difference between management consulting and investment banking?</x:v>
      </x:c>
      <x:c r="E146" s="31" t="str">
        <x:v>How do you find the difference between management consulting and investment banking</x:v>
      </x:c>
      <x:c r="F146" s="31" t="str">
        <x:v>Other Question</x:v>
      </x:c>
      <x:c r="G146" s="30" t="str">
        <x:v>CL0411</x:v>
      </x:c>
      <x:c r="H146" s="32" t="n">
        <x:f>COUNTIF($G$5:$G$323,G146)</x:f>
        <x:v>1</x:v>
      </x:c>
      <x:c r="I146" s="30" t="str">
        <x:v>A19</x:v>
      </x:c>
      <x:c r="J146" s="31" t="str">
        <x:v>Precedent transactions – what are the pros and cons? | l Why would a company issue debt over equity? Why would a company issue equity over debt? | You worked at BNP and ING Bank, what do you think about the hours of banking? How do you f...</x:v>
      </x:c>
    </x:row>
    <x:row r="147" ht="68" customHeight="1">
      <x:c r="A147" s="30" t="str">
        <x:v>QB1639</x:v>
      </x:c>
      <x:c r="B147" s="30" t="str">
        <x:v>Jefferies</x:v>
      </x:c>
      <x:c r="C147" s="30" t="str">
        <x:v>IBD / GCM</x:v>
      </x:c>
      <x:c r="D147" s="31" t="str">
        <x:v>Did you follow the news yesterday – US election? Do you know how the market movement went after that?</x:v>
      </x:c>
      <x:c r="E147" s="31" t="str">
        <x:v>Did you follow the news yesterday – US election? Do you know how the market movement went after that</x:v>
      </x:c>
      <x:c r="F147" s="31" t="str">
        <x:v>Other Question</x:v>
      </x:c>
      <x:c r="G147" s="30" t="str">
        <x:v>CL0242</x:v>
      </x:c>
      <x:c r="H147" s="32" t="n">
        <x:f>COUNTIF($G$5:$G$323,G147)</x:f>
        <x:v>1</x:v>
      </x:c>
      <x:c r="I147" s="30" t="str">
        <x:v>C20</x:v>
      </x:c>
      <x:c r="J147" s="31" t="str">
        <x:v>Do you know about LBO? In what situations do you use it and in what situations do you not use it? | Compared to other valuation methodologies, how would their values differ? | HK market – bear market, what do you think about the HK marke...</x:v>
      </x:c>
    </x:row>
    <x:row r="148" ht="92" customHeight="1">
      <x:c r="A148" s="30" t="str">
        <x:v>QB1643</x:v>
      </x:c>
      <x:c r="B148" s="30" t="str">
        <x:v>Jefferies</x:v>
      </x:c>
      <x:c r="C148" s="30" t="str">
        <x:v>IBD / GCM</x:v>
      </x:c>
      <x:c r="D148" s="31" t="str">
        <x:v>If you are given 1 million dollars, and you are not allowed to use it to invest or make it grow, what would you use it for?</x:v>
      </x:c>
      <x:c r="E148" s="31" t="str">
        <x:v>If you are given 1 million dollars, and you are not allowed to use it to invest or make it grow, what would you use it for</x:v>
      </x:c>
      <x:c r="F148" s="31" t="str">
        <x:v>Other Question</x:v>
      </x:c>
      <x:c r="G148" s="30" t="str">
        <x:v>CL0526</x:v>
      </x:c>
      <x:c r="H148" s="32" t="n">
        <x:f>COUNTIF($G$5:$G$323,G148)</x:f>
        <x:v>1</x:v>
      </x:c>
      <x:c r="I148" s="30" t="str">
        <x:v>C23</x:v>
      </x:c>
      <x:c r="J148" s="31" t="str">
        <x:v>Did you follow the news yesterday – US election? Do you know how the market movement went after that? | Given the situation, how do you think it will affect the China and HK market? | Do you speak Mandarin? Use Mandarin to answer – if yo...</x:v>
      </x:c>
    </x:row>
    <x:row r="149" ht="92" customHeight="1">
      <x:c r="A149" s="30" t="str">
        <x:v>QB1644</x:v>
      </x:c>
      <x:c r="B149" s="30" t="str">
        <x:v>Jefferies</x:v>
      </x:c>
      <x:c r="C149" s="30" t="str">
        <x:v>IBD / GCM</x:v>
      </x:c>
      <x:c r="D149" s="31" t="str">
        <x:v>Do you know about the hours of investment banking?</x:v>
      </x:c>
      <x:c r="E149" s="31" t="str">
        <x:v>Do you know about the hours of investment banking</x:v>
      </x:c>
      <x:c r="F149" s="31" t="str">
        <x:v>Other Question</x:v>
      </x:c>
      <x:c r="G149" s="30" t="str">
        <x:v>CL0274</x:v>
      </x:c>
      <x:c r="H149" s="32" t="n">
        <x:f>COUNTIF($G$5:$G$323,G149)</x:f>
        <x:v>1</x:v>
      </x:c>
      <x:c r="I149" s="30" t="str">
        <x:v>C24</x:v>
      </x:c>
      <x:c r="J149" s="31" t="str">
        <x:v>Given the situation, how do you think it will affect the China and HK market? | Do you speak Mandarin? Use Mandarin to answer – if you are given a superpower, what do you want it to be? | If you are given 1 million dollars, and you are n...</x:v>
      </x:c>
    </x:row>
    <x:row r="150" ht="48" customHeight="1">
      <x:c r="A150" s="30" t="str">
        <x:v>QB1653</x:v>
      </x:c>
      <x:c r="B150" s="30" t="str">
        <x:v>Jefferies</x:v>
      </x:c>
      <x:c r="C150" s="30" t="str">
        <x:v>IBD / GCM</x:v>
      </x:c>
      <x:c r="D150" s="31" t="str">
        <x:v>l Does BNP have return?</x:v>
      </x:c>
      <x:c r="E150" s="31" t="str">
        <x:v>L Does BNP have return</x:v>
      </x:c>
      <x:c r="F150" s="31" t="str">
        <x:v>Other Question</x:v>
      </x:c>
      <x:c r="G150" s="30" t="str">
        <x:v>CL0036</x:v>
      </x:c>
      <x:c r="H150" s="32" t="n">
        <x:f>COUNTIF($G$5:$G$323,G150)</x:f>
        <x:v>2</x:v>
      </x:c>
      <x:c r="I150" s="30" t="str">
        <x:v>C31</x:v>
      </x:c>
      <x:c r="J150" s="31" t="str">
        <x:v>Do you know about the hours of investment banking? | Q&amp;A | 2nd Interviewer: Lance Wang, SVP (ED) TMT</x:v>
      </x:c>
    </x:row>
    <x:row r="151" ht="48" customHeight="1">
      <x:c r="A151" s="30" t="str">
        <x:v>QB1656</x:v>
      </x:c>
      <x:c r="B151" s="30" t="str">
        <x:v>Jefferies</x:v>
      </x:c>
      <x:c r="C151" s="30" t="str">
        <x:v>IBD / GCM</x:v>
      </x:c>
      <x:c r="D151" s="31" t="str">
        <x:v>Can ask me directly if you are interested in the details</x:v>
      </x:c>
      <x:c r="E151" s="31" t="str">
        <x:v>Can ask me directly if you are interested in the details</x:v>
      </x:c>
      <x:c r="F151" s="31" t="str">
        <x:v>Other Question</x:v>
      </x:c>
      <x:c r="G151" s="30" t="str">
        <x:v>CL0183</x:v>
      </x:c>
      <x:c r="H151" s="32" t="n">
        <x:f>COUNTIF($G$5:$G$323,G151)</x:f>
        <x:v>1</x:v>
      </x:c>
      <x:c r="I151" s="30" t="str">
        <x:v>E32</x:v>
      </x:c>
      <x:c r="J151" s="31" t="str">
        <x:v>Interviewer 3: Aric Hui, SVP (ED), Staffer | The whole session was just chitchatting in Cantonese 我真的服了哈哈哈哈</x:v>
      </x:c>
    </x:row>
    <x:row r="152" ht="48" customHeight="1">
      <x:c r="A152" s="30" t="str">
        <x:v>QB1657</x:v>
      </x:c>
      <x:c r="B152" s="30" t="str">
        <x:v>Jefferies</x:v>
      </x:c>
      <x:c r="C152" s="30" t="str">
        <x:v>IBD / GCM</x:v>
      </x:c>
      <x:c r="D152" s="31" t="str">
        <x:v>l Does BNP have return?</x:v>
      </x:c>
      <x:c r="E152" s="31" t="str">
        <x:v>L Does BNP have return</x:v>
      </x:c>
      <x:c r="F152" s="31" t="str">
        <x:v>Other Question</x:v>
      </x:c>
      <x:c r="G152" s="30" t="str">
        <x:v>CL0036</x:v>
      </x:c>
      <x:c r="H152" s="32" t="n">
        <x:f>COUNTIF($G$5:$G$323,G152)</x:f>
        <x:v>2</x:v>
      </x:c>
      <x:c r="I152" s="30" t="str">
        <x:v>A33</x:v>
      </x:c>
      <x:c r="J152" s="31" t="str">
        <x:v>Beata | 1st Interviewer: Philip Li, Head of HK Investment Banking, Consumer Retail | l Self-introduction</x:v>
      </x:c>
    </x:row>
    <x:row r="153" ht="48" customHeight="1">
      <x:c r="A153" s="30" t="str">
        <x:v>QB1662</x:v>
      </x:c>
      <x:c r="B153" s="30" t="str">
        <x:v>Jefferies</x:v>
      </x:c>
      <x:c r="C153" s="30" t="str">
        <x:v>IBD / GCM</x:v>
      </x:c>
      <x:c r="D153" s="31" t="str">
        <x:v>n do you know the market cap of Jefferies?</x:v>
      </x:c>
      <x:c r="E153" s="31" t="str">
        <x:v>N do you know the market cap of Jefferies</x:v>
      </x:c>
      <x:c r="F153" s="31" t="str">
        <x:v>Other Question</x:v>
      </x:c>
      <x:c r="G153" s="30" t="str">
        <x:v>CL0613</x:v>
      </x:c>
      <x:c r="H153" s="32" t="n">
        <x:f>COUNTIF($G$5:$G$323,G153)</x:f>
        <x:v>1</x:v>
      </x:c>
      <x:c r="I153" s="30" t="str">
        <x:v>G35</x:v>
      </x:c>
      <x:c r="J153" s="31" t="str">
        <x:v>Interviewer 4: Brian Chu, SVP Healthcare | l self introduction – doesn’t have my cv on hand | l tell me some factual things about Jefferies</x:v>
      </x:c>
    </x:row>
    <x:row r="154" ht="48" customHeight="1">
      <x:c r="A154" s="30" t="str">
        <x:v>QB1665</x:v>
      </x:c>
      <x:c r="B154" s="30" t="str">
        <x:v>Jefferies</x:v>
      </x:c>
      <x:c r="C154" s="30" t="str">
        <x:v>IBD / GCM</x:v>
      </x:c>
      <x:c r="D154" s="31" t="str">
        <x:v>l The China’s economy was not going well, what are some reasons behind? Are there any mitigants?</x:v>
      </x:c>
      <x:c r="E154" s="31" t="str">
        <x:v>L The China’s economy was not going well, what are some reasons behind? Are there any mitigants</x:v>
      </x:c>
      <x:c r="F154" s="31" t="str">
        <x:v>Other Question</x:v>
      </x:c>
      <x:c r="G154" s="30" t="str">
        <x:v>CL0583</x:v>
      </x:c>
      <x:c r="H154" s="32" t="n">
        <x:f>COUNTIF($G$5:$G$323,G154)</x:f>
        <x:v>1</x:v>
      </x:c>
      <x:c r="I154" s="30" t="str">
        <x:v>G37</x:v>
      </x:c>
      <x:c r="J154" s="31" t="str">
        <x:v>l self introduction – doesn’t have my cv on hand | l tell me some factual things about Jefferies | n do you know the market cap of Jefferies?</x:v>
      </x:c>
    </x:row>
    <x:row r="155" ht="118" customHeight="1">
      <x:c r="A155" s="30" t="str">
        <x:v>QB1672</x:v>
      </x:c>
      <x:c r="B155" s="30" t="str">
        <x:v>Jefferies</x:v>
      </x:c>
      <x:c r="C155" s="30" t="str">
        <x:v>IBD / GCM</x:v>
      </x:c>
      <x:c r="D155" s="31" t="str">
        <x:v>n You contacted the MD, and he didn’t respond, what would you do?</x:v>
      </x:c>
      <x:c r="E155" s="31" t="str">
        <x:v>N You contacted the MD, and he didn’t respond, what would you do</x:v>
      </x:c>
      <x:c r="F155" s="31" t="str">
        <x:v>Other Question</x:v>
      </x:c>
      <x:c r="G155" s="30" t="str">
        <x:v>CL0614</x:v>
      </x:c>
      <x:c r="H155" s="32" t="n">
        <x:f>COUNTIF($G$5:$G$323,G155)</x:f>
        <x:v>1</x:v>
      </x:c>
      <x:c r="I155" s="30" t="str">
        <x:v>G43</x:v>
      </x:c>
      <x:c r="J155" s="31" t="str">
        <x:v>l The China’s economy was not going well, what are some reasons behind? Are there any mitigants? | n Can also mention about geopolitical risks | l Imagine you are a Year 1 analyst, you have been working with the associate on a pitchbook,...</x:v>
      </x:c>
    </x:row>
    <x:row r="156" ht="32" customHeight="1">
      <x:c r="A156" s="30" t="str">
        <x:v>QB1691</x:v>
      </x:c>
      <x:c r="B156" s="30" t="str">
        <x:v>BNP Paribas</x:v>
      </x:c>
      <x:c r="C156" s="30" t="str">
        <x:v>IBD / GCM</x:v>
      </x:c>
      <x:c r="D156" s="31" t="str">
        <x:v>Do you know any PE firms</x:v>
      </x:c>
      <x:c r="E156" s="31" t="str">
        <x:v>Do you know any PE firms</x:v>
      </x:c>
      <x:c r="F156" s="31" t="str">
        <x:v>Other Question</x:v>
      </x:c>
      <x:c r="G156" s="30" t="str">
        <x:v>CL0275</x:v>
      </x:c>
      <x:c r="H156" s="32" t="n">
        <x:f>COUNTIF($G$5:$G$323,G156)</x:f>
        <x:v>1</x:v>
      </x:c>
      <x:c r="I156" s="30" t="str">
        <x:v>E6</x:v>
      </x:c>
      <x:c r="J156" s="31" t="str">
        <x:v>Third Interviewer | Leveraged Finance</x:v>
      </x:c>
    </x:row>
    <x:row r="157" ht="32" customHeight="1">
      <x:c r="A157" s="30" t="str">
        <x:v>QB1693</x:v>
      </x:c>
      <x:c r="B157" s="30" t="str">
        <x:v>BNP Paribas</x:v>
      </x:c>
      <x:c r="C157" s="30" t="str">
        <x:v>IBD / GCM</x:v>
      </x:c>
      <x:c r="D157" s="31" t="str">
        <x:v>What does a teaser include</x:v>
      </x:c>
      <x:c r="E157" s="31" t="str">
        <x:v>What does a teaser include</x:v>
      </x:c>
      <x:c r="F157" s="31" t="str">
        <x:v>Other Question</x:v>
      </x:c>
      <x:c r="G157" s="30" t="str">
        <x:v>CL0939</x:v>
      </x:c>
      <x:c r="H157" s="32" t="n">
        <x:f>COUNTIF($G$5:$G$323,G157)</x:f>
        <x:v>1</x:v>
      </x:c>
      <x:c r="I157" s="30" t="str">
        <x:v>A7</x:v>
      </x:c>
      <x:c r="J157" s="31" t="str">
        <x:v>Beata | M&amp;A | Buy-side and sell-side M&amp;A Process</x:v>
      </x:c>
    </x:row>
    <x:row r="158" ht="32" customHeight="1">
      <x:c r="A158" s="30" t="str">
        <x:v>QB1698</x:v>
      </x:c>
      <x:c r="B158" s="30" t="str">
        <x:v>BNP Paribas</x:v>
      </x:c>
      <x:c r="C158" s="30" t="str">
        <x:v>IBD / GCM</x:v>
      </x:c>
      <x:c r="D158" s="31" t="str">
        <x:v>What does a CIM include</x:v>
      </x:c>
      <x:c r="E158" s="31" t="str">
        <x:v>What does a CIM include</x:v>
      </x:c>
      <x:c r="F158" s="31" t="str">
        <x:v>Other Question</x:v>
      </x:c>
      <x:c r="G158" s="30" t="str">
        <x:v>CL0937</x:v>
      </x:c>
      <x:c r="H158" s="32" t="n">
        <x:f>COUNTIF($G$5:$G$323,G158)</x:f>
        <x:v>1</x:v>
      </x:c>
      <x:c r="I158" s="30" t="str">
        <x:v>A8</x:v>
      </x:c>
      <x:c r="J158" s="31" t="str">
        <x:v>M&amp;A | Buy-side and sell-side M&amp;A Process | What does a teaser include</x:v>
      </x:c>
    </x:row>
    <x:row r="159" ht="32" customHeight="1">
      <x:c r="A159" s="30" t="str">
        <x:v>QB1703</x:v>
      </x:c>
      <x:c r="B159" s="30" t="str">
        <x:v>BNP Paribas</x:v>
      </x:c>
      <x:c r="C159" s="30" t="str">
        <x:v>IBD / GCM</x:v>
      </x:c>
      <x:c r="D159" s="31" t="str">
        <x:v>What does a Letter of Intent include</x:v>
      </x:c>
      <x:c r="E159" s="31" t="str">
        <x:v>What does a Letter of Intent include</x:v>
      </x:c>
      <x:c r="F159" s="31" t="str">
        <x:v>Other Question</x:v>
      </x:c>
      <x:c r="G159" s="30" t="str">
        <x:v>CL0938</x:v>
      </x:c>
      <x:c r="H159" s="32" t="n">
        <x:f>COUNTIF($G$5:$G$323,G159)</x:f>
        <x:v>1</x:v>
      </x:c>
      <x:c r="I159" s="30" t="str">
        <x:v>A9</x:v>
      </x:c>
      <x:c r="J159" s="31" t="str">
        <x:v>Buy-side and sell-side M&amp;A Process | What does a teaser include | What does a CIM include</x:v>
      </x:c>
    </x:row>
    <x:row r="160" ht="68" customHeight="1">
      <x:c r="A160" s="30" t="str">
        <x:v>QB1704</x:v>
      </x:c>
      <x:c r="B160" s="30" t="str">
        <x:v>BNP Paribas</x:v>
      </x:c>
      <x:c r="C160" s="30" t="str">
        <x:v>IBD / GCM</x:v>
      </x:c>
      <x:c r="D160" s="31" t="str">
        <x:v>e.g. if the client has one property in HK, one in London, and just bought one in a Tier 3 city in Mainland, what will you do</x:v>
      </x:c>
      <x:c r="E160" s="31" t="str">
        <x:v>E.g. if the client has one property in HK, one in London, and just bought one in a Tier 3 city in Mainland, what will you do</x:v>
      </x:c>
      <x:c r="F160" s="31" t="str">
        <x:v>Other Question</x:v>
      </x:c>
      <x:c r="G160" s="30" t="str">
        <x:v>CL0306</x:v>
      </x:c>
      <x:c r="H160" s="32" t="n">
        <x:f>COUNTIF($G$5:$G$323,G160)</x:f>
        <x:v>1</x:v>
      </x:c>
      <x:c r="I160" s="30" t="str">
        <x:v>C9</x:v>
      </x:c>
      <x:c r="J160" s="31" t="str">
        <x:v>What do you know about DCM (not sure if she asked) | If you're lending money to an individual, what do you need to do during due diligence | Since you mentioned about doing dd on their assets, what kind of assets</x:v>
      </x:c>
    </x:row>
    <x:row r="161" ht="68" customHeight="1">
      <x:c r="A161" s="30" t="str">
        <x:v>QB1706</x:v>
      </x:c>
      <x:c r="B161" s="30" t="str">
        <x:v>BNP Paribas</x:v>
      </x:c>
      <x:c r="C161" s="30" t="str">
        <x:v>IBD / GCM</x:v>
      </x:c>
      <x:c r="D161" s="31" t="str">
        <x:v>where do u find the inputs</x:v>
      </x:c>
      <x:c r="E161" s="31" t="str">
        <x:v>Where do u find the inputs</x:v>
      </x:c>
      <x:c r="F161" s="31" t="str">
        <x:v>Other Question</x:v>
      </x:c>
      <x:c r="G161" s="30" t="str">
        <x:v>CL1086</x:v>
      </x:c>
      <x:c r="H161" s="32" t="n">
        <x:f>COUNTIF($G$5:$G$323,G161)</x:f>
        <x:v>1</x:v>
      </x:c>
      <x:c r="I161" s="30" t="str">
        <x:v>G9</x:v>
      </x:c>
      <x:c r="J161" s="31" t="str">
        <x:v>Suppose you want to do valuation for a pet food company, what are some common valuation methodologies | Deep dive into each - DCF, comps, precedent transactions | e.g. what are some inputs for comps</x:v>
      </x:c>
    </x:row>
    <x:row r="162" ht="48" customHeight="1">
      <x:c r="A162" s="30" t="str">
        <x:v>QB1770</x:v>
      </x:c>
      <x:c r="B162" s="30" t="str">
        <x:v>BNP Paribas</x:v>
      </x:c>
      <x:c r="C162" s="30" t="str">
        <x:v>IBD / GCM</x:v>
      </x:c>
      <x:c r="D162" s="31" t="str">
        <x:v>Different ways of privatisation?</x:v>
      </x:c>
      <x:c r="E162" s="31" t="str">
        <x:v>Different ways of privatisation</x:v>
      </x:c>
      <x:c r="F162" s="31" t="str">
        <x:v>Other Question</x:v>
      </x:c>
      <x:c r="G162" s="30" t="str">
        <x:v>CL0256</x:v>
      </x:c>
      <x:c r="H162" s="32" t="n">
        <x:f>COUNTIF($G$5:$G$323,G162)</x:f>
        <x:v>1</x:v>
      </x:c>
      <x:c r="I162" s="30" t="str">
        <x:v>C36</x:v>
      </x:c>
      <x:c r="J162" s="31" t="str">
        <x:v>The language is translated from Mandarin to English. | Asso (English + Mandarin) | What did you do in the M&amp;A precedent transaction research? The purpose?</x:v>
      </x:c>
    </x:row>
    <x:row r="163" ht="48" customHeight="1">
      <x:c r="A163" s="30" t="str">
        <x:v>QB1777</x:v>
      </x:c>
      <x:c r="B163" s="30" t="str">
        <x:v>BNP Paribas</x:v>
      </x:c>
      <x:c r="C163" s="30" t="str">
        <x:v>IBD / GCM</x:v>
      </x:c>
      <x:c r="D163" s="31" t="str">
        <x:v>When to use EV, when P/E</x:v>
      </x:c>
      <x:c r="E163" s="31" t="str">
        <x:v>When to use EV, when P/E</x:v>
      </x:c>
      <x:c r="F163" s="31" t="str">
        <x:v>Other Question</x:v>
      </x:c>
      <x:c r="G163" s="30" t="str">
        <x:v>CL1080</x:v>
      </x:c>
      <x:c r="H163" s="32" t="n">
        <x:f>COUNTIF($G$5:$G$323,G163)</x:f>
        <x:v>1</x:v>
      </x:c>
      <x:c r="I163" s="30" t="str">
        <x:v>E38</x:v>
      </x:c>
      <x:c r="J163" s="31" t="str">
        <x:v>Walk through experiences, show understanding of M&amp;A | Multiples used in comps | Difference between EV/ebitda, EV/revenue</x:v>
      </x:c>
    </x:row>
    <x:row r="164" ht="68" customHeight="1">
      <x:c r="A164" s="30" t="str">
        <x:v>QB1778</x:v>
      </x:c>
      <x:c r="B164" s="30" t="str">
        <x:v>BNP Paribas</x:v>
      </x:c>
      <x:c r="C164" s="30" t="str">
        <x:v>IBD / GCM</x:v>
      </x:c>
      <x:c r="D164" s="31" t="str">
        <x:v>About my investment memo — what were the key investment highlights?</x:v>
      </x:c>
      <x:c r="E164" s="31" t="str">
        <x:v>About my investment memo — what were the key investment highlights</x:v>
      </x:c>
      <x:c r="F164" s="31" t="str">
        <x:v>Other Question</x:v>
      </x:c>
      <x:c r="G164" s="30" t="str">
        <x:v>CL0097</x:v>
      </x:c>
      <x:c r="H164" s="32" t="n">
        <x:f>COUNTIF($G$5:$G$323,G164)</x:f>
        <x:v>1</x:v>
      </x:c>
      <x:c r="I164" s="30" t="str">
        <x:v>A39</x:v>
      </x:c>
      <x:c r="J164" s="31" t="str">
        <x:v>Detailed questions on lastest internship (start with "tell us what did you do...") | Talk about the healthcare deal mentioned | Industry insights - healthcare verticals (basic)</x:v>
      </x:c>
    </x:row>
    <x:row r="165" ht="48" customHeight="1">
      <x:c r="A165" s="30" t="str">
        <x:v>QB1780</x:v>
      </x:c>
      <x:c r="B165" s="30" t="str">
        <x:v>BNP Paribas</x:v>
      </x:c>
      <x:c r="C165" s="30" t="str">
        <x:v>IBD / GCM</x:v>
      </x:c>
      <x:c r="D165" s="31" t="str">
        <x:v>Trailing or forward?</x:v>
      </x:c>
      <x:c r="E165" s="31" t="str">
        <x:v>Trailing or forward</x:v>
      </x:c>
      <x:c r="F165" s="31" t="str">
        <x:v>Other Question</x:v>
      </x:c>
      <x:c r="G165" s="30" t="str">
        <x:v>CL0801</x:v>
      </x:c>
      <x:c r="H165" s="32" t="n">
        <x:f>COUNTIF($G$5:$G$323,G165)</x:f>
        <x:v>1</x:v>
      </x:c>
      <x:c r="I165" s="30" t="str">
        <x:v>E39</x:v>
      </x:c>
      <x:c r="J165" s="31" t="str">
        <x:v>Multiples used in comps | Difference between EV/ebitda, EV/revenue | When to use EV, when P/E</x:v>
      </x:c>
    </x:row>
    <x:row r="166" ht="48" customHeight="1">
      <x:c r="A166" s="30" t="str">
        <x:v>QB1788</x:v>
      </x:c>
      <x:c r="B166" s="30" t="str">
        <x:v>BNP Paribas</x:v>
      </x:c>
      <x:c r="C166" s="30" t="str">
        <x:v>IBD / GCM</x:v>
      </x:c>
      <x:c r="D166" s="31" t="str">
        <x:v>Do you know IFRS 16?</x:v>
      </x:c>
      <x:c r="E166" s="31" t="str">
        <x:v>Do you know IFRS 16</x:v>
      </x:c>
      <x:c r="F166" s="31" t="str">
        <x:v>Other Question</x:v>
      </x:c>
      <x:c r="G166" s="30" t="str">
        <x:v>CL0278</x:v>
      </x:c>
      <x:c r="H166" s="32" t="n">
        <x:f>COUNTIF($G$5:$G$323,G166)</x:f>
        <x:v>1</x:v>
      </x:c>
      <x:c r="I166" s="30" t="str">
        <x:v>E42</x:v>
      </x:c>
      <x:c r="J166" s="31" t="str">
        <x:v>Trailing or forward? | DCF - Time period of estimated | DCF - PV proportion of the growth period and the TV</x:v>
      </x:c>
    </x:row>
    <x:row r="167" ht="48" customHeight="1">
      <x:c r="A167" s="30" t="str">
        <x:v>QB1798</x:v>
      </x:c>
      <x:c r="B167" s="30" t="str">
        <x:v>BNP Paribas</x:v>
      </x:c>
      <x:c r="C167" s="30" t="str">
        <x:v>IBD / GCM</x:v>
      </x:c>
      <x:c r="D167" s="31" t="str">
        <x:v>What key metrics would you focus on in healthcare</x:v>
      </x:c>
      <x:c r="E167" s="31" t="str">
        <x:v>What key metrics would you focus on in healthcare</x:v>
      </x:c>
      <x:c r="F167" s="31" t="str">
        <x:v>Other Question</x:v>
      </x:c>
      <x:c r="G167" s="30" t="str">
        <x:v>CL1006</x:v>
      </x:c>
      <x:c r="H167" s="32" t="n">
        <x:f>COUNTIF($G$5:$G$323,G167)</x:f>
        <x:v>1</x:v>
      </x:c>
      <x:c r="I167" s="30" t="str">
        <x:v>A46</x:v>
      </x:c>
      <x:c r="J167" s="31" t="str">
        <x:v>How do you get beta (levered/unlevered) | Asked about SOTP (talked about the logistics but not detail) | How the 3 statements are linked</x:v>
      </x:c>
    </x:row>
    <x:row r="168" ht="68" customHeight="1">
      <x:c r="A168" s="30" t="str">
        <x:v>QB1800</x:v>
      </x:c>
      <x:c r="B168" s="30" t="str">
        <x:v>BNP Paribas</x:v>
      </x:c>
      <x:c r="C168" s="30" t="str">
        <x:v>IBD / GCM</x:v>
      </x:c>
      <x:c r="D168" s="31" t="str">
        <x:v>What you expect to learn here</x:v>
      </x:c>
      <x:c r="E168" s="31" t="str">
        <x:v>What you expect to learn here</x:v>
      </x:c>
      <x:c r="F168" s="31" t="str">
        <x:v>Other Question</x:v>
      </x:c>
      <x:c r="G168" s="30" t="str">
        <x:v>CL1041</x:v>
      </x:c>
      <x:c r="H168" s="32" t="n">
        <x:f>COUNTIF($G$5:$G$323,G168)</x:f>
        <x:v>1</x:v>
      </x:c>
      <x:c r="I168" s="30" t="str">
        <x:v>E46</x:v>
      </x:c>
      <x:c r="J168" s="31" t="str">
        <x:v>Industry you familiar with (I talked about EV, as they have worked on deals in EV) | Discussed about their deals | Tell me more about your research task on the healthcare supplement industry</x:v>
      </x:c>
    </x:row>
    <x:row r="169" ht="32" customHeight="1">
      <x:c r="A169" s="30" t="str">
        <x:v>QB1812</x:v>
      </x:c>
      <x:c r="B169" s="30" t="str">
        <x:v>HSBC</x:v>
      </x:c>
      <x:c r="C169" s="30" t="str">
        <x:v>IBD / GCM</x:v>
      </x:c>
      <x:c r="D169" s="31" t="str">
        <x:v>How to pronounce your name</x:v>
      </x:c>
      <x:c r="E169" s="31" t="str">
        <x:v>How to pronounce your name</x:v>
      </x:c>
      <x:c r="F169" s="31" t="str">
        <x:v>Other Question</x:v>
      </x:c>
      <x:c r="G169" s="30" t="str">
        <x:v>CL0022</x:v>
      </x:c>
      <x:c r="H169" s="32" t="n">
        <x:f>COUNTIF($G$5:$G$323,G169)</x:f>
        <x:v>3</x:v>
      </x:c>
      <x:c r="I169" s="30" t="str">
        <x:v>A6</x:v>
      </x:c>
      <x:c r="J169" s="31" t="str">
        <x:v>First Interviewer | Beata | Cliff Ye (Head of Consumer &amp; Retail)</x:v>
      </x:c>
    </x:row>
    <x:row r="170" ht="32" customHeight="1">
      <x:c r="A170" s="30" t="str">
        <x:v>QB1813</x:v>
      </x:c>
      <x:c r="B170" s="30" t="str">
        <x:v>HSBC</x:v>
      </x:c>
      <x:c r="C170" s="30" t="str">
        <x:v>IBD / GCM</x:v>
      </x:c>
      <x:c r="D170" s="31" t="str">
        <x:v>How to pronounce your name</x:v>
      </x:c>
      <x:c r="E170" s="31" t="str">
        <x:v>How to pronounce your name</x:v>
      </x:c>
      <x:c r="F170" s="31" t="str">
        <x:v>Other Question</x:v>
      </x:c>
      <x:c r="G170" s="30" t="str">
        <x:v>CL0022</x:v>
      </x:c>
      <x:c r="H170" s="32" t="n">
        <x:f>COUNTIF($G$5:$G$323,G170)</x:f>
        <x:v>3</x:v>
      </x:c>
      <x:c r="I170" s="30" t="str">
        <x:v>C6</x:v>
      </x:c>
      <x:c r="J170" s="31" t="str">
        <x:v>Second Interviewer | Delphine Lee (DCM)</x:v>
      </x:c>
    </x:row>
    <x:row r="171" ht="32" customHeight="1">
      <x:c r="A171" s="30" t="str">
        <x:v>QB1814</x:v>
      </x:c>
      <x:c r="B171" s="30" t="str">
        <x:v>HSBC</x:v>
      </x:c>
      <x:c r="C171" s="30" t="str">
        <x:v>IBD / GCM</x:v>
      </x:c>
      <x:c r="D171" s="31" t="str">
        <x:v>How to pronounce your name</x:v>
      </x:c>
      <x:c r="E171" s="31" t="str">
        <x:v>How to pronounce your name</x:v>
      </x:c>
      <x:c r="F171" s="31" t="str">
        <x:v>Other Question</x:v>
      </x:c>
      <x:c r="G171" s="30" t="str">
        <x:v>CL0022</x:v>
      </x:c>
      <x:c r="H171" s="32" t="n">
        <x:f>COUNTIF($G$5:$G$323,G171)</x:f>
        <x:v>3</x:v>
      </x:c>
      <x:c r="I171" s="30" t="str">
        <x:v>E6</x:v>
      </x:c>
      <x:c r="J171" s="31" t="str">
        <x:v>Third Interviewer | Gu Haibo (Head of ECM)</x:v>
      </x:c>
    </x:row>
    <x:row r="172" ht="32" customHeight="1">
      <x:c r="A172" s="30" t="str">
        <x:v>QB1818</x:v>
      </x:c>
      <x:c r="B172" s="30" t="str">
        <x:v>HSBC</x:v>
      </x:c>
      <x:c r="C172" s="30" t="str">
        <x:v>IBD / GCM</x:v>
      </x:c>
      <x:c r="D172" s="31" t="str">
        <x:v>What are your hobbies, show me your Instagram filters</x:v>
      </x:c>
      <x:c r="E172" s="31" t="str">
        <x:v>What are your interests outside work and school?</x:v>
      </x:c>
      <x:c r="F172" s="31" t="str">
        <x:v>Other Question</x:v>
      </x:c>
      <x:c r="G172" s="30" t="str">
        <x:v>CL0014</x:v>
      </x:c>
      <x:c r="H172" s="32" t="n">
        <x:f>COUNTIF($G$5:$G$323,G172)</x:f>
        <x:v>6</x:v>
      </x:c>
      <x:c r="I172" s="30" t="str">
        <x:v>A8</x:v>
      </x:c>
      <x:c r="J172" s="31" t="str">
        <x:v>Cliff Ye (Head of Consumer &amp; Retail) | How to pronounce your name | Chit Chat</x:v>
      </x:c>
    </x:row>
    <x:row r="173" ht="68" customHeight="1">
      <x:c r="A173" s="30" t="str">
        <x:v>QB1861</x:v>
      </x:c>
      <x:c r="B173" s="30" t="str">
        <x:v>HSBC</x:v>
      </x:c>
      <x:c r="C173" s="30" t="str">
        <x:v>IBD / GCM</x:v>
      </x:c>
      <x:c r="D173" s="31" t="str">
        <x:v>Do you think you have a thin skin or thick skin</x:v>
      </x:c>
      <x:c r="E173" s="31" t="str">
        <x:v>Do you think you have a thin skin or thick skin</x:v>
      </x:c>
      <x:c r="F173" s="31" t="str">
        <x:v>Other Question</x:v>
      </x:c>
      <x:c r="G173" s="30" t="str">
        <x:v>CL0300</x:v>
      </x:c>
      <x:c r="H173" s="32" t="n">
        <x:f>COUNTIF($G$5:$G$323,G173)</x:f>
        <x:v>1</x:v>
      </x:c>
      <x:c r="I173" s="30" t="str">
        <x:v>C22</x:v>
      </x:c>
      <x:c r="J173" s="31" t="str">
        <x:v>beta for tech companies | Do you think it's cheaper for Tech companies like Alibaba and Tencent to raise funds or bluechip companies | What's your biggest weakness</x:v>
      </x:c>
    </x:row>
    <x:row r="174" ht="68" customHeight="1">
      <x:c r="A174" s="30" t="str">
        <x:v>QB1864</x:v>
      </x:c>
      <x:c r="B174" s="30" t="str">
        <x:v>HSBC</x:v>
      </x:c>
      <x:c r="C174" s="30" t="str">
        <x:v>IBD / GCM</x:v>
      </x:c>
      <x:c r="D174" s="31" t="str">
        <x:v>Tell me a time when you XXX</x:v>
      </x:c>
      <x:c r="E174" s="31" t="str">
        <x:v>Tell me a time when you XXX</x:v>
      </x:c>
      <x:c r="F174" s="31" t="str">
        <x:v>Other Question</x:v>
      </x:c>
      <x:c r="G174" s="30" t="str">
        <x:v>CL0709</x:v>
      </x:c>
      <x:c r="H174" s="32" t="n">
        <x:f>COUNTIF($G$5:$G$323,G174)</x:f>
        <x:v>1</x:v>
      </x:c>
      <x:c r="I174" s="30" t="str">
        <x:v>C23</x:v>
      </x:c>
      <x:c r="J174" s="31" t="str">
        <x:v>Do you think it's cheaper for Tech companies like Alibaba and Tencent to raise funds or bluechip companies | What's your biggest weakness | Do you think you have a thin skin or thick skin</x:v>
      </x:c>
    </x:row>
    <x:row r="175" ht="48" customHeight="1">
      <x:c r="A175" s="30" t="str">
        <x:v>QB1867</x:v>
      </x:c>
      <x:c r="B175" s="30" t="str">
        <x:v>HSBC</x:v>
      </x:c>
      <x:c r="C175" s="30" t="str">
        <x:v>IBD / GCM</x:v>
      </x:c>
      <x:c r="D175" s="31" t="str">
        <x:v>workplace scenario Q?? dont remember if she did</x:v>
      </x:c>
      <x:c r="E175" s="31" t="str">
        <x:v>Workplace scenario Q?? dont remember if she did</x:v>
      </x:c>
      <x:c r="F175" s="31" t="str">
        <x:v>Other Question</x:v>
      </x:c>
      <x:c r="G175" s="30" t="str">
        <x:v>CL1190</x:v>
      </x:c>
      <x:c r="H175" s="32" t="n">
        <x:f>COUNTIF($G$5:$G$323,G175)</x:f>
        <x:v>1</x:v>
      </x:c>
      <x:c r="I175" s="30" t="str">
        <x:v>C24</x:v>
      </x:c>
      <x:c r="J175" s="31" t="str">
        <x:v>What's your biggest weakness | Do you think you have a thin skin or thick skin | Tell me a time when you XXX</x:v>
      </x:c>
    </x:row>
    <x:row r="176" ht="48" customHeight="1">
      <x:c r="A176" s="30" t="str">
        <x:v>QB1869</x:v>
      </x:c>
      <x:c r="B176" s="30" t="str">
        <x:v>HSBC</x:v>
      </x:c>
      <x:c r="C176" s="30" t="str">
        <x:v>IBD / GCM</x:v>
      </x:c>
      <x:c r="D176" s="31" t="str">
        <x:v>asked about something related to AMPB??? dont remember if she did</x:v>
      </x:c>
      <x:c r="E176" s="31" t="str">
        <x:v>Asked about something related to AMPB??? dont remember if she did</x:v>
      </x:c>
      <x:c r="F176" s="31" t="str">
        <x:v>Other Question</x:v>
      </x:c>
      <x:c r="G176" s="30" t="str">
        <x:v>CL0145</x:v>
      </x:c>
      <x:c r="H176" s="32" t="n">
        <x:f>COUNTIF($G$5:$G$323,G176)</x:f>
        <x:v>1</x:v>
      </x:c>
      <x:c r="I176" s="30" t="str">
        <x:v>C25</x:v>
      </x:c>
      <x:c r="J176" s="31" t="str">
        <x:v>Do you think you have a thin skin or thick skin | Tell me a time when you XXX | workplace scenario Q?? dont remember if she did</x:v>
      </x:c>
    </x:row>
    <x:row r="177" ht="68" customHeight="1">
      <x:c r="A177" s="30" t="str">
        <x:v>QB1882</x:v>
      </x:c>
      <x:c r="B177" s="30" t="str">
        <x:v>HSBC</x:v>
      </x:c>
      <x:c r="C177" s="30" t="str">
        <x:v>IBD / GCM</x:v>
      </x:c>
      <x:c r="D177" s="31" t="str">
        <x:v>how to?</x:v>
      </x:c>
      <x:c r="E177" s="31" t="str">
        <x:v>How to</x:v>
      </x:c>
      <x:c r="F177" s="31" t="str">
        <x:v>Other Question</x:v>
      </x:c>
      <x:c r="G177" s="30" t="str">
        <x:v>CL0460</x:v>
      </x:c>
      <x:c r="H177" s="32" t="n">
        <x:f>COUNTIF($G$5:$G$323,G177)</x:f>
        <x:v>1</x:v>
      </x:c>
      <x:c r="I177" s="30" t="str">
        <x:v>A39</x:v>
      </x:c>
      <x:c r="J177" s="31" t="str">
        <x:v>a story of how you get inputs (advice) from other people; | do you think it's possible that people can give excellent result on all the given tasks? why? | (i said yes possible)</x:v>
      </x:c>
    </x:row>
    <x:row r="178" ht="48" customHeight="1">
      <x:c r="A178" s="30" t="str">
        <x:v>QB1890</x:v>
      </x:c>
      <x:c r="B178" s="30" t="str">
        <x:v>Lazard</x:v>
      </x:c>
      <x:c r="C178" s="30" t="str">
        <x:v>IBD / GCM</x:v>
      </x:c>
      <x:c r="D178" s="31" t="str">
        <x:v>Walk through one of the projects you have engaged in</x:v>
      </x:c>
      <x:c r="E178" s="31" t="str">
        <x:v>Walk through one of the projects you have engaged in</x:v>
      </x:c>
      <x:c r="F178" s="31" t="str">
        <x:v>Other Question</x:v>
      </x:c>
      <x:c r="G178" s="30" t="str">
        <x:v>CL0850</x:v>
      </x:c>
      <x:c r="H178" s="32" t="n">
        <x:f>COUNTIF($G$5:$G$323,G178)</x:f>
        <x:v>1</x:v>
      </x:c>
      <x:c r="I178" s="30" t="str">
        <x:v>C4</x:v>
      </x:c>
      <x:c r="J178" s="31" t="str">
        <x:v>2025 H2 Off-cycle Kate Final Round (1st round was 2 analysts with basic 400q questions) | 1st Interview - Mengxin Liu (VP) in Chinese | Self introduction</x:v>
      </x:c>
    </x:row>
    <x:row r="179" ht="32" customHeight="1">
      <x:c r="A179" s="30" t="str">
        <x:v>QB1891</x:v>
      </x:c>
      <x:c r="B179" s="30" t="str">
        <x:v>Lazard</x:v>
      </x:c>
      <x:c r="C179" s="30" t="str">
        <x:v>IBD / GCM</x:v>
      </x:c>
      <x:c r="D179" s="31" t="str">
        <x:v>Process of M&amp;A?</x:v>
      </x:c>
      <x:c r="E179" s="31" t="str">
        <x:v>Process of M&amp;A</x:v>
      </x:c>
      <x:c r="F179" s="31" t="str">
        <x:v>Other Question</x:v>
      </x:c>
      <x:c r="G179" s="30" t="str">
        <x:v>CL0653</x:v>
      </x:c>
      <x:c r="H179" s="32" t="n">
        <x:f>COUNTIF($G$5:$G$323,G179)</x:f>
        <x:v>1</x:v>
      </x:c>
      <x:c r="I179" s="30" t="str">
        <x:v>A5</x:v>
      </x:c>
      <x:c r="J179" s="31" t="str">
        <x:v>1st interview | Self intro | Major responsibilities in deal, company and industry overview</x:v>
      </x:c>
    </x:row>
    <x:row r="180" ht="48" customHeight="1">
      <x:c r="A180" s="30" t="str">
        <x:v>QB1897</x:v>
      </x:c>
      <x:c r="B180" s="30" t="str">
        <x:v>Lazard</x:v>
      </x:c>
      <x:c r="C180" s="30" t="str">
        <x:v>IBD / GCM</x:v>
      </x:c>
      <x:c r="D180" s="31" t="str">
        <x:v>Buying intangible asset counted as CAPEX?</x:v>
      </x:c>
      <x:c r="E180" s="31" t="str">
        <x:v>Buying intangible asset counted as CAPEX</x:v>
      </x:c>
      <x:c r="F180" s="31" t="str">
        <x:v>Other Question</x:v>
      </x:c>
      <x:c r="G180" s="30" t="str">
        <x:v>CL0179</x:v>
      </x:c>
      <x:c r="H180" s="32" t="n">
        <x:f>COUNTIF($G$5:$G$323,G180)</x:f>
        <x:v>1</x:v>
      </x:c>
      <x:c r="I180" s="30" t="str">
        <x:v>A8</x:v>
      </x:c>
      <x:c r="J180" s="31" t="str">
        <x:v>Process of M&amp;A? | What are the main factors of choosing the final buyer in M&amp;A as a sellside advisor? | Walk me through DCF and WACC for formula</x:v>
      </x:c>
    </x:row>
    <x:row r="181" ht="48" customHeight="1">
      <x:c r="A181" s="30" t="str">
        <x:v>QB1905</x:v>
      </x:c>
      <x:c r="B181" s="30" t="str">
        <x:v>Lazard</x:v>
      </x:c>
      <x:c r="C181" s="30" t="str">
        <x:v>IBD / GCM</x:v>
      </x:c>
      <x:c r="D181" s="31" t="str">
        <x:v>How to get capital structure (%equity %debt)</x:v>
      </x:c>
      <x:c r="E181" s="31" t="str">
        <x:v>How should a company choose between debt and equity financing?</x:v>
      </x:c>
      <x:c r="F181" s="31" t="str">
        <x:v>Other Question</x:v>
      </x:c>
      <x:c r="G181" s="30" t="str">
        <x:v>CL0005</x:v>
      </x:c>
      <x:c r="H181" s="32" t="n">
        <x:f>COUNTIF($G$5:$G$323,G181)</x:f>
        <x:v>2</x:v>
      </x:c>
      <x:c r="I181" s="30" t="str">
        <x:v>C12</x:v>
      </x:c>
      <x:c r="J181" s="31" t="str">
        <x:v>What is the 3 ways of privitization and what’s the difference | Walk me through DCF | Revenue to EBIT? WACC?</x:v>
      </x:c>
    </x:row>
    <x:row r="182" ht="48" customHeight="1">
      <x:c r="A182" s="30" t="str">
        <x:v>QB1912</x:v>
      </x:c>
      <x:c r="B182" s="30" t="str">
        <x:v>Lazard</x:v>
      </x:c>
      <x:c r="C182" s="30" t="str">
        <x:v>IBD / GCM</x:v>
      </x:c>
      <x:c r="D182" s="31" t="str">
        <x:v>What are typical components in CIM and Management presentation?</x:v>
      </x:c>
      <x:c r="E182" s="31" t="str">
        <x:v>What are typical components in CIM and Management presentation</x:v>
      </x:c>
      <x:c r="F182" s="31" t="str">
        <x:v>Other Question</x:v>
      </x:c>
      <x:c r="G182" s="30" t="str">
        <x:v>CL0885</x:v>
      </x:c>
      <x:c r="H182" s="32" t="n">
        <x:f>COUNTIF($G$5:$G$323,G182)</x:f>
        <x:v>1</x:v>
      </x:c>
      <x:c r="I182" s="30" t="str">
        <x:v>A16</x:v>
      </x:c>
      <x:c r="J182" s="31" t="str">
        <x:v>Self intro | Major responsibilities in deal, company and industry overview | Why CPS vs debt or common equity?</x:v>
      </x:c>
    </x:row>
    <x:row r="183" ht="68" customHeight="1">
      <x:c r="A183" s="30" t="str">
        <x:v>QB1927</x:v>
      </x:c>
      <x:c r="B183" s="30" t="str">
        <x:v>Lazard</x:v>
      </x:c>
      <x:c r="C183" s="30" t="str">
        <x:v>IBD / GCM</x:v>
      </x:c>
      <x:c r="D183" s="31" t="str">
        <x:v>Which business segment has the highest CAPEX? Does not make sense for the EPC segment to have CAPEX, what kind of CAPEX?</x:v>
      </x:c>
      <x:c r="E183" s="31" t="str">
        <x:v>Which business segment has the highest CAPEX? Does not make sense for the EPC segment to have CAPEX, what kind of CAPEX</x:v>
      </x:c>
      <x:c r="F183" s="31" t="str">
        <x:v>Other Question</x:v>
      </x:c>
      <x:c r="G183" s="30" t="str">
        <x:v>CL1091</x:v>
      </x:c>
      <x:c r="H183" s="32" t="n">
        <x:f>COUNTIF($G$5:$G$323,G183)</x:f>
        <x:v>1</x:v>
      </x:c>
      <x:c r="I183" s="30" t="str">
        <x:v>A24</x:v>
      </x:c>
      <x:c r="J183" s="31" t="str">
        <x:v>What multiples you used for comps? EV/MW makes sense? | DCF revenue stream breakdown? | About biz model: so only installation? Do they manufacture these products themselves? Do they build factory?</x:v>
      </x:c>
    </x:row>
    <x:row r="184" ht="48" customHeight="1">
      <x:c r="A184" s="30" t="str">
        <x:v>QB1935</x:v>
      </x:c>
      <x:c r="B184" s="30" t="str">
        <x:v>Lazard</x:v>
      </x:c>
      <x:c r="C184" s="30" t="str">
        <x:v>IBD / GCM</x:v>
      </x:c>
      <x:c r="D184" s="31" t="str">
        <x:v>那你覺得加盟店最大的挑戰是什麼？</x:v>
      </x:c>
      <x:c r="E184" s="31" t="str">
        <x:v>那你覺得加盟店最大的挑戰是什麼</x:v>
      </x:c>
      <x:c r="F184" s="31" t="str">
        <x:v>Other Question</x:v>
      </x:c>
      <x:c r="G184" s="30" t="str">
        <x:v>CL1257</x:v>
      </x:c>
      <x:c r="H184" s="32" t="n">
        <x:f>COUNTIF($G$5:$G$323,G184)</x:f>
        <x:v>1</x:v>
      </x:c>
      <x:c r="I184" s="30" t="str">
        <x:v>A33</x:v>
      </x:c>
      <x:c r="J184" s="31" t="str">
        <x:v>(Aside from the self introduction part, it was conducted in full Mandarin) | What did you do in BNP? | (Talked about a pitch on a Chinese chain restaurant)</x:v>
      </x:c>
    </x:row>
    <x:row r="185" ht="68" customHeight="1">
      <x:c r="A185" s="30" t="str">
        <x:v>QB1956</x:v>
      </x:c>
      <x:c r="B185" s="30" t="str">
        <x:v>Lazard</x:v>
      </x:c>
      <x:c r="C185" s="30" t="str">
        <x:v>IBD / GCM</x:v>
      </x:c>
      <x:c r="D185" s="31" t="str">
        <x:v>Does buying intangible assets count as CAPEX? (think it's a must-ask question for this interviewer lol, my friends also got the same question)</x:v>
      </x:c>
      <x:c r="E185" s="31" t="str">
        <x:v>Does buying intangible assets count as CAPEX? (think it's a must-ask question for this interviewer lol, my friends also got the same question)</x:v>
      </x:c>
      <x:c r="F185" s="31" t="str">
        <x:v>Other Question</x:v>
      </x:c>
      <x:c r="G185" s="30" t="str">
        <x:v>CL0302</x:v>
      </x:c>
      <x:c r="H185" s="32" t="n">
        <x:f>COUNTIF($G$5:$G$323,G185)</x:f>
        <x:v>1</x:v>
      </x:c>
      <x:c r="I185" s="30" t="str">
        <x:v>A56</x:v>
      </x:c>
      <x:c r="J185" s="31" t="str">
        <x:v>WACC calculation | Your client is a pe, it wants to sell a pets portfolio company, help it sell, 3 submitted offers showing interest, how to choose the buyer | For private companies - how to find the equity value</x:v>
      </x:c>
    </x:row>
    <x:row r="186" ht="48" customHeight="1">
      <x:c r="A186" s="30" t="str">
        <x:v>QB2010</x:v>
      </x:c>
      <x:c r="B186" s="30" t="str">
        <x:v>Nomura</x:v>
      </x:c>
      <x:c r="C186" s="30" t="str">
        <x:v>IBD / GCM</x:v>
      </x:c>
      <x:c r="D186" s="31" t="str">
        <x:v>tell me about your first job - tech startup</x:v>
      </x:c>
      <x:c r="E186" s="31" t="str">
        <x:v>Tell me about your first job - tech startup</x:v>
      </x:c>
      <x:c r="F186" s="31" t="str">
        <x:v>Other Question</x:v>
      </x:c>
      <x:c r="G186" s="30" t="str">
        <x:v>CL0753</x:v>
      </x:c>
      <x:c r="H186" s="32" t="n">
        <x:f>COUNTIF($G$5:$G$323,G186)</x:f>
        <x:v>1</x:v>
      </x:c>
      <x:c r="I186" s="30" t="str">
        <x:v>C9</x:v>
      </x:c>
      <x:c r="J186" s="31" t="str">
        <x:v>self intro | tell me about your experience in the US | why investment banking since you have a law degree</x:v>
      </x:c>
    </x:row>
    <x:row r="187" ht="32" customHeight="1">
      <x:c r="A187" s="30" t="str">
        <x:v>QB2011</x:v>
      </x:c>
      <x:c r="B187" s="30" t="str">
        <x:v>Nomura</x:v>
      </x:c>
      <x:c r="C187" s="30" t="str">
        <x:v>IBD / GCM</x:v>
      </x:c>
      <x:c r="D187" s="31" t="str">
        <x:v>how to get FCF</x:v>
      </x:c>
      <x:c r="E187" s="31" t="str">
        <x:v>How to get FCF</x:v>
      </x:c>
      <x:c r="F187" s="31" t="str">
        <x:v>Other Question</x:v>
      </x:c>
      <x:c r="G187" s="30" t="str">
        <x:v>CL0475</x:v>
      </x:c>
      <x:c r="H187" s="32" t="n">
        <x:f>COUNTIF($G$5:$G$323,G187)</x:f>
        <x:v>1</x:v>
      </x:c>
      <x:c r="I187" s="30" t="str">
        <x:v>A10</x:v>
      </x:c>
      <x:c r="J187" s="31" t="str">
        <x:v>why not pe | why not law | walk through a dcf</x:v>
      </x:c>
    </x:row>
    <x:row r="188" ht="48" customHeight="1">
      <x:c r="A188" s="30" t="str">
        <x:v>QB2017</x:v>
      </x:c>
      <x:c r="B188" s="30" t="str">
        <x:v>Nomura</x:v>
      </x:c>
      <x:c r="C188" s="30" t="str">
        <x:v>IBD / GCM</x:v>
      </x:c>
      <x:c r="D188" s="31" t="str">
        <x:v>any hobbies</x:v>
      </x:c>
      <x:c r="E188" s="31" t="str">
        <x:v>What are your interests outside work and school?</x:v>
      </x:c>
      <x:c r="F188" s="31" t="str">
        <x:v>Other Question</x:v>
      </x:c>
      <x:c r="G188" s="30" t="str">
        <x:v>CL0014</x:v>
      </x:c>
      <x:c r="H188" s="32" t="n">
        <x:f>COUNTIF($G$5:$G$323,G188)</x:f>
        <x:v>6</x:v>
      </x:c>
      <x:c r="I188" s="30" t="str">
        <x:v>A13</x:v>
      </x:c>
      <x:c r="J188" s="31" t="str">
        <x:v>how to get FCF | what are the other two valuation methods | for EV industry, how to find trading comps</x:v>
      </x:c>
    </x:row>
    <x:row r="189" ht="48" customHeight="1">
      <x:c r="A189" s="30" t="str">
        <x:v>QB2018</x:v>
      </x:c>
      <x:c r="B189" s="30" t="str">
        <x:v>Nomura</x:v>
      </x:c>
      <x:c r="C189" s="30" t="str">
        <x:v>IBD / GCM</x:v>
      </x:c>
      <x:c r="D189" s="31" t="str">
        <x:v>how many did u cold email and how many replied</x:v>
      </x:c>
      <x:c r="E189" s="31" t="str">
        <x:v>How many did u cold email and how many replied</x:v>
      </x:c>
      <x:c r="F189" s="31" t="str">
        <x:v>Other Question</x:v>
      </x:c>
      <x:c r="G189" s="30" t="str">
        <x:v>CL0453</x:v>
      </x:c>
      <x:c r="H189" s="32" t="n">
        <x:f>COUNTIF($G$5:$G$323,G189)</x:f>
        <x:v>1</x:v>
      </x:c>
      <x:c r="I189" s="30" t="str">
        <x:v>C13</x:v>
      </x:c>
      <x:c r="J189" s="31" t="str">
        <x:v>have you thought about being an entrepreneur | is it common for people with your degree to pursue ibd | how did you secure the internships (i said cold email)</x:v>
      </x:c>
    </x:row>
    <x:row r="190" ht="48" customHeight="1">
      <x:c r="A190" s="30" t="str">
        <x:v>QB2022</x:v>
      </x:c>
      <x:c r="B190" s="30" t="str">
        <x:v>Nomura</x:v>
      </x:c>
      <x:c r="C190" s="30" t="str">
        <x:v>IBD / GCM</x:v>
      </x:c>
      <x:c r="D190" s="31" t="str">
        <x:v>how do you see yourself short-term and long-term in ibd and pe</x:v>
      </x:c>
      <x:c r="E190" s="31" t="str">
        <x:v>How do you see yourself short-term and long-term in ibd and pe</x:v>
      </x:c>
      <x:c r="F190" s="31" t="str">
        <x:v>Other Question</x:v>
      </x:c>
      <x:c r="G190" s="30" t="str">
        <x:v>CL0425</x:v>
      </x:c>
      <x:c r="H190" s="32" t="n">
        <x:f>COUNTIF($G$5:$G$323,G190)</x:f>
        <x:v>1</x:v>
      </x:c>
      <x:c r="I190" s="30" t="str">
        <x:v>C15</x:v>
      </x:c>
      <x:c r="J190" s="31" t="str">
        <x:v>how did you secure the internships (i said cold email) | how many did u cold email and how many replied | experience in ibd and pe</x:v>
      </x:c>
    </x:row>
    <x:row r="191" ht="48" customHeight="1">
      <x:c r="A191" s="30" t="str">
        <x:v>QB2025</x:v>
      </x:c>
      <x:c r="B191" s="30" t="str">
        <x:v>Nomura</x:v>
      </x:c>
      <x:c r="C191" s="30" t="str">
        <x:v>IBD / GCM</x:v>
      </x:c>
      <x:c r="D191" s="31" t="str">
        <x:v>how do you view the china economy</x:v>
      </x:c>
      <x:c r="E191" s="31" t="str">
        <x:v>How do you view the china economy</x:v>
      </x:c>
      <x:c r="F191" s="31" t="str">
        <x:v>Other Question</x:v>
      </x:c>
      <x:c r="G191" s="30" t="str">
        <x:v>CL0430</x:v>
      </x:c>
      <x:c r="H191" s="32" t="n">
        <x:f>COUNTIF($G$5:$G$323,G191)</x:f>
        <x:v>1</x:v>
      </x:c>
      <x:c r="I191" s="30" t="str">
        <x:v>C17</x:v>
      </x:c>
      <x:c r="J191" s="31" t="str">
        <x:v>experience in ibd and pe | how do you see yourself short-term and long-term in ibd and pe | tell me about your aibc experience, is it an ongoing conference</x:v>
      </x:c>
    </x:row>
    <x:row r="192" ht="68" customHeight="1">
      <x:c r="A192" s="30" t="str">
        <x:v>QB2027</x:v>
      </x:c>
      <x:c r="B192" s="30" t="str">
        <x:v>Nomura</x:v>
      </x:c>
      <x:c r="C192" s="30" t="str">
        <x:v>IBD / GCM</x:v>
      </x:c>
      <x:c r="D192" s="31" t="str">
        <x:v>how familiar are you with mainland china (since u stayed in the us for a yr and grew up in hk)</x:v>
      </x:c>
      <x:c r="E192" s="31" t="str">
        <x:v>How familiar are you with mainland china (since u stayed in the us for a yr and grew up in hk)</x:v>
      </x:c>
      <x:c r="F192" s="31" t="str">
        <x:v>Other Question</x:v>
      </x:c>
      <x:c r="G192" s="30" t="str">
        <x:v>CL0438</x:v>
      </x:c>
      <x:c r="H192" s="32" t="n">
        <x:f>COUNTIF($G$5:$G$323,G192)</x:f>
        <x:v>1</x:v>
      </x:c>
      <x:c r="I192" s="30" t="str">
        <x:v>C18</x:v>
      </x:c>
      <x:c r="J192" s="31" t="str">
        <x:v>how do you see yourself short-term and long-term in ibd and pe | tell me about your aibc experience, is it an ongoing conference | how do you view the china economy</x:v>
      </x:c>
    </x:row>
    <x:row r="193" ht="68" customHeight="1">
      <x:c r="A193" s="30" t="str">
        <x:v>QB2029</x:v>
      </x:c>
      <x:c r="B193" s="30" t="str">
        <x:v>Nomura</x:v>
      </x:c>
      <x:c r="C193" s="30" t="str">
        <x:v>IBD / GCM</x:v>
      </x:c>
      <x:c r="D193" s="31" t="str">
        <x:v>would you want to work in the mainland</x:v>
      </x:c>
      <x:c r="E193" s="31" t="str">
        <x:v>Would you want to work in the mainland</x:v>
      </x:c>
      <x:c r="F193" s="31" t="str">
        <x:v>Other Question</x:v>
      </x:c>
      <x:c r="G193" s="30" t="str">
        <x:v>CL1198</x:v>
      </x:c>
      <x:c r="H193" s="32" t="n">
        <x:f>COUNTIF($G$5:$G$323,G193)</x:f>
        <x:v>1</x:v>
      </x:c>
      <x:c r="I193" s="30" t="str">
        <x:v>C19</x:v>
      </x:c>
      <x:c r="J193" s="31" t="str">
        <x:v>tell me about your aibc experience, is it an ongoing conference | how do you view the china economy | how familiar are you with mainland china (since u stayed in the us for a yr and grew up in hk)</x:v>
      </x:c>
    </x:row>
    <x:row r="194" ht="68" customHeight="1">
      <x:c r="A194" s="30" t="str">
        <x:v>QB2031</x:v>
      </x:c>
      <x:c r="B194" s="30" t="str">
        <x:v>Nomura</x:v>
      </x:c>
      <x:c r="C194" s="30" t="str">
        <x:v>IBD / GCM</x:v>
      </x:c>
      <x:c r="D194" s="31" t="str">
        <x:v>what do you know about nomura</x:v>
      </x:c>
      <x:c r="E194" s="31" t="str">
        <x:v>What do you know about nomura</x:v>
      </x:c>
      <x:c r="F194" s="31" t="str">
        <x:v>Other Question</x:v>
      </x:c>
      <x:c r="G194" s="30" t="str">
        <x:v>CL0923</x:v>
      </x:c>
      <x:c r="H194" s="32" t="n">
        <x:f>COUNTIF($G$5:$G$323,G194)</x:f>
        <x:v>1</x:v>
      </x:c>
      <x:c r="I194" s="30" t="str">
        <x:v>C20</x:v>
      </x:c>
      <x:c r="J194" s="31" t="str">
        <x:v>how do you view the china economy | how familiar are you with mainland china (since u stayed in the us for a yr and grew up in hk) | would you want to work in the mainland</x:v>
      </x:c>
    </x:row>
    <x:row r="195" ht="32" customHeight="1">
      <x:c r="A195" s="30" t="str">
        <x:v>QB2041</x:v>
      </x:c>
      <x:c r="B195" s="30" t="str">
        <x:v>Nomura</x:v>
      </x:c>
      <x:c r="C195" s="30" t="str">
        <x:v>IBD / GCM</x:v>
      </x:c>
      <x:c r="D195" s="31" t="str">
        <x:v>born and raised in hk?</x:v>
      </x:c>
      <x:c r="E195" s="31" t="str">
        <x:v>Born and raised in hk</x:v>
      </x:c>
      <x:c r="F195" s="31" t="str">
        <x:v>Other Question</x:v>
      </x:c>
      <x:c r="G195" s="30" t="str">
        <x:v>CL0165</x:v>
      </x:c>
      <x:c r="H195" s="32" t="n">
        <x:f>COUNTIF($G$5:$G$323,G195)</x:f>
        <x:v>1</x:v>
      </x:c>
      <x:c r="I195" s="30" t="str">
        <x:v>C26</x:v>
      </x:c>
      <x:c r="J195" s="31" t="str">
        <x:v>any questions | pramath verma | self intro</x:v>
      </x:c>
    </x:row>
    <x:row r="196" ht="32" customHeight="1">
      <x:c r="A196" s="30" t="str">
        <x:v>QB2042</x:v>
      </x:c>
      <x:c r="B196" s="30" t="str">
        <x:v>Nomura</x:v>
      </x:c>
      <x:c r="C196" s="30" t="str">
        <x:v>IBD / GCM</x:v>
      </x:c>
      <x:c r="D196" s="31" t="str">
        <x:v>Global Markets做了什么，觉得有趣吗？</x:v>
      </x:c>
      <x:c r="E196" s="31" t="str">
        <x:v>Global Markets做了什么，觉得有趣吗</x:v>
      </x:c>
      <x:c r="F196" s="31" t="str">
        <x:v>Other Question</x:v>
      </x:c>
      <x:c r="G196" s="30" t="str">
        <x:v>CL0358</x:v>
      </x:c>
      <x:c r="H196" s="32" t="n">
        <x:f>COUNTIF($G$5:$G$323,G196)</x:f>
        <x:v>1</x:v>
      </x:c>
      <x:c r="I196" s="30" t="str">
        <x:v>A27</x:v>
      </x:c>
      <x:c r="J196" s="31" t="str">
        <x:v>如果可以投资行业内的一家公司，会选择哪家为什么 | PE和IB的区别是什么，为什么选择IB | 选择一个公司take private，需要考量什么</x:v>
      </x:c>
    </x:row>
    <x:row r="197" ht="32" customHeight="1">
      <x:c r="A197" s="30" t="str">
        <x:v>QB2044</x:v>
      </x:c>
      <x:c r="B197" s="30" t="str">
        <x:v>Nomura</x:v>
      </x:c>
      <x:c r="C197" s="30" t="str">
        <x:v>IBD / GCM</x:v>
      </x:c>
      <x:c r="D197" s="31" t="str">
        <x:v>为什么高中读A Level大学选择HKU</x:v>
      </x:c>
      <x:c r="E197" s="31" t="str">
        <x:v>为什么高中读A Level大学选择HKU</x:v>
      </x:c>
      <x:c r="F197" s="31" t="str">
        <x:v>Other Question</x:v>
      </x:c>
      <x:c r="G197" s="30" t="str">
        <x:v>CL1225</x:v>
      </x:c>
      <x:c r="H197" s="32" t="n">
        <x:f>COUNTIF($G$5:$G$323,G197)</x:f>
        <x:v>1</x:v>
      </x:c>
      <x:c r="I197" s="30" t="str">
        <x:v>A28</x:v>
      </x:c>
      <x:c r="J197" s="31" t="str">
        <x:v>PE和IB的区别是什么，为什么选择IB | 选择一个公司take private，需要考量什么 | Global Markets做了什么，觉得有趣吗？</x:v>
      </x:c>
    </x:row>
    <x:row r="198" ht="32" customHeight="1">
      <x:c r="A198" s="30" t="str">
        <x:v>QB2045</x:v>
      </x:c>
      <x:c r="B198" s="30" t="str">
        <x:v>Nomura</x:v>
      </x:c>
      <x:c r="C198" s="30" t="str">
        <x:v>IBD / GCM</x:v>
      </x:c>
      <x:c r="D198" s="31" t="str">
        <x:v>walk me through a project</x:v>
      </x:c>
      <x:c r="E198" s="31" t="str">
        <x:v>Walk me through a project</x:v>
      </x:c>
      <x:c r="F198" s="31" t="str">
        <x:v>Other Question</x:v>
      </x:c>
      <x:c r="G198" s="30" t="str">
        <x:v>CL0828</x:v>
      </x:c>
      <x:c r="H198" s="32" t="n">
        <x:f>COUNTIF($G$5:$G$323,G198)</x:f>
        <x:v>1</x:v>
      </x:c>
      <x:c r="I198" s="30" t="str">
        <x:v>C28</x:v>
      </x:c>
      <x:c r="J198" s="31" t="str">
        <x:v>self intro | born and raised in hk? | why not law</x:v>
      </x:c>
    </x:row>
    <x:row r="199" ht="32" customHeight="1">
      <x:c r="A199" s="30" t="str">
        <x:v>QB2046</x:v>
      </x:c>
      <x:c r="B199" s="30" t="str">
        <x:v>Nomura</x:v>
      </x:c>
      <x:c r="C199" s="30" t="str">
        <x:v>IBD / GCM</x:v>
      </x:c>
      <x:c r="D199" s="31" t="str">
        <x:v>有什么问题想问？</x:v>
      </x:c>
      <x:c r="E199" s="31" t="str">
        <x:v>有什么问题想问</x:v>
      </x:c>
      <x:c r="F199" s="31" t="str">
        <x:v>Other Question</x:v>
      </x:c>
      <x:c r="G199" s="30" t="str">
        <x:v>CL1250</x:v>
      </x:c>
      <x:c r="H199" s="32" t="n">
        <x:f>COUNTIF($G$5:$G$323,G199)</x:f>
        <x:v>1</x:v>
      </x:c>
      <x:c r="I199" s="30" t="str">
        <x:v>A29</x:v>
      </x:c>
      <x:c r="J199" s="31" t="str">
        <x:v>选择一个公司take private，需要考量什么 | Global Markets做了什么，觉得有趣吗？ | 为什么高中读A Level大学选择HKU</x:v>
      </x:c>
    </x:row>
    <x:row r="200" ht="48" customHeight="1">
      <x:c r="A200" s="30" t="str">
        <x:v>QB2051</x:v>
      </x:c>
      <x:c r="B200" s="30" t="str">
        <x:v>Nomura</x:v>
      </x:c>
      <x:c r="C200" s="30" t="str">
        <x:v>IBD / GCM</x:v>
      </x:c>
      <x:c r="D200" s="31" t="str">
        <x:v>how do you see yourself in 5 yrs</x:v>
      </x:c>
      <x:c r="E200" s="31" t="str">
        <x:v>How do you see yourself in 5 yrs</x:v>
      </x:c>
      <x:c r="F200" s="31" t="str">
        <x:v>Other Question</x:v>
      </x:c>
      <x:c r="G200" s="30" t="str">
        <x:v>CL0424</x:v>
      </x:c>
      <x:c r="H200" s="32" t="n">
        <x:f>COUNTIF($G$5:$G$323,G200)</x:f>
        <x:v>1</x:v>
      </x:c>
      <x:c r="I200" s="30" t="str">
        <x:v>C33</x:v>
      </x:c>
      <x:c r="J200" s="31" t="str">
        <x:v>have you followed the fed interest rate hike | buy-side vs sell-side | tell me a time when you faced challenges</x:v>
      </x:c>
    </x:row>
    <x:row r="201" ht="68" customHeight="1">
      <x:c r="A201" s="30" t="str">
        <x:v>QB2066</x:v>
      </x:c>
      <x:c r="B201" s="30" t="str">
        <x:v>Nomura</x:v>
      </x:c>
      <x:c r="C201" s="30" t="str">
        <x:v>IBD / GCM</x:v>
      </x:c>
      <x:c r="D201" s="31" t="str">
        <x:v>How do you think of the EV market in the future</x:v>
      </x:c>
      <x:c r="E201" s="31" t="str">
        <x:v>How do you think of the EV market in the future</x:v>
      </x:c>
      <x:c r="F201" s="31" t="str">
        <x:v>Other Question</x:v>
      </x:c>
      <x:c r="G201" s="30" t="str">
        <x:v>CL0427</x:v>
      </x:c>
      <x:c r="H201" s="32" t="n">
        <x:f>COUNTIF($G$5:$G$323,G201)</x:f>
        <x:v>1</x:v>
      </x:c>
      <x:c r="I201" s="30" t="str">
        <x:v>A43</x:v>
      </x:c>
      <x:c r="J201" s="31" t="str">
        <x:v>(he asked me to elaborate a lot more almost cover every experience in details) | Could you walk me through the DCF model you built for BYD | Did you meet any conflicts or disagreements during the process</x:v>
      </x:c>
    </x:row>
    <x:row r="202" ht="68" customHeight="1">
      <x:c r="A202" s="30" t="str">
        <x:v>QB2067</x:v>
      </x:c>
      <x:c r="B202" s="30" t="str">
        <x:v>Nomura</x:v>
      </x:c>
      <x:c r="C202" s="30" t="str">
        <x:v>IBD / GCM</x:v>
      </x:c>
      <x:c r="D202" s="31" t="str">
        <x:v>What do you do in your spare time</x:v>
      </x:c>
      <x:c r="E202" s="31" t="str">
        <x:v>What do you do in your spare time</x:v>
      </x:c>
      <x:c r="F202" s="31" t="str">
        <x:v>Other Question</x:v>
      </x:c>
      <x:c r="G202" s="30" t="str">
        <x:v>CL0918</x:v>
      </x:c>
      <x:c r="H202" s="32" t="n">
        <x:f>COUNTIF($G$5:$G$323,G202)</x:f>
        <x:v>1</x:v>
      </x:c>
      <x:c r="I202" s="30" t="str">
        <x:v>C43</x:v>
      </x:c>
      <x:c r="J202" s="31" t="str">
        <x:v>M&amp;A deal walk through, how to do valuation, any insights, what comparables | DCF model walk through, WACC? | Baidu acquiring Sensetime deal walk through, do it make sense, why 5 yrs</x:v>
      </x:c>
    </x:row>
    <x:row r="203" ht="32" customHeight="1">
      <x:c r="A203" s="30" t="str">
        <x:v>QB2077</x:v>
      </x:c>
      <x:c r="B203" s="30" t="str">
        <x:v>Nomura</x:v>
      </x:c>
      <x:c r="C203" s="30" t="str">
        <x:v>IBD / GCM</x:v>
      </x:c>
      <x:c r="D203" s="31" t="str">
        <x:v>What's the advantages of nomura</x:v>
      </x:c>
      <x:c r="E203" s="31" t="str">
        <x:v>What's the advantages of nomura</x:v>
      </x:c>
      <x:c r="F203" s="31" t="str">
        <x:v>Other Question</x:v>
      </x:c>
      <x:c r="G203" s="30" t="str">
        <x:v>CL1048</x:v>
      </x:c>
      <x:c r="H203" s="32" t="n">
        <x:f>COUNTIF($G$5:$G$323,G203)</x:f>
        <x:v>1</x:v>
      </x:c>
      <x:c r="I203" s="30" t="str">
        <x:v>A49</x:v>
      </x:c>
      <x:c r="J203" s="31" t="str">
        <x:v>Do you think Tesla is undervalued or overvalued | Why ibd | Why nomura</x:v>
      </x:c>
    </x:row>
    <x:row r="204" ht="48" customHeight="1">
      <x:c r="A204" s="30" t="str">
        <x:v>QB2080</x:v>
      </x:c>
      <x:c r="B204" s="30" t="str">
        <x:v>Nomura</x:v>
      </x:c>
      <x:c r="C204" s="30" t="str">
        <x:v>IBD / GCM</x:v>
      </x:c>
      <x:c r="D204" s="31" t="str">
        <x:v>Discuss Trump's presidency's effect on Chinese EV makers blabla</x:v>
      </x:c>
      <x:c r="E204" s="31" t="str">
        <x:v>Discuss Trump's presidency's effect on Chinese EV makers blabla</x:v>
      </x:c>
      <x:c r="F204" s="31" t="str">
        <x:v>Other Question</x:v>
      </x:c>
      <x:c r="G204" s="30" t="str">
        <x:v>CL0260</x:v>
      </x:c>
      <x:c r="H204" s="32" t="n">
        <x:f>COUNTIF($G$5:$G$323,G204)</x:f>
        <x:v>1</x:v>
      </x:c>
      <x:c r="I204" s="30" t="str">
        <x:v>C50</x:v>
      </x:c>
      <x:c r="J204" s="31" t="str">
        <x:v>What did you do at equity research internship | How did u build the DCF model for BYD | Discuss tariff effect on Chinese EV makers blabla</x:v>
      </x:c>
    </x:row>
    <x:row r="205" ht="48" customHeight="1">
      <x:c r="A205" s="30" t="str">
        <x:v>QB2084</x:v>
      </x:c>
      <x:c r="B205" s="30" t="str">
        <x:v>Nomura</x:v>
      </x:c>
      <x:c r="C205" s="30" t="str">
        <x:v>IBD / GCM</x:v>
      </x:c>
      <x:c r="D205" s="31" t="str">
        <x:v>by debt/cash?</x:v>
      </x:c>
      <x:c r="E205" s="31" t="str">
        <x:v>By debt/cash</x:v>
      </x:c>
      <x:c r="F205" s="31" t="str">
        <x:v>Other Question</x:v>
      </x:c>
      <x:c r="G205" s="30" t="str">
        <x:v>CL0180</x:v>
      </x:c>
      <x:c r="H205" s="32" t="n">
        <x:f>COUNTIF($G$5:$G$323,G205)</x:f>
        <x:v>1</x:v>
      </x:c>
      <x:c r="I205" s="30" t="str">
        <x:v>C53</x:v>
      </x:c>
      <x:c r="J205" s="31" t="str">
        <x:v>Discuss Trump's presidency's effect on Chinese EV makers blabla | Walk through the M&amp;A deal you did in your first internship | any regulatory concern</x:v>
      </x:c>
    </x:row>
    <x:row r="206" ht="68" customHeight="1">
      <x:c r="A206" s="30" t="str">
        <x:v>QB2092</x:v>
      </x:c>
      <x:c r="B206" s="30" t="str">
        <x:v>Nomura</x:v>
      </x:c>
      <x:c r="C206" s="30" t="str">
        <x:v>IBD / GCM</x:v>
      </x:c>
      <x:c r="D206" s="31" t="str">
        <x:v>Difference between PE, EV/EBITDA, EV/EBIT</x:v>
      </x:c>
      <x:c r="E206" s="31" t="str">
        <x:v>Difference between PE, EV/EBITDA, EV/EBIT</x:v>
      </x:c>
      <x:c r="F206" s="31" t="str">
        <x:v>Other Question</x:v>
      </x:c>
      <x:c r="G206" s="30" t="str">
        <x:v>CL0255</x:v>
      </x:c>
      <x:c r="H206" s="32" t="n">
        <x:f>COUNTIF($G$5:$G$323,G206)</x:f>
        <x:v>1</x:v>
      </x:c>
      <x:c r="I206" s="30" t="str">
        <x:v>C62</x:v>
      </x:c>
      <x:c r="J206" s="31" t="str">
        <x:v>How do you select comparable comps | Do you have experience doing comparable comps and precedant transaction analysis in your previous internship? | What are commonly used comps?</x:v>
      </x:c>
    </x:row>
    <x:row r="207" ht="32" customHeight="1">
      <x:c r="A207" s="30" t="str">
        <x:v>QB2101</x:v>
      </x:c>
      <x:c r="B207" s="30" t="str">
        <x:v>Nomura</x:v>
      </x:c>
      <x:c r="C207" s="30" t="str">
        <x:v>IBD / GCM</x:v>
      </x:c>
      <x:c r="D207" s="31" t="str">
        <x:v>Do you know Rita Zhang from GF Holdings (hk)?</x:v>
      </x:c>
      <x:c r="E207" s="31" t="str">
        <x:v>Do you know Rita Zhang from GF Holdings (hk)</x:v>
      </x:c>
      <x:c r="F207" s="31" t="str">
        <x:v>Other Question</x:v>
      </x:c>
      <x:c r="G207" s="30" t="str">
        <x:v>CL0279</x:v>
      </x:c>
      <x:c r="H207" s="32" t="n">
        <x:f>COUNTIF($G$5:$G$323,G207)</x:f>
        <x:v>1</x:v>
      </x:c>
      <x:c r="I207" s="30" t="str">
        <x:v>A72</x:v>
      </x:c>
      <x:c r="J207" s="31" t="str">
        <x:v>Phone Interview | 25 Kari, with Brian | Introduction</x:v>
      </x:c>
    </x:row>
    <x:row r="208" ht="32" customHeight="1">
      <x:c r="A208" s="30" t="str">
        <x:v>QB2106</x:v>
      </x:c>
      <x:c r="B208" s="30" t="str">
        <x:v>Nomura</x:v>
      </x:c>
      <x:c r="C208" s="30" t="str">
        <x:v>IBD / GCM</x:v>
      </x:c>
      <x:c r="D208" s="31" t="str">
        <x:v>What do you use for rf ( I said t-bill/bond/notes)</x:v>
      </x:c>
      <x:c r="E208" s="31" t="str">
        <x:v>What do you use for rf ( I said t-bill/bond/notes)</x:v>
      </x:c>
      <x:c r="F208" s="31" t="str">
        <x:v>Other Question</x:v>
      </x:c>
      <x:c r="G208" s="30" t="str">
        <x:v>CL0934</x:v>
      </x:c>
      <x:c r="H208" s="32" t="n">
        <x:f>COUNTIF($G$5:$G$323,G208)</x:f>
        <x:v>1</x:v>
      </x:c>
      <x:c r="I208" s="30" t="str">
        <x:v>A77</x:v>
      </x:c>
      <x:c r="J208" s="31" t="str">
        <x:v>1 deal in GF healthcare team | Walk through DCF | What formula you use for cost of equity</x:v>
      </x:c>
    </x:row>
    <x:row r="209" ht="48" customHeight="1">
      <x:c r="A209" s="30" t="str">
        <x:v>QB2107</x:v>
      </x:c>
      <x:c r="B209" s="30" t="str">
        <x:v>Nomura</x:v>
      </x:c>
      <x:c r="C209" s="30" t="str">
        <x:v>IBD / GCM</x:v>
      </x:c>
      <x:c r="D209" s="31" t="str">
        <x:v>Rf for Chinese firm?</x:v>
      </x:c>
      <x:c r="E209" s="31" t="str">
        <x:v>Rf for Chinese firm</x:v>
      </x:c>
      <x:c r="F209" s="31" t="str">
        <x:v>Other Question</x:v>
      </x:c>
      <x:c r="G209" s="30" t="str">
        <x:v>CL0665</x:v>
      </x:c>
      <x:c r="H209" s="32" t="n">
        <x:f>COUNTIF($G$5:$G$323,G209)</x:f>
        <x:v>1</x:v>
      </x:c>
      <x:c r="I209" s="30" t="str">
        <x:v>A78</x:v>
      </x:c>
      <x:c r="J209" s="31" t="str">
        <x:v>Walk through DCF | What formula you use for cost of equity | What do you use for rf ( I said t-bill/bond/notes)</x:v>
      </x:c>
    </x:row>
    <x:row r="210" ht="92" customHeight="1">
      <x:c r="A210" s="30" t="str">
        <x:v>QB2128</x:v>
      </x:c>
      <x:c r="B210" s="30" t="str">
        <x:v>Nomura</x:v>
      </x:c>
      <x:c r="C210" s="30" t="str">
        <x:v>IBD / GCM</x:v>
      </x:c>
      <x:c r="D210" s="31" t="str">
        <x:v>假设你客户投了一家公司15%的股权，被投企业发了股息，你客户的FS会受到怎样的影响？</x:v>
      </x:c>
      <x:c r="E210" s="31" t="str">
        <x:v>假设你客户投了一家公司15%的股权，被投企业发了股息，你客户的FS会受到怎样的影响</x:v>
      </x:c>
      <x:c r="F210" s="31" t="str">
        <x:v>Other Question</x:v>
      </x:c>
      <x:c r="G210" s="30" t="str">
        <x:v>CL1232</x:v>
      </x:c>
      <x:c r="H210" s="32" t="n">
        <x:f>COUNTIF($G$5:$G$323,G210)</x:f>
        <x:v>1</x:v>
      </x:c>
      <x:c r="I210" s="30" t="str">
        <x:v>C93</x:v>
      </x:c>
      <x:c r="J210" s="31" t="str">
        <x:v>Interviewer 1 - Jason Leung | (He's not looking at screen, seems occupied, little serious) | You're meeting with the chairman of the firm. What info to gather and questions to ask that will enable you to assess whether this firm is a fea...</x:v>
      </x:c>
    </x:row>
    <x:row r="211" ht="48" customHeight="1">
      <x:c r="A211" s="30" t="str">
        <x:v>QB2136</x:v>
      </x:c>
      <x:c r="B211" s="30" t="str">
        <x:v>Nomura</x:v>
      </x:c>
      <x:c r="C211" s="30" t="str">
        <x:v>IBD / GCM</x:v>
      </x:c>
      <x:c r="D211" s="31" t="str">
        <x:v>Need to sacrifice your private time doing ibd, are you ready for this?</x:v>
      </x:c>
      <x:c r="E211" s="31" t="str">
        <x:v>Need to sacrifice your private time doing ibd, are you ready for this</x:v>
      </x:c>
      <x:c r="F211" s="31" t="str">
        <x:v>Other Question</x:v>
      </x:c>
      <x:c r="G211" s="30" t="str">
        <x:v>CL0619</x:v>
      </x:c>
      <x:c r="H211" s="32" t="n">
        <x:f>COUNTIF($G$5:$G$323,G211)</x:f>
        <x:v>1</x:v>
      </x:c>
      <x:c r="I211" s="30" t="str">
        <x:v>C102</x:v>
      </x:c>
      <x:c r="J211" s="31" t="str">
        <x:v>Interviewer 2 - Shinichi Yao | Tell me more about you, why up to this role (5 min) | Your advantages in competing for this role</x:v>
      </x:c>
    </x:row>
    <x:row r="212" ht="68" customHeight="1">
      <x:c r="A212" s="30" t="str">
        <x:v>QB2138</x:v>
      </x:c>
      <x:c r="B212" s="30" t="str">
        <x:v>Nomura</x:v>
      </x:c>
      <x:c r="C212" s="30" t="str">
        <x:v>IBD / GCM</x:v>
      </x:c>
      <x:c r="D212" s="31" t="str">
        <x:v>日本人口有1.2亿，理发店的总数量大约是？（估算逻辑+结果）</x:v>
      </x:c>
      <x:c r="E212" s="31" t="str">
        <x:v>日本人口有1.2亿，理发店的总数量大约是？（估算逻辑+结果）</x:v>
      </x:c>
      <x:c r="F212" s="31" t="str">
        <x:v>Other Question</x:v>
      </x:c>
      <x:c r="G212" s="30" t="str">
        <x:v>CL1246</x:v>
      </x:c>
      <x:c r="H212" s="32" t="n">
        <x:f>COUNTIF($G$5:$G$323,G212)</x:f>
        <x:v>1</x:v>
      </x:c>
      <x:c r="I212" s="30" t="str">
        <x:v>C104</x:v>
      </x:c>
      <x:c r="J212" s="31" t="str">
        <x:v>Your advantages in competing for this role | Need to sacrifice your private time doing ibd, are you ready for this? | You chatted with junior bankers, what you know about Nomura ibd at this stage</x:v>
      </x:c>
    </x:row>
    <x:row r="213" ht="48" customHeight="1">
      <x:c r="A213" s="30" t="str">
        <x:v>QB2151</x:v>
      </x:c>
      <x:c r="B213" s="30" t="str">
        <x:v>Houlihan Lokey</x:v>
      </x:c>
      <x:c r="C213" s="30" t="str">
        <x:v>IBD / GCM</x:v>
      </x:c>
      <x:c r="D213" s="31" t="str">
        <x:v>If the price fluctuation of callable bonds increase, how does it effect the YTM? (increase)</x:v>
      </x:c>
      <x:c r="E213" s="31" t="str">
        <x:v>If the price fluctuation of callable bonds increase, how does it effect the YTM? (increase)</x:v>
      </x:c>
      <x:c r="F213" s="31" t="str">
        <x:v>Other Question</x:v>
      </x:c>
      <x:c r="G213" s="30" t="str">
        <x:v>CL0522</x:v>
      </x:c>
      <x:c r="H213" s="32" t="n">
        <x:f>COUNTIF($G$5:$G$323,G213)</x:f>
        <x:v>1</x:v>
      </x:c>
      <x:c r="I213" s="30" t="str">
        <x:v>A6</x:v>
      </x:c>
      <x:c r="J213" s="31" t="str">
        <x:v>(20 mins interview) | Self Intro | 8 EV/EBITDA, 5 interest coverage ratio, 5% interest rate on debt, Loan to value? (0.5)</x:v>
      </x:c>
    </x:row>
    <x:row r="214" ht="68" customHeight="1">
      <x:c r="A214" s="30" t="str">
        <x:v>QB2153</x:v>
      </x:c>
      <x:c r="B214" s="30" t="str">
        <x:v>Houlihan Lokey</x:v>
      </x:c>
      <x:c r="C214" s="30" t="str">
        <x:v>IBD / GCM</x:v>
      </x:c>
      <x:c r="D214" s="31" t="str">
        <x:v>Adjustments to EBITDA to find adjusted EBITDA?</x:v>
      </x:c>
      <x:c r="E214" s="31" t="str">
        <x:v>Adjustments to EBITDA to find adjusted EBITDA</x:v>
      </x:c>
      <x:c r="F214" s="31" t="str">
        <x:v>Other Question</x:v>
      </x:c>
      <x:c r="G214" s="30" t="str">
        <x:v>CL0101</x:v>
      </x:c>
      <x:c r="H214" s="32" t="n">
        <x:f>COUNTIF($G$5:$G$323,G214)</x:f>
        <x:v>1</x:v>
      </x:c>
      <x:c r="I214" s="30" t="str">
        <x:v>A7</x:v>
      </x:c>
      <x:c r="J214" s="31" t="str">
        <x:v>Self Intro | 8 EV/EBITDA, 5 interest coverage ratio, 5% interest rate on debt, Loan to value? (0.5) | If the price fluctuation of callable bonds increase, how does it effect the YTM? (increase)</x:v>
      </x:c>
    </x:row>
    <x:row r="215" ht="68" customHeight="1">
      <x:c r="A215" s="30" t="str">
        <x:v>QB2167</x:v>
      </x:c>
      <x:c r="B215" s="30" t="str">
        <x:v>Houlihan Lokey</x:v>
      </x:c>
      <x:c r="C215" s="30" t="str">
        <x:v>IBD / GCM</x:v>
      </x:c>
      <x:c r="D215" s="31" t="str">
        <x:v>What are the credit analysis metrics</x:v>
      </x:c>
      <x:c r="E215" s="31" t="str">
        <x:v>What are the credit analysis metrics</x:v>
      </x:c>
      <x:c r="F215" s="31" t="str">
        <x:v>Other Question</x:v>
      </x:c>
      <x:c r="G215" s="30" t="str">
        <x:v>CL0877</x:v>
      </x:c>
      <x:c r="H215" s="32" t="n">
        <x:f>COUNTIF($G$5:$G$323,G215)</x:f>
        <x:v>1</x:v>
      </x:c>
      <x:c r="I215" s="30" t="str">
        <x:v>A24</x:v>
      </x:c>
      <x:c r="J215" s="31" t="str">
        <x:v>Tell me something not on your resume, what do you do in your free time | Tell me a company on your resume, and how do you evaluate the company | Investment grade bond vs high yield bond</x:v>
      </x:c>
    </x:row>
    <x:row r="216" ht="48" customHeight="1">
      <x:c r="A216" s="30" t="str">
        <x:v>QB2174</x:v>
      </x:c>
      <x:c r="B216" s="30" t="str">
        <x:v>Houlihan Lokey</x:v>
      </x:c>
      <x:c r="C216" s="30" t="str">
        <x:v>IBD / GCM</x:v>
      </x:c>
      <x:c r="D216" s="31" t="str">
        <x:v>Progress with other banks and offers? How would you choose and why</x:v>
      </x:c>
      <x:c r="E216" s="31" t="str">
        <x:v>Progress with other banks and offers? How would you choose and why</x:v>
      </x:c>
      <x:c r="F216" s="31" t="str">
        <x:v>Other Question</x:v>
      </x:c>
      <x:c r="G216" s="30" t="str">
        <x:v>CL0654</x:v>
      </x:c>
      <x:c r="H216" s="32" t="n">
        <x:f>COUNTIF($G$5:$G$323,G216)</x:f>
        <x:v>1</x:v>
      </x:c>
      <x:c r="I216" s="30" t="str">
        <x:v>A31</x:v>
      </x:c>
      <x:c r="J216" s="31" t="str">
        <x:v>Tell me how you do due dilligence in one of your deals | Why restructuring but not bulge bracket ibd? | Why interested in debt?</x:v>
      </x:c>
    </x:row>
    <x:row r="217" ht="48" customHeight="1">
      <x:c r="A217" s="30" t="str">
        <x:v>QB2193</x:v>
      </x:c>
      <x:c r="B217" s="30" t="str">
        <x:v>GS PWM</x:v>
      </x:c>
      <x:c r="C217" s="30" t="str">
        <x:v>PWM / AM</x:v>
      </x:c>
      <x:c r="D217" s="31" t="str">
        <x:v>Describe a successful business organization</x:v>
      </x:c>
      <x:c r="E217" s="31" t="str">
        <x:v>Describe a successful business organization</x:v>
      </x:c>
      <x:c r="F217" s="31" t="str">
        <x:v>Other Question</x:v>
      </x:c>
      <x:c r="G217" s="30" t="str">
        <x:v>CL0230</x:v>
      </x:c>
      <x:c r="H217" s="32" t="n">
        <x:f>COUNTIF($G$5:$G$323,G217)</x:f>
        <x:v>1</x:v>
      </x:c>
      <x:c r="I217" s="30" t="str">
        <x:v>A7</x:v>
      </x:c>
      <x:c r="J217" s="31" t="str">
        <x:v>Do you think AI is beneficial or harmful for decision-making? | 30 min Q&amp;A for observer | Writing Test</x:v>
      </x:c>
    </x:row>
    <x:row r="218" ht="48" customHeight="1">
      <x:c r="A218" s="30" t="str">
        <x:v>QB2200</x:v>
      </x:c>
      <x:c r="B218" s="30" t="str">
        <x:v>GS PWM</x:v>
      </x:c>
      <x:c r="C218" s="30" t="str">
        <x:v>PWM / AM</x:v>
      </x:c>
      <x:c r="D218" s="31" t="str">
        <x:v>Market Q: How do you view the HK- China Memorendum</x:v>
      </x:c>
      <x:c r="E218" s="31" t="str">
        <x:v>Market Q: How do you view the HK- China Memorendum</x:v>
      </x:c>
      <x:c r="F218" s="31" t="str">
        <x:v>Other Question</x:v>
      </x:c>
      <x:c r="G218" s="30" t="str">
        <x:v>CL0602</x:v>
      </x:c>
      <x:c r="H218" s="32" t="n">
        <x:f>COUNTIF($G$5:$G$323,G218)</x:f>
        <x:v>1</x:v>
      </x:c>
      <x:c r="I218" s="30" t="str">
        <x:v>A14</x:v>
      </x:c>
      <x:c r="J218" s="31" t="str">
        <x:v>Normal Behavioral Q | Market Asset Allocation Q | Brain Teaser : How many coffee shops in Central</x:v>
      </x:c>
    </x:row>
    <x:row r="219" ht="32" customHeight="1">
      <x:c r="A219" s="30" t="str">
        <x:v>QB2231</x:v>
      </x:c>
      <x:c r="B219" s="30" t="str">
        <x:v>GS PWM</x:v>
      </x:c>
      <x:c r="C219" s="30" t="str">
        <x:v>PWM / AM</x:v>
      </x:c>
      <x:c r="D219" s="31" t="str">
        <x:v>可以讲讲你生活中遇到的困难吗？不要学习/工作上的</x:v>
      </x:c>
      <x:c r="E219" s="31" t="str">
        <x:v>可以讲讲你生活中遇到的困难吗？不要学习/工作上的</x:v>
      </x:c>
      <x:c r="F219" s="31" t="str">
        <x:v>Other Question</x:v>
      </x:c>
      <x:c r="G219" s="30" t="str">
        <x:v>CL1234</x:v>
      </x:c>
      <x:c r="H219" s="32" t="n">
        <x:f>COUNTIF($G$5:$G$323,G219)</x:f>
        <x:v>1</x:v>
      </x:c>
      <x:c r="I219" s="30" t="str">
        <x:v>A37</x:v>
      </x:c>
      <x:c r="J219" s="31" t="str">
        <x:v>谁是你的role model? | 如果不做金融，你觉得你现在会在做什么 | 可以简单讲讲你的家庭BG吗</x:v>
      </x:c>
    </x:row>
    <x:row r="220" ht="48" customHeight="1">
      <x:c r="A220" s="30" t="str">
        <x:v>QB2233</x:v>
      </x:c>
      <x:c r="B220" s="30" t="str">
        <x:v>GS PWM</x:v>
      </x:c>
      <x:c r="C220" s="30" t="str">
        <x:v>PWM / AM</x:v>
      </x:c>
      <x:c r="D220" s="31" t="str">
        <x:v>详细讲讲你的PA Investment - follow-up: 做投资决定的主要参考依据？调仓的频率？</x:v>
      </x:c>
      <x:c r="E220" s="31" t="str">
        <x:v>详细讲讲你的PA Investment - follow-up: 做投资决定的主要参考依据？调仓的频率</x:v>
      </x:c>
      <x:c r="F220" s="31" t="str">
        <x:v>Other Question</x:v>
      </x:c>
      <x:c r="G220" s="30" t="str">
        <x:v>CL1255</x:v>
      </x:c>
      <x:c r="H220" s="32" t="n">
        <x:f>COUNTIF($G$5:$G$323,G220)</x:f>
        <x:v>1</x:v>
      </x:c>
      <x:c r="I220" s="30" t="str">
        <x:v>A39</x:v>
      </x:c>
      <x:c r="J220" s="31" t="str">
        <x:v>可以简单讲讲你的家庭BG吗 | 可以讲讲你生活中遇到的困难吗？不要学习/工作上的 | Market Sizing: Estimate the annual revenue of GS PWM in APAC</x:v>
      </x:c>
    </x:row>
    <x:row r="221" ht="48" customHeight="1">
      <x:c r="A221" s="30" t="str">
        <x:v>QB2235</x:v>
      </x:c>
      <x:c r="B221" s="30" t="str">
        <x:v>GS PWM</x:v>
      </x:c>
      <x:c r="C221" s="30" t="str">
        <x:v>PWM / AM</x:v>
      </x:c>
      <x:c r="D221" s="31" t="str">
        <x:v>If you could change one aspect of the GS, what will you do?</x:v>
      </x:c>
      <x:c r="E221" s="31" t="str">
        <x:v>If you could change one aspect of the GS, what will you do</x:v>
      </x:c>
      <x:c r="F221" s="31" t="str">
        <x:v>Other Question</x:v>
      </x:c>
      <x:c r="G221" s="30" t="str">
        <x:v>CL0529</x:v>
      </x:c>
      <x:c r="H221" s="32" t="n">
        <x:f>COUNTIF($G$5:$G$323,G221)</x:f>
        <x:v>1</x:v>
      </x:c>
      <x:c r="I221" s="30" t="str">
        <x:v>A41</x:v>
      </x:c>
      <x:c r="J221" s="31" t="str">
        <x:v>Market Sizing: Estimate the annual revenue of GS PWM in APAC | 详细讲讲你的PA Investment - follow-up: 做投资决定的主要参考依据？调仓的频率？ | What is the culture of GS?</x:v>
      </x:c>
    </x:row>
    <x:row r="222" ht="68" customHeight="1">
      <x:c r="A222" s="30" t="str">
        <x:v>QB2240</x:v>
      </x:c>
      <x:c r="B222" s="30" t="str">
        <x:v>GS PWM</x:v>
      </x:c>
      <x:c r="C222" s="30" t="str">
        <x:v>PWM / AM</x:v>
      </x:c>
      <x:c r="D222" s="31" t="str">
        <x:v>Would you advise the 2nd Gen Clients to buy crypto/digital assets?</x:v>
      </x:c>
      <x:c r="E222" s="31" t="str">
        <x:v>Would you advise the 2nd Gen Clients to buy crypto/digital assets</x:v>
      </x:c>
      <x:c r="F222" s="31" t="str">
        <x:v>Other Question</x:v>
      </x:c>
      <x:c r="G222" s="30" t="str">
        <x:v>CL1194</x:v>
      </x:c>
      <x:c r="H222" s="32" t="n">
        <x:f>COUNTIF($G$5:$G$323,G222)</x:f>
        <x:v>1</x:v>
      </x:c>
      <x:c r="I222" s="30" t="str">
        <x:v>A46</x:v>
      </x:c>
      <x:c r="J222" s="31" t="str">
        <x:v>Any recent news that you're recently following | Technical: 什么样的产品是带有杠杆的？ | What's the difference (typically) between the 1st Gen Wealthy people and the 2nd Gen?</x:v>
      </x:c>
    </x:row>
    <x:row r="223" ht="92" customHeight="1">
      <x:c r="A223" s="30" t="str">
        <x:v>QB2243</x:v>
      </x:c>
      <x:c r="B223" s="30" t="str">
        <x:v>GS PWM</x:v>
      </x:c>
      <x:c r="C223" s="30" t="str">
        <x:v>PWM / AM</x:v>
      </x:c>
      <x:c r="D223" s="31" t="str">
        <x:v>Give me an example when you are tackling with a task with ambiguity</x:v>
      </x:c>
      <x:c r="E223" s="31" t="str">
        <x:v>Give me an example when you are tackling with a task with ambiguity</x:v>
      </x:c>
      <x:c r="F223" s="31" t="str">
        <x:v>Other Question</x:v>
      </x:c>
      <x:c r="G223" s="30" t="str">
        <x:v>CL0348</x:v>
      </x:c>
      <x:c r="H223" s="32" t="n">
        <x:f>COUNTIF($G$5:$G$323,G223)</x:f>
        <x:v>1</x:v>
      </x:c>
      <x:c r="I223" s="30" t="str">
        <x:v>A49</x:v>
      </x:c>
      <x:c r="J223" s="31" t="str">
        <x:v>Would you advise the 2nd Gen Clients to buy crypto/digital assets? | Typical Asset Allocation Question: construct a 100 million investment portfolio for a client | Follow-up: Assume YOU are the PB clients, what kind of different 100 mill...</x:v>
      </x:c>
    </x:row>
    <x:row r="224" ht="48" customHeight="1">
      <x:c r="A224" s="30" t="str">
        <x:v>QB2251</x:v>
      </x:c>
      <x:c r="B224" s="30" t="str">
        <x:v>JPM PB</x:v>
      </x:c>
      <x:c r="C224" s="30" t="str">
        <x:v>PWM / AM</x:v>
      </x:c>
      <x:c r="D224" s="31" t="str">
        <x:v>Within the advisor, do you want to be banker or investor?</x:v>
      </x:c>
      <x:c r="E224" s="31" t="str">
        <x:v>Within the advisor, do you want to be banker or investor</x:v>
      </x:c>
      <x:c r="F224" s="31" t="str">
        <x:v>Other Question</x:v>
      </x:c>
      <x:c r="G224" s="30" t="str">
        <x:v>CL1188</x:v>
      </x:c>
      <x:c r="H224" s="32" t="n">
        <x:f>COUNTIF($G$5:$G$323,G224)</x:f>
        <x:v>1</x:v>
      </x:c>
      <x:c r="I224" s="30" t="str">
        <x:v>A7</x:v>
      </x:c>
      <x:c r="J224" s="31" t="str">
        <x:v>No intermediate rounds; direct to SPD | 2-rounds of 1v1 interview | First: HK Team Advisor-Investor Helen Ng</x:v>
      </x:c>
    </x:row>
    <x:row r="225" ht="92" customHeight="1">
      <x:c r="A225" s="30" t="str">
        <x:v>QB2258</x:v>
      </x:c>
      <x:c r="B225" s="30" t="str">
        <x:v>JPM PB</x:v>
      </x:c>
      <x:c r="C225" s="30" t="str">
        <x:v>PWM / AM</x:v>
      </x:c>
      <x:c r="D225" s="31" t="str">
        <x:v>What kind of tools can you think in terms of lending?</x:v>
      </x:c>
      <x:c r="E225" s="31" t="str">
        <x:v>What kind of tools can you think in terms of lending</x:v>
      </x:c>
      <x:c r="F225" s="31" t="str">
        <x:v>Other Question</x:v>
      </x:c>
      <x:c r="G225" s="30" t="str">
        <x:v>CL1009</x:v>
      </x:c>
      <x:c r="H225" s="32" t="n">
        <x:f>COUNTIF($G$5:$G$323,G225)</x:f>
        <x:v>1</x:v>
      </x:c>
      <x:c r="I225" s="30" t="str">
        <x:v>I10</x:v>
      </x:c>
      <x:c r="J225" s="31" t="str">
        <x:v>Why do you put PE in the lifestyle bucket which is supposed to be more conservative? | What approach should you take if you want the client to fund in more money into the account? (particularly if the performance of the portfolio is not ...</x:v>
      </x:c>
    </x:row>
    <x:row r="226" ht="68" customHeight="1">
      <x:c r="A226" s="30" t="str">
        <x:v>QB2259</x:v>
      </x:c>
      <x:c r="B226" s="30" t="str">
        <x:v>JPM PB</x:v>
      </x:c>
      <x:c r="C226" s="30" t="str">
        <x:v>PWM / AM</x:v>
      </x:c>
      <x:c r="D226" s="31" t="str">
        <x:v>What are you exactly doing in this role?</x:v>
      </x:c>
      <x:c r="E226" s="31" t="str">
        <x:v>What are you exactly doing in this role</x:v>
      </x:c>
      <x:c r="F226" s="31" t="str">
        <x:v>Other Question</x:v>
      </x:c>
      <x:c r="G226" s="30" t="str">
        <x:v>CL0886</x:v>
      </x:c>
      <x:c r="H226" s="32" t="n">
        <x:f>COUNTIF($G$5:$G$323,G226)</x:f>
        <x:v>1</x:v>
      </x:c>
      <x:c r="I226" s="30" t="str">
        <x:v>A11</x:v>
      </x:c>
      <x:c r="J226" s="31" t="str">
        <x:v>Maybe you have some misconceptions about them. Elaborate. Answer it again. | You have lots of intern experience and how do you manage to do that? | Of all the internships you've done, which one do you like best?</x:v>
      </x:c>
    </x:row>
    <x:row r="227" ht="68" customHeight="1">
      <x:c r="A227" s="30" t="str">
        <x:v>QB2260</x:v>
      </x:c>
      <x:c r="B227" s="30" t="str">
        <x:v>JPM PB</x:v>
      </x:c>
      <x:c r="C227" s="30" t="str">
        <x:v>PWM / AM</x:v>
      </x:c>
      <x:c r="D227" s="31" t="str">
        <x:v>Senario assumptions: do the right thing (stick to your self) or so things rightly (follow what your supervisor asked to do)?</x:v>
      </x:c>
      <x:c r="E227" s="31" t="str">
        <x:v>Senario assumptions: do the right thing (stick to your self) or so things rightly (follow what your supervisor asked to do)</x:v>
      </x:c>
      <x:c r="F227" s="31" t="str">
        <x:v>Other Question</x:v>
      </x:c>
      <x:c r="G227" s="30" t="str">
        <x:v>CL0672</x:v>
      </x:c>
      <x:c r="H227" s="32" t="n">
        <x:f>COUNTIF($G$5:$G$323,G227)</x:f>
        <x:v>1</x:v>
      </x:c>
      <x:c r="I227" s="30" t="str">
        <x:v>A12</x:v>
      </x:c>
      <x:c r="J227" s="31" t="str">
        <x:v>You have lots of intern experience and how do you manage to do that? | Of all the internships you've done, which one do you like best? | What are you exactly doing in this role?</x:v>
      </x:c>
    </x:row>
    <x:row r="228" ht="68" customHeight="1">
      <x:c r="A228" s="30" t="str">
        <x:v>QB2262</x:v>
      </x:c>
      <x:c r="B228" s="30" t="str">
        <x:v>JPM PB</x:v>
      </x:c>
      <x:c r="C228" s="30" t="str">
        <x:v>PWM / AM</x:v>
      </x:c>
      <x:c r="D228" s="31" t="str">
        <x:v>Tell me a piece of article you read about JPM?</x:v>
      </x:c>
      <x:c r="E228" s="31" t="str">
        <x:v>Tell me a piece of article you read about JPM</x:v>
      </x:c>
      <x:c r="F228" s="31" t="str">
        <x:v>Other Question</x:v>
      </x:c>
      <x:c r="G228" s="30" t="str">
        <x:v>CL0705</x:v>
      </x:c>
      <x:c r="H228" s="32" t="n">
        <x:f>COUNTIF($G$5:$G$323,G228)</x:f>
        <x:v>1</x:v>
      </x:c>
      <x:c r="I228" s="30" t="str">
        <x:v>A14</x:v>
      </x:c>
      <x:c r="J228" s="31" t="str">
        <x:v>What are you exactly doing in this role? | Senario assumptions: do the right thing (stick to your self) or so things rightly (follow what your supervisor asked to do)? | A question that didn't I understand</x:v>
      </x:c>
    </x:row>
    <x:row r="229" ht="68" customHeight="1">
      <x:c r="A229" s="30" t="str">
        <x:v>QB2276</x:v>
      </x:c>
      <x:c r="B229" s="30" t="str">
        <x:v>JPM PB</x:v>
      </x:c>
      <x:c r="C229" s="30" t="str">
        <x:v>PWM / AM</x:v>
      </x:c>
      <x:c r="D229" s="31" t="str">
        <x:v>你关注市场吗？昨天恒指跌了多少？S&amp;P 500收盘多少？</x:v>
      </x:c>
      <x:c r="E229" s="31" t="str">
        <x:v>你关注市场吗？昨天恒指跌了多少？S&amp;P 500收盘多少</x:v>
      </x:c>
      <x:c r="F229" s="31" t="str">
        <x:v>Other Question</x:v>
      </x:c>
      <x:c r="G229" s="30" t="str">
        <x:v>CL1227</x:v>
      </x:c>
      <x:c r="H229" s="32" t="n">
        <x:f>COUNTIF($G$5:$G$323,G229)</x:f>
        <x:v>1</x:v>
      </x:c>
      <x:c r="I229" s="30" t="str">
        <x:v>A29</x:v>
      </x:c>
      <x:c r="J229" s="31" t="str">
        <x:v>Tell me about a time of having conflicts with your teammates (Different ideas on the Exhibition Club) | Follow up: How do you persuade your teammates then? Is there any major conflicts? | 转为普通话</x:v>
      </x:c>
    </x:row>
    <x:row r="230" ht="48" customHeight="1">
      <x:c r="A230" s="30" t="str">
        <x:v>QB2277</x:v>
      </x:c>
      <x:c r="B230" s="30" t="str">
        <x:v>JPM PB</x:v>
      </x:c>
      <x:c r="C230" s="30" t="str">
        <x:v>PWM / AM</x:v>
      </x:c>
      <x:c r="D230" s="31" t="str">
        <x:v>你对未来自己的预期是怎么样的？</x:v>
      </x:c>
      <x:c r="E230" s="31" t="str">
        <x:v>你对未来自己的预期是怎么样的</x:v>
      </x:c>
      <x:c r="F230" s="31" t="str">
        <x:v>Other Question</x:v>
      </x:c>
      <x:c r="G230" s="30" t="str">
        <x:v>CL1228</x:v>
      </x:c>
      <x:c r="H230" s="32" t="n">
        <x:f>COUNTIF($G$5:$G$323,G230)</x:f>
        <x:v>1</x:v>
      </x:c>
      <x:c r="I230" s="30" t="str">
        <x:v>A30</x:v>
      </x:c>
      <x:c r="J230" s="31" t="str">
        <x:v>Follow up: How do you persuade your teammates then? Is there any major conflicts? | 转为普通话 | 你关注市场吗？昨天恒指跌了多少？S&amp;P 500收盘多少？</x:v>
      </x:c>
    </x:row>
    <x:row r="231" ht="32" customHeight="1">
      <x:c r="A231" s="30" t="str">
        <x:v>QB2280</x:v>
      </x:c>
      <x:c r="B231" s="30" t="str">
        <x:v>JPM PB</x:v>
      </x:c>
      <x:c r="C231" s="30" t="str">
        <x:v>PWM / AM</x:v>
      </x:c>
      <x:c r="D231" s="31" t="str">
        <x:v>一些当场反馈：回答问题应该要把结论说在前面，因为client时间很宝贵，不太有时间听故事；不知道的不需要装作知道，市场问题不必回答出来，但是不能给client错误信息</x:v>
      </x:c>
      <x:c r="E231" s="31" t="str">
        <x:v>一些当场反馈：回答问题应该要把结论说在前面，因为client时间很宝贵，不太有时间听故事；不知道的不需要装作知道，市场问题不必回答出来，但是不能给client错误信息</x:v>
      </x:c>
      <x:c r="F231" s="31" t="str">
        <x:v>Other Question</x:v>
      </x:c>
      <x:c r="G231" s="30" t="str">
        <x:v>CL1215</x:v>
      </x:c>
      <x:c r="H231" s="32" t="n">
        <x:f>COUNTIF($G$5:$G$323,G231)</x:f>
        <x:v>1</x:v>
      </x:c>
      <x:c r="I231" s="30" t="str">
        <x:v>A33</x:v>
      </x:c>
      <x:c r="J231" s="31" t="str">
        <x:v>你对未来自己的预期是怎么样的？ | 忘了 | 反问</x:v>
      </x:c>
    </x:row>
    <x:row r="232" ht="32" customHeight="1">
      <x:c r="A232" s="30" t="str">
        <x:v>QB2289</x:v>
      </x:c>
      <x:c r="B232" s="30" t="str">
        <x:v>JPM AM</x:v>
      </x:c>
      <x:c r="C232" s="30" t="str">
        <x:v>PWM / AM</x:v>
      </x:c>
      <x:c r="D232" s="31" t="str">
        <x:v>plan for studies?</x:v>
      </x:c>
      <x:c r="E232" s="31" t="str">
        <x:v>Plan for studies</x:v>
      </x:c>
      <x:c r="F232" s="31" t="str">
        <x:v>Other Question</x:v>
      </x:c>
      <x:c r="G232" s="30" t="str">
        <x:v>CL0639</x:v>
      </x:c>
      <x:c r="H232" s="32" t="n">
        <x:f>COUNTIF($G$5:$G$323,G232)</x:f>
        <x:v>1</x:v>
      </x:c>
      <x:c r="I232" s="30" t="str">
        <x:v>A5</x:v>
      </x:c>
      <x:c r="J232" s="31" t="str">
        <x:v>HK First Round (Ribo with Thomas - Ntw &amp; Michelle) | More like networking: | why AM?</x:v>
      </x:c>
    </x:row>
    <x:row r="233" ht="32" customHeight="1">
      <x:c r="A233" s="30" t="str">
        <x:v>QB2290</x:v>
      </x:c>
      <x:c r="B233" s="30" t="str">
        <x:v>JPM AM</x:v>
      </x:c>
      <x:c r="C233" s="30" t="str">
        <x:v>PWM / AM</x:v>
      </x:c>
      <x:c r="D233" s="31" t="str">
        <x:v>w/ a British White Guy from the Tele Implementation?</x:v>
      </x:c>
      <x:c r="E233" s="31" t="str">
        <x:v>W/ a British White Guy from the Tele Implementation</x:v>
      </x:c>
      <x:c r="F233" s="31" t="str">
        <x:v>Other Question</x:v>
      </x:c>
      <x:c r="G233" s="30" t="str">
        <x:v>CL0816</x:v>
      </x:c>
      <x:c r="H233" s="32" t="n">
        <x:f>COUNTIF($G$5:$G$323,G233)</x:f>
        <x:v>1</x:v>
      </x:c>
      <x:c r="I233" s="30" t="str">
        <x:v>G5</x:v>
      </x:c>
      <x:c r="J233" s="31" t="str">
        <x:v>2025 SA | John | Pre-SPD in-person meeting</x:v>
      </x:c>
    </x:row>
    <x:row r="234" ht="68" customHeight="1">
      <x:c r="A234" s="30" t="str">
        <x:v>QB2295</x:v>
      </x:c>
      <x:c r="B234" s="30" t="str">
        <x:v>JPM AM</x:v>
      </x:c>
      <x:c r="C234" s="30" t="str">
        <x:v>PWM / AM</x:v>
      </x:c>
      <x:c r="D234" s="31" t="str">
        <x:v>Share a little bit more about the JPM AWMC you've done. How did you become the captain?</x:v>
      </x:c>
      <x:c r="E234" s="31" t="str">
        <x:v>Share a little bit more about the JPM AWMC you've done. How did you become the captain</x:v>
      </x:c>
      <x:c r="F234" s="31" t="str">
        <x:v>Other Question</x:v>
      </x:c>
      <x:c r="G234" s="30" t="str">
        <x:v>CL0673</x:v>
      </x:c>
      <x:c r="H234" s="32" t="n">
        <x:f>COUNTIF($G$5:$G$323,G234)</x:f>
        <x:v>1</x:v>
      </x:c>
      <x:c r="I234" s="30" t="str">
        <x:v>G8</x:v>
      </x:c>
      <x:c r="J234" s="31" t="str">
        <x:v>w/ a British White Guy from the Tele Implementation? | Just to know you a bit more. | Lots of CV-based questions but more on the project/leadership/voluntary related experiences but not internship ones.</x:v>
      </x:c>
    </x:row>
    <x:row r="235" ht="68" customHeight="1">
      <x:c r="A235" s="30" t="str">
        <x:v>QB2299</x:v>
      </x:c>
      <x:c r="B235" s="30" t="str">
        <x:v>JPM AM</x:v>
      </x:c>
      <x:c r="C235" s="30" t="str">
        <x:v>PWM / AM</x:v>
      </x:c>
      <x:c r="D235" s="31" t="str">
        <x:v>What roles are you interested within the JPMAM?</x:v>
      </x:c>
      <x:c r="E235" s="31" t="str">
        <x:v>What roles are you interested within the JPMAM</x:v>
      </x:c>
      <x:c r="F235" s="31" t="str">
        <x:v>Other Question</x:v>
      </x:c>
      <x:c r="G235" s="30" t="str">
        <x:v>CL0049</x:v>
      </x:c>
      <x:c r="H235" s="32" t="n">
        <x:f>COUNTIF($G$5:$G$323,G235)</x:f>
        <x:v>2</x:v>
      </x:c>
      <x:c r="I235" s="30" t="str">
        <x:v>G10</x:v>
      </x:c>
      <x:c r="J235" s="31" t="str">
        <x:v>Lots of CV-based questions but more on the project/leadership/voluntary related experiences but not internship ones. | Share a little bit more about the JPM AWMC you've done. How did you become the captain? | What kinds of preparations y...</x:v>
      </x:c>
    </x:row>
    <x:row r="236" ht="32" customHeight="1">
      <x:c r="A236" s="30" t="str">
        <x:v>QB2303</x:v>
      </x:c>
      <x:c r="B236" s="30" t="str">
        <x:v>JPM AM</x:v>
      </x:c>
      <x:c r="C236" s="30" t="str">
        <x:v>PWM / AM</x:v>
      </x:c>
      <x:c r="D236" s="31" t="str">
        <x:v>If the manager asked you to pitch a wrong idea to client, how would you do?</x:v>
      </x:c>
      <x:c r="E236" s="31" t="str">
        <x:v>If the manager asked you to pitch a wrong idea to client, how would you do</x:v>
      </x:c>
      <x:c r="F236" s="31" t="str">
        <x:v>Other Question</x:v>
      </x:c>
      <x:c r="G236" s="30" t="str">
        <x:v>CL0520</x:v>
      </x:c>
      <x:c r="H236" s="32" t="n">
        <x:f>COUNTIF($G$5:$G$323,G236)</x:f>
        <x:v>1</x:v>
      </x:c>
      <x:c r="I236" s="30" t="str">
        <x:v>A13</x:v>
      </x:c>
      <x:c r="J236" s="31" t="str">
        <x:v>Fed Fund Rate | Yield Curve Shape &amp; DV01 | Normal Behaviorals Except for 1:</x:v>
      </x:c>
    </x:row>
    <x:row r="237" ht="48" customHeight="1">
      <x:c r="A237" s="30" t="str">
        <x:v>QB2304</x:v>
      </x:c>
      <x:c r="B237" s="30" t="str">
        <x:v>JPM AM</x:v>
      </x:c>
      <x:c r="C237" s="30" t="str">
        <x:v>PWM / AM</x:v>
      </x:c>
      <x:c r="D237" s="31" t="str">
        <x:v>w/ Natalie, from Product Strategy?</x:v>
      </x:c>
      <x:c r="E237" s="31" t="str">
        <x:v>W/ Natalie, from Product Strategy</x:v>
      </x:c>
      <x:c r="F237" s="31" t="str">
        <x:v>Other Question</x:v>
      </x:c>
      <x:c r="G237" s="30" t="str">
        <x:v>CL0818</x:v>
      </x:c>
      <x:c r="H237" s="32" t="n">
        <x:f>COUNTIF($G$5:$G$323,G237)</x:f>
        <x:v>1</x:v>
      </x:c>
      <x:c r="I237" s="30" t="str">
        <x:v>G13</x:v>
      </x:c>
      <x:c r="J237" s="31" t="str">
        <x:v>What kinds of preparations you've made for the SPD? | What roles are you interested within the JPMAM? | 反问</x:v>
      </x:c>
    </x:row>
    <x:row r="238" ht="48" customHeight="1">
      <x:c r="A238" s="30" t="str">
        <x:v>QB2308</x:v>
      </x:c>
      <x:c r="B238" s="30" t="str">
        <x:v>JPM AM</x:v>
      </x:c>
      <x:c r="C238" s="30" t="str">
        <x:v>PWM / AM</x:v>
      </x:c>
      <x:c r="D238" s="31" t="str">
        <x:v>5 Pages of JPM Funds details : with stats like CAGR, market trends...</x:v>
      </x:c>
      <x:c r="E238" s="31" t="str">
        <x:v>5 Pages of JPM Funds details : with stats like CAGR, market trends</x:v>
      </x:c>
      <x:c r="F238" s="31" t="str">
        <x:v>Other Question</x:v>
      </x:c>
      <x:c r="G238" s="30" t="str">
        <x:v>CL0081</x:v>
      </x:c>
      <x:c r="H238" s="32" t="n">
        <x:f>COUNTIF($G$5:$G$323,G238)</x:f>
        <x:v>1</x:v>
      </x:c>
      <x:c r="I238" s="30" t="str">
        <x:v>A16</x:v>
      </x:c>
      <x:c r="J238" s="31" t="str">
        <x:v>Normal Behaviorals Except for 1: | If the manager asked you to pitch a wrong idea to client, how would you do? | Case Study:</x:v>
      </x:c>
    </x:row>
    <x:row r="239" ht="48" customHeight="1">
      <x:c r="A239" s="30" t="str">
        <x:v>QB2311</x:v>
      </x:c>
      <x:c r="B239" s="30" t="str">
        <x:v>JPM AM</x:v>
      </x:c>
      <x:c r="C239" s="30" t="str">
        <x:v>PWM / AM</x:v>
      </x:c>
      <x:c r="D239" s="31" t="str">
        <x:v>What roles are you interested within the JPMAM?</x:v>
      </x:c>
      <x:c r="E239" s="31" t="str">
        <x:v>What roles are you interested within the JPMAM</x:v>
      </x:c>
      <x:c r="F239" s="31" t="str">
        <x:v>Other Question</x:v>
      </x:c>
      <x:c r="G239" s="30" t="str">
        <x:v>CL0049</x:v>
      </x:c>
      <x:c r="H239" s="32" t="n">
        <x:f>COUNTIF($G$5:$G$323,G239)</x:f>
        <x:v>2</x:v>
      </x:c>
      <x:c r="I239" s="30" t="str">
        <x:v>G17</x:v>
      </x:c>
      <x:c r="J239" s="31" t="str">
        <x:v>Quick self intro | Where did you attend your high school? And how did you learn your English? | What motivates you to be here today? (Why JPM?)</x:v>
      </x:c>
    </x:row>
    <x:row r="240" ht="48" customHeight="1">
      <x:c r="A240" s="30" t="str">
        <x:v>QB2319</x:v>
      </x:c>
      <x:c r="B240" s="30" t="str">
        <x:v>JPM AM</x:v>
      </x:c>
      <x:c r="C240" s="30" t="str">
        <x:v>PWM / AM</x:v>
      </x:c>
      <x:c r="D240" s="31" t="str">
        <x:v>是否了解摩根基金的历史？</x:v>
      </x:c>
      <x:c r="E240" s="31" t="str">
        <x:v>是否了解摩根基金的历史</x:v>
      </x:c>
      <x:c r="F240" s="31" t="str">
        <x:v>Other Question</x:v>
      </x:c>
      <x:c r="G240" s="30" t="str">
        <x:v>CL1247</x:v>
      </x:c>
      <x:c r="H240" s="32" t="n">
        <x:f>COUNTIF($G$5:$G$323,G240)</x:f>
        <x:v>1</x:v>
      </x:c>
      <x:c r="I240" s="30" t="str">
        <x:v>A23</x:v>
      </x:c>
      <x:c r="J240" s="31" t="str">
        <x:v>CN Off-cycle First Rounds (Ribo with Hill Wang) | He seems having a question list (Normal Behaviorals) | (with Elena) - in Mandarin</x:v>
      </x:c>
    </x:row>
    <x:row r="241" ht="48" customHeight="1">
      <x:c r="A241" s="30" t="str">
        <x:v>QB2321</x:v>
      </x:c>
      <x:c r="B241" s="30" t="str">
        <x:v>JPM AM</x:v>
      </x:c>
      <x:c r="C241" s="30" t="str">
        <x:v>PWM / AM</x:v>
      </x:c>
      <x:c r="D241" s="31" t="str">
        <x:v>为什么AM而不是PB？为什么Institutional？</x:v>
      </x:c>
      <x:c r="E241" s="31" t="str">
        <x:v>为什么AM而不是PB？为什么Institutional</x:v>
      </x:c>
      <x:c r="F241" s="31" t="str">
        <x:v>Other Question</x:v>
      </x:c>
      <x:c r="G241" s="30" t="str">
        <x:v>CL1218</x:v>
      </x:c>
      <x:c r="H241" s="32" t="n">
        <x:f>COUNTIF($G$5:$G$323,G241)</x:f>
        <x:v>1</x:v>
      </x:c>
      <x:c r="I241" s="30" t="str">
        <x:v>A24</x:v>
      </x:c>
      <x:c r="J241" s="31" t="str">
        <x:v>He seems having a question list (Normal Behaviorals) | (with Elena) - in Mandarin | 是否了解摩根基金的历史？</x:v>
      </x:c>
    </x:row>
    <x:row r="242" ht="68" customHeight="1">
      <x:c r="A242" s="30" t="str">
        <x:v>QB2328</x:v>
      </x:c>
      <x:c r="B242" s="30" t="str">
        <x:v>JPM AM</x:v>
      </x:c>
      <x:c r="C242" s="30" t="str">
        <x:v>PWM / AM</x:v>
      </x:c>
      <x:c r="D242" s="31" t="str">
        <x:v>Do you have any preference between client roles and investment roles?</x:v>
      </x:c>
      <x:c r="E242" s="31" t="str">
        <x:v>Do you have any preference between client roles and investment roles</x:v>
      </x:c>
      <x:c r="F242" s="31" t="str">
        <x:v>Other Question</x:v>
      </x:c>
      <x:c r="G242" s="30" t="str">
        <x:v>CL0271</x:v>
      </x:c>
      <x:c r="H242" s="32" t="n">
        <x:f>COUNTIF($G$5:$G$323,G242)</x:f>
        <x:v>1</x:v>
      </x:c>
      <x:c r="I242" s="30" t="str">
        <x:v>G28</x:v>
      </x:c>
      <x:c r="J242" s="31" t="str">
        <x:v>Self intro | Pitch me one sector or asset class and what's your expectation for it in the future and 5 years horizon | Describe a time when you are working in a team and have conflicts with others. How do you handle that?</x:v>
      </x:c>
    </x:row>
    <x:row r="243" ht="68" customHeight="1">
      <x:c r="A243" s="30" t="str">
        <x:v>QB2332</x:v>
      </x:c>
      <x:c r="B243" s="30" t="str">
        <x:v>JPM AM</x:v>
      </x:c>
      <x:c r="C243" s="30" t="str">
        <x:v>PWM / AM</x:v>
      </x:c>
      <x:c r="D243" s="31" t="str">
        <x:v>w/ Clara Tan, Client Advisor in Global Strategic Clients Team</x:v>
      </x:c>
      <x:c r="E243" s="31" t="str">
        <x:v>W/ Clara Tan, Client Advisor in Global Strategic Clients Team</x:v>
      </x:c>
      <x:c r="F243" s="31" t="str">
        <x:v>Other Question</x:v>
      </x:c>
      <x:c r="G243" s="30" t="str">
        <x:v>CL0817</x:v>
      </x:c>
      <x:c r="H243" s="32" t="n">
        <x:f>COUNTIF($G$5:$G$323,G243)</x:f>
        <x:v>1</x:v>
      </x:c>
      <x:c r="I243" s="30" t="str">
        <x:v>G33</x:v>
      </x:c>
      <x:c r="J243" s="31" t="str">
        <x:v>Integrity is very important. Give me an example of doing the right thing. | Do you prefer to work in teams or work independently? And give me an example of having the contrast experiences. | 反问</x:v>
      </x:c>
    </x:row>
    <x:row r="244" ht="68" customHeight="1">
      <x:c r="A244" s="30" t="str">
        <x:v>QB2334</x:v>
      </x:c>
      <x:c r="B244" s="30" t="str">
        <x:v>JPM AM</x:v>
      </x:c>
      <x:c r="C244" s="30" t="str">
        <x:v>PWM / AM</x:v>
      </x:c>
      <x:c r="D244" s="31" t="str">
        <x:v>Give me an example that you find you could have done better afterwards.</x:v>
      </x:c>
      <x:c r="E244" s="31" t="str">
        <x:v>Give me an example that you find you could have done better afterwards</x:v>
      </x:c>
      <x:c r="F244" s="31" t="str">
        <x:v>Other Question</x:v>
      </x:c>
      <x:c r="G244" s="30" t="str">
        <x:v>CL0347</x:v>
      </x:c>
      <x:c r="H244" s="32" t="n">
        <x:f>COUNTIF($G$5:$G$323,G244)</x:f>
        <x:v>1</x:v>
      </x:c>
      <x:c r="I244" s="30" t="str">
        <x:v>G35</x:v>
      </x:c>
      <x:c r="J244" s="31" t="str">
        <x:v>反问 | w/ Clara Tan, Client Advisor in Global Strategic Clients Team | If you're walking into the meeting room for the clients but you suddenly realized a big mistake about the numbers, what will you do?</x:v>
      </x:c>
    </x:row>
    <x:row r="245" ht="92" customHeight="1">
      <x:c r="A245" s="30" t="str">
        <x:v>QB2335</x:v>
      </x:c>
      <x:c r="B245" s="30" t="str">
        <x:v>JPM AM</x:v>
      </x:c>
      <x:c r="C245" s="30" t="str">
        <x:v>PWM / AM</x:v>
      </x:c>
      <x:c r="D245" s="31" t="str">
        <x:v>What's your understanding about "do the right thing" and please give an example</x:v>
      </x:c>
      <x:c r="E245" s="31" t="str">
        <x:v>What's your understanding about "do the right thing" and please give an example</x:v>
      </x:c>
      <x:c r="F245" s="31" t="str">
        <x:v>Other Question</x:v>
      </x:c>
      <x:c r="G245" s="30" t="str">
        <x:v>CL1068</x:v>
      </x:c>
      <x:c r="H245" s="32" t="n">
        <x:f>COUNTIF($G$5:$G$323,G245)</x:f>
        <x:v>1</x:v>
      </x:c>
      <x:c r="I245" s="30" t="str">
        <x:v>G36</x:v>
      </x:c>
      <x:c r="J245" s="31" t="str">
        <x:v>w/ Clara Tan, Client Advisor in Global Strategic Clients Team | If you're walking into the meeting room for the clients but you suddenly realized a big mistake about the numbers, what will you do? | Give me an example that you find you c...</x:v>
      </x:c>
    </x:row>
    <x:row r="246" ht="92" customHeight="1">
      <x:c r="A246" s="30" t="str">
        <x:v>QB2337</x:v>
      </x:c>
      <x:c r="B246" s="30" t="str">
        <x:v>JPM AM</x:v>
      </x:c>
      <x:c r="C246" s="30" t="str">
        <x:v>PWM / AM</x:v>
      </x:c>
      <x:c r="D246" s="31" t="str">
        <x:v>Tell me about a time when your teammates did not contribute/cooperate a lot, how did you handle that?</x:v>
      </x:c>
      <x:c r="E246" s="31" t="str">
        <x:v>Tell me about a time when your teammates did not contribute/cooperate a lot, how did you handle that</x:v>
      </x:c>
      <x:c r="F246" s="31" t="str">
        <x:v>Other Question</x:v>
      </x:c>
      <x:c r="G246" s="30" t="str">
        <x:v>CL0731</x:v>
      </x:c>
      <x:c r="H246" s="32" t="n">
        <x:f>COUNTIF($G$5:$G$323,G246)</x:f>
        <x:v>1</x:v>
      </x:c>
      <x:c r="I246" s="30" t="str">
        <x:v>G38</x:v>
      </x:c>
      <x:c r="J246" s="31" t="str">
        <x:v>Give me an example that you find you could have done better afterwards. | What's your understanding about "do the right thing" and please give an example | Math question: 类似If a frog jumps half the distance to a pond with each leap, how ...</x:v>
      </x:c>
    </x:row>
    <x:row r="247" ht="92" customHeight="1">
      <x:c r="A247" s="30" t="str">
        <x:v>QB2339</x:v>
      </x:c>
      <x:c r="B247" s="30" t="str">
        <x:v>JPM AM</x:v>
      </x:c>
      <x:c r="C247" s="30" t="str">
        <x:v>PWM / AM</x:v>
      </x:c>
      <x:c r="D247" s="31" t="str">
        <x:v>Use 2 minutes to quickly comment on the current market movements and what are you investment recommendations?</x:v>
      </x:c>
      <x:c r="E247" s="31" t="str">
        <x:v>Use 2 minutes to quickly comment on the current market movements and what are you investment recommendations</x:v>
      </x:c>
      <x:c r="F247" s="31" t="str">
        <x:v>Other Question</x:v>
      </x:c>
      <x:c r="G247" s="30" t="str">
        <x:v>CL0809</x:v>
      </x:c>
      <x:c r="H247" s="32" t="n">
        <x:f>COUNTIF($G$5:$G$323,G247)</x:f>
        <x:v>1</x:v>
      </x:c>
      <x:c r="I247" s="30" t="str">
        <x:v>G40</x:v>
      </x:c>
      <x:c r="J247" s="31" t="str">
        <x:v>Math question: 类似If a frog jumps half the distance to a pond with each leap, how many jumps would it need to reach the water? | Tell me about a time when your teammates did not contribute/cooperate a lot, how did you handle that? | Follo...</x:v>
      </x:c>
    </x:row>
    <x:row r="248" ht="32" customHeight="1">
      <x:c r="A248" s="30" t="str">
        <x:v>QB2354</x:v>
      </x:c>
      <x:c r="B248" s="30" t="str">
        <x:v>HSBC PB</x:v>
      </x:c>
      <x:c r="C248" s="30" t="str">
        <x:v>PWM / AM</x:v>
      </x:c>
      <x:c r="D248" s="31" t="str">
        <x:v>自我介绍</x:v>
      </x:c>
      <x:c r="E248" s="31" t="str">
        <x:v>Tell me about yourself / walk me through your resume</x:v>
      </x:c>
      <x:c r="F248" s="31" t="str">
        <x:v>Other Question</x:v>
      </x:c>
      <x:c r="G248" s="30" t="str">
        <x:v>CL0001</x:v>
      </x:c>
      <x:c r="H248" s="32" t="n">
        <x:f>COUNTIF($G$5:$G$323,G248)</x:f>
        <x:v>7</x:v>
      </x:c>
      <x:c r="I248" s="30" t="str">
        <x:v>A3</x:v>
      </x:c>
      <x:c r="J248" s="31" t="str">
        <x:v>HSBC SH RM intern | Jim</x:v>
      </x:c>
    </x:row>
    <x:row r="249" ht="32" customHeight="1">
      <x:c r="A249" s="30" t="str">
        <x:v>QB2363</x:v>
      </x:c>
      <x:c r="B249" s="30" t="str">
        <x:v>HSBC PB</x:v>
      </x:c>
      <x:c r="C249" s="30" t="str">
        <x:v>PWM / AM</x:v>
      </x:c>
      <x:c r="D249" s="31" t="str">
        <x:v>如何进入过去的某个实习公司（我的是Bain）</x:v>
      </x:c>
      <x:c r="E249" s="31" t="str">
        <x:v>如何进入过去的某个实习公司（我的是Bain）</x:v>
      </x:c>
      <x:c r="F249" s="31" t="str">
        <x:v>Other Question</x:v>
      </x:c>
      <x:c r="G249" s="30" t="str">
        <x:v>CL1238</x:v>
      </x:c>
      <x:c r="H249" s="32" t="n">
        <x:f>COUNTIF($G$5:$G$323,G249)</x:f>
        <x:v>1</x:v>
      </x:c>
      <x:c r="I249" s="30" t="str">
        <x:v>A12</x:v>
      </x:c>
      <x:c r="J249" s="31" t="str">
        <x:v>推销一本书 | AI如何改变行业 | 未来职业发展</x:v>
      </x:c>
    </x:row>
    <x:row r="250" ht="48" customHeight="1">
      <x:c r="A250" s="30" t="str">
        <x:v>QB2378</x:v>
      </x:c>
      <x:c r="B250" s="30" t="str">
        <x:v>BlackRock</x:v>
      </x:c>
      <x:c r="C250" s="30" t="str">
        <x:v>PWM / AM</x:v>
      </x:c>
      <x:c r="D250" s="31" t="str">
        <x:v>Continuing the last question, do you know how to use Bloomberg?</x:v>
      </x:c>
      <x:c r="E250" s="31" t="str">
        <x:v>Continuing the last question, do you know how to use Bloomberg</x:v>
      </x:c>
      <x:c r="F250" s="31" t="str">
        <x:v>Other Question</x:v>
      </x:c>
      <x:c r="G250" s="30" t="str">
        <x:v>CL0206</x:v>
      </x:c>
      <x:c r="H250" s="32" t="n">
        <x:f>COUNTIF($G$5:$G$323,G250)</x:f>
        <x:v>1</x:v>
      </x:c>
      <x:c r="I250" s="30" t="str">
        <x:v>A8</x:v>
      </x:c>
      <x:c r="J250" s="31" t="str">
        <x:v>Peng Chau (PB) | Self Introduction | You're majoring in AMPB, what things that you learnt from your program do you think can be brought to your internship here?</x:v>
      </x:c>
    </x:row>
    <x:row r="251" ht="68" customHeight="1">
      <x:c r="A251" s="30" t="str">
        <x:v>QB2380</x:v>
      </x:c>
      <x:c r="B251" s="30" t="str">
        <x:v>BlackRock</x:v>
      </x:c>
      <x:c r="C251" s="30" t="str">
        <x:v>PWM / AM</x:v>
      </x:c>
      <x:c r="D251" s="31" t="str">
        <x:v>workplace scenario: you're currently working on one task, your manager asks you to help another, what will you do?</x:v>
      </x:c>
      <x:c r="E251" s="31" t="str">
        <x:v>Workplace scenario: you're currently working on one task, your manager asks you to help another, what will you do</x:v>
      </x:c>
      <x:c r="F251" s="31" t="str">
        <x:v>Other Question</x:v>
      </x:c>
      <x:c r="G251" s="30" t="str">
        <x:v>CL1191</x:v>
      </x:c>
      <x:c r="H251" s="32" t="n">
        <x:f>COUNTIF($G$5:$G$323,G251)</x:f>
        <x:v>1</x:v>
      </x:c>
      <x:c r="I251" s="30" t="str">
        <x:v>A9</x:v>
      </x:c>
      <x:c r="J251" s="31" t="str">
        <x:v>Self Introduction | You're majoring in AMPB, what things that you learnt from your program do you think can be brought to your internship here? | Continuing the last question, do you know how to use Bloomberg?</x:v>
      </x:c>
    </x:row>
    <x:row r="252" ht="68" customHeight="1">
      <x:c r="A252" s="30" t="str">
        <x:v>QB2381</x:v>
      </x:c>
      <x:c r="B252" s="30" t="str">
        <x:v>BlackRock</x:v>
      </x:c>
      <x:c r="C252" s="30" t="str">
        <x:v>PWM / AM</x:v>
      </x:c>
      <x:c r="D252" s="31" t="str">
        <x:v>suppose there's a client with his asset allcation 60% equities and 40% fixed income, now under the environment of bad economy and the trends of ai and stuff (dont remember lol), he lost a lot of money, what would you suggest him to do now</x:v>
      </x:c>
      <x:c r="E252" s="31" t="str">
        <x:v>Suppose there's a client with his asset allcation 60% equities and 40% fixed income, now under the environment of bad economy and the trends of ai and stuff (dont remember lol), he lost a lot of money, what would you suggest him to do now</x:v>
      </x:c>
      <x:c r="F252" s="31" t="str">
        <x:v>Other Question</x:v>
      </x:c>
      <x:c r="G252" s="30" t="str">
        <x:v>CL0694</x:v>
      </x:c>
      <x:c r="H252" s="32" t="n">
        <x:f>COUNTIF($G$5:$G$323,G252)</x:f>
        <x:v>1</x:v>
      </x:c>
      <x:c r="I252" s="30" t="str">
        <x:v>C9</x:v>
      </x:c>
      <x:c r="J252" s="31" t="str">
        <x:v>Self introduction | active fund vs passive fund (mandarin) | 你認為未來經濟會下行嗎、interest rates viewpoints (cantonese)</x:v>
      </x:c>
    </x:row>
    <x:row r="253" ht="68" customHeight="1">
      <x:c r="A253" s="30" t="str">
        <x:v>QB2388</x:v>
      </x:c>
      <x:c r="B253" s="30" t="str">
        <x:v>BlackRock</x:v>
      </x:c>
      <x:c r="C253" s="30" t="str">
        <x:v>PWM / AM</x:v>
      </x:c>
      <x:c r="D253" s="31" t="str">
        <x:v>talk about a blackrock product</x:v>
      </x:c>
      <x:c r="E253" s="31" t="str">
        <x:v>Talk about a blackrock product</x:v>
      </x:c>
      <x:c r="F253" s="31" t="str">
        <x:v>Other Question</x:v>
      </x:c>
      <x:c r="G253" s="30" t="str">
        <x:v>CL0695</x:v>
      </x:c>
      <x:c r="H253" s="32" t="n">
        <x:f>COUNTIF($G$5:$G$323,G253)</x:f>
        <x:v>1</x:v>
      </x:c>
      <x:c r="I253" s="30" t="str">
        <x:v>A13</x:v>
      </x:c>
      <x:c r="J253" s="31" t="str">
        <x:v>CV question - tell me more about your work at ING Bank on the pitchbook (cantonese) | CV question - tell me project you did at Bain &amp; Company (not very deep) | is there a time when your approach to a task was not ok, and what did you do</x:v>
      </x:c>
    </x:row>
    <x:row r="254" ht="32" customHeight="1">
      <x:c r="A254" s="30" t="str">
        <x:v>QB2404</x:v>
      </x:c>
      <x:c r="B254" s="30" t="str">
        <x:v>BlackRock</x:v>
      </x:c>
      <x:c r="C254" s="30" t="str">
        <x:v>PWM / AM</x:v>
      </x:c>
      <x:c r="D254" s="31" t="str">
        <x:v>tell me a time about when u took a risk without knowing the outcome</x:v>
      </x:c>
      <x:c r="E254" s="31" t="str">
        <x:v>Tell me a time about when u took a risk without knowing the outcome</x:v>
      </x:c>
      <x:c r="F254" s="31" t="str">
        <x:v>Other Question</x:v>
      </x:c>
      <x:c r="G254" s="30" t="str">
        <x:v>CL0708</x:v>
      </x:c>
      <x:c r="H254" s="32" t="n">
        <x:f>COUNTIF($G$5:$G$323,G254)</x:f>
        <x:v>1</x:v>
      </x:c>
      <x:c r="I254" s="30" t="str">
        <x:v>A32</x:v>
      </x:c>
      <x:c r="J254" s="31" t="str">
        <x:v>talk abit about CV | if theres a war now what would u do | asset allocation question</x:v>
      </x:c>
    </x:row>
    <x:row r="255" ht="32" customHeight="1">
      <x:c r="A255" s="30" t="str">
        <x:v>QB2408</x:v>
      </x:c>
      <x:c r="B255" s="30" t="str">
        <x:v>BlackRock</x:v>
      </x:c>
      <x:c r="C255" s="30" t="str">
        <x:v>PWM / AM</x:v>
      </x:c>
      <x:c r="D255" s="31" t="str">
        <x:v>pitch me another stock</x:v>
      </x:c>
      <x:c r="E255" s="31" t="str">
        <x:v>Pitch me another stock</x:v>
      </x:c>
      <x:c r="F255" s="31" t="str">
        <x:v>Other Question</x:v>
      </x:c>
      <x:c r="G255" s="30" t="str">
        <x:v>CL0636</x:v>
      </x:c>
      <x:c r="H255" s="32" t="n">
        <x:f>COUNTIF($G$5:$G$323,G255)</x:f>
        <x:v>1</x:v>
      </x:c>
      <x:c r="I255" s="30" t="str">
        <x:v>A37</x:v>
      </x:c>
      <x:c r="J255" s="31" t="str">
        <x:v>Round 1 (Interviewer 2) | introduce yourself | pitch me a stock</x:v>
      </x:c>
    </x:row>
    <x:row r="256" ht="68" customHeight="1">
      <x:c r="A256" s="30" t="str">
        <x:v>QB2413</x:v>
      </x:c>
      <x:c r="B256" s="30" t="str">
        <x:v>BlackRock</x:v>
      </x:c>
      <x:c r="C256" s="30" t="str">
        <x:v>PWM / AM</x:v>
      </x:c>
      <x:c r="D256" s="31" t="str">
        <x:v>do u invest? what do u invest in and why</x:v>
      </x:c>
      <x:c r="E256" s="31" t="str">
        <x:v>Do u invest? what do u invest in and why</x:v>
      </x:c>
      <x:c r="F256" s="31" t="str">
        <x:v>Other Question</x:v>
      </x:c>
      <x:c r="G256" s="30" t="str">
        <x:v>CL0263</x:v>
      </x:c>
      <x:c r="H256" s="32" t="n">
        <x:f>COUNTIF($G$5:$G$323,G256)</x:f>
        <x:v>1</x:v>
      </x:c>
      <x:c r="I256" s="30" t="str">
        <x:v>A42</x:v>
      </x:c>
      <x:c r="J256" s="31" t="str">
        <x:v>why is the brand's USP, revenue break | what is your favourite book outside of finance and why | what are some cultures u know of outside of malaysia and hong kong (anything to share?)</x:v>
      </x:c>
    </x:row>
    <x:row r="257" ht="68" customHeight="1">
      <x:c r="A257" s="30" t="str">
        <x:v>QB2414</x:v>
      </x:c>
      <x:c r="B257" s="30" t="str">
        <x:v>BlackRock</x:v>
      </x:c>
      <x:c r="C257" s="30" t="str">
        <x:v>PWM / AM</x:v>
      </x:c>
      <x:c r="D257" s="31" t="str">
        <x:v>would u consider urself as a risk taker</x:v>
      </x:c>
      <x:c r="E257" s="31" t="str">
        <x:v>Would u consider urself as a risk taker</x:v>
      </x:c>
      <x:c r="F257" s="31" t="str">
        <x:v>Other Question</x:v>
      </x:c>
      <x:c r="G257" s="30" t="str">
        <x:v>CL1193</x:v>
      </x:c>
      <x:c r="H257" s="32" t="n">
        <x:f>COUNTIF($G$5:$G$323,G257)</x:f>
        <x:v>1</x:v>
      </x:c>
      <x:c r="I257" s="30" t="str">
        <x:v>A43</x:v>
      </x:c>
      <x:c r="J257" s="31" t="str">
        <x:v>what is your favourite book outside of finance and why | what are some cultures u know of outside of malaysia and hong kong (anything to share?) | do u invest? what do u invest in and why</x:v>
      </x:c>
    </x:row>
    <x:row r="258" ht="32" customHeight="1">
      <x:c r="A258" s="30" t="str">
        <x:v>QB2545</x:v>
      </x:c>
      <x:c r="B258" s="30" t="str">
        <x:v>MS IED</x:v>
      </x:c>
      <x:c r="C258" s="30" t="str">
        <x:v>Sales &amp; Trading</x:v>
      </x:c>
      <x:c r="D258" s="31" t="str">
        <x:v>can u code in KGB</x:v>
      </x:c>
      <x:c r="E258" s="31" t="str">
        <x:v>Can u code in KGB</x:v>
      </x:c>
      <x:c r="F258" s="31" t="str">
        <x:v>Other Question</x:v>
      </x:c>
      <x:c r="G258" s="30" t="str">
        <x:v>CL0185</x:v>
      </x:c>
      <x:c r="H258" s="32" t="n">
        <x:f>COUNTIF($G$5:$G$323,G258)</x:f>
        <x:v>1</x:v>
      </x:c>
      <x:c r="I258" s="30" t="str">
        <x:v>I5</x:v>
      </x:c>
      <x:c r="J258" s="31" t="str">
        <x:v>Round 2 (Akshat &amp; Anitej) | introduce yourself | some CV questions</x:v>
      </x:c>
    </x:row>
    <x:row r="259" ht="68" customHeight="1">
      <x:c r="A259" s="30" t="str">
        <x:v>QB2552</x:v>
      </x:c>
      <x:c r="B259" s="30" t="str">
        <x:v>MS IED</x:v>
      </x:c>
      <x:c r="C259" s="30" t="str">
        <x:v>Sales &amp; Trading</x:v>
      </x:c>
      <x:c r="D259" s="31" t="str">
        <x:v>how to turn annualized risk into daily risk to measure pnl</x:v>
      </x:c>
      <x:c r="E259" s="31" t="str">
        <x:v>How to turn annualized risk into daily risk to measure pnl</x:v>
      </x:c>
      <x:c r="F259" s="31" t="str">
        <x:v>Other Question</x:v>
      </x:c>
      <x:c r="G259" s="30" t="str">
        <x:v>CL0482</x:v>
      </x:c>
      <x:c r="H259" s="32" t="n">
        <x:f>COUNTIF($G$5:$G$323,G259)</x:f>
        <x:v>1</x:v>
      </x:c>
      <x:c r="I259" s="30" t="str">
        <x:v>A9</x:v>
      </x:c>
      <x:c r="J259" s="31" t="str">
        <x:v>Round 1 (Mike &amp; Micheal Wong) | Pitch a stock for 10 mins (45 mins prep time + reading materials inclduing general house view + MS stock picks) | follow up questions about stock pitch (mine was on china so many china related questions)</x:v>
      </x:c>
    </x:row>
    <x:row r="260" ht="68" customHeight="1">
      <x:c r="A260" s="30" t="str">
        <x:v>QB2553</x:v>
      </x:c>
      <x:c r="B260" s="30" t="str">
        <x:v>MS IED</x:v>
      </x:c>
      <x:c r="C260" s="30" t="str">
        <x:v>Sales &amp; Trading</x:v>
      </x:c>
      <x:c r="D260" s="31" t="str">
        <x:v>what do you think differentiates MS from the other banks</x:v>
      </x:c>
      <x:c r="E260" s="31" t="str">
        <x:v>What do you think differentiates MS from the other banks</x:v>
      </x:c>
      <x:c r="F260" s="31" t="str">
        <x:v>Other Question</x:v>
      </x:c>
      <x:c r="G260" s="30" t="str">
        <x:v>CL0928</x:v>
      </x:c>
      <x:c r="H260" s="32" t="n">
        <x:f>COUNTIF($G$5:$G$323,G260)</x:f>
        <x:v>1</x:v>
      </x:c>
      <x:c r="I260" s="30" t="str">
        <x:v>I9</x:v>
      </x:c>
      <x:c r="J260" s="31" t="str">
        <x:v>biggest strength and weakness | follow up questions on essay question (would recommend to continuously follow on what u wrote cuz idk how to ans when they asked) | sales or trading</x:v>
      </x:c>
    </x:row>
    <x:row r="261" ht="32" customHeight="1">
      <x:c r="A261" s="30" t="str">
        <x:v>QB2581</x:v>
      </x:c>
      <x:c r="B261" s="30" t="str">
        <x:v>MS IED</x:v>
      </x:c>
      <x:c r="C261" s="30" t="str">
        <x:v>Sales &amp; Trading</x:v>
      </x:c>
      <x:c r="D261" s="31" t="str">
        <x:v>what do you think are your adv and disadv</x:v>
      </x:c>
      <x:c r="E261" s="31" t="str">
        <x:v>What do you think are your adv and disadv</x:v>
      </x:c>
      <x:c r="F261" s="31" t="str">
        <x:v>Other Question</x:v>
      </x:c>
      <x:c r="G261" s="30" t="str">
        <x:v>CL0927</x:v>
      </x:c>
      <x:c r="H261" s="32" t="n">
        <x:f>COUNTIF($G$5:$G$323,G261)</x:f>
        <x:v>1</x:v>
      </x:c>
      <x:c r="I261" s="30" t="str">
        <x:v>N20</x:v>
      </x:c>
      <x:c r="J261" s="31" t="str">
        <x:v>self introduction | CV based questions | One market headline ur following</x:v>
      </x:c>
    </x:row>
    <x:row r="262" ht="48" customHeight="1">
      <x:c r="A262" s="30" t="str">
        <x:v>QB2583</x:v>
      </x:c>
      <x:c r="B262" s="30" t="str">
        <x:v>MS IED</x:v>
      </x:c>
      <x:c r="C262" s="30" t="str">
        <x:v>Sales &amp; Trading</x:v>
      </x:c>
      <x:c r="D262" s="31" t="str">
        <x:v>what roles within IED do u prefer</x:v>
      </x:c>
      <x:c r="E262" s="31" t="str">
        <x:v>What roles within IED do u prefer</x:v>
      </x:c>
      <x:c r="F262" s="31" t="str">
        <x:v>Other Question</x:v>
      </x:c>
      <x:c r="G262" s="30" t="str">
        <x:v>CL1027</x:v>
      </x:c>
      <x:c r="H262" s="32" t="n">
        <x:f>COUNTIF($G$5:$G$323,G262)</x:f>
        <x:v>1</x:v>
      </x:c>
      <x:c r="I262" s="30" t="str">
        <x:v>I21</x:v>
      </x:c>
      <x:c r="J262" s="31" t="str">
        <x:v>CV - student club related question | Introduce one recent headline that you follow (in mandarin) | Stock pitch (in mandarin)</x:v>
      </x:c>
    </x:row>
    <x:row r="263" ht="68" customHeight="1">
      <x:c r="A263" s="30" t="str">
        <x:v>QB2598</x:v>
      </x:c>
      <x:c r="B263" s="30" t="str">
        <x:v>MS IED</x:v>
      </x:c>
      <x:c r="C263" s="30" t="str">
        <x:v>Sales &amp; Trading</x:v>
      </x:c>
      <x:c r="D263" s="31" t="str">
        <x:v>Give you 1 mn today, or 100k per year for the rest of your life, which one do you prefer?</x:v>
      </x:c>
      <x:c r="E263" s="31" t="str">
        <x:v>Give you 1 mn today, or 100k per year for the rest of your life, which one do you prefer</x:v>
      </x:c>
      <x:c r="F263" s="31" t="str">
        <x:v>Other Question</x:v>
      </x:c>
      <x:c r="G263" s="30" t="str">
        <x:v>CL0351</x:v>
      </x:c>
      <x:c r="H263" s="32" t="n">
        <x:f>COUNTIF($G$5:$G$323,G263)</x:f>
        <x:v>1</x:v>
      </x:c>
      <x:c r="I263" s="30" t="str">
        <x:v>A36</x:v>
      </x:c>
      <x:c r="J263" s="31" t="str">
        <x:v>Reading Material is essentially one piece of the MS's most updated ER reports - mine is about the Asia Defence Sector | Follow-up Qs on the stock pitch | General Qs:</x:v>
      </x:c>
    </x:row>
    <x:row r="264" ht="68" customHeight="1">
      <x:c r="A264" s="30" t="str">
        <x:v>QB2600</x:v>
      </x:c>
      <x:c r="B264" s="30" t="str">
        <x:v>MS IED</x:v>
      </x:c>
      <x:c r="C264" s="30" t="str">
        <x:v>Sales &amp; Trading</x:v>
      </x:c>
      <x:c r="D264" s="31" t="str">
        <x:v>What's your passion for your future career?</x:v>
      </x:c>
      <x:c r="E264" s="31" t="str">
        <x:v>What's your passion for your future career</x:v>
      </x:c>
      <x:c r="F264" s="31" t="str">
        <x:v>Other Question</x:v>
      </x:c>
      <x:c r="G264" s="30" t="str">
        <x:v>CL1066</x:v>
      </x:c>
      <x:c r="H264" s="32" t="n">
        <x:f>COUNTIF($G$5:$G$323,G264)</x:f>
        <x:v>1</x:v>
      </x:c>
      <x:c r="I264" s="30" t="str">
        <x:v>A38</x:v>
      </x:c>
      <x:c r="J264" s="31" t="str">
        <x:v>General Qs: | Give you 1 mn today, or 100k per year for the rest of your life, which one do you prefer? | Follow-up: you said you can start making the investment with the 1 mn today to generate a 6-7% annual return. How do you invest and...</x:v>
      </x:c>
    </x:row>
    <x:row r="265" ht="92" customHeight="1">
      <x:c r="A265" s="30" t="str">
        <x:v>QB2601</x:v>
      </x:c>
      <x:c r="B265" s="30" t="str">
        <x:v>MS IED</x:v>
      </x:c>
      <x:c r="C265" s="30" t="str">
        <x:v>Sales &amp; Trading</x:v>
      </x:c>
      <x:c r="D265" s="31" t="str">
        <x:v>What's the stock price of MS today and what are some of the drivers of the stock recently?</x:v>
      </x:c>
      <x:c r="E265" s="31" t="str">
        <x:v>What's the stock price of MS today and what are some of the drivers of the stock recently</x:v>
      </x:c>
      <x:c r="F265" s="31" t="str">
        <x:v>Other Question</x:v>
      </x:c>
      <x:c r="G265" s="30" t="str">
        <x:v>CL1058</x:v>
      </x:c>
      <x:c r="H265" s="32" t="n">
        <x:f>COUNTIF($G$5:$G$323,G265)</x:f>
        <x:v>1</x:v>
      </x:c>
      <x:c r="I265" s="30" t="str">
        <x:v>A39</x:v>
      </x:c>
      <x:c r="J265" s="31" t="str">
        <x:v>Give you 1 mn today, or 100k per year for the rest of your life, which one do you prefer? | Follow-up: you said you can start making the investment with the 1 mn today to generate a 6-7% annual return. How do you invest and what's your s...</x:v>
      </x:c>
    </x:row>
    <x:row r="266" ht="68" customHeight="1">
      <x:c r="A266" s="30" t="str">
        <x:v>QB2606</x:v>
      </x:c>
      <x:c r="B266" s="30" t="str">
        <x:v>MS IED</x:v>
      </x:c>
      <x:c r="C266" s="30" t="str">
        <x:v>Sales &amp; Trading</x:v>
      </x:c>
      <x:c r="D266" s="31" t="str">
        <x:v>Some questions related to my hobbies. How do you balance that with your study/interviews?</x:v>
      </x:c>
      <x:c r="E266" s="31" t="str">
        <x:v>What are your interests outside work and school?</x:v>
      </x:c>
      <x:c r="F266" s="31" t="str">
        <x:v>Other Question</x:v>
      </x:c>
      <x:c r="G266" s="30" t="str">
        <x:v>CL0014</x:v>
      </x:c>
      <x:c r="H266" s="32" t="n">
        <x:f>COUNTIF($G$5:$G$323,G266)</x:f>
        <x:v>6</x:v>
      </x:c>
      <x:c r="I266" s="30" t="str">
        <x:v>A45</x:v>
      </x:c>
      <x:c r="J266" s="31" t="str">
        <x:v>Walk me through you CV | Tell me about you PA account - what's the stock that you most want to buy? (essentially a stock pitch) | Follow-up: any risk factors or possible headwinds for this company?</x:v>
      </x:c>
    </x:row>
    <x:row r="267" ht="92" customHeight="1">
      <x:c r="A267" s="30" t="str">
        <x:v>QB2607</x:v>
      </x:c>
      <x:c r="B267" s="30" t="str">
        <x:v>MS IED</x:v>
      </x:c>
      <x:c r="C267" s="30" t="str">
        <x:v>Sales &amp; Trading</x:v>
      </x:c>
      <x:c r="D267" s="31" t="str">
        <x:v>Give me a case when you were doing a project and got stuck with it? How did you handle that?</x:v>
      </x:c>
      <x:c r="E267" s="31" t="str">
        <x:v>Give me a case when you were doing a project and got stuck with it? How did you handle that</x:v>
      </x:c>
      <x:c r="F267" s="31" t="str">
        <x:v>Other Question</x:v>
      </x:c>
      <x:c r="G267" s="30" t="str">
        <x:v>CL0344</x:v>
      </x:c>
      <x:c r="H267" s="32" t="n">
        <x:f>COUNTIF($G$5:$G$323,G267)</x:f>
        <x:v>1</x:v>
      </x:c>
      <x:c r="I267" s="30" t="str">
        <x:v>A46</x:v>
      </x:c>
      <x:c r="J267" s="31" t="str">
        <x:v>Tell me about you PA account - what's the stock that you most want to buy? (essentially a stock pitch) | Follow-up: any risk factors or possible headwinds for this company? | Some questions related to my hobbies. How do you balance that ...</x:v>
      </x:c>
    </x:row>
    <x:row r="268" ht="68" customHeight="1">
      <x:c r="A268" s="30" t="str">
        <x:v>QB2610</x:v>
      </x:c>
      <x:c r="B268" s="30" t="str">
        <x:v>MS IED</x:v>
      </x:c>
      <x:c r="C268" s="30" t="str">
        <x:v>Sales &amp; Trading</x:v>
      </x:c>
      <x:c r="D268" s="31" t="str">
        <x:v>What roles you are intereted in within the IED business?</x:v>
      </x:c>
      <x:c r="E268" s="31" t="str">
        <x:v>What roles you are intereted in within the IED business</x:v>
      </x:c>
      <x:c r="F268" s="31" t="str">
        <x:v>Other Question</x:v>
      </x:c>
      <x:c r="G268" s="30" t="str">
        <x:v>CL1028</x:v>
      </x:c>
      <x:c r="H268" s="32" t="n">
        <x:f>COUNTIF($G$5:$G$323,G268)</x:f>
        <x:v>1</x:v>
      </x:c>
      <x:c r="I268" s="30" t="str">
        <x:v>A49</x:v>
      </x:c>
      <x:c r="J268" s="31" t="str">
        <x:v>Give me a case when you were doing a project and got stuck with it? How did you handle that? | Asked about an intern project that I did before (on my CV) | What do you think are the important qualities to become a successful salesperson?</x:v>
      </x:c>
    </x:row>
    <x:row r="269" ht="32" customHeight="1">
      <x:c r="A269" s="30" t="str">
        <x:v>QB2617</x:v>
      </x:c>
      <x:c r="B269" s="30" t="str">
        <x:v>Barclays GM</x:v>
      </x:c>
      <x:c r="C269" s="30" t="str">
        <x:v>Sales &amp; Trading</x:v>
      </x:c>
      <x:c r="D269" s="31" t="str">
        <x:v>What are the achievements that u've made</x:v>
      </x:c>
      <x:c r="E269" s="31" t="str">
        <x:v>What are the achievements that u've made</x:v>
      </x:c>
      <x:c r="F269" s="31" t="str">
        <x:v>Other Question</x:v>
      </x:c>
      <x:c r="G269" s="30" t="str">
        <x:v>CL0875</x:v>
      </x:c>
      <x:c r="H269" s="32" t="n">
        <x:f>COUNTIF($G$5:$G$323,G269)</x:f>
        <x:v>1</x:v>
      </x:c>
      <x:c r="I269" s="30" t="str">
        <x:v>A7</x:v>
      </x:c>
      <x:c r="J269" s="31" t="str">
        <x:v>John | With Cathy Burbridge, from PT Team, Asso? | Self intro</x:v>
      </x:c>
    </x:row>
    <x:row r="270" ht="48" customHeight="1">
      <x:c r="A270" s="30" t="str">
        <x:v>QB2618</x:v>
      </x:c>
      <x:c r="B270" s="30" t="str">
        <x:v>Barclays GM</x:v>
      </x:c>
      <x:c r="C270" s="30" t="str">
        <x:v>Sales &amp; Trading</x:v>
      </x:c>
      <x:c r="D270" s="31" t="str">
        <x:v>Where are you currently based? (and then we chatted a lot on Milan very casually)</x:v>
      </x:c>
      <x:c r="E270" s="31" t="str">
        <x:v>Where are you currently based? (and then we chatted a lot on Milan very casually)</x:v>
      </x:c>
      <x:c r="F270" s="31" t="str">
        <x:v>Other Question</x:v>
      </x:c>
      <x:c r="G270" s="30" t="str">
        <x:v>CL1083</x:v>
      </x:c>
      <x:c r="H270" s="32" t="n">
        <x:f>COUNTIF($G$5:$G$323,G270)</x:f>
        <x:v>1</x:v>
      </x:c>
      <x:c r="I270" s="30" t="str">
        <x:v>A8</x:v>
      </x:c>
      <x:c r="J270" s="31" t="str">
        <x:v>With Cathy Burbridge, from PT Team, Asso? | Self intro | What are the achievements that u've made</x:v>
      </x:c>
    </x:row>
    <x:row r="271" ht="48" customHeight="1">
      <x:c r="A271" s="30" t="str">
        <x:v>QB2620</x:v>
      </x:c>
      <x:c r="B271" s="30" t="str">
        <x:v>Barclays GM</x:v>
      </x:c>
      <x:c r="C271" s="30" t="str">
        <x:v>Sales &amp; Trading</x:v>
      </x:c>
      <x:c r="D271" s="31" t="str">
        <x:v>How do u usually keep updated with the market?</x:v>
      </x:c>
      <x:c r="E271" s="31" t="str">
        <x:v>How do u usually keep updated with the market</x:v>
      </x:c>
      <x:c r="F271" s="31" t="str">
        <x:v>Other Question</x:v>
      </x:c>
      <x:c r="G271" s="30" t="str">
        <x:v>CL0397</x:v>
      </x:c>
      <x:c r="H271" s="32" t="n">
        <x:f>COUNTIF($G$5:$G$323,G271)</x:f>
        <x:v>1</x:v>
      </x:c>
      <x:c r="I271" s="30" t="str">
        <x:v>A10</x:v>
      </x:c>
      <x:c r="J271" s="31" t="str">
        <x:v>What are the achievements that u've made | Where are you currently based? (and then we chatted a lot on Milan very casually) | Why Trading roles?</x:v>
      </x:c>
    </x:row>
    <x:row r="272" ht="118" customHeight="1">
      <x:c r="A272" s="30" t="str">
        <x:v>QB2633</x:v>
      </x:c>
      <x:c r="B272" s="30" t="str">
        <x:v>BofA (GM)</x:v>
      </x:c>
      <x:c r="C272" s="30" t="str">
        <x:v>Sales &amp; Trading</x:v>
      </x:c>
      <x:c r="D272" s="31" t="str">
        <x:v>What do you think the sales role are doing?</x:v>
      </x:c>
      <x:c r="E272" s="31" t="str">
        <x:v>What do you think the sales role are doing</x:v>
      </x:c>
      <x:c r="F272" s="31" t="str">
        <x:v>Other Question</x:v>
      </x:c>
      <x:c r="G272" s="30" t="str">
        <x:v>CL0932</x:v>
      </x:c>
      <x:c r="H272" s="32" t="n">
        <x:f>COUNTIF($G$5:$G$323,G272)</x:f>
        <x:v>1</x:v>
      </x:c>
      <x:c r="I272" s="30" t="str">
        <x:v>A9</x:v>
      </x:c>
      <x:c r="J272" s="31" t="str">
        <x:v>Do you apply for other banks' programs? Then why BofA? (I said rotational opportunities within a real universal bank + friends' recommendation) | Since BofA is really a global bank with businesses across the world, what do you see in you...</x:v>
      </x:c>
    </x:row>
    <x:row r="273" ht="48" customHeight="1">
      <x:c r="A273" s="30" t="str">
        <x:v>QB2637</x:v>
      </x:c>
      <x:c r="B273" s="30" t="str">
        <x:v>BofA (GM)</x:v>
      </x:c>
      <x:c r="C273" s="30" t="str">
        <x:v>Sales &amp; Trading</x:v>
      </x:c>
      <x:c r="D273" s="31" t="str">
        <x:v>What's the collaborative environment in BofA look like?</x:v>
      </x:c>
      <x:c r="E273" s="31" t="str">
        <x:v>What's the collaborative environment in BofA look like</x:v>
      </x:c>
      <x:c r="F273" s="31" t="str">
        <x:v>Other Question</x:v>
      </x:c>
      <x:c r="G273" s="30" t="str">
        <x:v>CL1050</x:v>
      </x:c>
      <x:c r="H273" s="32" t="n">
        <x:f>COUNTIF($G$5:$G$323,G273)</x:f>
        <x:v>1</x:v>
      </x:c>
      <x:c r="I273" s="30" t="str">
        <x:v>A13</x:v>
      </x:c>
      <x:c r="J273" s="31" t="str">
        <x:v>Then why do you believe you can become a successful sales in BofA? | Tell me more about your self (besides the finance side), like hobbies? | 反问</x:v>
      </x:c>
    </x:row>
    <x:row r="274" ht="68" customHeight="1">
      <x:c r="A274" s="30" t="str">
        <x:v>QB2645</x:v>
      </x:c>
      <x:c r="B274" s="30" t="str">
        <x:v>BofA (GM)</x:v>
      </x:c>
      <x:c r="C274" s="30" t="str">
        <x:v>Sales &amp; Trading</x:v>
      </x:c>
      <x:c r="D274" s="31" t="str">
        <x:v>Any example for working under stress?</x:v>
      </x:c>
      <x:c r="E274" s="31" t="str">
        <x:v>Any example for working under stress</x:v>
      </x:c>
      <x:c r="F274" s="31" t="str">
        <x:v>Other Question</x:v>
      </x:c>
      <x:c r="G274" s="30" t="str">
        <x:v>CL0114</x:v>
      </x:c>
      <x:c r="H274" s="32" t="n">
        <x:f>COUNTIF($G$5:$G$323,G274)</x:f>
        <x:v>1</x:v>
      </x:c>
      <x:c r="I274" s="30" t="str">
        <x:v>A22</x:v>
      </x:c>
      <x:c r="J274" s="31" t="str">
        <x:v>Follow up: What if two sales give you tasks and need to be handled within 30 mins? | CV based: Second related internship, what did you do and what did you learn from it? | 反问</x:v>
      </x:c>
    </x:row>
    <x:row r="275" ht="32" customHeight="1">
      <x:c r="A275" s="30" t="str">
        <x:v>QB2652</x:v>
      </x:c>
      <x:c r="B275" s="30" t="str">
        <x:v>BofA (GM)</x:v>
      </x:c>
      <x:c r="C275" s="30" t="str">
        <x:v>Sales &amp; Trading</x:v>
      </x:c>
      <x:c r="D275" s="31" t="str">
        <x:v>Do you have your own investment account?</x:v>
      </x:c>
      <x:c r="E275" s="31" t="str">
        <x:v>Do you have your own investment account</x:v>
      </x:c>
      <x:c r="F275" s="31" t="str">
        <x:v>Other Question</x:v>
      </x:c>
      <x:c r="G275" s="30" t="str">
        <x:v>CL0032</x:v>
      </x:c>
      <x:c r="H275" s="32" t="n">
        <x:f>COUNTIF($G$5:$G$323,G275)</x:f>
        <x:v>2</x:v>
      </x:c>
      <x:c r="I275" s="30" t="str">
        <x:v>A31</x:v>
      </x:c>
      <x:c r="J275" s="31" t="str">
        <x:v>SPD | 27 with Gordon Lai – Director, Equities Sales | self-intro</x:v>
      </x:c>
    </x:row>
    <x:row r="276" ht="68" customHeight="1">
      <x:c r="A276" s="30" t="str">
        <x:v>QB2656</x:v>
      </x:c>
      <x:c r="B276" s="30" t="str">
        <x:v>BofA (GM)</x:v>
      </x:c>
      <x:c r="C276" s="30" t="str">
        <x:v>Sales &amp; Trading</x:v>
      </x:c>
      <x:c r="D276" s="31" t="str">
        <x:v>Any preference for the particular asset class or roles?</x:v>
      </x:c>
      <x:c r="E276" s="31" t="str">
        <x:v>Any preference for the particular asset class or roles</x:v>
      </x:c>
      <x:c r="F276" s="31" t="str">
        <x:v>Other Question</x:v>
      </x:c>
      <x:c r="G276" s="30" t="str">
        <x:v>CL0119</x:v>
      </x:c>
      <x:c r="H276" s="32" t="n">
        <x:f>COUNTIF($G$5:$G$323,G276)</x:f>
        <x:v>1</x:v>
      </x:c>
      <x:c r="I276" s="30" t="str">
        <x:v>A35</x:v>
      </x:c>
      <x:c r="J276" s="31" t="str">
        <x:v>Any trading ideas now? Any market/asset class/single stock. | Follow up: What are the competitors of that stock? | Where is your passion for finance and SnT come from?</x:v>
      </x:c>
    </x:row>
    <x:row r="277" ht="92" customHeight="1">
      <x:c r="A277" s="30" t="str">
        <x:v>QB2659</x:v>
      </x:c>
      <x:c r="B277" s="30" t="str">
        <x:v>BofA (GM)</x:v>
      </x:c>
      <x:c r="C277" s="30" t="str">
        <x:v>Sales &amp; Trading</x:v>
      </x:c>
      <x:c r="D277" s="31" t="str">
        <x:v>What kinds of skill sets do you believe that you've been equipped with and make you suitable for a sales?</x:v>
      </x:c>
      <x:c r="E277" s="31" t="str">
        <x:v>What kinds of skill sets do you believe that you've been equipped with and make you suitable for a sales</x:v>
      </x:c>
      <x:c r="F277" s="31" t="str">
        <x:v>Other Question</x:v>
      </x:c>
      <x:c r="G277" s="30" t="str">
        <x:v>CL1011</x:v>
      </x:c>
      <x:c r="H277" s="32" t="n">
        <x:f>COUNTIF($G$5:$G$323,G277)</x:f>
        <x:v>1</x:v>
      </x:c>
      <x:c r="I277" s="30" t="str">
        <x:v>A38</x:v>
      </x:c>
      <x:c r="J277" s="31" t="str">
        <x:v>Any preference for the particular asset class or roles? | How do you deal with an ethical dillemma or "grey area"? | Situational Q: if you expect a 20% in gold price rally in the future, what investment target will you choose: Gold; gold...</x:v>
      </x:c>
    </x:row>
    <x:row r="278" ht="48" customHeight="1">
      <x:c r="A278" s="30" t="str">
        <x:v>QB2664</x:v>
      </x:c>
      <x:c r="B278" s="30" t="str">
        <x:v>BofA (GM)</x:v>
      </x:c>
      <x:c r="C278" s="30" t="str">
        <x:v>Sales &amp; Trading</x:v>
      </x:c>
      <x:c r="D278" s="31" t="str">
        <x:v>Do you follow the market?</x:v>
      </x:c>
      <x:c r="E278" s="31" t="str">
        <x:v>Do you follow the market</x:v>
      </x:c>
      <x:c r="F278" s="31" t="str">
        <x:v>Other Question</x:v>
      </x:c>
      <x:c r="G278" s="30" t="str">
        <x:v>CL0268</x:v>
      </x:c>
      <x:c r="H278" s="32" t="n">
        <x:f>COUNTIF($G$5:$G$323,G278)</x:f>
        <x:v>1</x:v>
      </x:c>
      <x:c r="I278" s="30" t="str">
        <x:v>A44</x:v>
      </x:c>
      <x:c r="J278" s="31" t="str">
        <x:v>27 with David Sbarro – Managing Director, FICC Trading | self-intro | You said you're passionate about SnT so where is this passion come from?</x:v>
      </x:c>
    </x:row>
    <x:row r="279" ht="48" customHeight="1">
      <x:c r="A279" s="30" t="str">
        <x:v>QB2665</x:v>
      </x:c>
      <x:c r="B279" s="30" t="str">
        <x:v>BofA (GM)</x:v>
      </x:c>
      <x:c r="C279" s="30" t="str">
        <x:v>Sales &amp; Trading</x:v>
      </x:c>
      <x:c r="D279" s="31" t="str">
        <x:v>What's the S&amp;P500 closing price yesterday?</x:v>
      </x:c>
      <x:c r="E279" s="31" t="str">
        <x:v>What's the S&amp;P500 closing price yesterday</x:v>
      </x:c>
      <x:c r="F279" s="31" t="str">
        <x:v>Other Question</x:v>
      </x:c>
      <x:c r="G279" s="30" t="str">
        <x:v>CL1056</x:v>
      </x:c>
      <x:c r="H279" s="32" t="n">
        <x:f>COUNTIF($G$5:$G$323,G279)</x:f>
        <x:v>1</x:v>
      </x:c>
      <x:c r="I279" s="30" t="str">
        <x:v>A45</x:v>
      </x:c>
      <x:c r="J279" s="31" t="str">
        <x:v>self-intro | You said you're passionate about SnT so where is this passion come from? | Do you follow the market?</x:v>
      </x:c>
    </x:row>
    <x:row r="280" ht="48" customHeight="1">
      <x:c r="A280" s="30" t="str">
        <x:v>QB2666</x:v>
      </x:c>
      <x:c r="B280" s="30" t="str">
        <x:v>BofA (GM)</x:v>
      </x:c>
      <x:c r="C280" s="30" t="str">
        <x:v>Sales &amp; Trading</x:v>
      </x:c>
      <x:c r="D280" s="31" t="str">
        <x:v>Do you have your own investment account?</x:v>
      </x:c>
      <x:c r="E280" s="31" t="str">
        <x:v>Do you have your own investment account</x:v>
      </x:c>
      <x:c r="F280" s="31" t="str">
        <x:v>Other Question</x:v>
      </x:c>
      <x:c r="G280" s="30" t="str">
        <x:v>CL0032</x:v>
      </x:c>
      <x:c r="H280" s="32" t="n">
        <x:f>COUNTIF($G$5:$G$323,G280)</x:f>
        <x:v>2</x:v>
      </x:c>
      <x:c r="I280" s="30" t="str">
        <x:v>A46</x:v>
      </x:c>
      <x:c r="J280" s="31" t="str">
        <x:v>You said you're passionate about SnT so where is this passion come from? | Do you follow the market? | What's the S&amp;P500 closing price yesterday?</x:v>
      </x:c>
    </x:row>
    <x:row r="281" ht="32" customHeight="1">
      <x:c r="A281" s="30" t="str">
        <x:v>QB2675</x:v>
      </x:c>
      <x:c r="B281" s="30" t="str">
        <x:v>BofA (GM)</x:v>
      </x:c>
      <x:c r="C281" s="30" t="str">
        <x:v>Sales &amp; Trading</x:v>
      </x:c>
      <x:c r="D281" s="31" t="str">
        <x:v>Are you from Shanghai?</x:v>
      </x:c>
      <x:c r="E281" s="31" t="str">
        <x:v>Are you from Shanghai</x:v>
      </x:c>
      <x:c r="F281" s="31" t="str">
        <x:v>Other Question</x:v>
      </x:c>
      <x:c r="G281" s="30" t="str">
        <x:v>CL0135</x:v>
      </x:c>
      <x:c r="H281" s="32" t="n">
        <x:f>COUNTIF($G$5:$G$323,G281)</x:f>
        <x:v>1</x:v>
      </x:c>
      <x:c r="I281" s="30" t="str">
        <x:v>A56</x:v>
      </x:c>
      <x:c r="J281" s="31" t="str">
        <x:v>反问 | 27 with Qilin Wei – Managing Director, FICC Trading | self-intro</x:v>
      </x:c>
    </x:row>
    <x:row r="282" ht="48" customHeight="1">
      <x:c r="A282" s="30" t="str">
        <x:v>QB2679</x:v>
      </x:c>
      <x:c r="B282" s="30" t="str">
        <x:v>BofA (GM)</x:v>
      </x:c>
      <x:c r="C282" s="30" t="str">
        <x:v>Sales &amp; Trading</x:v>
      </x:c>
      <x:c r="D282" s="31" t="str">
        <x:v>Seems like you are more keen on the sales side. Why?</x:v>
      </x:c>
      <x:c r="E282" s="31" t="str">
        <x:v>Seems like you are more keen on the sales side. Why</x:v>
      </x:c>
      <x:c r="F282" s="31" t="str">
        <x:v>Other Question</x:v>
      </x:c>
      <x:c r="G282" s="30" t="str">
        <x:v>CL0671</x:v>
      </x:c>
      <x:c r="H282" s="32" t="n">
        <x:f>COUNTIF($G$5:$G$323,G282)</x:f>
        <x:v>1</x:v>
      </x:c>
      <x:c r="I282" s="30" t="str">
        <x:v>A60</x:v>
      </x:c>
      <x:c r="J282" s="31" t="str">
        <x:v>Why come to HK for University? | What's your view on the Chinese macroeconomy? (I said neutral in the short run) | Follow up: What about in the longer term?</x:v>
      </x:c>
    </x:row>
    <x:row r="283" ht="32" customHeight="1">
      <x:c r="A283" s="30" t="str">
        <x:v>QB2684</x:v>
      </x:c>
      <x:c r="B283" s="30" t="str">
        <x:v>HSBC (GM)</x:v>
      </x:c>
      <x:c r="C283" s="30" t="str">
        <x:v>Sales &amp; Trading</x:v>
      </x:c>
      <x:c r="D283" s="31" t="str">
        <x:v>introduce urself</x:v>
      </x:c>
      <x:c r="E283" s="31" t="str">
        <x:v>Introduce urself</x:v>
      </x:c>
      <x:c r="F283" s="31" t="str">
        <x:v>Other Question</x:v>
      </x:c>
      <x:c r="G283" s="30" t="str">
        <x:v>CL0035</x:v>
      </x:c>
      <x:c r="H283" s="32" t="n">
        <x:f>COUNTIF($G$5:$G$323,G283)</x:f>
        <x:v>2</x:v>
      </x:c>
      <x:c r="I283" s="30" t="str">
        <x:v>A3</x:v>
      </x:c>
      <x:c r="J283" s="31" t="str">
        <x:v>2025 SA | Round 1 (Erik from High Touch Sales)</x:v>
      </x:c>
    </x:row>
    <x:row r="284" ht="48" customHeight="1">
      <x:c r="A284" s="30" t="str">
        <x:v>QB2690</x:v>
      </x:c>
      <x:c r="B284" s="30" t="str">
        <x:v>HSBC (GM)</x:v>
      </x:c>
      <x:c r="C284" s="30" t="str">
        <x:v>Sales &amp; Trading</x:v>
      </x:c>
      <x:c r="D284" s="31" t="str">
        <x:v>tell me 2 main drivers of the market recently and where do u see markets going in the future</x:v>
      </x:c>
      <x:c r="E284" s="31" t="str">
        <x:v>What is your current market outlook?</x:v>
      </x:c>
      <x:c r="F284" s="31" t="str">
        <x:v>Other Question</x:v>
      </x:c>
      <x:c r="G284" s="30" t="str">
        <x:v>CL0018</x:v>
      </x:c>
      <x:c r="H284" s="32" t="n">
        <x:f>COUNTIF($G$5:$G$323,G284)</x:f>
        <x:v>1</x:v>
      </x:c>
      <x:c r="I284" s="30" t="str">
        <x:v>A6</x:v>
      </x:c>
      <x:c r="J284" s="31" t="str">
        <x:v>introduce urself | what is ur favourite subject in school | what does gold mean as safe haven asset and what other assets are also safe haven</x:v>
      </x:c>
    </x:row>
    <x:row r="285" ht="68" customHeight="1">
      <x:c r="A285" s="30" t="str">
        <x:v>QB2692</x:v>
      </x:c>
      <x:c r="B285" s="30" t="str">
        <x:v>HSBC (GM)</x:v>
      </x:c>
      <x:c r="C285" s="30" t="str">
        <x:v>Sales &amp; Trading</x:v>
      </x:c>
      <x:c r="D285" s="31" t="str">
        <x:v>behavourial on client asking u to do something illegal</x:v>
      </x:c>
      <x:c r="E285" s="31" t="str">
        <x:v>Behavourial on client asking u to do something illegal</x:v>
      </x:c>
      <x:c r="F285" s="31" t="str">
        <x:v>Other Question</x:v>
      </x:c>
      <x:c r="G285" s="30" t="str">
        <x:v>CL0158</x:v>
      </x:c>
      <x:c r="H285" s="32" t="n">
        <x:f>COUNTIF($G$5:$G$323,G285)</x:f>
        <x:v>1</x:v>
      </x:c>
      <x:c r="I285" s="30" t="str">
        <x:v>A7</x:v>
      </x:c>
      <x:c r="J285" s="31" t="str">
        <x:v>what is ur favourite subject in school | what does gold mean as safe haven asset and what other assets are also safe haven | tell me 2 main drivers of the market recently and where do u see markets going in the future</x:v>
      </x:c>
    </x:row>
    <x:row r="286" ht="48" customHeight="1">
      <x:c r="A286" s="30" t="str">
        <x:v>QB2693</x:v>
      </x:c>
      <x:c r="B286" s="30" t="str">
        <x:v>HSBC (GM)</x:v>
      </x:c>
      <x:c r="C286" s="30" t="str">
        <x:v>Sales &amp; Trading</x:v>
      </x:c>
      <x:c r="D286" s="31" t="str">
        <x:v>what do you think drives the financial market in the last 6 months and what will be the drivers for the next 6 months</x:v>
      </x:c>
      <x:c r="E286" s="31" t="str">
        <x:v>What do you think drives the financial market in the last 6 months and what will be the drivers for the next 6 months</x:v>
      </x:c>
      <x:c r="F286" s="31" t="str">
        <x:v>Other Question</x:v>
      </x:c>
      <x:c r="G286" s="30" t="str">
        <x:v>CL0929</x:v>
      </x:c>
      <x:c r="H286" s="32" t="n">
        <x:f>COUNTIF($G$5:$G$323,G286)</x:f>
        <x:v>1</x:v>
      </x:c>
      <x:c r="I286" s="30" t="str">
        <x:v>L7</x:v>
      </x:c>
      <x:c r="J286" s="31" t="str">
        <x:v>why HSBC? | Consider AMPB major, why u want to do SnT? | 1.6 math calculation</x:v>
      </x:c>
    </x:row>
    <x:row r="287" ht="32" customHeight="1">
      <x:c r="A287" s="30" t="str">
        <x:v>QB2709</x:v>
      </x:c>
      <x:c r="B287" s="30" t="str">
        <x:v>HSBC (GM)</x:v>
      </x:c>
      <x:c r="C287" s="30" t="str">
        <x:v>Sales &amp; Trading</x:v>
      </x:c>
      <x:c r="D287" s="31" t="str">
        <x:v>which subject do you like the most</x:v>
      </x:c>
      <x:c r="E287" s="31" t="str">
        <x:v>Which subject do you like the most</x:v>
      </x:c>
      <x:c r="F287" s="31" t="str">
        <x:v>Other Question</x:v>
      </x:c>
      <x:c r="G287" s="30" t="str">
        <x:v>CL1103</x:v>
      </x:c>
      <x:c r="H287" s="32" t="n">
        <x:f>COUNTIF($G$5:$G$323,G287)</x:f>
        <x:v>1</x:v>
      </x:c>
      <x:c r="I287" s="30" t="str">
        <x:v>L16</x:v>
      </x:c>
      <x:c r="J287" s="31" t="str">
        <x:v>Round 2 (fx and rates trading) | self introduction | interests &amp; student clubs in CV</x:v>
      </x:c>
    </x:row>
    <x:row r="288" ht="68" customHeight="1">
      <x:c r="A288" s="30" t="str">
        <x:v>QB2716</x:v>
      </x:c>
      <x:c r="B288" s="30" t="str">
        <x:v>HSBC (GM)</x:v>
      </x:c>
      <x:c r="C288" s="30" t="str">
        <x:v>Sales &amp; Trading</x:v>
      </x:c>
      <x:c r="D288" s="31" t="str">
        <x:v>what happens when countries get to show and utilize their comparative advantages against the others</x:v>
      </x:c>
      <x:c r="E288" s="31" t="str">
        <x:v>What happens when countries get to show and utilize their comparative advantages against the others</x:v>
      </x:c>
      <x:c r="F288" s="31" t="str">
        <x:v>Other Question</x:v>
      </x:c>
      <x:c r="G288" s="30" t="str">
        <x:v>CL0949</x:v>
      </x:c>
      <x:c r="H288" s="32" t="n">
        <x:f>COUNTIF($G$5:$G$323,G288)</x:f>
        <x:v>1</x:v>
      </x:c>
      <x:c r="I288" s="30" t="str">
        <x:v>A20</x:v>
      </x:c>
      <x:c r="J288" s="31" t="str">
        <x:v>if ECB were to tighten monetary policy now what is the effect on FX rates and equities | i said tighten rates then FX increase | do you see the world trending towards globalization or deglobalization</x:v>
      </x:c>
    </x:row>
    <x:row r="289" ht="68" customHeight="1">
      <x:c r="A289" s="30" t="str">
        <x:v>QB2730</x:v>
      </x:c>
      <x:c r="B289" s="30" t="str">
        <x:v>HSBC (GM)</x:v>
      </x:c>
      <x:c r="C289" s="30" t="str">
        <x:v>Sales &amp; Trading</x:v>
      </x:c>
      <x:c r="D289" s="31" t="str">
        <x:v>introduce urself</x:v>
      </x:c>
      <x:c r="E289" s="31" t="str">
        <x:v>Introduce urself</x:v>
      </x:c>
      <x:c r="F289" s="31" t="str">
        <x:v>Other Question</x:v>
      </x:c>
      <x:c r="G289" s="30" t="str">
        <x:v>CL0035</x:v>
      </x:c>
      <x:c r="H289" s="32" t="n">
        <x:f>COUNTIF($G$5:$G$323,G289)</x:f>
        <x:v>2</x:v>
      </x:c>
      <x:c r="I289" s="30" t="str">
        <x:v>A28</x:v>
      </x:c>
      <x:c r="J289" s="31" t="str">
        <x:v>behavourial: is fairness importnt to you in a team setting and what would u do to ensure fairness if it is impt for u | any questions for me? | Round 3 (Billy from Inst Sales)</x:v>
      </x:c>
    </x:row>
    <x:row r="290" ht="48" customHeight="1">
      <x:c r="A290" s="30" t="str">
        <x:v>QB2734</x:v>
      </x:c>
      <x:c r="B290" s="30" t="str">
        <x:v>HSBC (GM)</x:v>
      </x:c>
      <x:c r="C290" s="30" t="str">
        <x:v>Sales &amp; Trading</x:v>
      </x:c>
      <x:c r="D290" s="31" t="str">
        <x:v>whats ur view on oil in the medium term</x:v>
      </x:c>
      <x:c r="E290" s="31" t="str">
        <x:v>Whats ur view on oil in the medium term</x:v>
      </x:c>
      <x:c r="F290" s="31" t="str">
        <x:v>Other Question</x:v>
      </x:c>
      <x:c r="G290" s="30" t="str">
        <x:v>CL1076</x:v>
      </x:c>
      <x:c r="H290" s="32" t="n">
        <x:f>COUNTIF($G$5:$G$323,G290)</x:f>
        <x:v>1</x:v>
      </x:c>
      <x:c r="I290" s="30" t="str">
        <x:v>A30</x:v>
      </x:c>
      <x:c r="J290" s="31" t="str">
        <x:v>Round 3 (Billy from Inst Sales) | introduce urself | asked abit about hobby and why i liked film pohtograhy</x:v>
      </x:c>
    </x:row>
    <x:row r="291" ht="48" customHeight="1">
      <x:c r="A291" s="30" t="str">
        <x:v>QB2738</x:v>
      </x:c>
      <x:c r="B291" s="30" t="str">
        <x:v>HSBC (GM)</x:v>
      </x:c>
      <x:c r="C291" s="30" t="str">
        <x:v>Sales &amp; Trading</x:v>
      </x:c>
      <x:c r="D291" s="31" t="str">
        <x:v>discuss about how to optimize efficiency in an organization</x:v>
      </x:c>
      <x:c r="E291" s="31" t="str">
        <x:v>Discuss about how to optimize efficiency in an organization</x:v>
      </x:c>
      <x:c r="F291" s="31" t="str">
        <x:v>Other Question</x:v>
      </x:c>
      <x:c r="G291" s="30" t="str">
        <x:v>CL0257</x:v>
      </x:c>
      <x:c r="H291" s="32" t="n">
        <x:f>COUNTIF($G$5:$G$323,G291)</x:f>
        <x:v>1</x:v>
      </x:c>
      <x:c r="I291" s="30" t="str">
        <x:v>A32</x:v>
      </x:c>
      <x:c r="J291" s="31" t="str">
        <x:v>asked abit about hobby and why i liked film pohtograhy | whats ur view on oil in the medium term | why HSBC</x:v>
      </x:c>
    </x:row>
    <x:row r="292" ht="32" customHeight="1">
      <x:c r="A292" s="30" t="str">
        <x:v>QB2749</x:v>
      </x:c>
      <x:c r="B292" s="30" t="str">
        <x:v>JPM (GM)</x:v>
      </x:c>
      <x:c r="C292" s="30" t="str">
        <x:v>Sales &amp; Trading</x:v>
      </x:c>
      <x:c r="D292" s="31" t="str">
        <x:v>Walk through Market (with Elliotte - 20mins on this)</x:v>
      </x:c>
      <x:c r="E292" s="31" t="str">
        <x:v>Walk through Market (with Elliotte - 20mins on this)</x:v>
      </x:c>
      <x:c r="F292" s="31" t="str">
        <x:v>Other Question</x:v>
      </x:c>
      <x:c r="G292" s="30" t="str">
        <x:v>CL0848</x:v>
      </x:c>
      <x:c r="H292" s="32" t="n">
        <x:f>COUNTIF($G$5:$G$323,G292)</x:f>
        <x:v>1</x:v>
      </x:c>
      <x:c r="I292" s="30" t="str">
        <x:v>A8</x:v>
      </x:c>
      <x:c r="J292" s="31" t="str">
        <x:v>They have a Question List: | Self Intro | Most challenging project</x:v>
      </x:c>
    </x:row>
    <x:row r="293" ht="48" customHeight="1">
      <x:c r="A293" s="30" t="str">
        <x:v>QB2750</x:v>
      </x:c>
      <x:c r="B293" s="30" t="str">
        <x:v>JPM (GM)</x:v>
      </x:c>
      <x:c r="C293" s="30" t="str">
        <x:v>Sales &amp; Trading</x:v>
      </x:c>
      <x:c r="D293" s="31" t="str">
        <x:v>Given Market situation, invest in fixed / floating rate now?</x:v>
      </x:c>
      <x:c r="E293" s="31" t="str">
        <x:v>Given Market situation, invest in fixed / floating rate now</x:v>
      </x:c>
      <x:c r="F293" s="31" t="str">
        <x:v>Other Question</x:v>
      </x:c>
      <x:c r="G293" s="30" t="str">
        <x:v>CL0352</x:v>
      </x:c>
      <x:c r="H293" s="32" t="n">
        <x:f>COUNTIF($G$5:$G$323,G293)</x:f>
        <x:v>1</x:v>
      </x:c>
      <x:c r="I293" s="30" t="str">
        <x:v>A9</x:v>
      </x:c>
      <x:c r="J293" s="31" t="str">
        <x:v>Self Intro | Most challenging project | Walk through Market (with Elliotte - 20mins on this)</x:v>
      </x:c>
    </x:row>
    <x:row r="294" ht="32" customHeight="1">
      <x:c r="A294" s="30" t="str">
        <x:v>QB2827</x:v>
      </x:c>
      <x:c r="B294" s="30" t="str">
        <x:v>UBS AM</x:v>
      </x:c>
      <x:c r="C294" s="30" t="str">
        <x:v>PWM / AM</x:v>
      </x:c>
      <x:c r="D294" s="31" t="str">
        <x:v>Tell me a time you have worked with different teams?</x:v>
      </x:c>
      <x:c r="E294" s="31" t="str">
        <x:v>Tell me a time you have worked with different teams</x:v>
      </x:c>
      <x:c r="F294" s="31" t="str">
        <x:v>Other Question</x:v>
      </x:c>
      <x:c r="G294" s="30" t="str">
        <x:v>CL0715</x:v>
      </x:c>
      <x:c r="H294" s="32" t="n">
        <x:f>COUNTIF($G$5:$G$323,G294)</x:f>
        <x:v>1</x:v>
      </x:c>
      <x:c r="I294" s="30" t="str">
        <x:v>A7</x:v>
      </x:c>
      <x:c r="J294" s="31" t="str">
        <x:v>Self introduction | Why AM ? | How was your experience in UBS?</x:v>
      </x:c>
    </x:row>
    <x:row r="295" ht="48" customHeight="1">
      <x:c r="A295" s="30" t="str">
        <x:v>QB2828</x:v>
      </x:c>
      <x:c r="B295" s="30" t="str">
        <x:v>UBS AM</x:v>
      </x:c>
      <x:c r="C295" s="30" t="str">
        <x:v>PWM / AM</x:v>
      </x:c>
      <x:c r="D295" s="31" t="str">
        <x:v>Tell me a time you faced an issue at work and how you solved it?</x:v>
      </x:c>
      <x:c r="E295" s="31" t="str">
        <x:v>Tell me a time you faced an issue at work and how you solved it</x:v>
      </x:c>
      <x:c r="F295" s="31" t="str">
        <x:v>Other Question</x:v>
      </x:c>
      <x:c r="G295" s="30" t="str">
        <x:v>CL0712</x:v>
      </x:c>
      <x:c r="H295" s="32" t="n">
        <x:f>COUNTIF($G$5:$G$323,G295)</x:f>
        <x:v>1</x:v>
      </x:c>
      <x:c r="I295" s="30" t="str">
        <x:v>A8</x:v>
      </x:c>
      <x:c r="J295" s="31" t="str">
        <x:v>Why AM ? | How was your experience in UBS? | Tell me a time you have worked with different teams?</x:v>
      </x:c>
    </x:row>
    <x:row r="296" ht="68" customHeight="1">
      <x:c r="A296" s="30" t="str">
        <x:v>QB2831</x:v>
      </x:c>
      <x:c r="B296" s="30" t="str">
        <x:v>UBS AM</x:v>
      </x:c>
      <x:c r="C296" s="30" t="str">
        <x:v>PWM / AM</x:v>
      </x:c>
      <x:c r="D296" s="31" t="str">
        <x:v>What do you do in IBC?</x:v>
      </x:c>
      <x:c r="E296" s="31" t="str">
        <x:v>What do you do in IBC</x:v>
      </x:c>
      <x:c r="F296" s="31" t="str">
        <x:v>Other Question</x:v>
      </x:c>
      <x:c r="G296" s="30" t="str">
        <x:v>CL0915</x:v>
      </x:c>
      <x:c r="H296" s="32" t="n">
        <x:f>COUNTIF($G$5:$G$323,G296)</x:f>
        <x:v>1</x:v>
      </x:c>
      <x:c r="I296" s="30" t="str">
        <x:v>A11</x:v>
      </x:c>
      <x:c r="J296" s="31" t="str">
        <x:v>Tell me a time you faced an issue at work and how you solved it? | Tell me a time you have worked with difficult people? | A feedback you received and how you dealt with it?</x:v>
      </x:c>
    </x:row>
    <x:row r="297" ht="48" customHeight="1">
      <x:c r="A297" s="30" t="str">
        <x:v>QB2832</x:v>
      </x:c>
      <x:c r="B297" s="30" t="str">
        <x:v>UBS AM</x:v>
      </x:c>
      <x:c r="C297" s="30" t="str">
        <x:v>PWM / AM</x:v>
      </x:c>
      <x:c r="D297" s="31" t="str">
        <x:v>A time you made a risky decision?</x:v>
      </x:c>
      <x:c r="E297" s="31" t="str">
        <x:v>A time you made a risky decision</x:v>
      </x:c>
      <x:c r="F297" s="31" t="str">
        <x:v>Other Question</x:v>
      </x:c>
      <x:c r="G297" s="30" t="str">
        <x:v>CL0093</x:v>
      </x:c>
      <x:c r="H297" s="32" t="n">
        <x:f>COUNTIF($G$5:$G$323,G297)</x:f>
        <x:v>1</x:v>
      </x:c>
      <x:c r="I297" s="30" t="str">
        <x:v>A12</x:v>
      </x:c>
      <x:c r="J297" s="31" t="str">
        <x:v>Tell me a time you have worked with difficult people? | A feedback you received and how you dealt with it? | What do you do in IBC?</x:v>
      </x:c>
    </x:row>
    <x:row r="298" ht="68" customHeight="1">
      <x:c r="A298" s="30" t="str">
        <x:v>QB2840</x:v>
      </x:c>
      <x:c r="B298" s="30" t="str">
        <x:v>UBS AM</x:v>
      </x:c>
      <x:c r="C298" s="30" t="str">
        <x:v>PWM / AM</x:v>
      </x:c>
      <x:c r="D298" s="31" t="str">
        <x:v>What are other investment opportunities you are paying attention in the market?</x:v>
      </x:c>
      <x:c r="E298" s="31" t="str">
        <x:v>What are other investment opportunities you are paying attention in the market</x:v>
      </x:c>
      <x:c r="F298" s="31" t="str">
        <x:v>Other Question</x:v>
      </x:c>
      <x:c r="G298" s="30" t="str">
        <x:v>CL0864</x:v>
      </x:c>
      <x:c r="H298" s="32" t="n">
        <x:f>COUNTIF($G$5:$G$323,G298)</x:f>
        <x:v>1</x:v>
      </x:c>
      <x:c r="I298" s="30" t="str">
        <x:v>A21</x:v>
      </x:c>
      <x:c r="J298" s="31" t="str">
        <x:v>How is the company funded, and how is the leverage and ROA like? | (He mentioned it issued bonds in Oslo, not sure if it was a question) | What is UBS AM known for?</x:v>
      </x:c>
    </x:row>
    <x:row r="299" ht="68" customHeight="1">
      <x:c r="A299" s="30" t="str">
        <x:v>QB2841</x:v>
      </x:c>
      <x:c r="B299" s="30" t="str">
        <x:v>UBS AM</x:v>
      </x:c>
      <x:c r="C299" s="30" t="str">
        <x:v>PWM / AM</x:v>
      </x:c>
      <x:c r="D299" s="31" t="str">
        <x:v>What are the risks in the China and US market?</x:v>
      </x:c>
      <x:c r="E299" s="31" t="str">
        <x:v>What are the risks in the China and US market</x:v>
      </x:c>
      <x:c r="F299" s="31" t="str">
        <x:v>Other Question</x:v>
      </x:c>
      <x:c r="G299" s="30" t="str">
        <x:v>CL0884</x:v>
      </x:c>
      <x:c r="H299" s="32" t="n">
        <x:f>COUNTIF($G$5:$G$323,G299)</x:f>
        <x:v>1</x:v>
      </x:c>
      <x:c r="I299" s="30" t="str">
        <x:v>A22</x:v>
      </x:c>
      <x:c r="J299" s="31" t="str">
        <x:v>(He mentioned it issued bonds in Oslo, not sure if it was a question) | What is UBS AM known for? | What are other investment opportunities you are paying attention in the market?</x:v>
      </x:c>
    </x:row>
    <x:row r="300" ht="32" customHeight="1">
      <x:c r="A300" s="30" t="str">
        <x:v>QB2847</x:v>
      </x:c>
      <x:c r="B300" s="30" t="str">
        <x:v>Fountainvest</x:v>
      </x:c>
      <x:c r="C300" s="30" t="str">
        <x:v>PE / VC / Other</x:v>
      </x:c>
      <x:c r="D300" s="31" t="str">
        <x:v>Will Weng 12/9</x:v>
      </x:c>
      <x:c r="E300" s="31" t="str">
        <x:v>Will Weng 12/9</x:v>
      </x:c>
      <x:c r="F300" s="31" t="str">
        <x:v>Other Question</x:v>
      </x:c>
      <x:c r="G300" s="30" t="str">
        <x:v>CL1183</x:v>
      </x:c>
      <x:c r="H300" s="32" t="n">
        <x:f>COUNTIF($G$5:$G$323,G300)</x:f>
        <x:v>1</x:v>
      </x:c>
      <x:c r="I300" s="30" t="str">
        <x:v>B2</x:v>
      </x:c>
      <x:c r="J300" s="31" t="str">
        <x:v>2025 SH offcycle (Emily)</x:v>
      </x:c>
    </x:row>
    <x:row r="301" ht="68" customHeight="1">
      <x:c r="A301" s="30" t="str">
        <x:v>QB2855</x:v>
      </x:c>
      <x:c r="B301" s="30" t="str">
        <x:v>Fountainvest</x:v>
      </x:c>
      <x:c r="C301" s="30" t="str">
        <x:v>PE / VC / Other</x:v>
      </x:c>
      <x:c r="D301" s="31" t="str">
        <x:v>Give me an example of one vessel's (eg. capex, contract length, charter operating EPC rates, years of return etc)</x:v>
      </x:c>
      <x:c r="E301" s="31" t="str">
        <x:v>Give me an example of one vessel's (eg. capex, contract length, charter operating EPC rates, years of return etc)</x:v>
      </x:c>
      <x:c r="F301" s="31" t="str">
        <x:v>Other Question</x:v>
      </x:c>
      <x:c r="G301" s="30" t="str">
        <x:v>CL0345</x:v>
      </x:c>
      <x:c r="H301" s="32" t="n">
        <x:f>COUNTIF($G$5:$G$323,G301)</x:f>
        <x:v>1</x:v>
      </x:c>
      <x:c r="I301" s="30" t="str">
        <x:v>B6</x:v>
      </x:c>
      <x:c r="J301" s="31" t="str">
        <x:v>Self Intro | Tell me about a deal you worked on | Industry: how is the growth rate being justified? What are the key growth drivers, what was the growth rate before COVID, grwoth rate for oil, what drives the demand for oil?</x:v>
      </x:c>
    </x:row>
    <x:row r="302" ht="48" customHeight="1">
      <x:c r="A302" s="30" t="str">
        <x:v>QB2866</x:v>
      </x:c>
      <x:c r="B302" s="30" t="str">
        <x:v>Fountainvest</x:v>
      </x:c>
      <x:c r="C302" s="30" t="str">
        <x:v>PE / VC / Other</x:v>
      </x:c>
      <x:c r="D302" s="31" t="str">
        <x:v>What did you learn in UBS?</x:v>
      </x:c>
      <x:c r="E302" s="31" t="str">
        <x:v>What did you learn in UBS</x:v>
      </x:c>
      <x:c r="F302" s="31" t="str">
        <x:v>Other Question</x:v>
      </x:c>
      <x:c r="G302" s="30" t="str">
        <x:v>CL0907</x:v>
      </x:c>
      <x:c r="H302" s="32" t="n">
        <x:f>COUNTIF($G$5:$G$323,G302)</x:f>
        <x:v>1</x:v>
      </x:c>
      <x:c r="I302" s="30" t="str">
        <x:v>A15</x:v>
      </x:c>
      <x:c r="J302" s="31" t="str">
        <x:v>Background questions: where are you from? Where you grew up in? | What is your career plan? | Why didn't you get return from UBS?</x:v>
      </x:c>
    </x:row>
    <x:row r="303" ht="68" customHeight="1">
      <x:c r="A303" s="30" t="str">
        <x:v>QB2869</x:v>
      </x:c>
      <x:c r="B303" s="30" t="str">
        <x:v>Fountainvest</x:v>
      </x:c>
      <x:c r="C303" s="30" t="str">
        <x:v>PE / VC / Other</x:v>
      </x:c>
      <x:c r="D303" s="31" t="str">
        <x:v>Q about intern: when can you start? How long can you work for?</x:v>
      </x:c>
      <x:c r="E303" s="31" t="str">
        <x:v>Q about intern: when can you start? How long can you work for</x:v>
      </x:c>
      <x:c r="F303" s="31" t="str">
        <x:v>Other Question</x:v>
      </x:c>
      <x:c r="G303" s="30" t="str">
        <x:v>CL0656</x:v>
      </x:c>
      <x:c r="H303" s="32" t="n">
        <x:f>COUNTIF($G$5:$G$323,G303)</x:f>
        <x:v>1</x:v>
      </x:c>
      <x:c r="I303" s="30" t="str">
        <x:v>A18</x:v>
      </x:c>
      <x:c r="J303" s="31" t="str">
        <x:v>What did you learn in UBS? | How do you dissect and understand an industry? | What did you do in the CPS deal? Tell me about the company, industry, drivers, model assumptions, oil field analysis</x:v>
      </x:c>
    </x:row>
    <x:row r="304" ht="32" customHeight="1">
      <x:c r="A304" s="30" t="str">
        <x:v>QB2882</x:v>
      </x:c>
      <x:c r="B304" s="30" t="str">
        <x:v>MSPEA</x:v>
      </x:c>
      <x:c r="C304" s="30" t="str">
        <x:v>PE / VC / Other</x:v>
      </x:c>
      <x:c r="D304" s="31" t="str">
        <x:v>EV/EBITDA vs EV/sales 分别？</x:v>
      </x:c>
      <x:c r="E304" s="31" t="str">
        <x:v>EV/EBITDA vs EV/sales 分别</x:v>
      </x:c>
      <x:c r="F304" s="31" t="str">
        <x:v>Other Question</x:v>
      </x:c>
      <x:c r="G304" s="30" t="str">
        <x:v>CL0317</x:v>
      </x:c>
      <x:c r="H304" s="32" t="n">
        <x:f>COUNTIF($G$5:$G$323,G304)</x:f>
        <x:v>1</x:v>
      </x:c>
      <x:c r="I304" s="30" t="str">
        <x:v>A5</x:v>
      </x:c>
      <x:c r="J304" s="31" t="str">
        <x:v>1st interviewer | self introduction | From here all Chinese</x:v>
      </x:c>
    </x:row>
    <x:row r="305" ht="92" customHeight="1">
      <x:c r="A305" s="30" t="str">
        <x:v>QB2891</x:v>
      </x:c>
      <x:c r="B305" s="30" t="str">
        <x:v>MSPEA</x:v>
      </x:c>
      <x:c r="C305" s="30" t="str">
        <x:v>PE / VC / Other</x:v>
      </x:c>
      <x:c r="D305" s="31" t="str">
        <x:v>What are some factors that will affect oil price?</x:v>
      </x:c>
      <x:c r="E305" s="31" t="str">
        <x:v>What are some factors that will affect oil price</x:v>
      </x:c>
      <x:c r="F305" s="31" t="str">
        <x:v>Other Question</x:v>
      </x:c>
      <x:c r="G305" s="30" t="str">
        <x:v>CL0868</x:v>
      </x:c>
      <x:c r="H305" s="32" t="n">
        <x:f>COUNTIF($G$5:$G$323,G305)</x:f>
        <x:v>1</x:v>
      </x:c>
      <x:c r="I305" s="30" t="str">
        <x:v>B9</x:v>
      </x:c>
      <x:c r="J305" s="31" t="str">
        <x:v>What multiples would you look at? Why EV/EBIT but not other multiples? | For a company with high debt usage vs low debt, but similar EV/EBIT, which company will you invest in? | What are some metrics you would look at to evaluate a debt ...</x:v>
      </x:c>
    </x:row>
    <x:row r="306" ht="92" customHeight="1">
      <x:c r="A306" s="30" t="str">
        <x:v>QB2896</x:v>
      </x:c>
      <x:c r="B306" s="30" t="str">
        <x:v>MSPEA</x:v>
      </x:c>
      <x:c r="C306" s="30" t="str">
        <x:v>PE / VC / Other</x:v>
      </x:c>
      <x:c r="D306" s="31" t="str">
        <x:v>为什么用碳酸锂？最近价钱如何？</x:v>
      </x:c>
      <x:c r="E306" s="31" t="str">
        <x:v>为什么用碳酸锂？最近价钱如何</x:v>
      </x:c>
      <x:c r="F306" s="31" t="str">
        <x:v>Other Question</x:v>
      </x:c>
      <x:c r="G306" s="30" t="str">
        <x:v>CL1223</x:v>
      </x:c>
      <x:c r="H306" s="32" t="n">
        <x:f>COUNTIF($G$5:$G$323,G306)</x:f>
        <x:v>1</x:v>
      </x:c>
      <x:c r="I306" s="30" t="str">
        <x:v>A12</x:v>
      </x:c>
      <x:c r="J306" s="31" t="str">
        <x:v>Pre money and post money valuation for cross border b2b platform? | 15 billion market cap, we now investment 1bn half is buying old shares and half is buying new shares. What is the % of old shares bought,and % of new shares bought ? (I ...</x:v>
      </x:c>
    </x:row>
    <x:row r="307" ht="92" customHeight="1">
      <x:c r="A307" s="30" t="str">
        <x:v>QB2898</x:v>
      </x:c>
      <x:c r="B307" s="30" t="str">
        <x:v>MSPEA</x:v>
      </x:c>
      <x:c r="C307" s="30" t="str">
        <x:v>PE / VC / Other</x:v>
      </x:c>
      <x:c r="D307" s="31" t="str">
        <x:v>现在行业表现好吗？有什么变化？</x:v>
      </x:c>
      <x:c r="E307" s="31" t="str">
        <x:v>现在行业表现好吗？有什么变化</x:v>
      </x:c>
      <x:c r="F307" s="31" t="str">
        <x:v>Other Question</x:v>
      </x:c>
      <x:c r="G307" s="30" t="str">
        <x:v>CL1252</x:v>
      </x:c>
      <x:c r="H307" s="32" t="n">
        <x:f>COUNTIF($G$5:$G$323,G307)</x:f>
        <x:v>1</x:v>
      </x:c>
      <x:c r="I307" s="30" t="str">
        <x:v>A13</x:v>
      </x:c>
      <x:c r="J307" s="31" t="str">
        <x:v>15 billion market cap, we now investment 1bn half is buying old shares and half is buying new shares. What is the % of old shares bought,and % of new shares bought ? (I said old shares is 0.5/15, and new shares 0.5/15.5??) | Tell me abou...</x:v>
      </x:c>
    </x:row>
    <x:row r="308" ht="48" customHeight="1">
      <x:c r="A308" s="30" t="str">
        <x:v>QB2901</x:v>
      </x:c>
      <x:c r="B308" s="30" t="str">
        <x:v>MSPEA</x:v>
      </x:c>
      <x:c r="C308" s="30" t="str">
        <x:v>PE / VC / Other</x:v>
      </x:c>
      <x:c r="D308" s="31" t="str">
        <x:v>收入差距是因为？</x:v>
      </x:c>
      <x:c r="E308" s="31" t="str">
        <x:v>收入差距是因为</x:v>
      </x:c>
      <x:c r="F308" s="31" t="str">
        <x:v>Other Question</x:v>
      </x:c>
      <x:c r="G308" s="30" t="str">
        <x:v>CL1245</x:v>
      </x:c>
      <x:c r="H308" s="32" t="n">
        <x:f>COUNTIF($G$5:$G$323,G308)</x:f>
        <x:v>1</x:v>
      </x:c>
      <x:c r="I308" s="30" t="str">
        <x:v>A15</x:v>
      </x:c>
      <x:c r="J308" s="31" t="str">
        <x:v>为什么用碳酸锂？最近价钱如何？ | 现在行业表现好吗？有什么变化？ | 有什么其他玩家，公司的市占率多少？排名是什么 (in terms of revenue) ? 最大的公司收入多少，公司自己收入多少？</x:v>
      </x:c>
    </x:row>
    <x:row r="309" ht="48" customHeight="1">
      <x:c r="A309" s="30" t="str">
        <x:v>QB2903</x:v>
      </x:c>
      <x:c r="B309" s="30" t="str">
        <x:v>MSPEA</x:v>
      </x:c>
      <x:c r="C309" s="30" t="str">
        <x:v>PE / VC / Other</x:v>
      </x:c>
      <x:c r="D309" s="31" t="str">
        <x:v>国内国外公司？</x:v>
      </x:c>
      <x:c r="E309" s="31" t="str">
        <x:v>国内国外公司</x:v>
      </x:c>
      <x:c r="F309" s="31" t="str">
        <x:v>Other Question</x:v>
      </x:c>
      <x:c r="G309" s="30" t="str">
        <x:v>CL1235</x:v>
      </x:c>
      <x:c r="H309" s="32" t="n">
        <x:f>COUNTIF($G$5:$G$323,G309)</x:f>
        <x:v>1</x:v>
      </x:c>
      <x:c r="I309" s="30" t="str">
        <x:v>A17</x:v>
      </x:c>
      <x:c r="J309" s="31" t="str">
        <x:v>有什么其他玩家，公司的市占率多少？排名是什么 (in terms of revenue) ? 最大的公司收入多少，公司自己收入多少？ | 收入差距是因为？ | 油船公司有什么技术上的优势/方法？（I told him the diff is business model)</x:v>
      </x:c>
    </x:row>
    <x:row r="310" ht="32" customHeight="1">
      <x:c r="A310" s="30" t="str">
        <x:v>QB2905</x:v>
      </x:c>
      <x:c r="B310" s="30" t="str">
        <x:v>MSPEA</x:v>
      </x:c>
      <x:c r="C310" s="30" t="str">
        <x:v>PE / VC / Other</x:v>
      </x:c>
      <x:c r="D310" s="31" t="str">
        <x:v>how to pull EV/EBITDA from capiq?</x:v>
      </x:c>
      <x:c r="E310" s="31" t="str">
        <x:v>How to pull EV/EBITDA from capiq</x:v>
      </x:c>
      <x:c r="F310" s="31" t="str">
        <x:v>Other Question</x:v>
      </x:c>
      <x:c r="G310" s="30" t="str">
        <x:v>CL0481</x:v>
      </x:c>
      <x:c r="H310" s="32" t="n">
        <x:f>COUNTIF($G$5:$G$323,G310)</x:f>
        <x:v>1</x:v>
      </x:c>
      <x:c r="I310" s="30" t="str">
        <x:v>A19</x:v>
      </x:c>
      <x:c r="J310" s="31" t="str">
        <x:v>油船公司有什么技术上的优势/方法？（I told him the diff is business model) | 国内国外公司？ | Interviewer 2:</x:v>
      </x:c>
    </x:row>
    <x:row r="311" ht="32" customHeight="1">
      <x:c r="A311" s="30" t="str">
        <x:v>QB2906</x:v>
      </x:c>
      <x:c r="B311" s="30" t="str">
        <x:v>MSPEA</x:v>
      </x:c>
      <x:c r="C311" s="30" t="str">
        <x:v>PE / VC / Other</x:v>
      </x:c>
      <x:c r="D311" s="31" t="str">
        <x:v>EV: market cap use which one? Diluted market cap? Total market cap? Floating market caps</x:v>
      </x:c>
      <x:c r="E311" s="31" t="str">
        <x:v>EV: market cap use which one? Diluted market cap? Total market cap? Floating market caps</x:v>
      </x:c>
      <x:c r="F311" s="31" t="str">
        <x:v>Other Question</x:v>
      </x:c>
      <x:c r="G311" s="30" t="str">
        <x:v>CL0316</x:v>
      </x:c>
      <x:c r="H311" s="32" t="n">
        <x:f>COUNTIF($G$5:$G$323,G311)</x:f>
        <x:v>1</x:v>
      </x:c>
      <x:c r="I311" s="30" t="str">
        <x:v>A20</x:v>
      </x:c>
      <x:c r="J311" s="31" t="str">
        <x:v>国内国外公司？ | Interviewer 2: | how to pull EV/EBITDA from capiq?</x:v>
      </x:c>
    </x:row>
    <x:row r="312" ht="48" customHeight="1">
      <x:c r="A312" s="30" t="str">
        <x:v>QB2907</x:v>
      </x:c>
      <x:c r="B312" s="30" t="str">
        <x:v>MSPEA</x:v>
      </x:c>
      <x:c r="C312" s="30" t="str">
        <x:v>PE / VC / Other</x:v>
      </x:c>
      <x:c r="D312" s="31" t="str">
        <x:v>Where to find each part of EV/ EBITDA breakdown from capiq</x:v>
      </x:c>
      <x:c r="E312" s="31" t="str">
        <x:v>Where to find each part of EV/ EBITDA breakdown from capiq</x:v>
      </x:c>
      <x:c r="F312" s="31" t="str">
        <x:v>Other Question</x:v>
      </x:c>
      <x:c r="G312" s="30" t="str">
        <x:v>CL1090</x:v>
      </x:c>
      <x:c r="H312" s="32" t="n">
        <x:f>COUNTIF($G$5:$G$323,G312)</x:f>
        <x:v>1</x:v>
      </x:c>
      <x:c r="I312" s="30" t="str">
        <x:v>A21</x:v>
      </x:c>
      <x:c r="J312" s="31" t="str">
        <x:v>Interviewer 2: | how to pull EV/EBITDA from capiq? | EV: market cap use which one? Diluted market cap? Total market cap? Floating market caps</x:v>
      </x:c>
    </x:row>
    <x:row r="313" ht="68" customHeight="1">
      <x:c r="A313" s="30" t="str">
        <x:v>QB2916</x:v>
      </x:c>
      <x:c r="B313" s="30" t="str">
        <x:v>Warburg Pincus</x:v>
      </x:c>
      <x:c r="C313" s="30" t="str">
        <x:v>PE / VC / Other</x:v>
      </x:c>
      <x:c r="D313" s="31" t="str">
        <x:v>Did you network in UBS? How?</x:v>
      </x:c>
      <x:c r="E313" s="31" t="str">
        <x:v>Did you network in UBS? How</x:v>
      </x:c>
      <x:c r="F313" s="31" t="str">
        <x:v>Other Question</x:v>
      </x:c>
      <x:c r="G313" s="30" t="str">
        <x:v>CL0248</x:v>
      </x:c>
      <x:c r="H313" s="32" t="n">
        <x:f>COUNTIF($G$5:$G$323,G313)</x:f>
        <x:v>1</x:v>
      </x:c>
      <x:c r="I313" s="30" t="str">
        <x:v>A7</x:v>
      </x:c>
      <x:c r="J313" s="31" t="str">
        <x:v>Describe responsibilities of the FIG deal, investment highlights, valuation multiples | Is there anything you think you have done well in UBS but not recognized? | What kind of technical skills you think you lack in UBS?</x:v>
      </x:c>
    </x:row>
    <x:row r="314" ht="32" customHeight="1">
      <x:c r="A314" s="30" t="str">
        <x:v>QB2924</x:v>
      </x:c>
      <x:c r="B314" s="30" t="str">
        <x:v>CDH</x:v>
      </x:c>
      <x:c r="C314" s="30" t="str">
        <x:v>PE / VC / Other</x:v>
      </x:c>
      <x:c r="D314" s="31" t="str">
        <x:v>Timeline and planning?</x:v>
      </x:c>
      <x:c r="E314" s="31" t="str">
        <x:v>Timeline and planning</x:v>
      </x:c>
      <x:c r="F314" s="31" t="str">
        <x:v>Other Question</x:v>
      </x:c>
      <x:c r="G314" s="30" t="str">
        <x:v>CL0795</x:v>
      </x:c>
      <x:c r="H314" s="32" t="n">
        <x:f>COUNTIF($G$5:$G$323,G314)</x:f>
        <x:v>1</x:v>
      </x:c>
      <x:c r="I314" s="30" t="str">
        <x:v>A4</x:v>
      </x:c>
      <x:c r="J314" s="31" t="str">
        <x:v>2025 Off cycle | 1st round | 3 mins self intro and career goals and why buyside</x:v>
      </x:c>
    </x:row>
    <x:row r="315" ht="92" customHeight="1">
      <x:c r="A315" s="30" t="str">
        <x:v>QB2932</x:v>
      </x:c>
      <x:c r="B315" s="30" t="str">
        <x:v>CDH</x:v>
      </x:c>
      <x:c r="C315" s="30" t="str">
        <x:v>PE / VC / Other</x:v>
      </x:c>
      <x:c r="D315" s="31" t="str">
        <x:v>How do you know the person who referred you?</x:v>
      </x:c>
      <x:c r="E315" s="31" t="str">
        <x:v>How do you know the person who referred you</x:v>
      </x:c>
      <x:c r="F315" s="31" t="str">
        <x:v>Other Question</x:v>
      </x:c>
      <x:c r="G315" s="30" t="str">
        <x:v>CL0416</x:v>
      </x:c>
      <x:c r="H315" s="32" t="n">
        <x:f>COUNTIF($G$5:$G$323,G315)</x:f>
        <x:v>1</x:v>
      </x:c>
      <x:c r="I315" s="30" t="str">
        <x:v>A12</x:v>
      </x:c>
      <x:c r="J315" s="31" t="str">
        <x:v>What is the company's market position in the industry? (he calculated if 25bn market size in 5 years, now around 10bn, company 1bn revenue, so 10% share wow) | What the key competitive advantage of the company? | Accounting: $10 deferred...</x:v>
      </x:c>
    </x:row>
    <x:row r="316" ht="48" customHeight="1">
      <x:c r="A316" s="30" t="str">
        <x:v>QB2936</x:v>
      </x:c>
      <x:c r="B316" s="30" t="str">
        <x:v>HKEX</x:v>
      </x:c>
      <x:c r="C316" s="30" t="str">
        <x:v>PE / VC / Other</x:v>
      </x:c>
      <x:c r="D316" s="31" t="str">
        <x:v>Tell me your understanding of our department, what does group strategy do?</x:v>
      </x:c>
      <x:c r="E316" s="31" t="str">
        <x:v>Tell me your understanding of our department, what does group strategy do</x:v>
      </x:c>
      <x:c r="F316" s="31" t="str">
        <x:v>Other Question</x:v>
      </x:c>
      <x:c r="G316" s="30" t="str">
        <x:v>CL0777</x:v>
      </x:c>
      <x:c r="H316" s="32" t="n">
        <x:f>COUNTIF($G$5:$G$323,G316)</x:f>
        <x:v>1</x:v>
      </x:c>
      <x:c r="I316" s="30" t="str">
        <x:v>A4</x:v>
      </x:c>
      <x:c r="J316" s="31" t="str">
        <x:v>2025 HKEX group strategy | 1st round (2 interviewers): | Why HKEX, what are the major income sources of HKEX?</x:v>
      </x:c>
    </x:row>
    <x:row r="317" ht="68" customHeight="1">
      <x:c r="A317" s="30" t="str">
        <x:v>QB2962</x:v>
      </x:c>
      <x:c r="B317" s="30" t="str">
        <x:v>JPM Payment</x:v>
      </x:c>
      <x:c r="C317" s="30" t="str">
        <x:v>PE / VC / Other</x:v>
      </x:c>
      <x:c r="D317" s="31" t="str">
        <x:v>can pm me for more details if interested</x:v>
      </x:c>
      <x:c r="E317" s="31" t="str">
        <x:v>Can pm me for more details if interested</x:v>
      </x:c>
      <x:c r="F317" s="31" t="str">
        <x:v>Other Question</x:v>
      </x:c>
      <x:c r="G317" s="30" t="str">
        <x:v>CL0184</x:v>
      </x:c>
      <x:c r="H317" s="32" t="n">
        <x:f>COUNTIF($G$5:$G$323,G317)</x:f>
        <x:v>1</x:v>
      </x:c>
      <x:c r="I317" s="30" t="str">
        <x:v>A11</x:v>
      </x:c>
      <x:c r="J317" s="31" t="str">
        <x:v>onsite half-day superday with case study, group discussion, individual interviews with Directors, networking lunch session | 10 candidates in total, split into 2 groups | case study: knowledge on payment &amp; payment products, fintech</x:v>
      </x:c>
    </x:row>
    <x:row r="318" ht="32" customHeight="1">
      <x:c r="A318" s="30" t="str">
        <x:v>QB2965</x:v>
      </x:c>
      <x:c r="B318" s="30" t="str">
        <x:v>HSBC CMB</x:v>
      </x:c>
      <x:c r="C318" s="30" t="str">
        <x:v>PE / VC / Other</x:v>
      </x:c>
      <x:c r="D318" s="31" t="str">
        <x:v>Do you speak catonese</x:v>
      </x:c>
      <x:c r="E318" s="31" t="str">
        <x:v>Do you speak catonese</x:v>
      </x:c>
      <x:c r="F318" s="31" t="str">
        <x:v>Other Question</x:v>
      </x:c>
      <x:c r="G318" s="30" t="str">
        <x:v>CL0289</x:v>
      </x:c>
      <x:c r="H318" s="32" t="n">
        <x:f>COUNTIF($G$5:$G$323,G318)</x:f>
        <x:v>1</x:v>
      </x:c>
      <x:c r="I318" s="30" t="str">
        <x:v>A3</x:v>
      </x:c>
      <x:c r="J318" s="31" t="str">
        <x:v>HSBC CMB large coporate client coverage team | Jim</x:v>
      </x:c>
    </x:row>
    <x:row r="319" ht="32" customHeight="1">
      <x:c r="A319" s="30" t="str">
        <x:v>QB2968</x:v>
      </x:c>
      <x:c r="B319" s="30" t="str">
        <x:v>HSBC CMB</x:v>
      </x:c>
      <x:c r="C319" s="30" t="str">
        <x:v>PE / VC / Other</x:v>
      </x:c>
      <x:c r="D319" s="31" t="str">
        <x:v>What advantage could you bring to our team</x:v>
      </x:c>
      <x:c r="E319" s="31" t="str">
        <x:v>What advantage could you bring to our team</x:v>
      </x:c>
      <x:c r="F319" s="31" t="str">
        <x:v>Other Question</x:v>
      </x:c>
      <x:c r="G319" s="30" t="str">
        <x:v>CL0858</x:v>
      </x:c>
      <x:c r="H319" s="32" t="n">
        <x:f>COUNTIF($G$5:$G$323,G319)</x:f>
        <x:v>1</x:v>
      </x:c>
      <x:c r="I319" s="30" t="str">
        <x:v>A5</x:v>
      </x:c>
      <x:c r="J319" s="31" t="str">
        <x:v>Jim | Do you speak catonese | Specific products of HSBC CMB</x:v>
      </x:c>
    </x:row>
    <x:row r="320" ht="48" customHeight="1">
      <x:c r="A320" s="30" t="str">
        <x:v>QB2973</x:v>
      </x:c>
      <x:c r="B320" s="30" t="str">
        <x:v>HSBC CMB</x:v>
      </x:c>
      <x:c r="C320" s="30" t="str">
        <x:v>PE / VC / Other</x:v>
      </x:c>
      <x:c r="D320" s="31" t="str">
        <x:v>How to use AI</x:v>
      </x:c>
      <x:c r="E320" s="31" t="str">
        <x:v>How to use AI</x:v>
      </x:c>
      <x:c r="F320" s="31" t="str">
        <x:v>Other Question</x:v>
      </x:c>
      <x:c r="G320" s="30" t="str">
        <x:v>CL0483</x:v>
      </x:c>
      <x:c r="H320" s="32" t="n">
        <x:f>COUNTIF($G$5:$G$323,G320)</x:f>
        <x:v>1</x:v>
      </x:c>
      <x:c r="I320" s="30" t="str">
        <x:v>A9</x:v>
      </x:c>
      <x:c r="J320" s="31" t="str">
        <x:v>You are an AMPB student but why do u want to work in CMB | market news | Methodology of Market Research</x:v>
      </x:c>
    </x:row>
    <x:row r="321" ht="32" customHeight="1">
      <x:c r="A321" s="30" t="str">
        <x:v>QB2996</x:v>
      </x:c>
      <x:c r="B321" s="30" t="str">
        <x:v>Mindworks Capital</x:v>
      </x:c>
      <x:c r="C321" s="30" t="str">
        <x:v>PE / VC / Other</x:v>
      </x:c>
      <x:c r="D321" s="31" t="str">
        <x:v>如何看某个行业</x:v>
      </x:c>
      <x:c r="E321" s="31" t="str">
        <x:v>如何看某个行业</x:v>
      </x:c>
      <x:c r="F321" s="31" t="str">
        <x:v>Other Question</x:v>
      </x:c>
      <x:c r="G321" s="30" t="str">
        <x:v>CL1237</x:v>
      </x:c>
      <x:c r="H321" s="32" t="n">
        <x:f>COUNTIF($G$5:$G$323,G321)</x:f>
        <x:v>1</x:v>
      </x:c>
      <x:c r="I321" s="30" t="str">
        <x:v>A14</x:v>
      </x:c>
      <x:c r="J321" s="31" t="str">
        <x:v>要特别了解他们的portfolio，你最感兴趣哪一个，最差的是哪一个，最好的是哪一个，为什么 | 给你1000万美元要如何投资 | 会问你之前研究过的公司，投资逻辑是什么</x:v>
      </x:c>
    </x:row>
    <x:row r="322" ht="32" customHeight="1">
      <x:c r="A322" s="30" t="str">
        <x:v>QB3002</x:v>
      </x:c>
      <x:c r="B322" s="30" t="str">
        <x:v>Mindworks Capital</x:v>
      </x:c>
      <x:c r="C322" s="30" t="str">
        <x:v>PE / VC / Other</x:v>
      </x:c>
      <x:c r="D322" s="31" t="str">
        <x:v>如何看待AI对行业的影响</x:v>
      </x:c>
      <x:c r="E322" s="31" t="str">
        <x:v>如何看待AI对行业的影响</x:v>
      </x:c>
      <x:c r="F322" s="31" t="str">
        <x:v>Other Question</x:v>
      </x:c>
      <x:c r="G322" s="30" t="str">
        <x:v>CL1236</x:v>
      </x:c>
      <x:c r="H322" s="32" t="n">
        <x:f>COUNTIF($G$5:$G$323,G322)</x:f>
        <x:v>1</x:v>
      </x:c>
      <x:c r="I322" s="30" t="str">
        <x:v>A17</x:v>
      </x:c>
      <x:c r="J322" s="31" t="str">
        <x:v>如何看某个行业 | 如果你之前答出了具体的portfolio company，有概率进行追问 | 未来的职业发展</x:v>
      </x:c>
    </x:row>
    <x:row r="323" ht="32" customHeight="1">
      <x:c r="A323" s="30" t="str">
        <x:v>QB3004</x:v>
      </x:c>
      <x:c r="B323" s="30" t="str">
        <x:v>Mindworks Capital</x:v>
      </x:c>
      <x:c r="C323" s="30" t="str">
        <x:v>PE / VC / Other</x:v>
      </x:c>
      <x:c r="D323" s="31" t="str">
        <x:v>为什么VC，为什么MW</x:v>
      </x:c>
      <x:c r="E323" s="31" t="str">
        <x:v>为什么VC，为什么MW</x:v>
      </x:c>
      <x:c r="F323" s="31" t="str">
        <x:v>Other Question</x:v>
      </x:c>
      <x:c r="G323" s="30" t="str">
        <x:v>CL1219</x:v>
      </x:c>
      <x:c r="H323" s="32" t="n">
        <x:f>COUNTIF($G$5:$G$323,G323)</x:f>
        <x:v>1</x:v>
      </x:c>
      <x:c r="I323" s="30" t="str">
        <x:v>A19</x:v>
      </x:c>
      <x:c r="J323" s="31" t="str">
        <x:v>未来的职业发展 | 如何看待AI对行业的影响 | 其他的其实更多是闲聊，但一定要know the company</x:v>
      </x:c>
    </x:row>
  </x:sheetData>
  <x:mergeCells>
    <x:mergeCell ref="A1:J1"/>
    <x:mergeCell ref="A2:J2"/>
  </x:mergeCells>
  <x:conditionalFormatting sqref="H5:H323">
    <x:cfRule type="cellIs" dxfId="25" priority="1" operator="greaterThan">
      <x:formula>1</x:formula>
    </x:cfRule>
  </x:conditionalFormatting>
  <x:pageMargins left="0.7" right="0.7" top="0.75" bottom="0.75" header="0.3" footer="0.3"/>
  <x:tableParts count="1">
    <x:tablePart xmlns:r="http://schemas.openxmlformats.org/officeDocument/2006/relationships" r:id="Rb1c2eb74c79b45a9"/>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 min="4" max="4" width="14" hidden="0" customWidth="1"/>
    <x:col min="5" max="5" width="12" hidden="0" customWidth="1"/>
    <x:col min="6" max="6" width="14" hidden="0" customWidth="1"/>
    <x:col min="7" max="7" width="48" hidden="0" customWidth="1"/>
  </x:cols>
  <x:sheetData>
    <x:row r="1" ht="34" customHeight="1">
      <x:c r="A1" s="3" t="str">
        <x:v>Workbook Checks</x:v>
      </x:c>
      <x:c r="B1" s="3"/>
      <x:c r="C1" s="3"/>
      <x:c r="D1" s="3"/>
      <x:c r="E1" s="3"/>
      <x:c r="F1" s="3"/>
      <x:c r="G1" s="3"/>
    </x:row>
    <x:row r="2" ht="30" customHeight="1">
      <x:c r="A2" s="7" t="str">
        <x:v>Formula-driven completeness checks for the MVP output.</x:v>
      </x:c>
      <x:c r="B2" s="7"/>
      <x:c r="C2" s="7"/>
      <x:c r="D2" s="7"/>
      <x:c r="E2" s="7"/>
      <x:c r="F2" s="7"/>
      <x:c r="G2" s="7"/>
    </x:row>
    <x:row r="4" ht="28" customHeight="1">
      <x:c r="A4" s="27" t="str">
        <x:v>Check</x:v>
      </x:c>
      <x:c r="B4" s="28" t="str">
        <x:v>Actual</x:v>
      </x:c>
      <x:c r="C4" s="28" t="str">
        <x:v>Expected</x:v>
      </x:c>
      <x:c r="D4" s="28" t="str">
        <x:v>Difference</x:v>
      </x:c>
      <x:c r="E4" s="28" t="str">
        <x:v>Tolerance</x:v>
      </x:c>
      <x:c r="F4" s="28" t="str">
        <x:v>Status</x:v>
      </x:c>
      <x:c r="G4" s="29" t="str">
        <x:v>Notes</x:v>
      </x:c>
    </x:row>
    <x:row r="5">
      <x:c r="A5" s="78" t="str">
        <x:v>Question row count</x:v>
      </x:c>
      <x:c r="B5" s="30" t="n">
        <x:f>COUNTA('All Questions'!$A$5:$A$1725)</x:f>
        <x:v>1721</x:v>
      </x:c>
      <x:c r="C5" s="30" t="n">
        <x:v>1721</x:v>
      </x:c>
      <x:c r="D5" s="30" t="n">
        <x:f>B5-C5</x:f>
        <x:v>0</x:v>
      </x:c>
      <x:c r="E5" s="30" t="n">
        <x:v>0</x:v>
      </x:c>
      <x:c r="F5" s="30" t="str">
        <x:f>IF(ABS(D5)&lt;=E5,"OK","REVIEW")</x:f>
        <x:v>OK</x:v>
      </x:c>
      <x:c r="G5" s="79" t="str">
        <x:v>Matches transformed question records</x:v>
      </x:c>
    </x:row>
    <x:row r="6">
      <x:c r="A6" s="78" t="str">
        <x:v>Canonical cluster count</x:v>
      </x:c>
      <x:c r="B6" s="30" t="n">
        <x:f>COUNTA('Canonical Index'!$A$5:$A$1262)</x:f>
        <x:v>1258</x:v>
      </x:c>
      <x:c r="C6" s="30" t="n">
        <x:v>1258</x:v>
      </x:c>
      <x:c r="D6" s="30" t="n">
        <x:f>B6-C6</x:f>
        <x:v>0</x:v>
      </x:c>
      <x:c r="E6" s="30" t="n">
        <x:v>0</x:v>
      </x:c>
      <x:c r="F6" s="30" t="str">
        <x:f>IF(ABS(D6)&lt;=E6,"OK","REVIEW")</x:f>
        <x:v>OK</x:v>
      </x:c>
      <x:c r="G6" s="79" t="str">
        <x:v>Matches deduplicated clusters</x:v>
      </x:c>
    </x:row>
    <x:row r="7">
      <x:c r="A7" s="78" t="str">
        <x:v>Answer Bank row count</x:v>
      </x:c>
      <x:c r="B7" s="30" t="n">
        <x:f>COUNTA('Answer Bank'!$A$5:$A$1262)</x:f>
        <x:v>1258</x:v>
      </x:c>
      <x:c r="C7" s="30" t="n">
        <x:v>1258</x:v>
      </x:c>
      <x:c r="D7" s="30" t="n">
        <x:f>B7-C7</x:f>
        <x:v>0</x:v>
      </x:c>
      <x:c r="E7" s="30" t="n">
        <x:v>0</x:v>
      </x:c>
      <x:c r="F7" s="30" t="str">
        <x:f>IF(ABS(D7)&lt;=E7,"OK","REVIEW")</x:f>
        <x:v>OK</x:v>
      </x:c>
      <x:c r="G7" s="79" t="str">
        <x:v>One editable response row per cluster</x:v>
      </x:c>
    </x:row>
    <x:row r="8">
      <x:c r="A8" s="78" t="str">
        <x:v>Source record coverage</x:v>
      </x:c>
      <x:c r="B8" s="30" t="n">
        <x:f>COUNTA('All Questions'!$A$5:$A$1725)+COUNTA('Interview Notes'!$A$5:$A$1287)</x:f>
        <x:v>3004</x:v>
      </x:c>
      <x:c r="C8" s="30" t="n">
        <x:v>3004</x:v>
      </x:c>
      <x:c r="D8" s="30" t="n">
        <x:f>B8-C8</x:f>
        <x:v>0</x:v>
      </x:c>
      <x:c r="E8" s="30" t="n">
        <x:v>0</x:v>
      </x:c>
      <x:c r="F8" s="30" t="str">
        <x:f>IF(ABS(D8)&lt;=E8,"OK","REVIEW")</x:f>
        <x:v>OK</x:v>
      </x:c>
      <x:c r="G8" s="79" t="str">
        <x:v>Questions plus retained notes/metadata</x:v>
      </x:c>
    </x:row>
    <x:row r="9">
      <x:c r="A9" s="78" t="str">
        <x:v>Missing canonical questions</x:v>
      </x:c>
      <x:c r="B9" s="30" t="n">
        <x:f>COUNTBLANK('All Questions'!$E$5:$E$1725)</x:f>
        <x:v>0</x:v>
      </x:c>
      <x:c r="C9" s="30" t="n">
        <x:v>0</x:v>
      </x:c>
      <x:c r="D9" s="30" t="n">
        <x:f>B9-C9</x:f>
        <x:v>0</x:v>
      </x:c>
      <x:c r="E9" s="30" t="n">
        <x:v>0</x:v>
      </x:c>
      <x:c r="F9" s="30" t="str">
        <x:f>IF(ABS(D9)&lt;=E9,"OK","REVIEW")</x:f>
        <x:v>OK</x:v>
      </x:c>
      <x:c r="G9" s="79" t="str">
        <x:v>Every question needs a canonical form</x:v>
      </x:c>
    </x:row>
    <x:row r="10">
      <x:c r="A10" s="78" t="str">
        <x:v>Missing primary type</x:v>
      </x:c>
      <x:c r="B10" s="30" t="n">
        <x:f>COUNTBLANK('All Questions'!$F$5:$F$1725)</x:f>
        <x:v>0</x:v>
      </x:c>
      <x:c r="C10" s="30" t="n">
        <x:v>0</x:v>
      </x:c>
      <x:c r="D10" s="30" t="n">
        <x:f>B10-C10</x:f>
        <x:v>0</x:v>
      </x:c>
      <x:c r="E10" s="30" t="n">
        <x:v>0</x:v>
      </x:c>
      <x:c r="F10" s="30" t="str">
        <x:f>IF(ABS(D10)&lt;=E10,"OK","REVIEW")</x:f>
        <x:v>OK</x:v>
      </x:c>
      <x:c r="G10" s="79" t="str">
        <x:v>Every question needs a type</x:v>
      </x:c>
    </x:row>
    <x:row r="11">
      <x:c r="A11" s="80" t="str">
        <x:v>Invalid answer statuses</x:v>
      </x:c>
      <x:c r="B11" s="81" t="n">
        <x:f>COUNTA('Answer Bank'!$A$5:$A$1262)-COUNTIF('Answer Bank'!$F$5:$F$1262,"Not Started")-COUNTIF('Answer Bank'!$F$5:$F$1262,"Draft")-COUNTIF('Answer Bank'!$F$5:$F$1262,"Ready")</x:f>
        <x:v>0</x:v>
      </x:c>
      <x:c r="C11" s="81" t="n">
        <x:v>0</x:v>
      </x:c>
      <x:c r="D11" s="81" t="n">
        <x:f>B11-C11</x:f>
        <x:v>0</x:v>
      </x:c>
      <x:c r="E11" s="81" t="n">
        <x:v>0</x:v>
      </x:c>
      <x:c r="F11" s="81" t="str">
        <x:f>IF(ABS(D11)&lt;=E11,"OK","REVIEW")</x:f>
        <x:v>OK</x:v>
      </x:c>
      <x:c r="G11" s="82" t="str">
        <x:v>Status must be Not Started, Draft, or Ready</x:v>
      </x:c>
    </x:row>
    <x:row r="13">
      <x:c r="F13" s="70" t="str">
        <x:v>Overall Status</x:v>
      </x:c>
      <x:c r="G13" s="70" t="str">
        <x:f>IF(COUNTIF(F5:F11,"REVIEW")=0,"OK","REVIEW")</x:f>
        <x:v>OK</x:v>
      </x:c>
    </x:row>
  </x:sheetData>
  <x:mergeCells>
    <x:mergeCell ref="A1:G1"/>
    <x:mergeCell ref="A2:G2"/>
  </x:mergeCells>
  <x:conditionalFormatting sqref="F5:F11">
    <x:cfRule type="containsText" dxfId="26" priority="1" operator="containsText" text="OK"/>
    <x:cfRule type="containsText" dxfId="27" priority="2" operator="containsText" text="REVIEW"/>
  </x:conditionalFormatting>
  <x:conditionalFormatting sqref="G13:G13">
    <x:cfRule type="containsText" dxfId="28" priority="3" operator="containsText" text="OK"/>
  </x:conditionalFormatting>
  <x:pageMargins left="0.7" right="0.7" top="0.75" bottom="0.75" header="0.3" footer="0.3"/>
</x:worksheet>
</file>